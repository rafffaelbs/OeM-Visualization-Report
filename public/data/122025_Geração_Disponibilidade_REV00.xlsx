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loudoemenergy-my.sharepoint.com/personal/nadia_oemenergy_com_br/Documents/02 - Geração/11 - Novembro/"/>
    </mc:Choice>
  </mc:AlternateContent>
  <xr:revisionPtr revIDLastSave="0" documentId="8_{D20ED9FD-72DA-4652-9678-2E91E67ADD75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Geração_Dezembro" sheetId="2" r:id="rId1"/>
    <sheet name=" Janeiro 2026" sheetId="10" r:id="rId2"/>
    <sheet name="Dezembro" sheetId="8" r:id="rId3"/>
    <sheet name="Ocorrências_Novembro" sheetId="6" r:id="rId4"/>
    <sheet name="Ocorrências _ Bruto" sheetId="7" r:id="rId5"/>
    <sheet name="REF" sheetId="9" r:id="rId6"/>
    <sheet name="De-Para" sheetId="4" r:id="rId7"/>
  </sheets>
  <definedNames>
    <definedName name="_xlnm._FilterDatabase" localSheetId="6" hidden="1">'De-Para'!$A$1:$B$80</definedName>
    <definedName name="_xlnm._FilterDatabase" localSheetId="2" hidden="1">Dezembro!$A$1:$Q$439</definedName>
    <definedName name="_xlnm._FilterDatabase" localSheetId="3" hidden="1">Ocorrências_Novembro!$A$1:$Q$1683</definedName>
    <definedName name="_xlnm._FilterDatabase" localSheetId="1" hidden="1">' Janeiro 2026'!$A$1:$Q$1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3" i="10" l="1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46" i="10"/>
  <c r="G1123" i="10"/>
  <c r="P1084" i="10"/>
  <c r="P1085" i="10"/>
  <c r="P1086" i="10"/>
  <c r="P1087" i="10"/>
  <c r="P1088" i="10"/>
  <c r="P1089" i="10"/>
  <c r="P1090" i="10"/>
  <c r="G1079" i="10"/>
  <c r="G1080" i="10"/>
  <c r="G1081" i="10"/>
  <c r="G1082" i="10"/>
  <c r="G1083" i="10"/>
  <c r="G1084" i="10"/>
  <c r="G1085" i="10"/>
  <c r="G1086" i="10"/>
  <c r="G1087" i="10"/>
  <c r="G1088" i="10"/>
  <c r="P1082" i="10"/>
  <c r="Q1082" i="10"/>
  <c r="P1092" i="10"/>
  <c r="P1093" i="10"/>
  <c r="P1094" i="10"/>
  <c r="P1095" i="10"/>
  <c r="P1096" i="10"/>
  <c r="P1097" i="10"/>
  <c r="P1098" i="10"/>
  <c r="P1099" i="10"/>
  <c r="P1100" i="10"/>
  <c r="P1101" i="10"/>
  <c r="P1102" i="10"/>
  <c r="P1103" i="10"/>
  <c r="P1104" i="10"/>
  <c r="P1105" i="10"/>
  <c r="P1106" i="10"/>
  <c r="P1107" i="10"/>
  <c r="P1108" i="10"/>
  <c r="P1083" i="10"/>
  <c r="P1091" i="10"/>
  <c r="P1050" i="10"/>
  <c r="P1051" i="10"/>
  <c r="P1052" i="10"/>
  <c r="P1053" i="10"/>
  <c r="P1054" i="10"/>
  <c r="P1055" i="10"/>
  <c r="P1056" i="10"/>
  <c r="G1046" i="10"/>
  <c r="G1047" i="10"/>
  <c r="G1048" i="10"/>
  <c r="G1049" i="10"/>
  <c r="G1050" i="10"/>
  <c r="G1051" i="10"/>
  <c r="G1052" i="10"/>
  <c r="G1053" i="10"/>
  <c r="G1054" i="10"/>
  <c r="P1049" i="10"/>
  <c r="P995" i="10"/>
  <c r="Q995" i="10"/>
  <c r="P996" i="10"/>
  <c r="Q996" i="10"/>
  <c r="P997" i="10"/>
  <c r="Q997" i="10"/>
  <c r="P998" i="10"/>
  <c r="Q998" i="10"/>
  <c r="P999" i="10"/>
  <c r="Q999" i="10"/>
  <c r="P1000" i="10"/>
  <c r="Q1000" i="10"/>
  <c r="P1001" i="10"/>
  <c r="Q1001" i="10"/>
  <c r="P1002" i="10"/>
  <c r="Q1002" i="10"/>
  <c r="P1003" i="10"/>
  <c r="Q1003" i="10"/>
  <c r="P1004" i="10"/>
  <c r="Q1004" i="10"/>
  <c r="P1005" i="10"/>
  <c r="Q1005" i="10"/>
  <c r="P1006" i="10"/>
  <c r="Q1006" i="10"/>
  <c r="P1007" i="10"/>
  <c r="Q1007" i="10"/>
  <c r="P1008" i="10"/>
  <c r="Q1008" i="10"/>
  <c r="P1009" i="10"/>
  <c r="Q1009" i="10"/>
  <c r="P1010" i="10"/>
  <c r="Q1010" i="10"/>
  <c r="P1011" i="10"/>
  <c r="Q1011" i="10"/>
  <c r="P1012" i="10"/>
  <c r="Q1012" i="10"/>
  <c r="P1013" i="10"/>
  <c r="Q1013" i="10"/>
  <c r="P1014" i="10"/>
  <c r="Q1014" i="10"/>
  <c r="P1015" i="10"/>
  <c r="Q1015" i="10"/>
  <c r="P1016" i="10"/>
  <c r="Q1016" i="10"/>
  <c r="P1017" i="10"/>
  <c r="Q1017" i="10"/>
  <c r="P1018" i="10"/>
  <c r="Q1018" i="10"/>
  <c r="P1019" i="10"/>
  <c r="Q1019" i="10"/>
  <c r="P1020" i="10"/>
  <c r="Q1020" i="10"/>
  <c r="P1021" i="10"/>
  <c r="Q1021" i="10"/>
  <c r="P1022" i="10"/>
  <c r="Q1022" i="10"/>
  <c r="P1023" i="10"/>
  <c r="Q1023" i="10"/>
  <c r="P1024" i="10"/>
  <c r="Q1024" i="10"/>
  <c r="P1025" i="10"/>
  <c r="Q1025" i="10"/>
  <c r="P1026" i="10"/>
  <c r="Q1026" i="10"/>
  <c r="P1027" i="10"/>
  <c r="Q1027" i="10"/>
  <c r="P1028" i="10"/>
  <c r="Q1028" i="10"/>
  <c r="P1029" i="10"/>
  <c r="Q1029" i="10"/>
  <c r="P1030" i="10"/>
  <c r="Q1030" i="10"/>
  <c r="P1031" i="10"/>
  <c r="Q1031" i="10"/>
  <c r="P1032" i="10"/>
  <c r="Q1032" i="10"/>
  <c r="P1033" i="10"/>
  <c r="Q1033" i="10"/>
  <c r="P1034" i="10"/>
  <c r="Q1034" i="10"/>
  <c r="P1035" i="10"/>
  <c r="Q1035" i="10"/>
  <c r="P1036" i="10"/>
  <c r="Q1036" i="10"/>
  <c r="P1037" i="10"/>
  <c r="Q1037" i="10"/>
  <c r="P1038" i="10"/>
  <c r="Q1038" i="10"/>
  <c r="P1039" i="10"/>
  <c r="Q1039" i="10"/>
  <c r="P1040" i="10"/>
  <c r="Q1040" i="10"/>
  <c r="P1041" i="10"/>
  <c r="Q1041" i="10"/>
  <c r="P1042" i="10"/>
  <c r="Q1042" i="10"/>
  <c r="P1043" i="10"/>
  <c r="Q1043" i="10"/>
  <c r="P1044" i="10"/>
  <c r="Q1044" i="10"/>
  <c r="P1045" i="10"/>
  <c r="Q1045" i="10"/>
  <c r="P1046" i="10"/>
  <c r="Q1046" i="10"/>
  <c r="P1047" i="10"/>
  <c r="Q1047" i="10"/>
  <c r="P1048" i="10"/>
  <c r="Q1048" i="10"/>
  <c r="Q1049" i="10"/>
  <c r="Q1050" i="10"/>
  <c r="Q1051" i="10"/>
  <c r="Q1052" i="10"/>
  <c r="Q1053" i="10"/>
  <c r="Q1054" i="10"/>
  <c r="Q1055" i="10"/>
  <c r="Q1056" i="10"/>
  <c r="P1057" i="10"/>
  <c r="Q1057" i="10"/>
  <c r="P1058" i="10"/>
  <c r="Q1058" i="10"/>
  <c r="P1059" i="10"/>
  <c r="Q1059" i="10"/>
  <c r="P1060" i="10"/>
  <c r="Q1060" i="10"/>
  <c r="P1061" i="10"/>
  <c r="Q1061" i="10"/>
  <c r="P1062" i="10"/>
  <c r="Q1062" i="10"/>
  <c r="P1063" i="10"/>
  <c r="Q1063" i="10"/>
  <c r="P1064" i="10"/>
  <c r="Q1064" i="10"/>
  <c r="P1065" i="10"/>
  <c r="Q1065" i="10"/>
  <c r="P1066" i="10"/>
  <c r="Q1066" i="10"/>
  <c r="P1067" i="10"/>
  <c r="Q1067" i="10"/>
  <c r="P1068" i="10"/>
  <c r="Q1068" i="10"/>
  <c r="P1069" i="10"/>
  <c r="Q1069" i="10"/>
  <c r="P1070" i="10"/>
  <c r="Q1070" i="10"/>
  <c r="P1071" i="10"/>
  <c r="Q1071" i="10"/>
  <c r="P1072" i="10"/>
  <c r="Q1072" i="10"/>
  <c r="P1073" i="10"/>
  <c r="Q1073" i="10"/>
  <c r="P1074" i="10"/>
  <c r="Q1074" i="10"/>
  <c r="P1075" i="10"/>
  <c r="Q1075" i="10"/>
  <c r="P1076" i="10"/>
  <c r="Q1076" i="10"/>
  <c r="P1077" i="10"/>
  <c r="Q1077" i="10"/>
  <c r="P1078" i="10"/>
  <c r="Q1078" i="10"/>
  <c r="P1079" i="10"/>
  <c r="Q1079" i="10"/>
  <c r="P1080" i="10"/>
  <c r="Q1080" i="10"/>
  <c r="P1081" i="10"/>
  <c r="Q1081" i="10"/>
  <c r="Q1083" i="10"/>
  <c r="Q1084" i="10"/>
  <c r="Q1085" i="10"/>
  <c r="Q1086" i="10"/>
  <c r="Q1087" i="10"/>
  <c r="Q1088" i="10"/>
  <c r="Q1089" i="10"/>
  <c r="Q1090" i="10"/>
  <c r="Q1091" i="10"/>
  <c r="Q1092" i="10"/>
  <c r="Q1093" i="10"/>
  <c r="Q1094" i="10"/>
  <c r="Q1095" i="10"/>
  <c r="Q1096" i="10"/>
  <c r="Q1097" i="10"/>
  <c r="Q1098" i="10"/>
  <c r="Q1099" i="10"/>
  <c r="Q1100" i="10"/>
  <c r="Q1101" i="10"/>
  <c r="Q1102" i="10"/>
  <c r="Q1103" i="10"/>
  <c r="Q1104" i="10"/>
  <c r="Q1105" i="10"/>
  <c r="Q1106" i="10"/>
  <c r="Q1107" i="10"/>
  <c r="Q1108" i="10"/>
  <c r="P1109" i="10"/>
  <c r="Q1109" i="10"/>
  <c r="P1110" i="10"/>
  <c r="Q1110" i="10"/>
  <c r="P1111" i="10"/>
  <c r="Q1111" i="10"/>
  <c r="P1112" i="10"/>
  <c r="Q1112" i="10"/>
  <c r="P1113" i="10"/>
  <c r="Q1113" i="10"/>
  <c r="P1114" i="10"/>
  <c r="Q1114" i="10"/>
  <c r="P1115" i="10"/>
  <c r="Q1115" i="10"/>
  <c r="P1116" i="10"/>
  <c r="Q1116" i="10"/>
  <c r="P1117" i="10"/>
  <c r="Q1117" i="10"/>
  <c r="P1118" i="10"/>
  <c r="Q1118" i="10"/>
  <c r="P1119" i="10"/>
  <c r="Q1119" i="10"/>
  <c r="P1120" i="10"/>
  <c r="Q1120" i="10"/>
  <c r="P1121" i="10"/>
  <c r="Q1121" i="10"/>
  <c r="P1122" i="10"/>
  <c r="Q1122" i="10"/>
  <c r="P1123" i="10"/>
  <c r="Q1123" i="10"/>
  <c r="P1124" i="10"/>
  <c r="Q1124" i="10"/>
  <c r="P1125" i="10"/>
  <c r="Q1125" i="10"/>
  <c r="P1126" i="10"/>
  <c r="Q1126" i="10"/>
  <c r="P1127" i="10"/>
  <c r="Q1127" i="10"/>
  <c r="P1128" i="10"/>
  <c r="Q1128" i="10"/>
  <c r="P1129" i="10"/>
  <c r="Q1129" i="10"/>
  <c r="P1130" i="10"/>
  <c r="Q1130" i="10"/>
  <c r="P1131" i="10"/>
  <c r="Q1131" i="10"/>
  <c r="P1132" i="10"/>
  <c r="Q1132" i="10"/>
  <c r="P1133" i="10"/>
  <c r="Q1133" i="10"/>
  <c r="P1134" i="10"/>
  <c r="Q1134" i="10"/>
  <c r="P1135" i="10"/>
  <c r="Q1135" i="10"/>
  <c r="P1136" i="10"/>
  <c r="Q1136" i="10"/>
  <c r="P1137" i="10"/>
  <c r="Q1137" i="10"/>
  <c r="P1138" i="10"/>
  <c r="Q1138" i="10"/>
  <c r="P1139" i="10"/>
  <c r="Q1139" i="10"/>
  <c r="P1140" i="10"/>
  <c r="Q1140" i="10"/>
  <c r="P1141" i="10"/>
  <c r="Q1141" i="10"/>
  <c r="P1142" i="10"/>
  <c r="Q1142" i="10"/>
  <c r="P1143" i="10"/>
  <c r="Q1143" i="10"/>
  <c r="P1144" i="10"/>
  <c r="Q1144" i="10"/>
  <c r="P1145" i="10"/>
  <c r="Q1145" i="10"/>
  <c r="P1146" i="10"/>
  <c r="Q1146" i="10"/>
  <c r="P1147" i="10"/>
  <c r="Q1147" i="10"/>
  <c r="P1148" i="10"/>
  <c r="Q1148" i="10"/>
  <c r="P1149" i="10"/>
  <c r="Q1149" i="10"/>
  <c r="P1150" i="10"/>
  <c r="Q1150" i="10"/>
  <c r="P1151" i="10"/>
  <c r="Q1151" i="10"/>
  <c r="P1152" i="10"/>
  <c r="Q1152" i="10"/>
  <c r="P1153" i="10"/>
  <c r="Q1153" i="10"/>
  <c r="P1154" i="10"/>
  <c r="Q1154" i="10"/>
  <c r="P1155" i="10"/>
  <c r="Q1155" i="10"/>
  <c r="P1156" i="10"/>
  <c r="Q1156" i="10"/>
  <c r="P1157" i="10"/>
  <c r="Q1157" i="10"/>
  <c r="P1158" i="10"/>
  <c r="Q1158" i="10"/>
  <c r="P1159" i="10"/>
  <c r="Q1159" i="10"/>
  <c r="P1160" i="10"/>
  <c r="Q1160" i="10"/>
  <c r="P1161" i="10"/>
  <c r="Q1161" i="10"/>
  <c r="P1162" i="10"/>
  <c r="Q1162" i="10"/>
  <c r="P1163" i="10"/>
  <c r="Q1163" i="10"/>
  <c r="P1164" i="10"/>
  <c r="Q1164" i="10"/>
  <c r="P1165" i="10"/>
  <c r="Q1165" i="10"/>
  <c r="P1166" i="10"/>
  <c r="Q1166" i="10"/>
  <c r="P1167" i="10"/>
  <c r="Q1167" i="10"/>
  <c r="P1168" i="10"/>
  <c r="Q1168" i="10"/>
  <c r="P1169" i="10"/>
  <c r="Q1169" i="10"/>
  <c r="P1170" i="10"/>
  <c r="Q1170" i="10"/>
  <c r="P1171" i="10"/>
  <c r="Q1171" i="10"/>
  <c r="P1172" i="10"/>
  <c r="Q1172" i="10"/>
  <c r="P1173" i="10"/>
  <c r="Q1173" i="10"/>
  <c r="P1174" i="10"/>
  <c r="Q1174" i="10"/>
  <c r="P1175" i="10"/>
  <c r="Q1175" i="10"/>
  <c r="P1176" i="10"/>
  <c r="Q1176" i="10"/>
  <c r="P1177" i="10"/>
  <c r="Q1177" i="10"/>
  <c r="P1178" i="10"/>
  <c r="Q1178" i="10"/>
  <c r="P1179" i="10"/>
  <c r="Q1179" i="10"/>
  <c r="P1180" i="10"/>
  <c r="Q1180" i="10"/>
  <c r="P1181" i="10"/>
  <c r="Q1181" i="10"/>
  <c r="P1182" i="10"/>
  <c r="Q1182" i="10"/>
  <c r="P1183" i="10"/>
  <c r="Q1183" i="10"/>
  <c r="P1184" i="10"/>
  <c r="Q1184" i="10"/>
  <c r="P1185" i="10"/>
  <c r="Q1185" i="10"/>
  <c r="P1186" i="10"/>
  <c r="Q1186" i="10"/>
  <c r="P1187" i="10"/>
  <c r="Q1187" i="10"/>
  <c r="P1188" i="10"/>
  <c r="Q1188" i="10"/>
  <c r="P1189" i="10"/>
  <c r="Q1189" i="10"/>
  <c r="P1190" i="10"/>
  <c r="Q1190" i="10"/>
  <c r="P1191" i="10"/>
  <c r="Q1191" i="10"/>
  <c r="P1192" i="10"/>
  <c r="Q1192" i="10"/>
  <c r="P1193" i="10"/>
  <c r="Q1193" i="10"/>
  <c r="P1194" i="10"/>
  <c r="Q1194" i="10"/>
  <c r="P1195" i="10"/>
  <c r="Q1195" i="10"/>
  <c r="P1196" i="10"/>
  <c r="Q1196" i="10"/>
  <c r="P1197" i="10"/>
  <c r="Q1197" i="10"/>
  <c r="P1198" i="10"/>
  <c r="Q1198" i="10"/>
  <c r="P1199" i="10"/>
  <c r="Q1199" i="10"/>
  <c r="P1200" i="10"/>
  <c r="Q1200" i="10"/>
  <c r="P1201" i="10"/>
  <c r="Q1201" i="10"/>
  <c r="P1202" i="10"/>
  <c r="Q1202" i="10"/>
  <c r="P1203" i="10"/>
  <c r="Q1203" i="10"/>
  <c r="P1204" i="10"/>
  <c r="Q1204" i="10"/>
  <c r="P1205" i="10"/>
  <c r="Q1205" i="10"/>
  <c r="P1206" i="10"/>
  <c r="Q1206" i="10"/>
  <c r="P1207" i="10"/>
  <c r="Q1207" i="10"/>
  <c r="P1208" i="10"/>
  <c r="Q1208" i="10"/>
  <c r="P1209" i="10"/>
  <c r="Q1209" i="10"/>
  <c r="P1210" i="10"/>
  <c r="Q1210" i="10"/>
  <c r="P1211" i="10"/>
  <c r="Q1211" i="10"/>
  <c r="P1212" i="10"/>
  <c r="Q1212" i="10"/>
  <c r="P1213" i="10"/>
  <c r="Q1213" i="10"/>
  <c r="P1214" i="10"/>
  <c r="Q1214" i="10"/>
  <c r="P1215" i="10"/>
  <c r="Q1215" i="10"/>
  <c r="P1216" i="10"/>
  <c r="Q1216" i="10"/>
  <c r="P1217" i="10"/>
  <c r="Q1217" i="10"/>
  <c r="P1218" i="10"/>
  <c r="Q1218" i="10"/>
  <c r="P1219" i="10"/>
  <c r="Q1219" i="10"/>
  <c r="P1220" i="10"/>
  <c r="Q1220" i="10"/>
  <c r="P1221" i="10"/>
  <c r="Q1221" i="10"/>
  <c r="P1222" i="10"/>
  <c r="Q1222" i="10"/>
  <c r="P1223" i="10"/>
  <c r="Q1223" i="10"/>
  <c r="P1224" i="10"/>
  <c r="Q1224" i="10"/>
  <c r="P1225" i="10"/>
  <c r="Q1225" i="10"/>
  <c r="P1226" i="10"/>
  <c r="Q1226" i="10"/>
  <c r="P1227" i="10"/>
  <c r="Q1227" i="10"/>
  <c r="P1228" i="10"/>
  <c r="Q1228" i="10"/>
  <c r="P1229" i="10"/>
  <c r="Q1229" i="10"/>
  <c r="P1230" i="10"/>
  <c r="Q1230" i="10"/>
  <c r="P1231" i="10"/>
  <c r="Q1231" i="10"/>
  <c r="P1232" i="10"/>
  <c r="Q1232" i="10"/>
  <c r="P1233" i="10"/>
  <c r="Q1233" i="10"/>
  <c r="P1234" i="10"/>
  <c r="Q1234" i="10"/>
  <c r="P1235" i="10"/>
  <c r="Q1235" i="10"/>
  <c r="P1236" i="10"/>
  <c r="Q1236" i="10"/>
  <c r="P1237" i="10"/>
  <c r="Q1237" i="10"/>
  <c r="P1238" i="10"/>
  <c r="Q1238" i="10"/>
  <c r="P1239" i="10"/>
  <c r="Q1239" i="10"/>
  <c r="P1240" i="10"/>
  <c r="Q1240" i="10"/>
  <c r="P1241" i="10"/>
  <c r="Q1241" i="10"/>
  <c r="P1242" i="10"/>
  <c r="Q1242" i="10"/>
  <c r="P1243" i="10"/>
  <c r="Q1243" i="10"/>
  <c r="P1244" i="10"/>
  <c r="Q1244" i="10"/>
  <c r="P1245" i="10"/>
  <c r="Q1245" i="10"/>
  <c r="P1246" i="10"/>
  <c r="Q1246" i="10"/>
  <c r="P1247" i="10"/>
  <c r="Q1247" i="10"/>
  <c r="P1248" i="10"/>
  <c r="Q1248" i="10"/>
  <c r="P1249" i="10"/>
  <c r="Q1249" i="10"/>
  <c r="P1250" i="10"/>
  <c r="Q1250" i="10"/>
  <c r="P1251" i="10"/>
  <c r="Q1251" i="10"/>
  <c r="P1252" i="10"/>
  <c r="Q1252" i="10"/>
  <c r="P1253" i="10"/>
  <c r="Q1253" i="10"/>
  <c r="P1254" i="10"/>
  <c r="Q1254" i="10"/>
  <c r="P1255" i="10"/>
  <c r="Q1255" i="10"/>
  <c r="P1256" i="10"/>
  <c r="Q1256" i="10"/>
  <c r="P1257" i="10"/>
  <c r="Q1257" i="10"/>
  <c r="P1258" i="10"/>
  <c r="Q1258" i="10"/>
  <c r="P1259" i="10"/>
  <c r="Q1259" i="10"/>
  <c r="P1260" i="10"/>
  <c r="Q1260" i="10"/>
  <c r="P1261" i="10"/>
  <c r="Q1261" i="10"/>
  <c r="P1262" i="10"/>
  <c r="Q1262" i="10"/>
  <c r="P1263" i="10"/>
  <c r="Q1263" i="10"/>
  <c r="P1264" i="10"/>
  <c r="Q1264" i="10"/>
  <c r="P1265" i="10"/>
  <c r="Q1265" i="10"/>
  <c r="P1266" i="10"/>
  <c r="Q1266" i="10"/>
  <c r="P1267" i="10"/>
  <c r="Q1267" i="10"/>
  <c r="P1268" i="10"/>
  <c r="Q1268" i="10"/>
  <c r="P1269" i="10"/>
  <c r="Q1269" i="10"/>
  <c r="P1270" i="10"/>
  <c r="Q1270" i="10"/>
  <c r="P1271" i="10"/>
  <c r="Q1271" i="10"/>
  <c r="P1272" i="10"/>
  <c r="Q1272" i="10"/>
  <c r="P1273" i="10"/>
  <c r="Q1273" i="10"/>
  <c r="P1274" i="10"/>
  <c r="Q1274" i="10"/>
  <c r="P1275" i="10"/>
  <c r="Q1275" i="10"/>
  <c r="P1276" i="10"/>
  <c r="Q1276" i="10"/>
  <c r="P1277" i="10"/>
  <c r="Q1277" i="10"/>
  <c r="P1278" i="10"/>
  <c r="Q1278" i="10"/>
  <c r="P1279" i="10"/>
  <c r="Q1279" i="10"/>
  <c r="P1280" i="10"/>
  <c r="Q1280" i="10"/>
  <c r="P1281" i="10"/>
  <c r="Q1281" i="10"/>
  <c r="P1282" i="10"/>
  <c r="Q1282" i="10"/>
  <c r="P1283" i="10"/>
  <c r="Q1283" i="10"/>
  <c r="P1284" i="10"/>
  <c r="Q1284" i="10"/>
  <c r="P1285" i="10"/>
  <c r="Q1285" i="10"/>
  <c r="P1286" i="10"/>
  <c r="Q1286" i="10"/>
  <c r="P1287" i="10"/>
  <c r="Q1287" i="10"/>
  <c r="P1288" i="10"/>
  <c r="Q1288" i="10"/>
  <c r="P1289" i="10"/>
  <c r="Q1289" i="10"/>
  <c r="P1290" i="10"/>
  <c r="Q1290" i="10"/>
  <c r="P1291" i="10"/>
  <c r="Q1291" i="10"/>
  <c r="P1292" i="10"/>
  <c r="Q1292" i="10"/>
  <c r="P1293" i="10"/>
  <c r="Q1293" i="10"/>
  <c r="P1294" i="10"/>
  <c r="Q1294" i="10"/>
  <c r="P1295" i="10"/>
  <c r="Q1295" i="10"/>
  <c r="P1296" i="10"/>
  <c r="Q1296" i="10"/>
  <c r="P1297" i="10"/>
  <c r="Q1297" i="10"/>
  <c r="P1298" i="10"/>
  <c r="Q1298" i="10"/>
  <c r="P1299" i="10"/>
  <c r="Q1299" i="10"/>
  <c r="P1300" i="10"/>
  <c r="Q1300" i="10"/>
  <c r="P1301" i="10"/>
  <c r="Q1301" i="10"/>
  <c r="P1302" i="10"/>
  <c r="Q1302" i="10"/>
  <c r="P1303" i="10"/>
  <c r="Q1303" i="10"/>
  <c r="P1304" i="10"/>
  <c r="Q1304" i="10"/>
  <c r="P1305" i="10"/>
  <c r="Q1305" i="10"/>
  <c r="P1306" i="10"/>
  <c r="Q1306" i="10"/>
  <c r="P1307" i="10"/>
  <c r="Q1307" i="10"/>
  <c r="P1308" i="10"/>
  <c r="Q1308" i="10"/>
  <c r="P1309" i="10"/>
  <c r="Q1309" i="10"/>
  <c r="P1310" i="10"/>
  <c r="Q1310" i="10"/>
  <c r="P1311" i="10"/>
  <c r="Q1311" i="10"/>
  <c r="P1312" i="10"/>
  <c r="Q1312" i="10"/>
  <c r="P1313" i="10"/>
  <c r="Q1313" i="10"/>
  <c r="P1314" i="10"/>
  <c r="Q1314" i="10"/>
  <c r="P1315" i="10"/>
  <c r="Q1315" i="10"/>
  <c r="P1316" i="10"/>
  <c r="Q1316" i="10"/>
  <c r="P1317" i="10"/>
  <c r="Q1317" i="10"/>
  <c r="P1318" i="10"/>
  <c r="Q1318" i="10"/>
  <c r="P1319" i="10"/>
  <c r="Q1319" i="10"/>
  <c r="P1320" i="10"/>
  <c r="Q1320" i="10"/>
  <c r="P1321" i="10"/>
  <c r="Q1321" i="10"/>
  <c r="P1322" i="10"/>
  <c r="Q1322" i="10"/>
  <c r="P1323" i="10"/>
  <c r="Q1323" i="10"/>
  <c r="P1324" i="10"/>
  <c r="Q1324" i="10"/>
  <c r="P1325" i="10"/>
  <c r="Q1325" i="10"/>
  <c r="P1326" i="10"/>
  <c r="Q1326" i="10"/>
  <c r="P1327" i="10"/>
  <c r="Q1327" i="10"/>
  <c r="P1328" i="10"/>
  <c r="Q1328" i="10"/>
  <c r="P1329" i="10"/>
  <c r="Q1329" i="10"/>
  <c r="P1330" i="10"/>
  <c r="Q1330" i="10"/>
  <c r="P1331" i="10"/>
  <c r="Q1331" i="10"/>
  <c r="P1332" i="10"/>
  <c r="Q1332" i="10"/>
  <c r="P1333" i="10"/>
  <c r="Q1333" i="10"/>
  <c r="P1334" i="10"/>
  <c r="Q1334" i="10"/>
  <c r="P1335" i="10"/>
  <c r="Q1335" i="10"/>
  <c r="P1336" i="10"/>
  <c r="Q1336" i="10"/>
  <c r="P1337" i="10"/>
  <c r="Q1337" i="10"/>
  <c r="P1338" i="10"/>
  <c r="Q1338" i="10"/>
  <c r="P1339" i="10"/>
  <c r="Q1339" i="10"/>
  <c r="P1340" i="10"/>
  <c r="Q1340" i="10"/>
  <c r="P1341" i="10"/>
  <c r="Q1341" i="10"/>
  <c r="P1342" i="10"/>
  <c r="Q1342" i="10"/>
  <c r="P1343" i="10"/>
  <c r="Q1343" i="10"/>
  <c r="P1344" i="10"/>
  <c r="Q1344" i="10"/>
  <c r="P1345" i="10"/>
  <c r="Q1345" i="10"/>
  <c r="P1346" i="10"/>
  <c r="Q1346" i="10"/>
  <c r="P1347" i="10"/>
  <c r="Q1347" i="10"/>
  <c r="P1348" i="10"/>
  <c r="Q1348" i="10"/>
  <c r="P1349" i="10"/>
  <c r="Q1349" i="10"/>
  <c r="P1350" i="10"/>
  <c r="Q1350" i="10"/>
  <c r="P1351" i="10"/>
  <c r="Q1351" i="10"/>
  <c r="P1352" i="10"/>
  <c r="Q1352" i="10"/>
  <c r="P1353" i="10"/>
  <c r="Q1353" i="10"/>
  <c r="P1354" i="10"/>
  <c r="Q1354" i="10"/>
  <c r="P1355" i="10"/>
  <c r="Q1355" i="10"/>
  <c r="P1356" i="10"/>
  <c r="Q1356" i="10"/>
  <c r="P1357" i="10"/>
  <c r="Q1357" i="10"/>
  <c r="P1358" i="10"/>
  <c r="Q1358" i="10"/>
  <c r="P1359" i="10"/>
  <c r="Q1359" i="10"/>
  <c r="P1360" i="10"/>
  <c r="Q1360" i="10"/>
  <c r="P1361" i="10"/>
  <c r="Q1361" i="10"/>
  <c r="P1362" i="10"/>
  <c r="Q1362" i="10"/>
  <c r="P1363" i="10"/>
  <c r="Q1363" i="10"/>
  <c r="P1364" i="10"/>
  <c r="Q1364" i="10"/>
  <c r="P1365" i="10"/>
  <c r="Q1365" i="10"/>
  <c r="P1366" i="10"/>
  <c r="Q1366" i="10"/>
  <c r="P1367" i="10"/>
  <c r="Q1367" i="10"/>
  <c r="P1368" i="10"/>
  <c r="Q1368" i="10"/>
  <c r="P1369" i="10"/>
  <c r="Q1369" i="10"/>
  <c r="P1370" i="10"/>
  <c r="Q1370" i="10"/>
  <c r="P1371" i="10"/>
  <c r="Q1371" i="10"/>
  <c r="P1372" i="10"/>
  <c r="Q1372" i="10"/>
  <c r="P1373" i="10"/>
  <c r="Q1373" i="10"/>
  <c r="P1374" i="10"/>
  <c r="Q1374" i="10"/>
  <c r="P1375" i="10"/>
  <c r="Q1375" i="10"/>
  <c r="P1376" i="10"/>
  <c r="Q1376" i="10"/>
  <c r="P1377" i="10"/>
  <c r="Q1377" i="10"/>
  <c r="P1378" i="10"/>
  <c r="Q1378" i="10"/>
  <c r="P1379" i="10"/>
  <c r="Q1379" i="10"/>
  <c r="P1380" i="10"/>
  <c r="Q1380" i="10"/>
  <c r="P1381" i="10"/>
  <c r="Q1381" i="10"/>
  <c r="P1382" i="10"/>
  <c r="Q1382" i="10"/>
  <c r="P1383" i="10"/>
  <c r="Q1383" i="10"/>
  <c r="P1384" i="10"/>
  <c r="Q1384" i="10"/>
  <c r="P1385" i="10"/>
  <c r="Q1385" i="10"/>
  <c r="P1386" i="10"/>
  <c r="Q1386" i="10"/>
  <c r="P1387" i="10"/>
  <c r="Q1387" i="10"/>
  <c r="P1388" i="10"/>
  <c r="Q1388" i="10"/>
  <c r="P1389" i="10"/>
  <c r="Q1389" i="10"/>
  <c r="P1390" i="10"/>
  <c r="Q1390" i="10"/>
  <c r="P1391" i="10"/>
  <c r="Q1391" i="10"/>
  <c r="P1392" i="10"/>
  <c r="Q1392" i="10"/>
  <c r="P1393" i="10"/>
  <c r="Q1393" i="10"/>
  <c r="P1394" i="10"/>
  <c r="Q1394" i="10"/>
  <c r="P1395" i="10"/>
  <c r="Q1395" i="10"/>
  <c r="P1396" i="10"/>
  <c r="Q1396" i="10"/>
  <c r="P1397" i="10"/>
  <c r="Q1397" i="10"/>
  <c r="P1398" i="10"/>
  <c r="Q1398" i="10"/>
  <c r="P1399" i="10"/>
  <c r="Q1399" i="10"/>
  <c r="P1400" i="10"/>
  <c r="Q1400" i="10"/>
  <c r="P1401" i="10"/>
  <c r="Q1401" i="10"/>
  <c r="P1402" i="10"/>
  <c r="Q1402" i="10"/>
  <c r="P1403" i="10"/>
  <c r="Q1403" i="10"/>
  <c r="P1404" i="10"/>
  <c r="Q1404" i="10"/>
  <c r="P1405" i="10"/>
  <c r="Q1405" i="10"/>
  <c r="P1406" i="10"/>
  <c r="Q1406" i="10"/>
  <c r="P1407" i="10"/>
  <c r="Q1407" i="10"/>
  <c r="P1408" i="10"/>
  <c r="Q1408" i="10"/>
  <c r="P1409" i="10"/>
  <c r="Q1409" i="10"/>
  <c r="P1410" i="10"/>
  <c r="Q1410" i="10"/>
  <c r="P1411" i="10"/>
  <c r="Q1411" i="10"/>
  <c r="P1412" i="10"/>
  <c r="Q1412" i="10"/>
  <c r="P1413" i="10"/>
  <c r="Q1413" i="10"/>
  <c r="P1414" i="10"/>
  <c r="Q1414" i="10"/>
  <c r="P1415" i="10"/>
  <c r="Q1415" i="10"/>
  <c r="P1416" i="10"/>
  <c r="Q1416" i="10"/>
  <c r="P1417" i="10"/>
  <c r="Q1417" i="10"/>
  <c r="P1418" i="10"/>
  <c r="Q1418" i="10"/>
  <c r="P1419" i="10"/>
  <c r="Q1419" i="10"/>
  <c r="P1420" i="10"/>
  <c r="Q1420" i="10"/>
  <c r="P1421" i="10"/>
  <c r="Q1421" i="10"/>
  <c r="P1422" i="10"/>
  <c r="Q1422" i="10"/>
  <c r="P1423" i="10"/>
  <c r="Q1423" i="10"/>
  <c r="P1424" i="10"/>
  <c r="Q1424" i="10"/>
  <c r="P1425" i="10"/>
  <c r="Q1425" i="10"/>
  <c r="P1426" i="10"/>
  <c r="Q1426" i="10"/>
  <c r="P1427" i="10"/>
  <c r="Q1427" i="10"/>
  <c r="P1428" i="10"/>
  <c r="Q1428" i="10"/>
  <c r="P1429" i="10"/>
  <c r="Q1429" i="10"/>
  <c r="P1430" i="10"/>
  <c r="Q1430" i="10"/>
  <c r="P1431" i="10"/>
  <c r="Q1431" i="10"/>
  <c r="P1432" i="10"/>
  <c r="Q1432" i="10"/>
  <c r="P1433" i="10"/>
  <c r="Q1433" i="10"/>
  <c r="P1434" i="10"/>
  <c r="Q1434" i="10"/>
  <c r="P1435" i="10"/>
  <c r="Q1435" i="10"/>
  <c r="P1436" i="10"/>
  <c r="Q1436" i="10"/>
  <c r="P1437" i="10"/>
  <c r="Q1437" i="10"/>
  <c r="P1438" i="10"/>
  <c r="Q1438" i="10"/>
  <c r="P1439" i="10"/>
  <c r="Q1439" i="10"/>
  <c r="P1440" i="10"/>
  <c r="Q1440" i="10"/>
  <c r="P1441" i="10"/>
  <c r="Q1441" i="10"/>
  <c r="P1442" i="10"/>
  <c r="Q1442" i="10"/>
  <c r="P1443" i="10"/>
  <c r="Q1443" i="10"/>
  <c r="P1444" i="10"/>
  <c r="Q1444" i="10"/>
  <c r="P1445" i="10"/>
  <c r="Q1445" i="10"/>
  <c r="P1446" i="10"/>
  <c r="Q1446" i="10"/>
  <c r="P1447" i="10"/>
  <c r="Q1447" i="10"/>
  <c r="P1448" i="10"/>
  <c r="Q1448" i="10"/>
  <c r="P1449" i="10"/>
  <c r="Q1449" i="10"/>
  <c r="P1450" i="10"/>
  <c r="Q1450" i="10"/>
  <c r="P1451" i="10"/>
  <c r="Q1451" i="10"/>
  <c r="P1452" i="10"/>
  <c r="Q1452" i="10"/>
  <c r="P1453" i="10"/>
  <c r="Q1453" i="10"/>
  <c r="P1454" i="10"/>
  <c r="Q1454" i="10"/>
  <c r="P1455" i="10"/>
  <c r="Q1455" i="10"/>
  <c r="P1456" i="10"/>
  <c r="Q1456" i="10"/>
  <c r="P1457" i="10"/>
  <c r="Q1457" i="10"/>
  <c r="P1458" i="10"/>
  <c r="Q1458" i="10"/>
  <c r="P1459" i="10"/>
  <c r="Q1459" i="10"/>
  <c r="P1460" i="10"/>
  <c r="Q1460" i="10"/>
  <c r="P1461" i="10"/>
  <c r="Q1461" i="10"/>
  <c r="P1462" i="10"/>
  <c r="Q1462" i="10"/>
  <c r="P1463" i="10"/>
  <c r="Q1463" i="10"/>
  <c r="P1464" i="10"/>
  <c r="Q1464" i="10"/>
  <c r="P1465" i="10"/>
  <c r="Q1465" i="10"/>
  <c r="P1466" i="10"/>
  <c r="Q1466" i="10"/>
  <c r="P1467" i="10"/>
  <c r="Q1467" i="10"/>
  <c r="P1468" i="10"/>
  <c r="Q1468" i="10"/>
  <c r="P1469" i="10"/>
  <c r="Q1469" i="10"/>
  <c r="P1470" i="10"/>
  <c r="Q1470" i="10"/>
  <c r="P1471" i="10"/>
  <c r="Q1471" i="10"/>
  <c r="P1472" i="10"/>
  <c r="Q1472" i="10"/>
  <c r="P1473" i="10"/>
  <c r="Q1473" i="10"/>
  <c r="P1474" i="10"/>
  <c r="Q1474" i="10"/>
  <c r="P1475" i="10"/>
  <c r="Q1475" i="10"/>
  <c r="P1476" i="10"/>
  <c r="Q1476" i="10"/>
  <c r="P1477" i="10"/>
  <c r="Q1477" i="10"/>
  <c r="P1478" i="10"/>
  <c r="Q1478" i="10"/>
  <c r="P1479" i="10"/>
  <c r="Q1479" i="10"/>
  <c r="P1480" i="10"/>
  <c r="Q1480" i="10"/>
  <c r="P1481" i="10"/>
  <c r="Q1481" i="10"/>
  <c r="P1482" i="10"/>
  <c r="Q1482" i="10"/>
  <c r="P1483" i="10"/>
  <c r="Q1483" i="10"/>
  <c r="P1484" i="10"/>
  <c r="Q1484" i="10"/>
  <c r="P1485" i="10"/>
  <c r="Q1485" i="10"/>
  <c r="P1486" i="10"/>
  <c r="Q1486" i="10"/>
  <c r="P1487" i="10"/>
  <c r="Q1487" i="10"/>
  <c r="P1488" i="10"/>
  <c r="Q1488" i="10"/>
  <c r="P1489" i="10"/>
  <c r="Q1489" i="10"/>
  <c r="P1490" i="10"/>
  <c r="Q1490" i="10"/>
  <c r="P1491" i="10"/>
  <c r="Q1491" i="10"/>
  <c r="P1492" i="10"/>
  <c r="Q1492" i="10"/>
  <c r="P1493" i="10"/>
  <c r="Q1493" i="10"/>
  <c r="P1494" i="10"/>
  <c r="Q1494" i="10"/>
  <c r="P1495" i="10"/>
  <c r="Q1495" i="10"/>
  <c r="P1496" i="10"/>
  <c r="Q1496" i="10"/>
  <c r="P1497" i="10"/>
  <c r="Q1497" i="10"/>
  <c r="P1498" i="10"/>
  <c r="Q1498" i="10"/>
  <c r="P1499" i="10"/>
  <c r="Q1499" i="10"/>
  <c r="P1500" i="10"/>
  <c r="Q1500" i="10"/>
  <c r="G1003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P948" i="10"/>
  <c r="P949" i="10"/>
  <c r="P950" i="10"/>
  <c r="P951" i="10"/>
  <c r="P952" i="10"/>
  <c r="P953" i="10"/>
  <c r="P954" i="10"/>
  <c r="P955" i="10"/>
  <c r="P956" i="10"/>
  <c r="P957" i="10"/>
  <c r="P958" i="10"/>
  <c r="P959" i="10"/>
  <c r="P960" i="10"/>
  <c r="P961" i="10"/>
  <c r="P962" i="10"/>
  <c r="P963" i="10"/>
  <c r="P964" i="10"/>
  <c r="P965" i="10"/>
  <c r="P966" i="10"/>
  <c r="P967" i="10"/>
  <c r="P968" i="10"/>
  <c r="P969" i="10"/>
  <c r="P970" i="10"/>
  <c r="P971" i="10"/>
  <c r="P972" i="10"/>
  <c r="P973" i="10"/>
  <c r="P974" i="10"/>
  <c r="P975" i="10"/>
  <c r="P976" i="10"/>
  <c r="P977" i="10"/>
  <c r="P978" i="10"/>
  <c r="P979" i="10"/>
  <c r="P980" i="10"/>
  <c r="P981" i="10"/>
  <c r="P982" i="10"/>
  <c r="P983" i="10"/>
  <c r="P984" i="10"/>
  <c r="P985" i="10"/>
  <c r="P986" i="10"/>
  <c r="P987" i="10"/>
  <c r="P988" i="10"/>
  <c r="P989" i="10"/>
  <c r="P990" i="10"/>
  <c r="P991" i="10"/>
  <c r="P992" i="10"/>
  <c r="P993" i="10"/>
  <c r="P994" i="10"/>
  <c r="P947" i="10"/>
  <c r="P941" i="10"/>
  <c r="P942" i="10"/>
  <c r="P943" i="10"/>
  <c r="P944" i="10"/>
  <c r="P945" i="10"/>
  <c r="P946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875" i="10"/>
  <c r="K581" i="10"/>
  <c r="K580" i="10"/>
  <c r="K579" i="10"/>
  <c r="K578" i="10"/>
  <c r="K577" i="10"/>
  <c r="K576" i="10"/>
  <c r="K575" i="10"/>
  <c r="K574" i="10"/>
  <c r="K573" i="10"/>
  <c r="K572" i="10"/>
  <c r="K571" i="10"/>
  <c r="K570" i="10"/>
  <c r="K569" i="10"/>
  <c r="Q568" i="10"/>
  <c r="P568" i="10"/>
  <c r="Q567" i="10"/>
  <c r="P567" i="10"/>
  <c r="Q566" i="10"/>
  <c r="P566" i="10"/>
  <c r="Q565" i="10"/>
  <c r="P565" i="10"/>
  <c r="Q564" i="10"/>
  <c r="P564" i="10"/>
  <c r="Q563" i="10"/>
  <c r="P563" i="10"/>
  <c r="Q562" i="10"/>
  <c r="P562" i="10"/>
  <c r="Q561" i="10"/>
  <c r="P561" i="10"/>
  <c r="P560" i="10"/>
  <c r="Q560" i="10"/>
  <c r="K554" i="10"/>
  <c r="K553" i="10"/>
  <c r="K552" i="10"/>
  <c r="K551" i="10"/>
  <c r="P531" i="10"/>
  <c r="Q531" i="10"/>
  <c r="G520" i="10"/>
  <c r="G521" i="10"/>
  <c r="G522" i="10"/>
  <c r="G523" i="10"/>
  <c r="G524" i="10"/>
  <c r="G525" i="10"/>
  <c r="K506" i="10"/>
  <c r="K505" i="10"/>
  <c r="K504" i="10"/>
  <c r="K503" i="10"/>
  <c r="K502" i="10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49" i="10"/>
  <c r="K448" i="10"/>
  <c r="K447" i="10"/>
  <c r="K446" i="10"/>
  <c r="Q324" i="10"/>
  <c r="Q325" i="10"/>
  <c r="Q326" i="10"/>
  <c r="Q327" i="10"/>
  <c r="Q328" i="10"/>
  <c r="Q329" i="10"/>
  <c r="Q330" i="10"/>
  <c r="Q331" i="10"/>
  <c r="P323" i="10"/>
  <c r="P324" i="10"/>
  <c r="P325" i="10"/>
  <c r="P326" i="10"/>
  <c r="P327" i="10"/>
  <c r="P328" i="10"/>
  <c r="P329" i="10"/>
  <c r="P330" i="10"/>
  <c r="P331" i="10"/>
  <c r="P332" i="10"/>
  <c r="G445" i="10"/>
  <c r="K405" i="10"/>
  <c r="K406" i="10"/>
  <c r="K407" i="10"/>
  <c r="K408" i="10"/>
  <c r="K409" i="10"/>
  <c r="K410" i="10"/>
  <c r="K411" i="10"/>
  <c r="K412" i="10"/>
  <c r="K413" i="10"/>
  <c r="K414" i="10"/>
  <c r="K415" i="10"/>
  <c r="K416" i="10"/>
  <c r="K417" i="10"/>
  <c r="K418" i="10"/>
  <c r="K419" i="10"/>
  <c r="K420" i="10"/>
  <c r="K421" i="10"/>
  <c r="K422" i="10"/>
  <c r="K423" i="10"/>
  <c r="K424" i="10"/>
  <c r="K425" i="10"/>
  <c r="K426" i="10"/>
  <c r="K427" i="10"/>
  <c r="K428" i="10"/>
  <c r="K429" i="10"/>
  <c r="K404" i="10"/>
  <c r="P295" i="10"/>
  <c r="P296" i="10"/>
  <c r="P297" i="10"/>
  <c r="P298" i="10"/>
  <c r="P299" i="10"/>
  <c r="P300" i="10"/>
  <c r="P301" i="10"/>
  <c r="P302" i="10"/>
  <c r="P303" i="10"/>
  <c r="P304" i="10"/>
  <c r="P305" i="10"/>
  <c r="P306" i="10"/>
  <c r="P307" i="10"/>
  <c r="P308" i="10"/>
  <c r="P309" i="10"/>
  <c r="P310" i="10"/>
  <c r="P311" i="10"/>
  <c r="P312" i="10"/>
  <c r="P313" i="10"/>
  <c r="P314" i="10"/>
  <c r="P315" i="10"/>
  <c r="P316" i="10"/>
  <c r="P317" i="10"/>
  <c r="P318" i="10"/>
  <c r="G197" i="10"/>
  <c r="G198" i="10"/>
  <c r="G199" i="10"/>
  <c r="G200" i="10"/>
  <c r="P267" i="10"/>
  <c r="Q267" i="10"/>
  <c r="P268" i="10"/>
  <c r="Q268" i="10"/>
  <c r="P269" i="10"/>
  <c r="Q269" i="10"/>
  <c r="P270" i="10"/>
  <c r="Q270" i="10"/>
  <c r="P271" i="10"/>
  <c r="Q271" i="10"/>
  <c r="P272" i="10"/>
  <c r="Q272" i="10"/>
  <c r="P273" i="10"/>
  <c r="Q273" i="10"/>
  <c r="P274" i="10"/>
  <c r="Q274" i="10"/>
  <c r="P275" i="10"/>
  <c r="Q275" i="10"/>
  <c r="P276" i="10"/>
  <c r="Q276" i="10"/>
  <c r="P277" i="10"/>
  <c r="Q277" i="10"/>
  <c r="P278" i="10"/>
  <c r="Q278" i="10"/>
  <c r="P279" i="10"/>
  <c r="Q279" i="10"/>
  <c r="P280" i="10"/>
  <c r="Q280" i="10"/>
  <c r="P281" i="10"/>
  <c r="Q281" i="10"/>
  <c r="P282" i="10"/>
  <c r="Q282" i="10"/>
  <c r="P283" i="10"/>
  <c r="Q283" i="10"/>
  <c r="P284" i="10"/>
  <c r="Q284" i="10"/>
  <c r="P285" i="10"/>
  <c r="Q285" i="10"/>
  <c r="P286" i="10"/>
  <c r="Q286" i="10"/>
  <c r="P287" i="10"/>
  <c r="Q287" i="10"/>
  <c r="P288" i="10"/>
  <c r="Q288" i="10"/>
  <c r="P289" i="10"/>
  <c r="Q289" i="10"/>
  <c r="P290" i="10"/>
  <c r="Q290" i="10"/>
  <c r="P291" i="10"/>
  <c r="Q291" i="10"/>
  <c r="P292" i="10"/>
  <c r="Q292" i="10"/>
  <c r="P293" i="10"/>
  <c r="Q293" i="10"/>
  <c r="P294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P319" i="10"/>
  <c r="Q319" i="10"/>
  <c r="P320" i="10"/>
  <c r="Q320" i="10"/>
  <c r="P321" i="10"/>
  <c r="Q321" i="10"/>
  <c r="P322" i="10"/>
  <c r="Q322" i="10"/>
  <c r="Q323" i="10"/>
  <c r="Q332" i="10"/>
  <c r="P333" i="10"/>
  <c r="Q333" i="10"/>
  <c r="P334" i="10"/>
  <c r="Q334" i="10"/>
  <c r="P335" i="10"/>
  <c r="Q335" i="10"/>
  <c r="P336" i="10"/>
  <c r="Q336" i="10"/>
  <c r="P337" i="10"/>
  <c r="Q337" i="10"/>
  <c r="P338" i="10"/>
  <c r="Q338" i="10"/>
  <c r="P339" i="10"/>
  <c r="Q339" i="10"/>
  <c r="P340" i="10"/>
  <c r="Q340" i="10"/>
  <c r="P341" i="10"/>
  <c r="Q341" i="10"/>
  <c r="P342" i="10"/>
  <c r="Q342" i="10"/>
  <c r="P343" i="10"/>
  <c r="Q343" i="10"/>
  <c r="P344" i="10"/>
  <c r="Q344" i="10"/>
  <c r="P345" i="10"/>
  <c r="Q345" i="10"/>
  <c r="P346" i="10"/>
  <c r="Q346" i="10"/>
  <c r="P347" i="10"/>
  <c r="Q347" i="10"/>
  <c r="P348" i="10"/>
  <c r="Q348" i="10"/>
  <c r="P349" i="10"/>
  <c r="Q349" i="10"/>
  <c r="P350" i="10"/>
  <c r="Q350" i="10"/>
  <c r="P351" i="10"/>
  <c r="Q351" i="10"/>
  <c r="P352" i="10"/>
  <c r="Q352" i="10"/>
  <c r="P353" i="10"/>
  <c r="Q353" i="10"/>
  <c r="P354" i="10"/>
  <c r="Q354" i="10"/>
  <c r="P355" i="10"/>
  <c r="Q355" i="10"/>
  <c r="P356" i="10"/>
  <c r="Q356" i="10"/>
  <c r="P357" i="10"/>
  <c r="Q357" i="10"/>
  <c r="P358" i="10"/>
  <c r="Q358" i="10"/>
  <c r="P359" i="10"/>
  <c r="Q359" i="10"/>
  <c r="P360" i="10"/>
  <c r="Q360" i="10"/>
  <c r="P361" i="10"/>
  <c r="Q361" i="10"/>
  <c r="P362" i="10"/>
  <c r="Q362" i="10"/>
  <c r="P363" i="10"/>
  <c r="Q363" i="10"/>
  <c r="P364" i="10"/>
  <c r="Q364" i="10"/>
  <c r="P365" i="10"/>
  <c r="Q365" i="10"/>
  <c r="P366" i="10"/>
  <c r="Q366" i="10"/>
  <c r="P367" i="10"/>
  <c r="Q367" i="10"/>
  <c r="P368" i="10"/>
  <c r="Q368" i="10"/>
  <c r="P369" i="10"/>
  <c r="Q369" i="10"/>
  <c r="P370" i="10"/>
  <c r="Q370" i="10"/>
  <c r="P371" i="10"/>
  <c r="Q371" i="10"/>
  <c r="P372" i="10"/>
  <c r="Q372" i="10"/>
  <c r="P373" i="10"/>
  <c r="Q373" i="10"/>
  <c r="P374" i="10"/>
  <c r="Q374" i="10"/>
  <c r="P375" i="10"/>
  <c r="Q375" i="10"/>
  <c r="P376" i="10"/>
  <c r="Q376" i="10"/>
  <c r="P377" i="10"/>
  <c r="Q377" i="10"/>
  <c r="P378" i="10"/>
  <c r="Q378" i="10"/>
  <c r="P379" i="10"/>
  <c r="Q379" i="10"/>
  <c r="P380" i="10"/>
  <c r="Q380" i="10"/>
  <c r="P381" i="10"/>
  <c r="Q381" i="10"/>
  <c r="P382" i="10"/>
  <c r="Q382" i="10"/>
  <c r="P383" i="10"/>
  <c r="Q383" i="10"/>
  <c r="P384" i="10"/>
  <c r="Q384" i="10"/>
  <c r="P385" i="10"/>
  <c r="Q385" i="10"/>
  <c r="P386" i="10"/>
  <c r="Q386" i="10"/>
  <c r="P387" i="10"/>
  <c r="Q387" i="10"/>
  <c r="P388" i="10"/>
  <c r="Q388" i="10"/>
  <c r="P389" i="10"/>
  <c r="Q389" i="10"/>
  <c r="P390" i="10"/>
  <c r="Q390" i="10"/>
  <c r="P391" i="10"/>
  <c r="Q391" i="10"/>
  <c r="P392" i="10"/>
  <c r="Q392" i="10"/>
  <c r="P393" i="10"/>
  <c r="Q393" i="10"/>
  <c r="P394" i="10"/>
  <c r="Q394" i="10"/>
  <c r="P395" i="10"/>
  <c r="Q395" i="10"/>
  <c r="P396" i="10"/>
  <c r="Q396" i="10"/>
  <c r="P397" i="10"/>
  <c r="Q397" i="10"/>
  <c r="P398" i="10"/>
  <c r="Q398" i="10"/>
  <c r="P399" i="10"/>
  <c r="Q399" i="10"/>
  <c r="P400" i="10"/>
  <c r="Q400" i="10"/>
  <c r="P401" i="10"/>
  <c r="Q401" i="10"/>
  <c r="P402" i="10"/>
  <c r="Q402" i="10"/>
  <c r="P403" i="10"/>
  <c r="Q403" i="10"/>
  <c r="P404" i="10"/>
  <c r="Q404" i="10"/>
  <c r="P405" i="10"/>
  <c r="Q405" i="10"/>
  <c r="P406" i="10"/>
  <c r="Q406" i="10"/>
  <c r="P407" i="10"/>
  <c r="Q407" i="10"/>
  <c r="P408" i="10"/>
  <c r="Q408" i="10"/>
  <c r="P409" i="10"/>
  <c r="Q409" i="10"/>
  <c r="P410" i="10"/>
  <c r="Q410" i="10"/>
  <c r="P411" i="10"/>
  <c r="Q411" i="10"/>
  <c r="P412" i="10"/>
  <c r="Q412" i="10"/>
  <c r="P413" i="10"/>
  <c r="Q413" i="10"/>
  <c r="P414" i="10"/>
  <c r="Q414" i="10"/>
  <c r="P415" i="10"/>
  <c r="Q415" i="10"/>
  <c r="P416" i="10"/>
  <c r="Q416" i="10"/>
  <c r="P417" i="10"/>
  <c r="Q417" i="10"/>
  <c r="P418" i="10"/>
  <c r="Q418" i="10"/>
  <c r="P419" i="10"/>
  <c r="Q419" i="10"/>
  <c r="P420" i="10"/>
  <c r="Q420" i="10"/>
  <c r="P421" i="10"/>
  <c r="Q421" i="10"/>
  <c r="P422" i="10"/>
  <c r="Q422" i="10"/>
  <c r="P423" i="10"/>
  <c r="Q423" i="10"/>
  <c r="P424" i="10"/>
  <c r="Q424" i="10"/>
  <c r="P425" i="10"/>
  <c r="Q425" i="10"/>
  <c r="P426" i="10"/>
  <c r="Q426" i="10"/>
  <c r="P427" i="10"/>
  <c r="Q427" i="10"/>
  <c r="P428" i="10"/>
  <c r="Q428" i="10"/>
  <c r="P429" i="10"/>
  <c r="Q429" i="10"/>
  <c r="P430" i="10"/>
  <c r="Q430" i="10"/>
  <c r="P431" i="10"/>
  <c r="Q431" i="10"/>
  <c r="P432" i="10"/>
  <c r="Q432" i="10"/>
  <c r="P433" i="10"/>
  <c r="Q433" i="10"/>
  <c r="P434" i="10"/>
  <c r="Q434" i="10"/>
  <c r="P435" i="10"/>
  <c r="Q435" i="10"/>
  <c r="P436" i="10"/>
  <c r="Q436" i="10"/>
  <c r="P437" i="10"/>
  <c r="Q437" i="10"/>
  <c r="P438" i="10"/>
  <c r="Q438" i="10"/>
  <c r="P439" i="10"/>
  <c r="Q439" i="10"/>
  <c r="P440" i="10"/>
  <c r="Q440" i="10"/>
  <c r="P441" i="10"/>
  <c r="Q441" i="10"/>
  <c r="P442" i="10"/>
  <c r="Q442" i="10"/>
  <c r="P443" i="10"/>
  <c r="Q443" i="10"/>
  <c r="P444" i="10"/>
  <c r="Q444" i="10"/>
  <c r="P445" i="10"/>
  <c r="Q445" i="10"/>
  <c r="P446" i="10"/>
  <c r="Q446" i="10"/>
  <c r="P447" i="10"/>
  <c r="Q447" i="10"/>
  <c r="P448" i="10"/>
  <c r="Q448" i="10"/>
  <c r="P449" i="10"/>
  <c r="Q449" i="10"/>
  <c r="P450" i="10"/>
  <c r="Q450" i="10"/>
  <c r="P451" i="10"/>
  <c r="Q451" i="10"/>
  <c r="P452" i="10"/>
  <c r="Q452" i="10"/>
  <c r="P453" i="10"/>
  <c r="Q453" i="10"/>
  <c r="P454" i="10"/>
  <c r="Q454" i="10"/>
  <c r="P455" i="10"/>
  <c r="Q455" i="10"/>
  <c r="P456" i="10"/>
  <c r="Q456" i="10"/>
  <c r="P457" i="10"/>
  <c r="Q457" i="10"/>
  <c r="P458" i="10"/>
  <c r="Q458" i="10"/>
  <c r="P459" i="10"/>
  <c r="Q459" i="10"/>
  <c r="P460" i="10"/>
  <c r="Q460" i="10"/>
  <c r="P461" i="10"/>
  <c r="Q461" i="10"/>
  <c r="P462" i="10"/>
  <c r="Q462" i="10"/>
  <c r="P463" i="10"/>
  <c r="Q463" i="10"/>
  <c r="P464" i="10"/>
  <c r="Q464" i="10"/>
  <c r="P465" i="10"/>
  <c r="Q465" i="10"/>
  <c r="P466" i="10"/>
  <c r="Q466" i="10"/>
  <c r="P467" i="10"/>
  <c r="Q467" i="10"/>
  <c r="P468" i="10"/>
  <c r="Q468" i="10"/>
  <c r="P469" i="10"/>
  <c r="Q469" i="10"/>
  <c r="P470" i="10"/>
  <c r="Q470" i="10"/>
  <c r="P471" i="10"/>
  <c r="Q471" i="10"/>
  <c r="P472" i="10"/>
  <c r="Q472" i="10"/>
  <c r="P473" i="10"/>
  <c r="Q473" i="10"/>
  <c r="P474" i="10"/>
  <c r="Q474" i="10"/>
  <c r="P475" i="10"/>
  <c r="Q475" i="10"/>
  <c r="P476" i="10"/>
  <c r="Q476" i="10"/>
  <c r="P477" i="10"/>
  <c r="Q477" i="10"/>
  <c r="P478" i="10"/>
  <c r="Q478" i="10"/>
  <c r="P479" i="10"/>
  <c r="Q479" i="10"/>
  <c r="P480" i="10"/>
  <c r="Q480" i="10"/>
  <c r="P481" i="10"/>
  <c r="Q481" i="10"/>
  <c r="P482" i="10"/>
  <c r="Q482" i="10"/>
  <c r="P483" i="10"/>
  <c r="Q483" i="10"/>
  <c r="P484" i="10"/>
  <c r="Q484" i="10"/>
  <c r="P485" i="10"/>
  <c r="Q485" i="10"/>
  <c r="P486" i="10"/>
  <c r="Q486" i="10"/>
  <c r="P487" i="10"/>
  <c r="Q487" i="10"/>
  <c r="P488" i="10"/>
  <c r="Q488" i="10"/>
  <c r="P489" i="10"/>
  <c r="Q489" i="10"/>
  <c r="P490" i="10"/>
  <c r="Q490" i="10"/>
  <c r="P491" i="10"/>
  <c r="Q491" i="10"/>
  <c r="P492" i="10"/>
  <c r="Q492" i="10"/>
  <c r="P493" i="10"/>
  <c r="Q493" i="10"/>
  <c r="P494" i="10"/>
  <c r="Q494" i="10"/>
  <c r="P495" i="10"/>
  <c r="Q495" i="10"/>
  <c r="P496" i="10"/>
  <c r="Q496" i="10"/>
  <c r="P497" i="10"/>
  <c r="Q497" i="10"/>
  <c r="P498" i="10"/>
  <c r="Q498" i="10"/>
  <c r="P499" i="10"/>
  <c r="Q499" i="10"/>
  <c r="P500" i="10"/>
  <c r="Q500" i="10"/>
  <c r="P501" i="10"/>
  <c r="Q501" i="10"/>
  <c r="P502" i="10"/>
  <c r="Q502" i="10"/>
  <c r="P503" i="10"/>
  <c r="Q503" i="10"/>
  <c r="P504" i="10"/>
  <c r="Q504" i="10"/>
  <c r="P505" i="10"/>
  <c r="Q505" i="10"/>
  <c r="P506" i="10"/>
  <c r="Q506" i="10"/>
  <c r="P507" i="10"/>
  <c r="Q507" i="10"/>
  <c r="P508" i="10"/>
  <c r="Q508" i="10"/>
  <c r="P509" i="10"/>
  <c r="Q509" i="10"/>
  <c r="P510" i="10"/>
  <c r="Q510" i="10"/>
  <c r="P511" i="10"/>
  <c r="Q511" i="10"/>
  <c r="P512" i="10"/>
  <c r="Q512" i="10"/>
  <c r="P513" i="10"/>
  <c r="Q513" i="10"/>
  <c r="P514" i="10"/>
  <c r="Q514" i="10"/>
  <c r="P515" i="10"/>
  <c r="Q515" i="10"/>
  <c r="P516" i="10"/>
  <c r="Q516" i="10"/>
  <c r="P517" i="10"/>
  <c r="Q517" i="10"/>
  <c r="P518" i="10"/>
  <c r="Q518" i="10"/>
  <c r="P519" i="10"/>
  <c r="Q519" i="10"/>
  <c r="P520" i="10"/>
  <c r="Q520" i="10"/>
  <c r="P521" i="10"/>
  <c r="Q521" i="10"/>
  <c r="P522" i="10"/>
  <c r="Q522" i="10"/>
  <c r="P523" i="10"/>
  <c r="Q523" i="10"/>
  <c r="P524" i="10"/>
  <c r="Q524" i="10"/>
  <c r="P525" i="10"/>
  <c r="Q525" i="10"/>
  <c r="P526" i="10"/>
  <c r="Q526" i="10"/>
  <c r="P527" i="10"/>
  <c r="Q527" i="10"/>
  <c r="P528" i="10"/>
  <c r="Q528" i="10"/>
  <c r="P529" i="10"/>
  <c r="Q529" i="10"/>
  <c r="P530" i="10"/>
  <c r="Q530" i="10"/>
  <c r="P532" i="10"/>
  <c r="Q532" i="10"/>
  <c r="P533" i="10"/>
  <c r="Q533" i="10"/>
  <c r="P534" i="10"/>
  <c r="Q534" i="10"/>
  <c r="P535" i="10"/>
  <c r="Q535" i="10"/>
  <c r="P536" i="10"/>
  <c r="Q536" i="10"/>
  <c r="P537" i="10"/>
  <c r="Q537" i="10"/>
  <c r="P538" i="10"/>
  <c r="Q538" i="10"/>
  <c r="P539" i="10"/>
  <c r="Q539" i="10"/>
  <c r="P540" i="10"/>
  <c r="Q540" i="10"/>
  <c r="P541" i="10"/>
  <c r="Q541" i="10"/>
  <c r="P542" i="10"/>
  <c r="Q542" i="10"/>
  <c r="P543" i="10"/>
  <c r="Q543" i="10"/>
  <c r="P544" i="10"/>
  <c r="Q544" i="10"/>
  <c r="P545" i="10"/>
  <c r="Q545" i="10"/>
  <c r="P546" i="10"/>
  <c r="Q546" i="10"/>
  <c r="P547" i="10"/>
  <c r="Q547" i="10"/>
  <c r="P548" i="10"/>
  <c r="Q548" i="10"/>
  <c r="P549" i="10"/>
  <c r="Q549" i="10"/>
  <c r="P550" i="10"/>
  <c r="Q550" i="10"/>
  <c r="P551" i="10"/>
  <c r="Q551" i="10"/>
  <c r="P552" i="10"/>
  <c r="Q552" i="10"/>
  <c r="P553" i="10"/>
  <c r="Q553" i="10"/>
  <c r="P554" i="10"/>
  <c r="Q554" i="10"/>
  <c r="P555" i="10"/>
  <c r="Q555" i="10"/>
  <c r="P556" i="10"/>
  <c r="Q556" i="10"/>
  <c r="P557" i="10"/>
  <c r="Q557" i="10"/>
  <c r="P558" i="10"/>
  <c r="Q558" i="10"/>
  <c r="P559" i="10"/>
  <c r="Q559" i="10"/>
  <c r="P569" i="10"/>
  <c r="Q569" i="10"/>
  <c r="P570" i="10"/>
  <c r="Q570" i="10"/>
  <c r="P571" i="10"/>
  <c r="Q571" i="10"/>
  <c r="P572" i="10"/>
  <c r="Q572" i="10"/>
  <c r="P573" i="10"/>
  <c r="Q573" i="10"/>
  <c r="P574" i="10"/>
  <c r="Q574" i="10"/>
  <c r="P575" i="10"/>
  <c r="Q575" i="10"/>
  <c r="P576" i="10"/>
  <c r="Q576" i="10"/>
  <c r="P577" i="10"/>
  <c r="Q577" i="10"/>
  <c r="P578" i="10"/>
  <c r="Q578" i="10"/>
  <c r="P579" i="10"/>
  <c r="Q579" i="10"/>
  <c r="P580" i="10"/>
  <c r="Q580" i="10"/>
  <c r="P581" i="10"/>
  <c r="Q581" i="10"/>
  <c r="P582" i="10"/>
  <c r="Q582" i="10"/>
  <c r="P583" i="10"/>
  <c r="Q583" i="10"/>
  <c r="P584" i="10"/>
  <c r="Q584" i="10"/>
  <c r="P585" i="10"/>
  <c r="Q585" i="10"/>
  <c r="P586" i="10"/>
  <c r="Q586" i="10"/>
  <c r="P587" i="10"/>
  <c r="Q587" i="10"/>
  <c r="P588" i="10"/>
  <c r="Q588" i="10"/>
  <c r="P589" i="10"/>
  <c r="Q589" i="10"/>
  <c r="P590" i="10"/>
  <c r="Q590" i="10"/>
  <c r="P591" i="10"/>
  <c r="Q591" i="10"/>
  <c r="P592" i="10"/>
  <c r="Q592" i="10"/>
  <c r="P593" i="10"/>
  <c r="Q593" i="10"/>
  <c r="P594" i="10"/>
  <c r="Q594" i="10"/>
  <c r="P595" i="10"/>
  <c r="Q595" i="10"/>
  <c r="P596" i="10"/>
  <c r="Q596" i="10"/>
  <c r="P597" i="10"/>
  <c r="Q597" i="10"/>
  <c r="P598" i="10"/>
  <c r="Q598" i="10"/>
  <c r="P599" i="10"/>
  <c r="Q599" i="10"/>
  <c r="P600" i="10"/>
  <c r="Q600" i="10"/>
  <c r="P601" i="10"/>
  <c r="Q601" i="10"/>
  <c r="P602" i="10"/>
  <c r="Q602" i="10"/>
  <c r="P603" i="10"/>
  <c r="Q603" i="10"/>
  <c r="P604" i="10"/>
  <c r="Q604" i="10"/>
  <c r="P605" i="10"/>
  <c r="Q605" i="10"/>
  <c r="P606" i="10"/>
  <c r="Q606" i="10"/>
  <c r="P607" i="10"/>
  <c r="Q607" i="10"/>
  <c r="P608" i="10"/>
  <c r="Q608" i="10"/>
  <c r="P609" i="10"/>
  <c r="Q609" i="10"/>
  <c r="P610" i="10"/>
  <c r="Q610" i="10"/>
  <c r="P611" i="10"/>
  <c r="Q611" i="10"/>
  <c r="P612" i="10"/>
  <c r="Q612" i="10"/>
  <c r="P613" i="10"/>
  <c r="Q613" i="10"/>
  <c r="P614" i="10"/>
  <c r="Q614" i="10"/>
  <c r="P615" i="10"/>
  <c r="Q615" i="10"/>
  <c r="P616" i="10"/>
  <c r="Q616" i="10"/>
  <c r="P617" i="10"/>
  <c r="Q617" i="10"/>
  <c r="P618" i="10"/>
  <c r="Q618" i="10"/>
  <c r="P619" i="10"/>
  <c r="Q619" i="10"/>
  <c r="P620" i="10"/>
  <c r="Q620" i="10"/>
  <c r="P621" i="10"/>
  <c r="Q621" i="10"/>
  <c r="P622" i="10"/>
  <c r="Q622" i="10"/>
  <c r="P623" i="10"/>
  <c r="Q623" i="10"/>
  <c r="P624" i="10"/>
  <c r="Q624" i="10"/>
  <c r="P625" i="10"/>
  <c r="Q625" i="10"/>
  <c r="P626" i="10"/>
  <c r="Q626" i="10"/>
  <c r="P627" i="10"/>
  <c r="Q627" i="10"/>
  <c r="P628" i="10"/>
  <c r="Q628" i="10"/>
  <c r="P629" i="10"/>
  <c r="Q629" i="10"/>
  <c r="P630" i="10"/>
  <c r="Q630" i="10"/>
  <c r="P631" i="10"/>
  <c r="Q631" i="10"/>
  <c r="P632" i="10"/>
  <c r="Q632" i="10"/>
  <c r="P633" i="10"/>
  <c r="Q633" i="10"/>
  <c r="P634" i="10"/>
  <c r="Q634" i="10"/>
  <c r="P635" i="10"/>
  <c r="Q635" i="10"/>
  <c r="P636" i="10"/>
  <c r="Q636" i="10"/>
  <c r="P637" i="10"/>
  <c r="Q637" i="10"/>
  <c r="P638" i="10"/>
  <c r="Q638" i="10"/>
  <c r="P639" i="10"/>
  <c r="Q639" i="10"/>
  <c r="P640" i="10"/>
  <c r="Q640" i="10"/>
  <c r="P641" i="10"/>
  <c r="Q641" i="10"/>
  <c r="P642" i="10"/>
  <c r="Q642" i="10"/>
  <c r="P643" i="10"/>
  <c r="Q643" i="10"/>
  <c r="P644" i="10"/>
  <c r="Q644" i="10"/>
  <c r="P645" i="10"/>
  <c r="Q645" i="10"/>
  <c r="P646" i="10"/>
  <c r="Q646" i="10"/>
  <c r="P647" i="10"/>
  <c r="Q647" i="10"/>
  <c r="P648" i="10"/>
  <c r="Q648" i="10"/>
  <c r="P649" i="10"/>
  <c r="Q649" i="10"/>
  <c r="P650" i="10"/>
  <c r="Q650" i="10"/>
  <c r="P651" i="10"/>
  <c r="Q651" i="10"/>
  <c r="P652" i="10"/>
  <c r="Q652" i="10"/>
  <c r="P653" i="10"/>
  <c r="Q653" i="10"/>
  <c r="P654" i="10"/>
  <c r="Q654" i="10"/>
  <c r="P655" i="10"/>
  <c r="Q655" i="10"/>
  <c r="P656" i="10"/>
  <c r="Q656" i="10"/>
  <c r="P657" i="10"/>
  <c r="Q657" i="10"/>
  <c r="P658" i="10"/>
  <c r="Q658" i="10"/>
  <c r="P659" i="10"/>
  <c r="Q659" i="10"/>
  <c r="P660" i="10"/>
  <c r="Q660" i="10"/>
  <c r="P661" i="10"/>
  <c r="Q661" i="10"/>
  <c r="P662" i="10"/>
  <c r="Q662" i="10"/>
  <c r="P663" i="10"/>
  <c r="Q663" i="10"/>
  <c r="P664" i="10"/>
  <c r="Q664" i="10"/>
  <c r="P665" i="10"/>
  <c r="Q665" i="10"/>
  <c r="P666" i="10"/>
  <c r="Q666" i="10"/>
  <c r="P667" i="10"/>
  <c r="Q667" i="10"/>
  <c r="P668" i="10"/>
  <c r="Q668" i="10"/>
  <c r="P669" i="10"/>
  <c r="Q669" i="10"/>
  <c r="P670" i="10"/>
  <c r="Q670" i="10"/>
  <c r="P671" i="10"/>
  <c r="Q671" i="10"/>
  <c r="P672" i="10"/>
  <c r="Q672" i="10"/>
  <c r="P673" i="10"/>
  <c r="Q673" i="10"/>
  <c r="P674" i="10"/>
  <c r="Q674" i="10"/>
  <c r="P675" i="10"/>
  <c r="Q675" i="10"/>
  <c r="P676" i="10"/>
  <c r="Q676" i="10"/>
  <c r="P677" i="10"/>
  <c r="Q677" i="10"/>
  <c r="P678" i="10"/>
  <c r="Q678" i="10"/>
  <c r="P679" i="10"/>
  <c r="Q679" i="10"/>
  <c r="P680" i="10"/>
  <c r="Q680" i="10"/>
  <c r="P681" i="10"/>
  <c r="Q681" i="10"/>
  <c r="P682" i="10"/>
  <c r="Q682" i="10"/>
  <c r="P683" i="10"/>
  <c r="Q683" i="10"/>
  <c r="P684" i="10"/>
  <c r="Q684" i="10"/>
  <c r="P685" i="10"/>
  <c r="Q685" i="10"/>
  <c r="P686" i="10"/>
  <c r="Q686" i="10"/>
  <c r="P687" i="10"/>
  <c r="Q687" i="10"/>
  <c r="P688" i="10"/>
  <c r="Q688" i="10"/>
  <c r="P689" i="10"/>
  <c r="Q689" i="10"/>
  <c r="P690" i="10"/>
  <c r="Q690" i="10"/>
  <c r="P691" i="10"/>
  <c r="Q691" i="10"/>
  <c r="P692" i="10"/>
  <c r="Q692" i="10"/>
  <c r="P693" i="10"/>
  <c r="Q693" i="10"/>
  <c r="P694" i="10"/>
  <c r="Q694" i="10"/>
  <c r="P695" i="10"/>
  <c r="Q695" i="10"/>
  <c r="P696" i="10"/>
  <c r="Q696" i="10"/>
  <c r="P697" i="10"/>
  <c r="Q697" i="10"/>
  <c r="P698" i="10"/>
  <c r="Q698" i="10"/>
  <c r="P699" i="10"/>
  <c r="Q699" i="10"/>
  <c r="P700" i="10"/>
  <c r="Q700" i="10"/>
  <c r="P701" i="10"/>
  <c r="Q701" i="10"/>
  <c r="P702" i="10"/>
  <c r="Q702" i="10"/>
  <c r="P703" i="10"/>
  <c r="Q703" i="10"/>
  <c r="P704" i="10"/>
  <c r="Q704" i="10"/>
  <c r="P705" i="10"/>
  <c r="Q705" i="10"/>
  <c r="P706" i="10"/>
  <c r="Q706" i="10"/>
  <c r="P707" i="10"/>
  <c r="Q707" i="10"/>
  <c r="P708" i="10"/>
  <c r="Q708" i="10"/>
  <c r="P709" i="10"/>
  <c r="Q709" i="10"/>
  <c r="P710" i="10"/>
  <c r="Q710" i="10"/>
  <c r="P711" i="10"/>
  <c r="Q711" i="10"/>
  <c r="P712" i="10"/>
  <c r="Q712" i="10"/>
  <c r="P713" i="10"/>
  <c r="Q713" i="10"/>
  <c r="P714" i="10"/>
  <c r="Q714" i="10"/>
  <c r="P715" i="10"/>
  <c r="Q715" i="10"/>
  <c r="P716" i="10"/>
  <c r="Q716" i="10"/>
  <c r="P717" i="10"/>
  <c r="Q717" i="10"/>
  <c r="P718" i="10"/>
  <c r="Q718" i="10"/>
  <c r="P719" i="10"/>
  <c r="Q719" i="10"/>
  <c r="P720" i="10"/>
  <c r="Q720" i="10"/>
  <c r="P721" i="10"/>
  <c r="Q721" i="10"/>
  <c r="P722" i="10"/>
  <c r="Q722" i="10"/>
  <c r="P723" i="10"/>
  <c r="Q723" i="10"/>
  <c r="P724" i="10"/>
  <c r="Q724" i="10"/>
  <c r="P725" i="10"/>
  <c r="Q725" i="10"/>
  <c r="P726" i="10"/>
  <c r="Q726" i="10"/>
  <c r="P727" i="10"/>
  <c r="Q727" i="10"/>
  <c r="P728" i="10"/>
  <c r="Q728" i="10"/>
  <c r="P729" i="10"/>
  <c r="Q729" i="10"/>
  <c r="P730" i="10"/>
  <c r="Q730" i="10"/>
  <c r="P731" i="10"/>
  <c r="Q731" i="10"/>
  <c r="P732" i="10"/>
  <c r="Q732" i="10"/>
  <c r="P733" i="10"/>
  <c r="Q733" i="10"/>
  <c r="P734" i="10"/>
  <c r="Q734" i="10"/>
  <c r="P735" i="10"/>
  <c r="Q735" i="10"/>
  <c r="P736" i="10"/>
  <c r="Q736" i="10"/>
  <c r="P737" i="10"/>
  <c r="Q737" i="10"/>
  <c r="P738" i="10"/>
  <c r="Q738" i="10"/>
  <c r="P739" i="10"/>
  <c r="Q739" i="10"/>
  <c r="P740" i="10"/>
  <c r="Q740" i="10"/>
  <c r="P741" i="10"/>
  <c r="Q741" i="10"/>
  <c r="P742" i="10"/>
  <c r="Q742" i="10"/>
  <c r="P743" i="10"/>
  <c r="Q743" i="10"/>
  <c r="P744" i="10"/>
  <c r="Q744" i="10"/>
  <c r="P745" i="10"/>
  <c r="Q745" i="10"/>
  <c r="P746" i="10"/>
  <c r="Q746" i="10"/>
  <c r="P747" i="10"/>
  <c r="Q747" i="10"/>
  <c r="P748" i="10"/>
  <c r="Q748" i="10"/>
  <c r="P749" i="10"/>
  <c r="Q749" i="10"/>
  <c r="P750" i="10"/>
  <c r="Q750" i="10"/>
  <c r="P751" i="10"/>
  <c r="Q751" i="10"/>
  <c r="P752" i="10"/>
  <c r="Q752" i="10"/>
  <c r="P753" i="10"/>
  <c r="Q753" i="10"/>
  <c r="P754" i="10"/>
  <c r="Q754" i="10"/>
  <c r="P755" i="10"/>
  <c r="Q755" i="10"/>
  <c r="P756" i="10"/>
  <c r="Q756" i="10"/>
  <c r="P757" i="10"/>
  <c r="Q757" i="10"/>
  <c r="P758" i="10"/>
  <c r="Q758" i="10"/>
  <c r="P759" i="10"/>
  <c r="Q759" i="10"/>
  <c r="P760" i="10"/>
  <c r="Q760" i="10"/>
  <c r="P761" i="10"/>
  <c r="Q761" i="10"/>
  <c r="P762" i="10"/>
  <c r="Q762" i="10"/>
  <c r="P763" i="10"/>
  <c r="Q763" i="10"/>
  <c r="P764" i="10"/>
  <c r="Q764" i="10"/>
  <c r="P765" i="10"/>
  <c r="Q765" i="10"/>
  <c r="P766" i="10"/>
  <c r="Q766" i="10"/>
  <c r="P767" i="10"/>
  <c r="Q767" i="10"/>
  <c r="P768" i="10"/>
  <c r="Q768" i="10"/>
  <c r="P769" i="10"/>
  <c r="Q769" i="10"/>
  <c r="P770" i="10"/>
  <c r="Q770" i="10"/>
  <c r="P771" i="10"/>
  <c r="Q771" i="10"/>
  <c r="P772" i="10"/>
  <c r="Q772" i="10"/>
  <c r="P773" i="10"/>
  <c r="Q773" i="10"/>
  <c r="P774" i="10"/>
  <c r="Q774" i="10"/>
  <c r="P775" i="10"/>
  <c r="Q775" i="10"/>
  <c r="P776" i="10"/>
  <c r="Q776" i="10"/>
  <c r="P777" i="10"/>
  <c r="Q777" i="10"/>
  <c r="P778" i="10"/>
  <c r="Q778" i="10"/>
  <c r="P779" i="10"/>
  <c r="Q779" i="10"/>
  <c r="P780" i="10"/>
  <c r="Q780" i="10"/>
  <c r="P781" i="10"/>
  <c r="Q781" i="10"/>
  <c r="P782" i="10"/>
  <c r="Q782" i="10"/>
  <c r="P783" i="10"/>
  <c r="Q783" i="10"/>
  <c r="P784" i="10"/>
  <c r="Q784" i="10"/>
  <c r="P785" i="10"/>
  <c r="Q785" i="10"/>
  <c r="P786" i="10"/>
  <c r="Q786" i="10"/>
  <c r="P787" i="10"/>
  <c r="Q787" i="10"/>
  <c r="P788" i="10"/>
  <c r="Q788" i="10"/>
  <c r="P789" i="10"/>
  <c r="Q789" i="10"/>
  <c r="P790" i="10"/>
  <c r="Q790" i="10"/>
  <c r="P791" i="10"/>
  <c r="Q791" i="10"/>
  <c r="P792" i="10"/>
  <c r="Q792" i="10"/>
  <c r="P793" i="10"/>
  <c r="Q793" i="10"/>
  <c r="P794" i="10"/>
  <c r="Q794" i="10"/>
  <c r="P795" i="10"/>
  <c r="Q795" i="10"/>
  <c r="P796" i="10"/>
  <c r="Q796" i="10"/>
  <c r="P797" i="10"/>
  <c r="Q797" i="10"/>
  <c r="P798" i="10"/>
  <c r="Q798" i="10"/>
  <c r="P799" i="10"/>
  <c r="Q799" i="10"/>
  <c r="P800" i="10"/>
  <c r="Q800" i="10"/>
  <c r="P801" i="10"/>
  <c r="Q801" i="10"/>
  <c r="P802" i="10"/>
  <c r="Q802" i="10"/>
  <c r="P803" i="10"/>
  <c r="Q803" i="10"/>
  <c r="P804" i="10"/>
  <c r="Q804" i="10"/>
  <c r="P805" i="10"/>
  <c r="Q805" i="10"/>
  <c r="P806" i="10"/>
  <c r="Q806" i="10"/>
  <c r="P807" i="10"/>
  <c r="Q807" i="10"/>
  <c r="P808" i="10"/>
  <c r="Q808" i="10"/>
  <c r="P809" i="10"/>
  <c r="Q809" i="10"/>
  <c r="P810" i="10"/>
  <c r="Q810" i="10"/>
  <c r="P811" i="10"/>
  <c r="Q811" i="10"/>
  <c r="P812" i="10"/>
  <c r="Q812" i="10"/>
  <c r="P813" i="10"/>
  <c r="Q813" i="10"/>
  <c r="P814" i="10"/>
  <c r="Q814" i="10"/>
  <c r="P815" i="10"/>
  <c r="Q815" i="10"/>
  <c r="P816" i="10"/>
  <c r="Q816" i="10"/>
  <c r="P817" i="10"/>
  <c r="Q817" i="10"/>
  <c r="P818" i="10"/>
  <c r="Q818" i="10"/>
  <c r="P819" i="10"/>
  <c r="Q819" i="10"/>
  <c r="P820" i="10"/>
  <c r="Q820" i="10"/>
  <c r="P821" i="10"/>
  <c r="Q821" i="10"/>
  <c r="P822" i="10"/>
  <c r="Q822" i="10"/>
  <c r="P823" i="10"/>
  <c r="Q823" i="10"/>
  <c r="P824" i="10"/>
  <c r="Q824" i="10"/>
  <c r="P825" i="10"/>
  <c r="Q825" i="10"/>
  <c r="P826" i="10"/>
  <c r="Q826" i="10"/>
  <c r="P827" i="10"/>
  <c r="Q827" i="10"/>
  <c r="P828" i="10"/>
  <c r="Q828" i="10"/>
  <c r="P829" i="10"/>
  <c r="Q829" i="10"/>
  <c r="P830" i="10"/>
  <c r="Q830" i="10"/>
  <c r="P831" i="10"/>
  <c r="Q831" i="10"/>
  <c r="P832" i="10"/>
  <c r="Q832" i="10"/>
  <c r="P833" i="10"/>
  <c r="Q833" i="10"/>
  <c r="P834" i="10"/>
  <c r="Q834" i="10"/>
  <c r="P835" i="10"/>
  <c r="Q835" i="10"/>
  <c r="P836" i="10"/>
  <c r="Q836" i="10"/>
  <c r="P837" i="10"/>
  <c r="Q837" i="10"/>
  <c r="P838" i="10"/>
  <c r="Q838" i="10"/>
  <c r="P839" i="10"/>
  <c r="Q839" i="10"/>
  <c r="P840" i="10"/>
  <c r="Q840" i="10"/>
  <c r="P841" i="10"/>
  <c r="Q841" i="10"/>
  <c r="P842" i="10"/>
  <c r="Q842" i="10"/>
  <c r="P843" i="10"/>
  <c r="Q843" i="10"/>
  <c r="P844" i="10"/>
  <c r="Q844" i="10"/>
  <c r="P845" i="10"/>
  <c r="Q845" i="10"/>
  <c r="P846" i="10"/>
  <c r="Q846" i="10"/>
  <c r="P847" i="10"/>
  <c r="Q847" i="10"/>
  <c r="P848" i="10"/>
  <c r="Q848" i="10"/>
  <c r="P849" i="10"/>
  <c r="Q849" i="10"/>
  <c r="P850" i="10"/>
  <c r="Q850" i="10"/>
  <c r="P851" i="10"/>
  <c r="Q851" i="10"/>
  <c r="P852" i="10"/>
  <c r="Q852" i="10"/>
  <c r="P853" i="10"/>
  <c r="Q853" i="10"/>
  <c r="P854" i="10"/>
  <c r="Q854" i="10"/>
  <c r="P855" i="10"/>
  <c r="Q855" i="10"/>
  <c r="P856" i="10"/>
  <c r="Q856" i="10"/>
  <c r="P857" i="10"/>
  <c r="Q857" i="10"/>
  <c r="P858" i="10"/>
  <c r="Q858" i="10"/>
  <c r="P859" i="10"/>
  <c r="Q859" i="10"/>
  <c r="P860" i="10"/>
  <c r="Q860" i="10"/>
  <c r="P861" i="10"/>
  <c r="Q861" i="10"/>
  <c r="P862" i="10"/>
  <c r="Q862" i="10"/>
  <c r="P863" i="10"/>
  <c r="Q863" i="10"/>
  <c r="P864" i="10"/>
  <c r="Q864" i="10"/>
  <c r="P865" i="10"/>
  <c r="Q865" i="10"/>
  <c r="P866" i="10"/>
  <c r="Q866" i="10"/>
  <c r="P867" i="10"/>
  <c r="Q867" i="10"/>
  <c r="P868" i="10"/>
  <c r="Q868" i="10"/>
  <c r="P869" i="10"/>
  <c r="Q869" i="10"/>
  <c r="P870" i="10"/>
  <c r="Q870" i="10"/>
  <c r="P871" i="10"/>
  <c r="Q871" i="10"/>
  <c r="P872" i="10"/>
  <c r="Q872" i="10"/>
  <c r="P873" i="10"/>
  <c r="Q873" i="10"/>
  <c r="P874" i="10"/>
  <c r="Q874" i="10"/>
  <c r="P875" i="10"/>
  <c r="Q875" i="10"/>
  <c r="P876" i="10"/>
  <c r="Q876" i="10"/>
  <c r="P877" i="10"/>
  <c r="Q877" i="10"/>
  <c r="P878" i="10"/>
  <c r="Q878" i="10"/>
  <c r="P879" i="10"/>
  <c r="Q879" i="10"/>
  <c r="P880" i="10"/>
  <c r="Q880" i="10"/>
  <c r="P881" i="10"/>
  <c r="Q881" i="10"/>
  <c r="P882" i="10"/>
  <c r="Q882" i="10"/>
  <c r="P883" i="10"/>
  <c r="Q883" i="10"/>
  <c r="P884" i="10"/>
  <c r="Q884" i="10"/>
  <c r="P885" i="10"/>
  <c r="Q885" i="10"/>
  <c r="P886" i="10"/>
  <c r="Q886" i="10"/>
  <c r="P887" i="10"/>
  <c r="Q887" i="10"/>
  <c r="P888" i="10"/>
  <c r="Q888" i="10"/>
  <c r="P889" i="10"/>
  <c r="Q889" i="10"/>
  <c r="P890" i="10"/>
  <c r="Q890" i="10"/>
  <c r="P891" i="10"/>
  <c r="Q891" i="10"/>
  <c r="P892" i="10"/>
  <c r="Q892" i="10"/>
  <c r="P893" i="10"/>
  <c r="Q893" i="10"/>
  <c r="P894" i="10"/>
  <c r="Q894" i="10"/>
  <c r="P895" i="10"/>
  <c r="Q895" i="10"/>
  <c r="P896" i="10"/>
  <c r="Q896" i="10"/>
  <c r="P897" i="10"/>
  <c r="Q897" i="10"/>
  <c r="P898" i="10"/>
  <c r="Q898" i="10"/>
  <c r="P899" i="10"/>
  <c r="Q899" i="10"/>
  <c r="P900" i="10"/>
  <c r="Q900" i="10"/>
  <c r="P901" i="10"/>
  <c r="Q901" i="10"/>
  <c r="P902" i="10"/>
  <c r="Q902" i="10"/>
  <c r="P903" i="10"/>
  <c r="Q903" i="10"/>
  <c r="P904" i="10"/>
  <c r="Q904" i="10"/>
  <c r="P905" i="10"/>
  <c r="Q905" i="10"/>
  <c r="P906" i="10"/>
  <c r="Q906" i="10"/>
  <c r="P907" i="10"/>
  <c r="Q907" i="10"/>
  <c r="P908" i="10"/>
  <c r="Q908" i="10"/>
  <c r="P909" i="10"/>
  <c r="Q909" i="10"/>
  <c r="P910" i="10"/>
  <c r="Q910" i="10"/>
  <c r="P911" i="10"/>
  <c r="Q911" i="10"/>
  <c r="P912" i="10"/>
  <c r="Q912" i="10"/>
  <c r="P913" i="10"/>
  <c r="Q913" i="10"/>
  <c r="P914" i="10"/>
  <c r="Q914" i="10"/>
  <c r="P915" i="10"/>
  <c r="Q915" i="10"/>
  <c r="P916" i="10"/>
  <c r="Q916" i="10"/>
  <c r="P917" i="10"/>
  <c r="Q917" i="10"/>
  <c r="P918" i="10"/>
  <c r="Q918" i="10"/>
  <c r="P919" i="10"/>
  <c r="Q919" i="10"/>
  <c r="P920" i="10"/>
  <c r="Q920" i="10"/>
  <c r="P921" i="10"/>
  <c r="Q921" i="10"/>
  <c r="P922" i="10"/>
  <c r="Q922" i="10"/>
  <c r="P923" i="10"/>
  <c r="Q923" i="10"/>
  <c r="P924" i="10"/>
  <c r="Q924" i="10"/>
  <c r="P925" i="10"/>
  <c r="Q925" i="10"/>
  <c r="P926" i="10"/>
  <c r="Q926" i="10"/>
  <c r="P927" i="10"/>
  <c r="Q927" i="10"/>
  <c r="P928" i="10"/>
  <c r="Q928" i="10"/>
  <c r="P929" i="10"/>
  <c r="Q929" i="10"/>
  <c r="P930" i="10"/>
  <c r="Q930" i="10"/>
  <c r="P931" i="10"/>
  <c r="Q931" i="10"/>
  <c r="P932" i="10"/>
  <c r="Q932" i="10"/>
  <c r="P933" i="10"/>
  <c r="Q933" i="10"/>
  <c r="P934" i="10"/>
  <c r="Q934" i="10"/>
  <c r="P935" i="10"/>
  <c r="Q935" i="10"/>
  <c r="P936" i="10"/>
  <c r="Q936" i="10"/>
  <c r="P937" i="10"/>
  <c r="Q937" i="10"/>
  <c r="P938" i="10"/>
  <c r="Q938" i="10"/>
  <c r="P939" i="10"/>
  <c r="Q939" i="10"/>
  <c r="P940" i="10"/>
  <c r="Q940" i="10"/>
  <c r="Q941" i="10"/>
  <c r="Q942" i="10"/>
  <c r="Q943" i="10"/>
  <c r="Q944" i="10"/>
  <c r="Q945" i="10"/>
  <c r="Q946" i="10"/>
  <c r="Q947" i="10"/>
  <c r="Q948" i="10"/>
  <c r="Q949" i="10"/>
  <c r="Q950" i="10"/>
  <c r="Q951" i="10"/>
  <c r="Q952" i="10"/>
  <c r="Q953" i="10"/>
  <c r="Q954" i="10"/>
  <c r="Q955" i="10"/>
  <c r="Q956" i="10"/>
  <c r="Q957" i="10"/>
  <c r="Q958" i="10"/>
  <c r="Q959" i="10"/>
  <c r="Q960" i="10"/>
  <c r="Q961" i="10"/>
  <c r="Q962" i="10"/>
  <c r="Q963" i="10"/>
  <c r="Q964" i="10"/>
  <c r="Q965" i="10"/>
  <c r="Q966" i="10"/>
  <c r="Q967" i="10"/>
  <c r="Q968" i="10"/>
  <c r="Q969" i="10"/>
  <c r="Q970" i="10"/>
  <c r="Q971" i="10"/>
  <c r="Q972" i="10"/>
  <c r="Q973" i="10"/>
  <c r="Q974" i="10"/>
  <c r="Q975" i="10"/>
  <c r="Q976" i="10"/>
  <c r="Q977" i="10"/>
  <c r="Q978" i="10"/>
  <c r="Q979" i="10"/>
  <c r="Q980" i="10"/>
  <c r="Q981" i="10"/>
  <c r="Q982" i="10"/>
  <c r="Q983" i="10"/>
  <c r="Q984" i="10"/>
  <c r="Q985" i="10"/>
  <c r="Q986" i="10"/>
  <c r="Q987" i="10"/>
  <c r="Q988" i="10"/>
  <c r="Q989" i="10"/>
  <c r="Q990" i="10"/>
  <c r="Q991" i="10"/>
  <c r="Q992" i="10"/>
  <c r="Q993" i="10"/>
  <c r="Q994" i="10"/>
  <c r="P195" i="10"/>
  <c r="Q195" i="10"/>
  <c r="P196" i="10"/>
  <c r="Q196" i="10"/>
  <c r="P197" i="10"/>
  <c r="Q197" i="10"/>
  <c r="P198" i="10"/>
  <c r="Q198" i="10"/>
  <c r="P199" i="10"/>
  <c r="Q199" i="10"/>
  <c r="P200" i="10"/>
  <c r="Q200" i="10"/>
  <c r="P201" i="10"/>
  <c r="Q201" i="10"/>
  <c r="P202" i="10"/>
  <c r="Q202" i="10"/>
  <c r="P203" i="10"/>
  <c r="Q203" i="10"/>
  <c r="P204" i="10"/>
  <c r="Q204" i="10"/>
  <c r="P205" i="10"/>
  <c r="Q205" i="10"/>
  <c r="P206" i="10"/>
  <c r="Q206" i="10"/>
  <c r="P207" i="10"/>
  <c r="Q207" i="10"/>
  <c r="P208" i="10"/>
  <c r="Q208" i="10"/>
  <c r="P209" i="10"/>
  <c r="Q209" i="10"/>
  <c r="P210" i="10"/>
  <c r="Q210" i="10"/>
  <c r="P211" i="10"/>
  <c r="Q211" i="10"/>
  <c r="P212" i="10"/>
  <c r="Q212" i="10"/>
  <c r="P213" i="10"/>
  <c r="Q213" i="10"/>
  <c r="P214" i="10"/>
  <c r="Q214" i="10"/>
  <c r="P215" i="10"/>
  <c r="Q215" i="10"/>
  <c r="P216" i="10"/>
  <c r="Q216" i="10"/>
  <c r="P217" i="10"/>
  <c r="Q217" i="10"/>
  <c r="P218" i="10"/>
  <c r="Q218" i="10"/>
  <c r="P219" i="10"/>
  <c r="Q219" i="10"/>
  <c r="P220" i="10"/>
  <c r="Q220" i="10"/>
  <c r="P221" i="10"/>
  <c r="Q221" i="10"/>
  <c r="P222" i="10"/>
  <c r="Q222" i="10"/>
  <c r="P223" i="10"/>
  <c r="Q223" i="10"/>
  <c r="P224" i="10"/>
  <c r="Q224" i="10"/>
  <c r="P225" i="10"/>
  <c r="Q225" i="10"/>
  <c r="P226" i="10"/>
  <c r="Q226" i="10"/>
  <c r="P227" i="10"/>
  <c r="Q227" i="10"/>
  <c r="P228" i="10"/>
  <c r="Q228" i="10"/>
  <c r="P229" i="10"/>
  <c r="Q229" i="10"/>
  <c r="P230" i="10"/>
  <c r="Q230" i="10"/>
  <c r="P231" i="10"/>
  <c r="Q231" i="10"/>
  <c r="P232" i="10"/>
  <c r="Q232" i="10"/>
  <c r="P233" i="10"/>
  <c r="Q233" i="10"/>
  <c r="P234" i="10"/>
  <c r="Q234" i="10"/>
  <c r="P235" i="10"/>
  <c r="Q235" i="10"/>
  <c r="P236" i="10"/>
  <c r="Q236" i="10"/>
  <c r="P237" i="10"/>
  <c r="Q237" i="10"/>
  <c r="P238" i="10"/>
  <c r="Q238" i="10"/>
  <c r="P239" i="10"/>
  <c r="Q239" i="10"/>
  <c r="P240" i="10"/>
  <c r="Q240" i="10"/>
  <c r="P241" i="10"/>
  <c r="Q241" i="10"/>
  <c r="P242" i="10"/>
  <c r="Q242" i="10"/>
  <c r="P243" i="10"/>
  <c r="Q243" i="10"/>
  <c r="P244" i="10"/>
  <c r="Q244" i="10"/>
  <c r="P245" i="10"/>
  <c r="Q245" i="10"/>
  <c r="P246" i="10"/>
  <c r="Q246" i="10"/>
  <c r="P247" i="10"/>
  <c r="Q247" i="10"/>
  <c r="P248" i="10"/>
  <c r="Q248" i="10"/>
  <c r="P249" i="10"/>
  <c r="Q249" i="10"/>
  <c r="P250" i="10"/>
  <c r="Q250" i="10"/>
  <c r="P251" i="10"/>
  <c r="Q251" i="10"/>
  <c r="P252" i="10"/>
  <c r="Q252" i="10"/>
  <c r="P253" i="10"/>
  <c r="Q253" i="10"/>
  <c r="P254" i="10"/>
  <c r="Q254" i="10"/>
  <c r="P255" i="10"/>
  <c r="Q255" i="10"/>
  <c r="P256" i="10"/>
  <c r="Q256" i="10"/>
  <c r="P257" i="10"/>
  <c r="Q257" i="10"/>
  <c r="P258" i="10"/>
  <c r="Q258" i="10"/>
  <c r="P259" i="10"/>
  <c r="Q259" i="10"/>
  <c r="P260" i="10"/>
  <c r="Q260" i="10"/>
  <c r="P261" i="10"/>
  <c r="Q261" i="10"/>
  <c r="P262" i="10"/>
  <c r="Q262" i="10"/>
  <c r="P263" i="10"/>
  <c r="Q263" i="10"/>
  <c r="P264" i="10"/>
  <c r="Q264" i="10"/>
  <c r="P265" i="10"/>
  <c r="Q265" i="10"/>
  <c r="P266" i="10"/>
  <c r="Q266" i="10"/>
  <c r="G182" i="10"/>
  <c r="G181" i="10"/>
  <c r="G180" i="10"/>
  <c r="G175" i="10"/>
  <c r="G176" i="10"/>
  <c r="G177" i="10"/>
  <c r="G178" i="10"/>
  <c r="G179" i="10"/>
  <c r="K147" i="10"/>
  <c r="G135" i="10"/>
  <c r="K129" i="10"/>
  <c r="K128" i="10"/>
  <c r="K127" i="10"/>
  <c r="K126" i="10"/>
  <c r="K125" i="10"/>
  <c r="K124" i="10"/>
  <c r="K123" i="10"/>
  <c r="K122" i="10"/>
  <c r="K121" i="10"/>
  <c r="K120" i="10"/>
  <c r="K119" i="10"/>
  <c r="G119" i="10"/>
  <c r="K118" i="10"/>
  <c r="G118" i="10"/>
  <c r="K117" i="10"/>
  <c r="G117" i="10"/>
  <c r="K116" i="10"/>
  <c r="G116" i="10"/>
  <c r="K115" i="10"/>
  <c r="G115" i="10"/>
  <c r="K114" i="10"/>
  <c r="G114" i="10"/>
  <c r="K113" i="10"/>
  <c r="G113" i="10"/>
  <c r="K112" i="10"/>
  <c r="G112" i="10"/>
  <c r="K111" i="10"/>
  <c r="G111" i="10"/>
  <c r="K110" i="10"/>
  <c r="G110" i="10"/>
  <c r="K109" i="10"/>
  <c r="G109" i="10"/>
  <c r="K108" i="10"/>
  <c r="G108" i="10"/>
  <c r="K107" i="10"/>
  <c r="G107" i="10"/>
  <c r="K106" i="10"/>
  <c r="G106" i="10"/>
  <c r="K105" i="10"/>
  <c r="G105" i="10"/>
  <c r="K104" i="10"/>
  <c r="G104" i="10"/>
  <c r="K103" i="10"/>
  <c r="G103" i="10"/>
  <c r="K102" i="10"/>
  <c r="K101" i="10"/>
  <c r="G100" i="10"/>
  <c r="K100" i="10"/>
  <c r="K98" i="10"/>
  <c r="K97" i="10"/>
  <c r="K96" i="10"/>
  <c r="K95" i="10"/>
  <c r="K94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1" i="10"/>
  <c r="K62" i="10"/>
  <c r="K63" i="10"/>
  <c r="K64" i="10"/>
  <c r="K65" i="10"/>
  <c r="K66" i="10"/>
  <c r="K67" i="10"/>
  <c r="G40" i="10"/>
  <c r="G41" i="10"/>
  <c r="G42" i="10"/>
  <c r="G43" i="10"/>
  <c r="G44" i="10"/>
  <c r="G45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G17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P3" i="10"/>
  <c r="Q3" i="10"/>
  <c r="P4" i="10"/>
  <c r="Q4" i="10"/>
  <c r="P5" i="10"/>
  <c r="Q5" i="10"/>
  <c r="P6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P107" i="10"/>
  <c r="Q107" i="10"/>
  <c r="P108" i="10"/>
  <c r="Q108" i="10"/>
  <c r="P109" i="10"/>
  <c r="Q109" i="10"/>
  <c r="P110" i="10"/>
  <c r="Q110" i="10"/>
  <c r="P111" i="10"/>
  <c r="Q111" i="10"/>
  <c r="P112" i="10"/>
  <c r="Q112" i="10"/>
  <c r="P113" i="10"/>
  <c r="Q113" i="10"/>
  <c r="P114" i="10"/>
  <c r="Q114" i="10"/>
  <c r="P115" i="10"/>
  <c r="Q115" i="10"/>
  <c r="P116" i="10"/>
  <c r="Q116" i="10"/>
  <c r="P117" i="10"/>
  <c r="Q117" i="10"/>
  <c r="P118" i="10"/>
  <c r="Q118" i="10"/>
  <c r="P119" i="10"/>
  <c r="Q119" i="10"/>
  <c r="P120" i="10"/>
  <c r="Q120" i="10"/>
  <c r="P121" i="10"/>
  <c r="Q121" i="10"/>
  <c r="P122" i="10"/>
  <c r="Q122" i="10"/>
  <c r="P123" i="10"/>
  <c r="Q123" i="10"/>
  <c r="P124" i="10"/>
  <c r="Q124" i="10"/>
  <c r="P125" i="10"/>
  <c r="Q125" i="10"/>
  <c r="P126" i="10"/>
  <c r="Q126" i="10"/>
  <c r="P127" i="10"/>
  <c r="Q127" i="10"/>
  <c r="P128" i="10"/>
  <c r="Q128" i="10"/>
  <c r="P129" i="10"/>
  <c r="Q129" i="10"/>
  <c r="P130" i="10"/>
  <c r="Q130" i="10"/>
  <c r="P131" i="10"/>
  <c r="Q131" i="10"/>
  <c r="P132" i="10"/>
  <c r="Q132" i="10"/>
  <c r="P133" i="10"/>
  <c r="Q133" i="10"/>
  <c r="P134" i="10"/>
  <c r="Q134" i="10"/>
  <c r="P135" i="10"/>
  <c r="Q135" i="10"/>
  <c r="P136" i="10"/>
  <c r="Q136" i="10"/>
  <c r="P137" i="10"/>
  <c r="Q137" i="10"/>
  <c r="P138" i="10"/>
  <c r="Q138" i="10"/>
  <c r="P139" i="10"/>
  <c r="Q139" i="10"/>
  <c r="P140" i="10"/>
  <c r="Q140" i="10"/>
  <c r="P141" i="10"/>
  <c r="Q141" i="10"/>
  <c r="P142" i="10"/>
  <c r="Q142" i="10"/>
  <c r="P143" i="10"/>
  <c r="Q143" i="10"/>
  <c r="P144" i="10"/>
  <c r="Q144" i="10"/>
  <c r="P145" i="10"/>
  <c r="Q145" i="10"/>
  <c r="P146" i="10"/>
  <c r="Q146" i="10"/>
  <c r="P147" i="10"/>
  <c r="Q147" i="10"/>
  <c r="P148" i="10"/>
  <c r="Q148" i="10"/>
  <c r="P149" i="10"/>
  <c r="Q149" i="10"/>
  <c r="P150" i="10"/>
  <c r="Q150" i="10"/>
  <c r="P151" i="10"/>
  <c r="Q151" i="10"/>
  <c r="P152" i="10"/>
  <c r="Q152" i="10"/>
  <c r="P153" i="10"/>
  <c r="Q153" i="10"/>
  <c r="P154" i="10"/>
  <c r="Q154" i="10"/>
  <c r="P155" i="10"/>
  <c r="Q155" i="10"/>
  <c r="P156" i="10"/>
  <c r="Q156" i="10"/>
  <c r="P157" i="10"/>
  <c r="Q157" i="10"/>
  <c r="P158" i="10"/>
  <c r="Q158" i="10"/>
  <c r="P159" i="10"/>
  <c r="Q159" i="10"/>
  <c r="P160" i="10"/>
  <c r="Q160" i="10"/>
  <c r="P161" i="10"/>
  <c r="Q161" i="10"/>
  <c r="P162" i="10"/>
  <c r="Q162" i="10"/>
  <c r="P163" i="10"/>
  <c r="Q163" i="10"/>
  <c r="P164" i="10"/>
  <c r="Q164" i="10"/>
  <c r="P165" i="10"/>
  <c r="Q165" i="10"/>
  <c r="P166" i="10"/>
  <c r="Q166" i="10"/>
  <c r="P167" i="10"/>
  <c r="Q167" i="10"/>
  <c r="P168" i="10"/>
  <c r="Q168" i="10"/>
  <c r="P169" i="10"/>
  <c r="Q169" i="10"/>
  <c r="P170" i="10"/>
  <c r="Q170" i="10"/>
  <c r="P171" i="10"/>
  <c r="Q171" i="10"/>
  <c r="P172" i="10"/>
  <c r="Q172" i="10"/>
  <c r="P173" i="10"/>
  <c r="Q173" i="10"/>
  <c r="P174" i="10"/>
  <c r="Q174" i="10"/>
  <c r="P175" i="10"/>
  <c r="Q175" i="10"/>
  <c r="P176" i="10"/>
  <c r="Q176" i="10"/>
  <c r="P177" i="10"/>
  <c r="Q177" i="10"/>
  <c r="P178" i="10"/>
  <c r="Q178" i="10"/>
  <c r="P179" i="10"/>
  <c r="Q179" i="10"/>
  <c r="P180" i="10"/>
  <c r="Q180" i="10"/>
  <c r="P181" i="10"/>
  <c r="Q181" i="10"/>
  <c r="P182" i="10"/>
  <c r="Q182" i="10"/>
  <c r="P183" i="10"/>
  <c r="Q183" i="10"/>
  <c r="P184" i="10"/>
  <c r="Q184" i="10"/>
  <c r="P185" i="10"/>
  <c r="Q185" i="10"/>
  <c r="P186" i="10"/>
  <c r="Q186" i="10"/>
  <c r="P187" i="10"/>
  <c r="Q187" i="10"/>
  <c r="P188" i="10"/>
  <c r="Q188" i="10"/>
  <c r="P189" i="10"/>
  <c r="Q189" i="10"/>
  <c r="P190" i="10"/>
  <c r="Q190" i="10"/>
  <c r="P191" i="10"/>
  <c r="Q191" i="10"/>
  <c r="P192" i="10"/>
  <c r="Q192" i="10"/>
  <c r="P193" i="10"/>
  <c r="Q193" i="10"/>
  <c r="P194" i="10"/>
  <c r="Q194" i="10"/>
  <c r="Q2" i="10"/>
  <c r="P2" i="10"/>
  <c r="K2" i="10"/>
  <c r="G19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1" i="10"/>
  <c r="G102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2" i="10"/>
  <c r="G1546" i="8"/>
  <c r="G1536" i="8"/>
  <c r="G1537" i="8"/>
  <c r="G1538" i="8"/>
  <c r="G1539" i="8"/>
  <c r="G1540" i="8"/>
  <c r="G1541" i="8"/>
  <c r="G1542" i="8"/>
  <c r="G1543" i="8"/>
  <c r="G1544" i="8"/>
  <c r="G1545" i="8"/>
  <c r="G1535" i="8"/>
  <c r="G1534" i="8"/>
  <c r="G1533" i="8"/>
  <c r="G1532" i="8"/>
  <c r="P1534" i="8"/>
  <c r="Q1534" i="8"/>
  <c r="P1535" i="8"/>
  <c r="Q1535" i="8"/>
  <c r="P1536" i="8"/>
  <c r="Q1536" i="8"/>
  <c r="P1537" i="8"/>
  <c r="Q1537" i="8"/>
  <c r="P1538" i="8"/>
  <c r="Q1538" i="8"/>
  <c r="P1539" i="8"/>
  <c r="Q1539" i="8"/>
  <c r="P1540" i="8"/>
  <c r="Q1540" i="8"/>
  <c r="P1541" i="8"/>
  <c r="Q1541" i="8"/>
  <c r="P1542" i="8"/>
  <c r="Q1542" i="8"/>
  <c r="P1543" i="8"/>
  <c r="Q1543" i="8"/>
  <c r="P1544" i="8"/>
  <c r="Q1544" i="8"/>
  <c r="P1545" i="8"/>
  <c r="Q1545" i="8"/>
  <c r="P1546" i="8"/>
  <c r="Q1546" i="8"/>
  <c r="P1547" i="8"/>
  <c r="Q1547" i="8"/>
  <c r="P1548" i="8"/>
  <c r="Q1548" i="8"/>
  <c r="P1549" i="8"/>
  <c r="Q1549" i="8"/>
  <c r="P1550" i="8"/>
  <c r="Q1550" i="8"/>
  <c r="P1551" i="8"/>
  <c r="Q1551" i="8"/>
  <c r="P1552" i="8"/>
  <c r="Q1552" i="8"/>
  <c r="P1553" i="8"/>
  <c r="Q1553" i="8"/>
  <c r="P1554" i="8"/>
  <c r="Q1554" i="8"/>
  <c r="P1555" i="8"/>
  <c r="Q1555" i="8"/>
  <c r="P1556" i="8"/>
  <c r="Q1556" i="8"/>
  <c r="P1557" i="8"/>
  <c r="Q1557" i="8"/>
  <c r="P1558" i="8"/>
  <c r="Q1558" i="8"/>
  <c r="P1559" i="8"/>
  <c r="Q1559" i="8"/>
  <c r="P1560" i="8"/>
  <c r="Q1560" i="8"/>
  <c r="P1561" i="8"/>
  <c r="Q1561" i="8"/>
  <c r="P1562" i="8"/>
  <c r="Q1562" i="8"/>
  <c r="P1563" i="8"/>
  <c r="Q1563" i="8"/>
  <c r="P1564" i="8"/>
  <c r="Q1564" i="8"/>
  <c r="P1565" i="8"/>
  <c r="Q1565" i="8"/>
  <c r="P1566" i="8"/>
  <c r="Q1566" i="8"/>
  <c r="P1567" i="8"/>
  <c r="Q1567" i="8"/>
  <c r="P1568" i="8"/>
  <c r="Q1568" i="8"/>
  <c r="P1569" i="8"/>
  <c r="Q1569" i="8"/>
  <c r="P1570" i="8"/>
  <c r="Q1570" i="8"/>
  <c r="P1571" i="8"/>
  <c r="Q1571" i="8"/>
  <c r="P1572" i="8"/>
  <c r="Q1572" i="8"/>
  <c r="P1573" i="8"/>
  <c r="Q1573" i="8"/>
  <c r="P1574" i="8"/>
  <c r="Q1574" i="8"/>
  <c r="P1575" i="8"/>
  <c r="Q1575" i="8"/>
  <c r="P1576" i="8"/>
  <c r="Q1576" i="8"/>
  <c r="P1577" i="8"/>
  <c r="Q1577" i="8"/>
  <c r="P1578" i="8"/>
  <c r="Q1578" i="8"/>
  <c r="P1579" i="8"/>
  <c r="Q1579" i="8"/>
  <c r="P1580" i="8"/>
  <c r="Q1580" i="8"/>
  <c r="P1581" i="8"/>
  <c r="Q1581" i="8"/>
  <c r="P1582" i="8"/>
  <c r="Q1582" i="8"/>
  <c r="P1583" i="8"/>
  <c r="Q1583" i="8"/>
  <c r="P1584" i="8"/>
  <c r="Q1584" i="8"/>
  <c r="P1585" i="8"/>
  <c r="Q1585" i="8"/>
  <c r="P1586" i="8"/>
  <c r="Q1586" i="8"/>
  <c r="P1587" i="8"/>
  <c r="Q1587" i="8"/>
  <c r="P1588" i="8"/>
  <c r="Q1588" i="8"/>
  <c r="P1589" i="8"/>
  <c r="Q1589" i="8"/>
  <c r="P1590" i="8"/>
  <c r="Q1590" i="8"/>
  <c r="P1591" i="8"/>
  <c r="Q1591" i="8"/>
  <c r="P1592" i="8"/>
  <c r="Q1592" i="8"/>
  <c r="P1593" i="8"/>
  <c r="Q1593" i="8"/>
  <c r="P1594" i="8"/>
  <c r="Q1594" i="8"/>
  <c r="P1595" i="8"/>
  <c r="Q1595" i="8"/>
  <c r="P1596" i="8"/>
  <c r="Q1596" i="8"/>
  <c r="P1597" i="8"/>
  <c r="Q1597" i="8"/>
  <c r="P1598" i="8"/>
  <c r="Q1598" i="8"/>
  <c r="P1599" i="8"/>
  <c r="Q1599" i="8"/>
  <c r="P1600" i="8"/>
  <c r="Q1600" i="8"/>
  <c r="P1601" i="8"/>
  <c r="Q1601" i="8"/>
  <c r="P1602" i="8"/>
  <c r="Q1602" i="8"/>
  <c r="P1603" i="8"/>
  <c r="Q1603" i="8"/>
  <c r="P1604" i="8"/>
  <c r="Q1604" i="8"/>
  <c r="P1605" i="8"/>
  <c r="Q1605" i="8"/>
  <c r="P1606" i="8"/>
  <c r="Q1606" i="8"/>
  <c r="P1607" i="8"/>
  <c r="Q1607" i="8"/>
  <c r="Q1623" i="8"/>
  <c r="P1623" i="8"/>
  <c r="G1623" i="8"/>
  <c r="Q1622" i="8"/>
  <c r="P1622" i="8"/>
  <c r="G1622" i="8"/>
  <c r="Q1621" i="8"/>
  <c r="P1621" i="8"/>
  <c r="G1621" i="8"/>
  <c r="Q1620" i="8"/>
  <c r="P1620" i="8"/>
  <c r="G1620" i="8"/>
  <c r="Q1619" i="8"/>
  <c r="P1619" i="8"/>
  <c r="G1619" i="8"/>
  <c r="Q1618" i="8"/>
  <c r="P1618" i="8"/>
  <c r="G1618" i="8"/>
  <c r="Q1617" i="8"/>
  <c r="P1617" i="8"/>
  <c r="G1617" i="8"/>
  <c r="Q1616" i="8"/>
  <c r="P1616" i="8"/>
  <c r="G1616" i="8"/>
  <c r="K1607" i="8"/>
  <c r="G1607" i="8"/>
  <c r="K1606" i="8"/>
  <c r="G1606" i="8"/>
  <c r="K1605" i="8"/>
  <c r="G1605" i="8"/>
  <c r="K1604" i="8"/>
  <c r="G1604" i="8"/>
  <c r="K1603" i="8"/>
  <c r="G1603" i="8"/>
  <c r="K1602" i="8"/>
  <c r="G1602" i="8"/>
  <c r="K1601" i="8"/>
  <c r="G1601" i="8"/>
  <c r="K1531" i="8"/>
  <c r="K1530" i="8"/>
  <c r="K1529" i="8"/>
  <c r="K1528" i="8"/>
  <c r="K1527" i="8"/>
  <c r="K1526" i="8"/>
  <c r="K1525" i="8"/>
  <c r="K1524" i="8"/>
  <c r="K1523" i="8"/>
  <c r="K1522" i="8"/>
  <c r="K1521" i="8"/>
  <c r="K1520" i="8"/>
  <c r="K1519" i="8"/>
  <c r="K1518" i="8"/>
  <c r="K1517" i="8"/>
  <c r="K1516" i="8"/>
  <c r="K1515" i="8"/>
  <c r="Q1531" i="8"/>
  <c r="P1531" i="8"/>
  <c r="G1531" i="8"/>
  <c r="Q1530" i="8"/>
  <c r="P1530" i="8"/>
  <c r="G1530" i="8"/>
  <c r="Q1529" i="8"/>
  <c r="P1529" i="8"/>
  <c r="G1529" i="8"/>
  <c r="Q1528" i="8"/>
  <c r="P1528" i="8"/>
  <c r="G1528" i="8"/>
  <c r="Q1527" i="8"/>
  <c r="P1527" i="8"/>
  <c r="G1527" i="8"/>
  <c r="Q1526" i="8"/>
  <c r="P1526" i="8"/>
  <c r="G1526" i="8"/>
  <c r="Q1525" i="8"/>
  <c r="P1525" i="8"/>
  <c r="G1525" i="8"/>
  <c r="Q1524" i="8"/>
  <c r="P1524" i="8"/>
  <c r="G1524" i="8"/>
  <c r="Q1523" i="8"/>
  <c r="P1523" i="8"/>
  <c r="G1523" i="8"/>
  <c r="Q1522" i="8"/>
  <c r="P1522" i="8"/>
  <c r="G1522" i="8"/>
  <c r="Q1521" i="8"/>
  <c r="P1521" i="8"/>
  <c r="G1521" i="8"/>
  <c r="Q1520" i="8"/>
  <c r="P1520" i="8"/>
  <c r="G1520" i="8"/>
  <c r="Q1519" i="8"/>
  <c r="P1519" i="8"/>
  <c r="G1519" i="8"/>
  <c r="Q1518" i="8"/>
  <c r="P1518" i="8"/>
  <c r="G1518" i="8"/>
  <c r="Q1517" i="8"/>
  <c r="P1517" i="8"/>
  <c r="G1517" i="8"/>
  <c r="Q1516" i="8"/>
  <c r="P1516" i="8"/>
  <c r="G1516" i="8"/>
  <c r="Q1515" i="8"/>
  <c r="P1515" i="8"/>
  <c r="G1515" i="8"/>
  <c r="G1512" i="8"/>
  <c r="K1512" i="8"/>
  <c r="G1513" i="8"/>
  <c r="K1513" i="8"/>
  <c r="G1514" i="8"/>
  <c r="K1514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1401" i="8"/>
  <c r="K1402" i="8"/>
  <c r="K1403" i="8"/>
  <c r="K1404" i="8"/>
  <c r="K1405" i="8"/>
  <c r="K1406" i="8"/>
  <c r="K1407" i="8"/>
  <c r="K1408" i="8"/>
  <c r="K1409" i="8"/>
  <c r="K1410" i="8"/>
  <c r="K1411" i="8"/>
  <c r="K1412" i="8"/>
  <c r="K1413" i="8"/>
  <c r="K1414" i="8"/>
  <c r="K1415" i="8"/>
  <c r="K1416" i="8"/>
  <c r="K1417" i="8"/>
  <c r="K1418" i="8"/>
  <c r="K1419" i="8"/>
  <c r="K1420" i="8"/>
  <c r="K1421" i="8"/>
  <c r="K1422" i="8"/>
  <c r="K1423" i="8"/>
  <c r="K1424" i="8"/>
  <c r="K1425" i="8"/>
  <c r="K1426" i="8"/>
  <c r="K1427" i="8"/>
  <c r="K1428" i="8"/>
  <c r="K1429" i="8"/>
  <c r="K1430" i="8"/>
  <c r="K1431" i="8"/>
  <c r="K1432" i="8"/>
  <c r="K1433" i="8"/>
  <c r="K1434" i="8"/>
  <c r="K1435" i="8"/>
  <c r="K1436" i="8"/>
  <c r="K1437" i="8"/>
  <c r="K1438" i="8"/>
  <c r="K1439" i="8"/>
  <c r="K1440" i="8"/>
  <c r="K1441" i="8"/>
  <c r="K1442" i="8"/>
  <c r="K1443" i="8"/>
  <c r="K1444" i="8"/>
  <c r="K1445" i="8"/>
  <c r="K1446" i="8"/>
  <c r="K1447" i="8"/>
  <c r="K1448" i="8"/>
  <c r="K1449" i="8"/>
  <c r="K1450" i="8"/>
  <c r="K1451" i="8"/>
  <c r="K1452" i="8"/>
  <c r="K1453" i="8"/>
  <c r="K1454" i="8"/>
  <c r="K1455" i="8"/>
  <c r="K1456" i="8"/>
  <c r="K1457" i="8"/>
  <c r="K1458" i="8"/>
  <c r="K1459" i="8"/>
  <c r="K1460" i="8"/>
  <c r="K1461" i="8"/>
  <c r="K1462" i="8"/>
  <c r="K1463" i="8"/>
  <c r="K1464" i="8"/>
  <c r="K1465" i="8"/>
  <c r="K1466" i="8"/>
  <c r="K1467" i="8"/>
  <c r="K1468" i="8"/>
  <c r="K1469" i="8"/>
  <c r="K1470" i="8"/>
  <c r="K1471" i="8"/>
  <c r="K1472" i="8"/>
  <c r="K1473" i="8"/>
  <c r="K1474" i="8"/>
  <c r="K1475" i="8"/>
  <c r="K1476" i="8"/>
  <c r="K1477" i="8"/>
  <c r="K1478" i="8"/>
  <c r="K1479" i="8"/>
  <c r="K1480" i="8"/>
  <c r="K1481" i="8"/>
  <c r="K1482" i="8"/>
  <c r="K1483" i="8"/>
  <c r="K1484" i="8"/>
  <c r="K1485" i="8"/>
  <c r="K1486" i="8"/>
  <c r="K1487" i="8"/>
  <c r="K1488" i="8"/>
  <c r="K1489" i="8"/>
  <c r="K1490" i="8"/>
  <c r="K1491" i="8"/>
  <c r="K1492" i="8"/>
  <c r="K1493" i="8"/>
  <c r="K1494" i="8"/>
  <c r="K1495" i="8"/>
  <c r="K1496" i="8"/>
  <c r="K1497" i="8"/>
  <c r="K1498" i="8"/>
  <c r="K1499" i="8"/>
  <c r="K1500" i="8"/>
  <c r="K1501" i="8"/>
  <c r="K1502" i="8"/>
  <c r="K1503" i="8"/>
  <c r="K1504" i="8"/>
  <c r="K1505" i="8"/>
  <c r="K1506" i="8"/>
  <c r="K1507" i="8"/>
  <c r="K1508" i="8"/>
  <c r="K1509" i="8"/>
  <c r="K1510" i="8"/>
  <c r="K1511" i="8"/>
  <c r="K1532" i="8"/>
  <c r="K1533" i="8"/>
  <c r="K1546" i="8"/>
  <c r="K1547" i="8"/>
  <c r="K1548" i="8"/>
  <c r="K1549" i="8"/>
  <c r="K1550" i="8"/>
  <c r="K1551" i="8"/>
  <c r="K1552" i="8"/>
  <c r="K1553" i="8"/>
  <c r="K1554" i="8"/>
  <c r="K1555" i="8"/>
  <c r="K1556" i="8"/>
  <c r="K1557" i="8"/>
  <c r="K1558" i="8"/>
  <c r="K1559" i="8"/>
  <c r="K1560" i="8"/>
  <c r="K1561" i="8"/>
  <c r="K1562" i="8"/>
  <c r="K1563" i="8"/>
  <c r="K1564" i="8"/>
  <c r="K1565" i="8"/>
  <c r="K1566" i="8"/>
  <c r="K1567" i="8"/>
  <c r="K1568" i="8"/>
  <c r="K1569" i="8"/>
  <c r="K1570" i="8"/>
  <c r="K1571" i="8"/>
  <c r="K1572" i="8"/>
  <c r="K1573" i="8"/>
  <c r="K1574" i="8"/>
  <c r="K1575" i="8"/>
  <c r="K1576" i="8"/>
  <c r="K1577" i="8"/>
  <c r="K1578" i="8"/>
  <c r="K1579" i="8"/>
  <c r="K1580" i="8"/>
  <c r="K1581" i="8"/>
  <c r="K1582" i="8"/>
  <c r="K1583" i="8"/>
  <c r="K1584" i="8"/>
  <c r="K1585" i="8"/>
  <c r="K1586" i="8"/>
  <c r="K1587" i="8"/>
  <c r="K1588" i="8"/>
  <c r="K1589" i="8"/>
  <c r="K1590" i="8"/>
  <c r="K1591" i="8"/>
  <c r="K1592" i="8"/>
  <c r="K1593" i="8"/>
  <c r="K1594" i="8"/>
  <c r="K1595" i="8"/>
  <c r="K1596" i="8"/>
  <c r="K1597" i="8"/>
  <c r="K1598" i="8"/>
  <c r="K1599" i="8"/>
  <c r="K1600" i="8"/>
  <c r="K1608" i="8"/>
  <c r="K1609" i="8"/>
  <c r="K1610" i="8"/>
  <c r="K1611" i="8"/>
  <c r="K1612" i="8"/>
  <c r="K1613" i="8"/>
  <c r="K1614" i="8"/>
  <c r="K1615" i="8"/>
  <c r="K974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90" i="8"/>
  <c r="G1491" i="8"/>
  <c r="G1492" i="8"/>
  <c r="G1493" i="8"/>
  <c r="G1494" i="8"/>
  <c r="G1495" i="8"/>
  <c r="G1496" i="8"/>
  <c r="G1497" i="8"/>
  <c r="G1498" i="8"/>
  <c r="G1499" i="8"/>
  <c r="G1500" i="8"/>
  <c r="G1489" i="8"/>
  <c r="Q1500" i="8"/>
  <c r="P1500" i="8"/>
  <c r="Q1499" i="8"/>
  <c r="P1499" i="8"/>
  <c r="Q1498" i="8"/>
  <c r="P1498" i="8"/>
  <c r="Q1497" i="8"/>
  <c r="P1497" i="8"/>
  <c r="Q1496" i="8"/>
  <c r="P1496" i="8"/>
  <c r="Q1495" i="8"/>
  <c r="P1495" i="8"/>
  <c r="Q1494" i="8"/>
  <c r="P1494" i="8"/>
  <c r="Q1493" i="8"/>
  <c r="P1493" i="8"/>
  <c r="Q1492" i="8"/>
  <c r="P1492" i="8"/>
  <c r="Q1491" i="8"/>
  <c r="P1491" i="8"/>
  <c r="Q1490" i="8"/>
  <c r="P1490" i="8"/>
  <c r="Q1489" i="8"/>
  <c r="P1489" i="8"/>
  <c r="Q1401" i="8"/>
  <c r="Q1402" i="8"/>
  <c r="Q1403" i="8"/>
  <c r="Q1404" i="8"/>
  <c r="Q1405" i="8"/>
  <c r="Q1406" i="8"/>
  <c r="Q1407" i="8"/>
  <c r="Q1408" i="8"/>
  <c r="Q1409" i="8"/>
  <c r="Q1410" i="8"/>
  <c r="Q1411" i="8"/>
  <c r="Q1412" i="8"/>
  <c r="Q1413" i="8"/>
  <c r="Q1414" i="8"/>
  <c r="Q1415" i="8"/>
  <c r="Q1416" i="8"/>
  <c r="Q1417" i="8"/>
  <c r="Q1418" i="8"/>
  <c r="Q1419" i="8"/>
  <c r="Q1420" i="8"/>
  <c r="Q1421" i="8"/>
  <c r="Q1422" i="8"/>
  <c r="Q1423" i="8"/>
  <c r="Q1424" i="8"/>
  <c r="Q1425" i="8"/>
  <c r="Q1426" i="8"/>
  <c r="Q1427" i="8"/>
  <c r="Q1428" i="8"/>
  <c r="Q1429" i="8"/>
  <c r="Q1430" i="8"/>
  <c r="Q1431" i="8"/>
  <c r="Q1432" i="8"/>
  <c r="Q1433" i="8"/>
  <c r="Q1434" i="8"/>
  <c r="Q1435" i="8"/>
  <c r="Q1436" i="8"/>
  <c r="Q1437" i="8"/>
  <c r="Q1438" i="8"/>
  <c r="Q1439" i="8"/>
  <c r="Q1440" i="8"/>
  <c r="Q1441" i="8"/>
  <c r="Q1442" i="8"/>
  <c r="Q1443" i="8"/>
  <c r="Q1444" i="8"/>
  <c r="Q1445" i="8"/>
  <c r="Q1446" i="8"/>
  <c r="Q1447" i="8"/>
  <c r="Q1448" i="8"/>
  <c r="Q1449" i="8"/>
  <c r="Q1450" i="8"/>
  <c r="Q1451" i="8"/>
  <c r="Q1452" i="8"/>
  <c r="Q1453" i="8"/>
  <c r="Q1454" i="8"/>
  <c r="Q1455" i="8"/>
  <c r="Q1456" i="8"/>
  <c r="Q1457" i="8"/>
  <c r="Q1458" i="8"/>
  <c r="Q1459" i="8"/>
  <c r="Q1460" i="8"/>
  <c r="Q1461" i="8"/>
  <c r="Q1462" i="8"/>
  <c r="Q1463" i="8"/>
  <c r="Q1464" i="8"/>
  <c r="Q1465" i="8"/>
  <c r="Q1466" i="8"/>
  <c r="Q1467" i="8"/>
  <c r="Q1468" i="8"/>
  <c r="Q1469" i="8"/>
  <c r="Q1470" i="8"/>
  <c r="Q1471" i="8"/>
  <c r="Q1472" i="8"/>
  <c r="Q1473" i="8"/>
  <c r="Q1474" i="8"/>
  <c r="Q1475" i="8"/>
  <c r="Q1476" i="8"/>
  <c r="Q1477" i="8"/>
  <c r="Q1478" i="8"/>
  <c r="Q1479" i="8"/>
  <c r="Q1480" i="8"/>
  <c r="Q1481" i="8"/>
  <c r="Q1482" i="8"/>
  <c r="Q1483" i="8"/>
  <c r="Q1484" i="8"/>
  <c r="Q1485" i="8"/>
  <c r="Q1486" i="8"/>
  <c r="Q1487" i="8"/>
  <c r="Q1488" i="8"/>
  <c r="Q1501" i="8"/>
  <c r="Q1502" i="8"/>
  <c r="Q1503" i="8"/>
  <c r="Q1504" i="8"/>
  <c r="Q1505" i="8"/>
  <c r="Q1506" i="8"/>
  <c r="Q1507" i="8"/>
  <c r="Q1508" i="8"/>
  <c r="Q1509" i="8"/>
  <c r="Q1510" i="8"/>
  <c r="Q1511" i="8"/>
  <c r="Q1512" i="8"/>
  <c r="Q1513" i="8"/>
  <c r="Q1514" i="8"/>
  <c r="Q1532" i="8"/>
  <c r="Q1533" i="8"/>
  <c r="Q1400" i="8"/>
  <c r="G1488" i="8"/>
  <c r="G1501" i="8"/>
  <c r="G1502" i="8"/>
  <c r="G1503" i="8"/>
  <c r="G1504" i="8"/>
  <c r="G1505" i="8"/>
  <c r="G1506" i="8"/>
  <c r="G1507" i="8"/>
  <c r="G1508" i="8"/>
  <c r="G1509" i="8"/>
  <c r="G1510" i="8"/>
  <c r="G1511" i="8"/>
  <c r="G1487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P1374" i="8"/>
  <c r="P1375" i="8"/>
  <c r="P1376" i="8"/>
  <c r="P1377" i="8"/>
  <c r="P1378" i="8"/>
  <c r="P1379" i="8"/>
  <c r="P1380" i="8"/>
  <c r="P1381" i="8"/>
  <c r="P1382" i="8"/>
  <c r="P1383" i="8"/>
  <c r="P1384" i="8"/>
  <c r="P1385" i="8"/>
  <c r="P1386" i="8"/>
  <c r="P1387" i="8"/>
  <c r="P1388" i="8"/>
  <c r="P1389" i="8"/>
  <c r="P1390" i="8"/>
  <c r="P1391" i="8"/>
  <c r="P1392" i="8"/>
  <c r="P1393" i="8"/>
  <c r="P1394" i="8"/>
  <c r="P1395" i="8"/>
  <c r="P1396" i="8"/>
  <c r="P1397" i="8"/>
  <c r="P1398" i="8"/>
  <c r="P1399" i="8"/>
  <c r="P1400" i="8"/>
  <c r="P1401" i="8"/>
  <c r="P1402" i="8"/>
  <c r="P1403" i="8"/>
  <c r="P1404" i="8"/>
  <c r="P1405" i="8"/>
  <c r="P1406" i="8"/>
  <c r="P1407" i="8"/>
  <c r="P1408" i="8"/>
  <c r="P1409" i="8"/>
  <c r="P1410" i="8"/>
  <c r="P1411" i="8"/>
  <c r="P1412" i="8"/>
  <c r="P1413" i="8"/>
  <c r="P1414" i="8"/>
  <c r="P1415" i="8"/>
  <c r="P1416" i="8"/>
  <c r="P1417" i="8"/>
  <c r="P1418" i="8"/>
  <c r="P1419" i="8"/>
  <c r="P1420" i="8"/>
  <c r="P1421" i="8"/>
  <c r="P1422" i="8"/>
  <c r="P1423" i="8"/>
  <c r="P1424" i="8"/>
  <c r="P1425" i="8"/>
  <c r="P1426" i="8"/>
  <c r="P1427" i="8"/>
  <c r="P1428" i="8"/>
  <c r="P1429" i="8"/>
  <c r="P1430" i="8"/>
  <c r="P1431" i="8"/>
  <c r="P1432" i="8"/>
  <c r="P1433" i="8"/>
  <c r="P1434" i="8"/>
  <c r="P1435" i="8"/>
  <c r="P1436" i="8"/>
  <c r="P1437" i="8"/>
  <c r="P1438" i="8"/>
  <c r="P1439" i="8"/>
  <c r="P1440" i="8"/>
  <c r="P1441" i="8"/>
  <c r="P1442" i="8"/>
  <c r="P1443" i="8"/>
  <c r="P1444" i="8"/>
  <c r="P1445" i="8"/>
  <c r="P1446" i="8"/>
  <c r="P1447" i="8"/>
  <c r="P1448" i="8"/>
  <c r="P1449" i="8"/>
  <c r="P1450" i="8"/>
  <c r="P1451" i="8"/>
  <c r="P1452" i="8"/>
  <c r="P1453" i="8"/>
  <c r="P1454" i="8"/>
  <c r="P1455" i="8"/>
  <c r="P1456" i="8"/>
  <c r="P1457" i="8"/>
  <c r="P1458" i="8"/>
  <c r="P1459" i="8"/>
  <c r="P1460" i="8"/>
  <c r="P1461" i="8"/>
  <c r="P1462" i="8"/>
  <c r="P1463" i="8"/>
  <c r="P1464" i="8"/>
  <c r="P1465" i="8"/>
  <c r="P1466" i="8"/>
  <c r="P1467" i="8"/>
  <c r="P1468" i="8"/>
  <c r="P1469" i="8"/>
  <c r="P1470" i="8"/>
  <c r="P1471" i="8"/>
  <c r="P1472" i="8"/>
  <c r="P1473" i="8"/>
  <c r="P1474" i="8"/>
  <c r="P1475" i="8"/>
  <c r="P1476" i="8"/>
  <c r="P1477" i="8"/>
  <c r="P1478" i="8"/>
  <c r="P1479" i="8"/>
  <c r="P1480" i="8"/>
  <c r="P1481" i="8"/>
  <c r="P1482" i="8"/>
  <c r="P1483" i="8"/>
  <c r="P1484" i="8"/>
  <c r="P1485" i="8"/>
  <c r="P1486" i="8"/>
  <c r="P1487" i="8"/>
  <c r="P1488" i="8"/>
  <c r="P1501" i="8"/>
  <c r="P1502" i="8"/>
  <c r="P1503" i="8"/>
  <c r="P1504" i="8"/>
  <c r="P1505" i="8"/>
  <c r="P1506" i="8"/>
  <c r="P1507" i="8"/>
  <c r="P1508" i="8"/>
  <c r="P1509" i="8"/>
  <c r="P1510" i="8"/>
  <c r="P1511" i="8"/>
  <c r="P1512" i="8"/>
  <c r="P1513" i="8"/>
  <c r="P1514" i="8"/>
  <c r="P1532" i="8"/>
  <c r="P1533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57" i="8"/>
  <c r="G1458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401" i="8"/>
  <c r="G1350" i="8"/>
  <c r="G1351" i="8"/>
  <c r="G1346" i="8"/>
  <c r="G1347" i="8"/>
  <c r="G1348" i="8"/>
  <c r="G1349" i="8"/>
  <c r="G1308" i="8"/>
  <c r="G1307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K1273" i="8"/>
  <c r="K1272" i="8"/>
  <c r="K1271" i="8"/>
  <c r="K1270" i="8"/>
  <c r="G1261" i="8"/>
  <c r="G1262" i="8"/>
  <c r="G1263" i="8"/>
  <c r="G1264" i="8"/>
  <c r="G1265" i="8"/>
  <c r="G1266" i="8"/>
  <c r="G1267" i="8"/>
  <c r="G1268" i="8"/>
  <c r="G1269" i="8"/>
  <c r="G1204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199" i="8"/>
  <c r="G1200" i="8"/>
  <c r="G1201" i="8"/>
  <c r="G1202" i="8"/>
  <c r="G1203" i="8"/>
  <c r="G1194" i="8"/>
  <c r="K1198" i="8"/>
  <c r="K1197" i="8"/>
  <c r="K1196" i="8"/>
  <c r="K1195" i="8"/>
  <c r="K1194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5" i="8"/>
  <c r="G1196" i="8"/>
  <c r="G1197" i="8"/>
  <c r="G1198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70" i="8"/>
  <c r="G1271" i="8"/>
  <c r="G1272" i="8"/>
  <c r="G1273" i="8"/>
  <c r="G1274" i="8"/>
  <c r="G1275" i="8"/>
  <c r="G1276" i="8"/>
  <c r="G1277" i="8"/>
  <c r="G1278" i="8"/>
  <c r="G1299" i="8"/>
  <c r="G1300" i="8"/>
  <c r="G1301" i="8"/>
  <c r="G1302" i="8"/>
  <c r="G1303" i="8"/>
  <c r="G1304" i="8"/>
  <c r="G1305" i="8"/>
  <c r="G1306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52" i="8"/>
  <c r="G1353" i="8"/>
  <c r="G1354" i="8"/>
  <c r="G1355" i="8"/>
  <c r="G1364" i="8"/>
  <c r="G1365" i="8"/>
  <c r="G1366" i="8"/>
  <c r="G1367" i="8"/>
  <c r="G1368" i="8"/>
  <c r="G1369" i="8"/>
  <c r="G1370" i="8"/>
  <c r="G1371" i="8"/>
  <c r="G1372" i="8"/>
  <c r="G1373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142" i="8"/>
  <c r="G1143" i="8"/>
  <c r="G1144" i="8"/>
  <c r="G1145" i="8"/>
  <c r="G1146" i="8"/>
  <c r="G1147" i="8"/>
  <c r="G1148" i="8"/>
  <c r="G1149" i="8"/>
  <c r="K1121" i="8"/>
  <c r="K1120" i="8"/>
  <c r="K1119" i="8"/>
  <c r="K1118" i="8"/>
  <c r="K1117" i="8"/>
  <c r="K1116" i="8"/>
  <c r="K1115" i="8"/>
  <c r="K1114" i="8"/>
  <c r="K1113" i="8"/>
  <c r="K1112" i="8"/>
  <c r="K1111" i="8"/>
  <c r="K1110" i="8"/>
  <c r="K1109" i="8"/>
  <c r="K1108" i="8"/>
  <c r="K1107" i="8"/>
  <c r="K1106" i="8"/>
  <c r="K1105" i="8"/>
  <c r="K1104" i="8"/>
  <c r="K1103" i="8"/>
  <c r="K1102" i="8"/>
  <c r="K1101" i="8"/>
  <c r="K1100" i="8"/>
  <c r="K1099" i="8"/>
  <c r="K1098" i="8"/>
  <c r="K1097" i="8"/>
  <c r="K1096" i="8"/>
  <c r="K1095" i="8"/>
  <c r="K1094" i="8"/>
  <c r="K1093" i="8"/>
  <c r="K1092" i="8"/>
  <c r="K1091" i="8"/>
  <c r="K1090" i="8"/>
  <c r="K1089" i="8"/>
  <c r="K1088" i="8"/>
  <c r="K1087" i="8"/>
  <c r="K1086" i="8"/>
  <c r="K1085" i="8"/>
  <c r="K1084" i="8"/>
  <c r="K1083" i="8"/>
  <c r="K1082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40" i="8"/>
  <c r="G1141" i="8"/>
  <c r="K1081" i="8"/>
  <c r="K1080" i="8"/>
  <c r="K1079" i="8"/>
  <c r="K1078" i="8"/>
  <c r="K1077" i="8"/>
  <c r="K1076" i="8"/>
  <c r="K1075" i="8"/>
  <c r="K1074" i="8"/>
  <c r="K1073" i="8"/>
  <c r="G1072" i="8"/>
  <c r="G1073" i="8"/>
  <c r="G1074" i="8"/>
  <c r="G1075" i="8"/>
  <c r="G1076" i="8"/>
  <c r="G1077" i="8"/>
  <c r="G1078" i="8"/>
  <c r="G1079" i="8"/>
  <c r="G1080" i="8"/>
  <c r="G1081" i="8"/>
  <c r="K1072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46" i="8"/>
  <c r="G1047" i="8"/>
  <c r="G1048" i="8"/>
  <c r="G1049" i="8"/>
  <c r="G1050" i="8"/>
  <c r="G1051" i="8"/>
  <c r="G1052" i="8"/>
  <c r="G1053" i="8"/>
  <c r="G1054" i="8"/>
  <c r="G1045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K1020" i="8"/>
  <c r="K1019" i="8"/>
  <c r="K1018" i="8"/>
  <c r="K1017" i="8"/>
  <c r="K1016" i="8"/>
  <c r="K1015" i="8"/>
  <c r="K1014" i="8"/>
  <c r="K1013" i="8"/>
  <c r="K1012" i="8"/>
  <c r="K1011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K1010" i="8"/>
  <c r="K1009" i="8"/>
  <c r="K1008" i="8"/>
  <c r="K1007" i="8"/>
  <c r="K1006" i="8"/>
  <c r="K1005" i="8"/>
  <c r="K1004" i="8"/>
  <c r="K1003" i="8"/>
  <c r="K1002" i="8"/>
  <c r="K1001" i="8"/>
  <c r="K1000" i="8"/>
  <c r="K999" i="8"/>
  <c r="K998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76" i="8"/>
  <c r="K965" i="8"/>
  <c r="K964" i="8"/>
  <c r="K963" i="8"/>
  <c r="K962" i="8"/>
  <c r="K961" i="8"/>
  <c r="K960" i="8"/>
  <c r="K959" i="8"/>
  <c r="K958" i="8"/>
  <c r="K957" i="8"/>
  <c r="K956" i="8"/>
  <c r="K955" i="8"/>
  <c r="K954" i="8"/>
  <c r="K953" i="8"/>
  <c r="K952" i="8"/>
  <c r="K951" i="8"/>
  <c r="K950" i="8"/>
  <c r="K949" i="8"/>
  <c r="K948" i="8"/>
  <c r="K947" i="8"/>
  <c r="K946" i="8"/>
  <c r="G939" i="8"/>
  <c r="G940" i="8"/>
  <c r="G941" i="8"/>
  <c r="G942" i="8"/>
  <c r="G943" i="8"/>
  <c r="G944" i="8"/>
  <c r="G945" i="8"/>
  <c r="G929" i="8"/>
  <c r="G930" i="8"/>
  <c r="G931" i="8"/>
  <c r="G932" i="8"/>
  <c r="G933" i="8"/>
  <c r="G934" i="8"/>
  <c r="G935" i="8"/>
  <c r="G936" i="8"/>
  <c r="G937" i="8"/>
  <c r="G938" i="8"/>
  <c r="K928" i="8"/>
  <c r="K927" i="8"/>
  <c r="K926" i="8"/>
  <c r="K925" i="8"/>
  <c r="K924" i="8"/>
  <c r="K923" i="8"/>
  <c r="K922" i="8"/>
  <c r="K921" i="8"/>
  <c r="K920" i="8"/>
  <c r="K919" i="8"/>
  <c r="K918" i="8"/>
  <c r="K917" i="8"/>
  <c r="K916" i="8"/>
  <c r="K915" i="8"/>
  <c r="K914" i="8"/>
  <c r="K913" i="8"/>
  <c r="K912" i="8"/>
  <c r="K911" i="8"/>
  <c r="K910" i="8"/>
  <c r="K909" i="8"/>
  <c r="K908" i="8"/>
  <c r="K907" i="8"/>
  <c r="K906" i="8"/>
  <c r="K905" i="8"/>
  <c r="K904" i="8"/>
  <c r="K903" i="8"/>
  <c r="K902" i="8"/>
  <c r="K901" i="8"/>
  <c r="K900" i="8"/>
  <c r="K899" i="8"/>
  <c r="K898" i="8"/>
  <c r="K897" i="8"/>
  <c r="K896" i="8"/>
  <c r="K895" i="8"/>
  <c r="K894" i="8"/>
  <c r="K893" i="8"/>
  <c r="K892" i="8"/>
  <c r="K891" i="8"/>
  <c r="K890" i="8"/>
  <c r="K889" i="8"/>
  <c r="K888" i="8"/>
  <c r="P1103" i="8"/>
  <c r="Q1103" i="8"/>
  <c r="P1104" i="8"/>
  <c r="Q1104" i="8"/>
  <c r="P1105" i="8"/>
  <c r="Q1105" i="8"/>
  <c r="P1106" i="8"/>
  <c r="Q1106" i="8"/>
  <c r="P1107" i="8"/>
  <c r="Q1107" i="8"/>
  <c r="P1108" i="8"/>
  <c r="Q1108" i="8"/>
  <c r="P1109" i="8"/>
  <c r="Q1109" i="8"/>
  <c r="P1110" i="8"/>
  <c r="Q1110" i="8"/>
  <c r="P1111" i="8"/>
  <c r="Q1111" i="8"/>
  <c r="P1112" i="8"/>
  <c r="Q1112" i="8"/>
  <c r="P1113" i="8"/>
  <c r="Q1113" i="8"/>
  <c r="P1114" i="8"/>
  <c r="Q1114" i="8"/>
  <c r="P1115" i="8"/>
  <c r="Q1115" i="8"/>
  <c r="P1116" i="8"/>
  <c r="Q1116" i="8"/>
  <c r="P1117" i="8"/>
  <c r="Q1117" i="8"/>
  <c r="P1118" i="8"/>
  <c r="Q1118" i="8"/>
  <c r="P1119" i="8"/>
  <c r="Q1119" i="8"/>
  <c r="P1120" i="8"/>
  <c r="Q1120" i="8"/>
  <c r="P1121" i="8"/>
  <c r="Q1121" i="8"/>
  <c r="P1122" i="8"/>
  <c r="Q1122" i="8"/>
  <c r="P1123" i="8"/>
  <c r="Q1123" i="8"/>
  <c r="P1124" i="8"/>
  <c r="Q1124" i="8"/>
  <c r="P1125" i="8"/>
  <c r="Q1125" i="8"/>
  <c r="P1126" i="8"/>
  <c r="Q1126" i="8"/>
  <c r="P1127" i="8"/>
  <c r="Q1127" i="8"/>
  <c r="P1128" i="8"/>
  <c r="Q1128" i="8"/>
  <c r="P1129" i="8"/>
  <c r="Q1129" i="8"/>
  <c r="P1130" i="8"/>
  <c r="Q1130" i="8"/>
  <c r="P1131" i="8"/>
  <c r="Q1131" i="8"/>
  <c r="P1132" i="8"/>
  <c r="Q1132" i="8"/>
  <c r="P1133" i="8"/>
  <c r="Q1133" i="8"/>
  <c r="P1134" i="8"/>
  <c r="Q1134" i="8"/>
  <c r="P1135" i="8"/>
  <c r="Q1135" i="8"/>
  <c r="P1136" i="8"/>
  <c r="Q1136" i="8"/>
  <c r="P1137" i="8"/>
  <c r="Q1137" i="8"/>
  <c r="P1138" i="8"/>
  <c r="Q1138" i="8"/>
  <c r="P1139" i="8"/>
  <c r="Q1139" i="8"/>
  <c r="P1140" i="8"/>
  <c r="Q1140" i="8"/>
  <c r="P1141" i="8"/>
  <c r="Q1141" i="8"/>
  <c r="P1142" i="8"/>
  <c r="Q1142" i="8"/>
  <c r="P1143" i="8"/>
  <c r="Q1143" i="8"/>
  <c r="P1144" i="8"/>
  <c r="Q1144" i="8"/>
  <c r="P1145" i="8"/>
  <c r="Q1145" i="8"/>
  <c r="P1146" i="8"/>
  <c r="Q1146" i="8"/>
  <c r="P1147" i="8"/>
  <c r="Q1147" i="8"/>
  <c r="P1148" i="8"/>
  <c r="Q1148" i="8"/>
  <c r="P1149" i="8"/>
  <c r="Q1149" i="8"/>
  <c r="P1150" i="8"/>
  <c r="Q1150" i="8"/>
  <c r="P1151" i="8"/>
  <c r="Q1151" i="8"/>
  <c r="P1152" i="8"/>
  <c r="Q1152" i="8"/>
  <c r="P1153" i="8"/>
  <c r="Q1153" i="8"/>
  <c r="P1154" i="8"/>
  <c r="Q1154" i="8"/>
  <c r="P1155" i="8"/>
  <c r="Q1155" i="8"/>
  <c r="P1156" i="8"/>
  <c r="Q1156" i="8"/>
  <c r="P1157" i="8"/>
  <c r="Q1157" i="8"/>
  <c r="P1158" i="8"/>
  <c r="Q1158" i="8"/>
  <c r="P1159" i="8"/>
  <c r="Q1159" i="8"/>
  <c r="P1160" i="8"/>
  <c r="Q1160" i="8"/>
  <c r="P1161" i="8"/>
  <c r="Q1161" i="8"/>
  <c r="P1162" i="8"/>
  <c r="Q1162" i="8"/>
  <c r="P1163" i="8"/>
  <c r="Q1163" i="8"/>
  <c r="P1164" i="8"/>
  <c r="Q1164" i="8"/>
  <c r="P1165" i="8"/>
  <c r="Q1165" i="8"/>
  <c r="P1166" i="8"/>
  <c r="Q1166" i="8"/>
  <c r="P1167" i="8"/>
  <c r="Q1167" i="8"/>
  <c r="P1168" i="8"/>
  <c r="Q1168" i="8"/>
  <c r="P1169" i="8"/>
  <c r="Q1169" i="8"/>
  <c r="P1170" i="8"/>
  <c r="Q1170" i="8"/>
  <c r="P1171" i="8"/>
  <c r="Q1171" i="8"/>
  <c r="P1172" i="8"/>
  <c r="Q1172" i="8"/>
  <c r="P1173" i="8"/>
  <c r="Q1173" i="8"/>
  <c r="P1174" i="8"/>
  <c r="Q1174" i="8"/>
  <c r="P1175" i="8"/>
  <c r="Q1175" i="8"/>
  <c r="P1176" i="8"/>
  <c r="Q1176" i="8"/>
  <c r="P1177" i="8"/>
  <c r="Q1177" i="8"/>
  <c r="P1178" i="8"/>
  <c r="Q1178" i="8"/>
  <c r="P1179" i="8"/>
  <c r="Q1179" i="8"/>
  <c r="P1180" i="8"/>
  <c r="Q1180" i="8"/>
  <c r="P1181" i="8"/>
  <c r="Q1181" i="8"/>
  <c r="P1182" i="8"/>
  <c r="Q1182" i="8"/>
  <c r="P1183" i="8"/>
  <c r="Q1183" i="8"/>
  <c r="P1184" i="8"/>
  <c r="Q1184" i="8"/>
  <c r="P1185" i="8"/>
  <c r="Q1185" i="8"/>
  <c r="P1186" i="8"/>
  <c r="Q1186" i="8"/>
  <c r="P1187" i="8"/>
  <c r="Q1187" i="8"/>
  <c r="P1188" i="8"/>
  <c r="Q1188" i="8"/>
  <c r="P1189" i="8"/>
  <c r="Q1189" i="8"/>
  <c r="P1190" i="8"/>
  <c r="Q1190" i="8"/>
  <c r="P1191" i="8"/>
  <c r="Q1191" i="8"/>
  <c r="P1192" i="8"/>
  <c r="Q1192" i="8"/>
  <c r="P1193" i="8"/>
  <c r="Q1193" i="8"/>
  <c r="P1194" i="8"/>
  <c r="Q1194" i="8"/>
  <c r="P1195" i="8"/>
  <c r="Q1195" i="8"/>
  <c r="P1196" i="8"/>
  <c r="Q1196" i="8"/>
  <c r="P1197" i="8"/>
  <c r="Q1197" i="8"/>
  <c r="P1198" i="8"/>
  <c r="Q1198" i="8"/>
  <c r="P1199" i="8"/>
  <c r="Q1199" i="8"/>
  <c r="P1200" i="8"/>
  <c r="Q1200" i="8"/>
  <c r="P1201" i="8"/>
  <c r="Q1201" i="8"/>
  <c r="P1202" i="8"/>
  <c r="Q1202" i="8"/>
  <c r="P1203" i="8"/>
  <c r="Q1203" i="8"/>
  <c r="P1204" i="8"/>
  <c r="Q1204" i="8"/>
  <c r="P1205" i="8"/>
  <c r="Q1205" i="8"/>
  <c r="P1206" i="8"/>
  <c r="Q1206" i="8"/>
  <c r="P1207" i="8"/>
  <c r="Q1207" i="8"/>
  <c r="P1208" i="8"/>
  <c r="Q1208" i="8"/>
  <c r="P1209" i="8"/>
  <c r="Q1209" i="8"/>
  <c r="P1210" i="8"/>
  <c r="Q1210" i="8"/>
  <c r="P1211" i="8"/>
  <c r="Q1211" i="8"/>
  <c r="P1212" i="8"/>
  <c r="Q1212" i="8"/>
  <c r="P1213" i="8"/>
  <c r="Q1213" i="8"/>
  <c r="P1214" i="8"/>
  <c r="Q1214" i="8"/>
  <c r="P1215" i="8"/>
  <c r="Q1215" i="8"/>
  <c r="P1216" i="8"/>
  <c r="Q1216" i="8"/>
  <c r="P1217" i="8"/>
  <c r="Q1217" i="8"/>
  <c r="P1218" i="8"/>
  <c r="Q1218" i="8"/>
  <c r="P1219" i="8"/>
  <c r="Q1219" i="8"/>
  <c r="P1220" i="8"/>
  <c r="Q1220" i="8"/>
  <c r="P1221" i="8"/>
  <c r="Q1221" i="8"/>
  <c r="P1222" i="8"/>
  <c r="Q1222" i="8"/>
  <c r="P1223" i="8"/>
  <c r="Q1223" i="8"/>
  <c r="P1224" i="8"/>
  <c r="Q1224" i="8"/>
  <c r="P1225" i="8"/>
  <c r="Q1225" i="8"/>
  <c r="P1226" i="8"/>
  <c r="Q1226" i="8"/>
  <c r="P1227" i="8"/>
  <c r="Q1227" i="8"/>
  <c r="P1228" i="8"/>
  <c r="Q1228" i="8"/>
  <c r="P1229" i="8"/>
  <c r="Q1229" i="8"/>
  <c r="P1230" i="8"/>
  <c r="Q1230" i="8"/>
  <c r="P1231" i="8"/>
  <c r="Q1231" i="8"/>
  <c r="P1232" i="8"/>
  <c r="Q1232" i="8"/>
  <c r="P1233" i="8"/>
  <c r="Q1233" i="8"/>
  <c r="P1234" i="8"/>
  <c r="Q1234" i="8"/>
  <c r="P1235" i="8"/>
  <c r="Q1235" i="8"/>
  <c r="P1236" i="8"/>
  <c r="Q1236" i="8"/>
  <c r="P1237" i="8"/>
  <c r="Q1237" i="8"/>
  <c r="P1238" i="8"/>
  <c r="Q1238" i="8"/>
  <c r="P1239" i="8"/>
  <c r="Q1239" i="8"/>
  <c r="P1240" i="8"/>
  <c r="Q1240" i="8"/>
  <c r="P1241" i="8"/>
  <c r="Q1241" i="8"/>
  <c r="P1242" i="8"/>
  <c r="Q1242" i="8"/>
  <c r="P1243" i="8"/>
  <c r="Q1243" i="8"/>
  <c r="P1244" i="8"/>
  <c r="Q1244" i="8"/>
  <c r="P1245" i="8"/>
  <c r="Q1245" i="8"/>
  <c r="P1246" i="8"/>
  <c r="Q1246" i="8"/>
  <c r="P1247" i="8"/>
  <c r="Q1247" i="8"/>
  <c r="P1248" i="8"/>
  <c r="Q1248" i="8"/>
  <c r="P1249" i="8"/>
  <c r="Q1249" i="8"/>
  <c r="P1250" i="8"/>
  <c r="Q1250" i="8"/>
  <c r="P1251" i="8"/>
  <c r="Q1251" i="8"/>
  <c r="P1252" i="8"/>
  <c r="Q1252" i="8"/>
  <c r="P1253" i="8"/>
  <c r="Q1253" i="8"/>
  <c r="P1254" i="8"/>
  <c r="Q1254" i="8"/>
  <c r="P1255" i="8"/>
  <c r="Q1255" i="8"/>
  <c r="P1256" i="8"/>
  <c r="Q1256" i="8"/>
  <c r="P1257" i="8"/>
  <c r="Q1257" i="8"/>
  <c r="P1258" i="8"/>
  <c r="Q1258" i="8"/>
  <c r="P1259" i="8"/>
  <c r="Q1259" i="8"/>
  <c r="P1260" i="8"/>
  <c r="Q1260" i="8"/>
  <c r="P1261" i="8"/>
  <c r="Q1261" i="8"/>
  <c r="P1262" i="8"/>
  <c r="Q1262" i="8"/>
  <c r="P1263" i="8"/>
  <c r="Q1263" i="8"/>
  <c r="P1264" i="8"/>
  <c r="Q1264" i="8"/>
  <c r="P1265" i="8"/>
  <c r="Q1265" i="8"/>
  <c r="P1266" i="8"/>
  <c r="Q1266" i="8"/>
  <c r="P1267" i="8"/>
  <c r="Q1267" i="8"/>
  <c r="P1268" i="8"/>
  <c r="Q1268" i="8"/>
  <c r="P1269" i="8"/>
  <c r="Q1269" i="8"/>
  <c r="P1270" i="8"/>
  <c r="Q1270" i="8"/>
  <c r="P1271" i="8"/>
  <c r="Q1271" i="8"/>
  <c r="P1272" i="8"/>
  <c r="Q1272" i="8"/>
  <c r="P1273" i="8"/>
  <c r="Q1273" i="8"/>
  <c r="P1274" i="8"/>
  <c r="Q1274" i="8"/>
  <c r="P1275" i="8"/>
  <c r="Q1275" i="8"/>
  <c r="P1276" i="8"/>
  <c r="Q1276" i="8"/>
  <c r="P1277" i="8"/>
  <c r="Q1277" i="8"/>
  <c r="P1278" i="8"/>
  <c r="Q1278" i="8"/>
  <c r="P1279" i="8"/>
  <c r="Q1279" i="8"/>
  <c r="P1280" i="8"/>
  <c r="Q1280" i="8"/>
  <c r="P1281" i="8"/>
  <c r="Q1281" i="8"/>
  <c r="P1282" i="8"/>
  <c r="Q1282" i="8"/>
  <c r="P1283" i="8"/>
  <c r="Q1283" i="8"/>
  <c r="P1284" i="8"/>
  <c r="Q1284" i="8"/>
  <c r="P1285" i="8"/>
  <c r="Q1285" i="8"/>
  <c r="P1286" i="8"/>
  <c r="Q1286" i="8"/>
  <c r="P1287" i="8"/>
  <c r="Q1287" i="8"/>
  <c r="P1288" i="8"/>
  <c r="Q1288" i="8"/>
  <c r="P1289" i="8"/>
  <c r="Q1289" i="8"/>
  <c r="P1290" i="8"/>
  <c r="Q1290" i="8"/>
  <c r="P1291" i="8"/>
  <c r="Q1291" i="8"/>
  <c r="P1292" i="8"/>
  <c r="Q1292" i="8"/>
  <c r="P1293" i="8"/>
  <c r="Q1293" i="8"/>
  <c r="P1294" i="8"/>
  <c r="Q1294" i="8"/>
  <c r="P1295" i="8"/>
  <c r="Q1295" i="8"/>
  <c r="P1296" i="8"/>
  <c r="Q1296" i="8"/>
  <c r="P1297" i="8"/>
  <c r="Q1297" i="8"/>
  <c r="P1298" i="8"/>
  <c r="Q1298" i="8"/>
  <c r="P1299" i="8"/>
  <c r="Q1299" i="8"/>
  <c r="P1300" i="8"/>
  <c r="Q1300" i="8"/>
  <c r="P1301" i="8"/>
  <c r="Q1301" i="8"/>
  <c r="P1302" i="8"/>
  <c r="Q1302" i="8"/>
  <c r="P1303" i="8"/>
  <c r="Q1303" i="8"/>
  <c r="P1304" i="8"/>
  <c r="Q1304" i="8"/>
  <c r="P1305" i="8"/>
  <c r="Q1305" i="8"/>
  <c r="P1306" i="8"/>
  <c r="Q1306" i="8"/>
  <c r="P1309" i="8"/>
  <c r="Q1309" i="8"/>
  <c r="P1310" i="8"/>
  <c r="Q1310" i="8"/>
  <c r="P1311" i="8"/>
  <c r="Q1311" i="8"/>
  <c r="P1312" i="8"/>
  <c r="Q1312" i="8"/>
  <c r="P1313" i="8"/>
  <c r="Q1313" i="8"/>
  <c r="P1314" i="8"/>
  <c r="Q1314" i="8"/>
  <c r="P1315" i="8"/>
  <c r="Q1315" i="8"/>
  <c r="P1316" i="8"/>
  <c r="Q1316" i="8"/>
  <c r="P1317" i="8"/>
  <c r="Q1317" i="8"/>
  <c r="P1318" i="8"/>
  <c r="Q1318" i="8"/>
  <c r="P1319" i="8"/>
  <c r="Q1319" i="8"/>
  <c r="P1320" i="8"/>
  <c r="Q1320" i="8"/>
  <c r="P1321" i="8"/>
  <c r="Q1321" i="8"/>
  <c r="P1322" i="8"/>
  <c r="Q1322" i="8"/>
  <c r="P1323" i="8"/>
  <c r="Q1323" i="8"/>
  <c r="P1324" i="8"/>
  <c r="Q1324" i="8"/>
  <c r="P1325" i="8"/>
  <c r="Q1325" i="8"/>
  <c r="P1326" i="8"/>
  <c r="Q1326" i="8"/>
  <c r="P1327" i="8"/>
  <c r="Q1327" i="8"/>
  <c r="P1328" i="8"/>
  <c r="Q1328" i="8"/>
  <c r="P1329" i="8"/>
  <c r="Q1329" i="8"/>
  <c r="P1330" i="8"/>
  <c r="Q1330" i="8"/>
  <c r="P1331" i="8"/>
  <c r="Q1331" i="8"/>
  <c r="P1332" i="8"/>
  <c r="Q1332" i="8"/>
  <c r="P1333" i="8"/>
  <c r="Q1333" i="8"/>
  <c r="P1334" i="8"/>
  <c r="Q1334" i="8"/>
  <c r="P1335" i="8"/>
  <c r="Q1335" i="8"/>
  <c r="P1336" i="8"/>
  <c r="Q1336" i="8"/>
  <c r="P1337" i="8"/>
  <c r="Q1337" i="8"/>
  <c r="P1338" i="8"/>
  <c r="Q1338" i="8"/>
  <c r="P1339" i="8"/>
  <c r="Q1339" i="8"/>
  <c r="P1340" i="8"/>
  <c r="Q1340" i="8"/>
  <c r="P1341" i="8"/>
  <c r="Q1341" i="8"/>
  <c r="P1342" i="8"/>
  <c r="Q1342" i="8"/>
  <c r="P1343" i="8"/>
  <c r="Q1343" i="8"/>
  <c r="P1344" i="8"/>
  <c r="Q1344" i="8"/>
  <c r="P1345" i="8"/>
  <c r="Q1345" i="8"/>
  <c r="P1346" i="8"/>
  <c r="Q1346" i="8"/>
  <c r="P1347" i="8"/>
  <c r="Q1347" i="8"/>
  <c r="P1348" i="8"/>
  <c r="Q1348" i="8"/>
  <c r="P1349" i="8"/>
  <c r="Q1349" i="8"/>
  <c r="P1350" i="8"/>
  <c r="Q1350" i="8"/>
  <c r="P1351" i="8"/>
  <c r="Q1351" i="8"/>
  <c r="P1352" i="8"/>
  <c r="Q1352" i="8"/>
  <c r="P1353" i="8"/>
  <c r="Q1353" i="8"/>
  <c r="P1354" i="8"/>
  <c r="Q1354" i="8"/>
  <c r="P1355" i="8"/>
  <c r="Q1355" i="8"/>
  <c r="P1356" i="8"/>
  <c r="Q1356" i="8"/>
  <c r="P1357" i="8"/>
  <c r="Q1357" i="8"/>
  <c r="P1358" i="8"/>
  <c r="Q1358" i="8"/>
  <c r="P1359" i="8"/>
  <c r="Q1359" i="8"/>
  <c r="P1360" i="8"/>
  <c r="Q1360" i="8"/>
  <c r="P1361" i="8"/>
  <c r="Q1361" i="8"/>
  <c r="P1362" i="8"/>
  <c r="Q1362" i="8"/>
  <c r="P1363" i="8"/>
  <c r="Q1363" i="8"/>
  <c r="P1364" i="8"/>
  <c r="Q1364" i="8"/>
  <c r="P1365" i="8"/>
  <c r="Q1365" i="8"/>
  <c r="P1366" i="8"/>
  <c r="Q1366" i="8"/>
  <c r="P1367" i="8"/>
  <c r="Q1367" i="8"/>
  <c r="P1368" i="8"/>
  <c r="Q1368" i="8"/>
  <c r="P1369" i="8"/>
  <c r="Q1369" i="8"/>
  <c r="P1370" i="8"/>
  <c r="Q1370" i="8"/>
  <c r="P1371" i="8"/>
  <c r="Q1371" i="8"/>
  <c r="P1372" i="8"/>
  <c r="Q1372" i="8"/>
  <c r="P1373" i="8"/>
  <c r="Q1373" i="8"/>
  <c r="Q1374" i="8"/>
  <c r="Q1375" i="8"/>
  <c r="Q1376" i="8"/>
  <c r="Q1377" i="8"/>
  <c r="Q1378" i="8"/>
  <c r="Q1379" i="8"/>
  <c r="Q1380" i="8"/>
  <c r="Q1381" i="8"/>
  <c r="Q1382" i="8"/>
  <c r="Q1383" i="8"/>
  <c r="Q1384" i="8"/>
  <c r="Q1385" i="8"/>
  <c r="Q1386" i="8"/>
  <c r="Q1387" i="8"/>
  <c r="Q1388" i="8"/>
  <c r="Q1389" i="8"/>
  <c r="Q1390" i="8"/>
  <c r="Q1391" i="8"/>
  <c r="Q1392" i="8"/>
  <c r="Q1393" i="8"/>
  <c r="Q1394" i="8"/>
  <c r="Q1395" i="8"/>
  <c r="Q1396" i="8"/>
  <c r="Q1397" i="8"/>
  <c r="Q1398" i="8"/>
  <c r="Q1399" i="8"/>
  <c r="P863" i="8"/>
  <c r="Q863" i="8"/>
  <c r="P864" i="8"/>
  <c r="Q864" i="8"/>
  <c r="P865" i="8"/>
  <c r="Q865" i="8"/>
  <c r="P866" i="8"/>
  <c r="Q866" i="8"/>
  <c r="P867" i="8"/>
  <c r="Q867" i="8"/>
  <c r="P868" i="8"/>
  <c r="Q868" i="8"/>
  <c r="P869" i="8"/>
  <c r="Q869" i="8"/>
  <c r="P870" i="8"/>
  <c r="Q870" i="8"/>
  <c r="P871" i="8"/>
  <c r="Q871" i="8"/>
  <c r="P872" i="8"/>
  <c r="Q872" i="8"/>
  <c r="P873" i="8"/>
  <c r="Q873" i="8"/>
  <c r="P874" i="8"/>
  <c r="Q874" i="8"/>
  <c r="P875" i="8"/>
  <c r="Q875" i="8"/>
  <c r="P876" i="8"/>
  <c r="Q876" i="8"/>
  <c r="P877" i="8"/>
  <c r="Q877" i="8"/>
  <c r="P878" i="8"/>
  <c r="Q878" i="8"/>
  <c r="P879" i="8"/>
  <c r="Q879" i="8"/>
  <c r="P880" i="8"/>
  <c r="Q880" i="8"/>
  <c r="P881" i="8"/>
  <c r="Q881" i="8"/>
  <c r="P882" i="8"/>
  <c r="Q882" i="8"/>
  <c r="P883" i="8"/>
  <c r="Q883" i="8"/>
  <c r="P884" i="8"/>
  <c r="Q884" i="8"/>
  <c r="P885" i="8"/>
  <c r="Q885" i="8"/>
  <c r="P886" i="8"/>
  <c r="Q886" i="8"/>
  <c r="P887" i="8"/>
  <c r="Q887" i="8"/>
  <c r="P888" i="8"/>
  <c r="Q888" i="8"/>
  <c r="P889" i="8"/>
  <c r="Q889" i="8"/>
  <c r="P890" i="8"/>
  <c r="Q890" i="8"/>
  <c r="P891" i="8"/>
  <c r="Q891" i="8"/>
  <c r="P892" i="8"/>
  <c r="Q892" i="8"/>
  <c r="P893" i="8"/>
  <c r="Q893" i="8"/>
  <c r="P894" i="8"/>
  <c r="Q894" i="8"/>
  <c r="P895" i="8"/>
  <c r="Q895" i="8"/>
  <c r="P896" i="8"/>
  <c r="Q896" i="8"/>
  <c r="P897" i="8"/>
  <c r="Q897" i="8"/>
  <c r="P898" i="8"/>
  <c r="Q898" i="8"/>
  <c r="P899" i="8"/>
  <c r="Q899" i="8"/>
  <c r="P900" i="8"/>
  <c r="Q900" i="8"/>
  <c r="P901" i="8"/>
  <c r="Q901" i="8"/>
  <c r="P902" i="8"/>
  <c r="Q902" i="8"/>
  <c r="P903" i="8"/>
  <c r="Q903" i="8"/>
  <c r="P904" i="8"/>
  <c r="Q904" i="8"/>
  <c r="P905" i="8"/>
  <c r="Q905" i="8"/>
  <c r="P906" i="8"/>
  <c r="Q906" i="8"/>
  <c r="P907" i="8"/>
  <c r="Q907" i="8"/>
  <c r="P908" i="8"/>
  <c r="Q908" i="8"/>
  <c r="P909" i="8"/>
  <c r="Q909" i="8"/>
  <c r="P910" i="8"/>
  <c r="Q910" i="8"/>
  <c r="P911" i="8"/>
  <c r="Q911" i="8"/>
  <c r="P912" i="8"/>
  <c r="Q912" i="8"/>
  <c r="P913" i="8"/>
  <c r="Q913" i="8"/>
  <c r="P914" i="8"/>
  <c r="Q914" i="8"/>
  <c r="P915" i="8"/>
  <c r="Q915" i="8"/>
  <c r="P916" i="8"/>
  <c r="Q916" i="8"/>
  <c r="P917" i="8"/>
  <c r="Q917" i="8"/>
  <c r="P918" i="8"/>
  <c r="Q918" i="8"/>
  <c r="P919" i="8"/>
  <c r="Q919" i="8"/>
  <c r="P920" i="8"/>
  <c r="Q920" i="8"/>
  <c r="P921" i="8"/>
  <c r="Q921" i="8"/>
  <c r="P922" i="8"/>
  <c r="Q922" i="8"/>
  <c r="P923" i="8"/>
  <c r="Q923" i="8"/>
  <c r="P924" i="8"/>
  <c r="Q924" i="8"/>
  <c r="P925" i="8"/>
  <c r="Q925" i="8"/>
  <c r="P926" i="8"/>
  <c r="Q926" i="8"/>
  <c r="P927" i="8"/>
  <c r="Q927" i="8"/>
  <c r="P928" i="8"/>
  <c r="Q928" i="8"/>
  <c r="P929" i="8"/>
  <c r="Q929" i="8"/>
  <c r="P930" i="8"/>
  <c r="Q930" i="8"/>
  <c r="P931" i="8"/>
  <c r="Q931" i="8"/>
  <c r="P932" i="8"/>
  <c r="Q932" i="8"/>
  <c r="P933" i="8"/>
  <c r="Q933" i="8"/>
  <c r="P934" i="8"/>
  <c r="Q934" i="8"/>
  <c r="P935" i="8"/>
  <c r="Q935" i="8"/>
  <c r="P936" i="8"/>
  <c r="Q936" i="8"/>
  <c r="P937" i="8"/>
  <c r="Q937" i="8"/>
  <c r="P938" i="8"/>
  <c r="Q938" i="8"/>
  <c r="P939" i="8"/>
  <c r="Q939" i="8"/>
  <c r="P940" i="8"/>
  <c r="Q940" i="8"/>
  <c r="P941" i="8"/>
  <c r="Q941" i="8"/>
  <c r="P942" i="8"/>
  <c r="Q942" i="8"/>
  <c r="P943" i="8"/>
  <c r="Q943" i="8"/>
  <c r="P944" i="8"/>
  <c r="Q944" i="8"/>
  <c r="P945" i="8"/>
  <c r="Q945" i="8"/>
  <c r="P946" i="8"/>
  <c r="Q946" i="8"/>
  <c r="P947" i="8"/>
  <c r="Q947" i="8"/>
  <c r="P948" i="8"/>
  <c r="Q948" i="8"/>
  <c r="P949" i="8"/>
  <c r="Q949" i="8"/>
  <c r="P950" i="8"/>
  <c r="Q950" i="8"/>
  <c r="P951" i="8"/>
  <c r="Q951" i="8"/>
  <c r="P952" i="8"/>
  <c r="Q952" i="8"/>
  <c r="P953" i="8"/>
  <c r="Q953" i="8"/>
  <c r="P954" i="8"/>
  <c r="Q954" i="8"/>
  <c r="P955" i="8"/>
  <c r="Q955" i="8"/>
  <c r="P956" i="8"/>
  <c r="Q956" i="8"/>
  <c r="P957" i="8"/>
  <c r="Q957" i="8"/>
  <c r="P958" i="8"/>
  <c r="Q958" i="8"/>
  <c r="P959" i="8"/>
  <c r="Q959" i="8"/>
  <c r="P960" i="8"/>
  <c r="Q960" i="8"/>
  <c r="P961" i="8"/>
  <c r="Q961" i="8"/>
  <c r="P962" i="8"/>
  <c r="Q962" i="8"/>
  <c r="P963" i="8"/>
  <c r="Q963" i="8"/>
  <c r="P964" i="8"/>
  <c r="Q964" i="8"/>
  <c r="P965" i="8"/>
  <c r="Q965" i="8"/>
  <c r="P966" i="8"/>
  <c r="Q966" i="8"/>
  <c r="P967" i="8"/>
  <c r="Q967" i="8"/>
  <c r="P968" i="8"/>
  <c r="Q968" i="8"/>
  <c r="P969" i="8"/>
  <c r="Q969" i="8"/>
  <c r="P970" i="8"/>
  <c r="Q970" i="8"/>
  <c r="P971" i="8"/>
  <c r="Q971" i="8"/>
  <c r="P972" i="8"/>
  <c r="Q972" i="8"/>
  <c r="P973" i="8"/>
  <c r="Q973" i="8"/>
  <c r="P974" i="8"/>
  <c r="Q974" i="8"/>
  <c r="P975" i="8"/>
  <c r="Q975" i="8"/>
  <c r="P976" i="8"/>
  <c r="Q976" i="8"/>
  <c r="P977" i="8"/>
  <c r="Q977" i="8"/>
  <c r="P978" i="8"/>
  <c r="Q978" i="8"/>
  <c r="P979" i="8"/>
  <c r="Q979" i="8"/>
  <c r="P980" i="8"/>
  <c r="Q980" i="8"/>
  <c r="P981" i="8"/>
  <c r="Q981" i="8"/>
  <c r="P982" i="8"/>
  <c r="Q982" i="8"/>
  <c r="P983" i="8"/>
  <c r="Q983" i="8"/>
  <c r="P984" i="8"/>
  <c r="Q984" i="8"/>
  <c r="P985" i="8"/>
  <c r="Q985" i="8"/>
  <c r="P986" i="8"/>
  <c r="Q986" i="8"/>
  <c r="P987" i="8"/>
  <c r="Q987" i="8"/>
  <c r="P988" i="8"/>
  <c r="Q988" i="8"/>
  <c r="P989" i="8"/>
  <c r="Q989" i="8"/>
  <c r="P990" i="8"/>
  <c r="Q990" i="8"/>
  <c r="P991" i="8"/>
  <c r="Q991" i="8"/>
  <c r="P992" i="8"/>
  <c r="Q992" i="8"/>
  <c r="P993" i="8"/>
  <c r="Q993" i="8"/>
  <c r="P994" i="8"/>
  <c r="Q994" i="8"/>
  <c r="P995" i="8"/>
  <c r="Q995" i="8"/>
  <c r="P996" i="8"/>
  <c r="Q996" i="8"/>
  <c r="P997" i="8"/>
  <c r="Q997" i="8"/>
  <c r="P998" i="8"/>
  <c r="Q998" i="8"/>
  <c r="P999" i="8"/>
  <c r="Q999" i="8"/>
  <c r="P1000" i="8"/>
  <c r="Q1000" i="8"/>
  <c r="P1001" i="8"/>
  <c r="Q1001" i="8"/>
  <c r="P1002" i="8"/>
  <c r="Q1002" i="8"/>
  <c r="P1003" i="8"/>
  <c r="Q1003" i="8"/>
  <c r="P1004" i="8"/>
  <c r="Q1004" i="8"/>
  <c r="P1005" i="8"/>
  <c r="Q1005" i="8"/>
  <c r="P1006" i="8"/>
  <c r="Q1006" i="8"/>
  <c r="P1007" i="8"/>
  <c r="Q1007" i="8"/>
  <c r="P1008" i="8"/>
  <c r="Q1008" i="8"/>
  <c r="P1009" i="8"/>
  <c r="Q1009" i="8"/>
  <c r="P1010" i="8"/>
  <c r="Q1010" i="8"/>
  <c r="P1011" i="8"/>
  <c r="Q1011" i="8"/>
  <c r="P1012" i="8"/>
  <c r="Q1012" i="8"/>
  <c r="P1013" i="8"/>
  <c r="Q1013" i="8"/>
  <c r="P1014" i="8"/>
  <c r="Q1014" i="8"/>
  <c r="P1015" i="8"/>
  <c r="Q1015" i="8"/>
  <c r="P1016" i="8"/>
  <c r="Q1016" i="8"/>
  <c r="P1017" i="8"/>
  <c r="Q1017" i="8"/>
  <c r="P1018" i="8"/>
  <c r="Q1018" i="8"/>
  <c r="P1019" i="8"/>
  <c r="Q1019" i="8"/>
  <c r="P1020" i="8"/>
  <c r="Q1020" i="8"/>
  <c r="P1021" i="8"/>
  <c r="Q1021" i="8"/>
  <c r="P1022" i="8"/>
  <c r="Q1022" i="8"/>
  <c r="P1023" i="8"/>
  <c r="Q1023" i="8"/>
  <c r="P1024" i="8"/>
  <c r="Q1024" i="8"/>
  <c r="P1025" i="8"/>
  <c r="Q1025" i="8"/>
  <c r="P1026" i="8"/>
  <c r="Q1026" i="8"/>
  <c r="P1027" i="8"/>
  <c r="Q1027" i="8"/>
  <c r="P1028" i="8"/>
  <c r="Q1028" i="8"/>
  <c r="P1029" i="8"/>
  <c r="Q1029" i="8"/>
  <c r="P1030" i="8"/>
  <c r="Q1030" i="8"/>
  <c r="P1031" i="8"/>
  <c r="Q1031" i="8"/>
  <c r="P1032" i="8"/>
  <c r="Q1032" i="8"/>
  <c r="P1033" i="8"/>
  <c r="Q1033" i="8"/>
  <c r="P1034" i="8"/>
  <c r="Q1034" i="8"/>
  <c r="P1035" i="8"/>
  <c r="Q1035" i="8"/>
  <c r="P1036" i="8"/>
  <c r="Q1036" i="8"/>
  <c r="P1037" i="8"/>
  <c r="Q1037" i="8"/>
  <c r="P1038" i="8"/>
  <c r="Q1038" i="8"/>
  <c r="P1039" i="8"/>
  <c r="Q1039" i="8"/>
  <c r="P1040" i="8"/>
  <c r="Q1040" i="8"/>
  <c r="P1041" i="8"/>
  <c r="Q1041" i="8"/>
  <c r="P1042" i="8"/>
  <c r="Q1042" i="8"/>
  <c r="P1043" i="8"/>
  <c r="Q1043" i="8"/>
  <c r="P1044" i="8"/>
  <c r="Q1044" i="8"/>
  <c r="P1045" i="8"/>
  <c r="Q1045" i="8"/>
  <c r="P1046" i="8"/>
  <c r="Q1046" i="8"/>
  <c r="P1047" i="8"/>
  <c r="Q1047" i="8"/>
  <c r="P1048" i="8"/>
  <c r="Q1048" i="8"/>
  <c r="P1049" i="8"/>
  <c r="Q1049" i="8"/>
  <c r="P1050" i="8"/>
  <c r="Q1050" i="8"/>
  <c r="P1051" i="8"/>
  <c r="Q1051" i="8"/>
  <c r="P1052" i="8"/>
  <c r="Q1052" i="8"/>
  <c r="P1053" i="8"/>
  <c r="Q1053" i="8"/>
  <c r="P1054" i="8"/>
  <c r="Q1054" i="8"/>
  <c r="P1055" i="8"/>
  <c r="Q1055" i="8"/>
  <c r="P1056" i="8"/>
  <c r="Q1056" i="8"/>
  <c r="P1057" i="8"/>
  <c r="Q1057" i="8"/>
  <c r="P1058" i="8"/>
  <c r="Q1058" i="8"/>
  <c r="P1059" i="8"/>
  <c r="Q1059" i="8"/>
  <c r="P1060" i="8"/>
  <c r="Q1060" i="8"/>
  <c r="P1061" i="8"/>
  <c r="Q1061" i="8"/>
  <c r="P1062" i="8"/>
  <c r="Q1062" i="8"/>
  <c r="P1063" i="8"/>
  <c r="Q1063" i="8"/>
  <c r="P1064" i="8"/>
  <c r="Q1064" i="8"/>
  <c r="P1065" i="8"/>
  <c r="Q1065" i="8"/>
  <c r="P1066" i="8"/>
  <c r="Q1066" i="8"/>
  <c r="P1067" i="8"/>
  <c r="Q1067" i="8"/>
  <c r="P1068" i="8"/>
  <c r="Q1068" i="8"/>
  <c r="P1069" i="8"/>
  <c r="Q1069" i="8"/>
  <c r="P1070" i="8"/>
  <c r="Q1070" i="8"/>
  <c r="P1071" i="8"/>
  <c r="Q1071" i="8"/>
  <c r="P1072" i="8"/>
  <c r="Q1072" i="8"/>
  <c r="P1073" i="8"/>
  <c r="Q1073" i="8"/>
  <c r="P1074" i="8"/>
  <c r="Q1074" i="8"/>
  <c r="P1075" i="8"/>
  <c r="Q1075" i="8"/>
  <c r="P1076" i="8"/>
  <c r="Q1076" i="8"/>
  <c r="P1077" i="8"/>
  <c r="Q1077" i="8"/>
  <c r="P1078" i="8"/>
  <c r="Q1078" i="8"/>
  <c r="P1079" i="8"/>
  <c r="Q1079" i="8"/>
  <c r="P1080" i="8"/>
  <c r="Q1080" i="8"/>
  <c r="P1081" i="8"/>
  <c r="Q1081" i="8"/>
  <c r="P1082" i="8"/>
  <c r="Q1082" i="8"/>
  <c r="P1083" i="8"/>
  <c r="Q1083" i="8"/>
  <c r="P1084" i="8"/>
  <c r="Q1084" i="8"/>
  <c r="P1085" i="8"/>
  <c r="Q1085" i="8"/>
  <c r="P1086" i="8"/>
  <c r="Q1086" i="8"/>
  <c r="P1087" i="8"/>
  <c r="Q1087" i="8"/>
  <c r="P1088" i="8"/>
  <c r="Q1088" i="8"/>
  <c r="P1089" i="8"/>
  <c r="Q1089" i="8"/>
  <c r="P1090" i="8"/>
  <c r="Q1090" i="8"/>
  <c r="P1091" i="8"/>
  <c r="Q1091" i="8"/>
  <c r="P1092" i="8"/>
  <c r="Q1092" i="8"/>
  <c r="P1093" i="8"/>
  <c r="Q1093" i="8"/>
  <c r="P1094" i="8"/>
  <c r="Q1094" i="8"/>
  <c r="P1095" i="8"/>
  <c r="Q1095" i="8"/>
  <c r="P1096" i="8"/>
  <c r="Q1096" i="8"/>
  <c r="P1097" i="8"/>
  <c r="Q1097" i="8"/>
  <c r="P1098" i="8"/>
  <c r="Q1098" i="8"/>
  <c r="P1099" i="8"/>
  <c r="Q1099" i="8"/>
  <c r="P1100" i="8"/>
  <c r="Q1100" i="8"/>
  <c r="P1101" i="8"/>
  <c r="Q1101" i="8"/>
  <c r="P1102" i="8"/>
  <c r="Q1102" i="8"/>
  <c r="K875" i="8"/>
  <c r="K874" i="8"/>
  <c r="K873" i="8"/>
  <c r="K872" i="8"/>
  <c r="K871" i="8"/>
  <c r="K870" i="8"/>
  <c r="K869" i="8"/>
  <c r="K868" i="8"/>
  <c r="K867" i="8"/>
  <c r="K866" i="8"/>
  <c r="K865" i="8"/>
  <c r="K864" i="8"/>
  <c r="K863" i="8"/>
  <c r="I92" i="2"/>
  <c r="H92" i="2"/>
  <c r="G92" i="2"/>
  <c r="F92" i="2"/>
  <c r="G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2" i="2"/>
  <c r="K858" i="8"/>
  <c r="K857" i="8"/>
  <c r="K856" i="8"/>
  <c r="K855" i="8"/>
  <c r="K854" i="8"/>
  <c r="K853" i="8"/>
  <c r="K852" i="8"/>
  <c r="K851" i="8"/>
  <c r="K850" i="8"/>
  <c r="K849" i="8"/>
  <c r="K848" i="8"/>
  <c r="K847" i="8"/>
  <c r="K846" i="8"/>
  <c r="K845" i="8"/>
  <c r="K844" i="8"/>
  <c r="K843" i="8"/>
  <c r="K842" i="8"/>
  <c r="K841" i="8"/>
  <c r="K840" i="8"/>
  <c r="K839" i="8"/>
  <c r="K838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59" i="8"/>
  <c r="K860" i="8"/>
  <c r="K861" i="8"/>
  <c r="K862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966" i="8"/>
  <c r="K967" i="8"/>
  <c r="K968" i="8"/>
  <c r="K969" i="8"/>
  <c r="K970" i="8"/>
  <c r="K971" i="8"/>
  <c r="K972" i="8"/>
  <c r="K973" i="8"/>
  <c r="K975" i="8"/>
  <c r="K1065" i="8"/>
  <c r="K1066" i="8"/>
  <c r="K1067" i="8"/>
  <c r="K1068" i="8"/>
  <c r="K1069" i="8"/>
  <c r="K1070" i="8"/>
  <c r="K1071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P801" i="8"/>
  <c r="Q801" i="8"/>
  <c r="P802" i="8"/>
  <c r="Q802" i="8"/>
  <c r="P803" i="8"/>
  <c r="Q803" i="8"/>
  <c r="P804" i="8"/>
  <c r="Q804" i="8"/>
  <c r="P805" i="8"/>
  <c r="Q805" i="8"/>
  <c r="P806" i="8"/>
  <c r="Q806" i="8"/>
  <c r="P807" i="8"/>
  <c r="Q807" i="8"/>
  <c r="P808" i="8"/>
  <c r="Q808" i="8"/>
  <c r="P809" i="8"/>
  <c r="Q809" i="8"/>
  <c r="P810" i="8"/>
  <c r="Q810" i="8"/>
  <c r="P811" i="8"/>
  <c r="Q811" i="8"/>
  <c r="P812" i="8"/>
  <c r="Q812" i="8"/>
  <c r="P813" i="8"/>
  <c r="Q813" i="8"/>
  <c r="P814" i="8"/>
  <c r="Q814" i="8"/>
  <c r="P815" i="8"/>
  <c r="Q815" i="8"/>
  <c r="P816" i="8"/>
  <c r="Q816" i="8"/>
  <c r="P817" i="8"/>
  <c r="Q817" i="8"/>
  <c r="P818" i="8"/>
  <c r="Q818" i="8"/>
  <c r="P819" i="8"/>
  <c r="Q819" i="8"/>
  <c r="P820" i="8"/>
  <c r="Q820" i="8"/>
  <c r="P821" i="8"/>
  <c r="Q821" i="8"/>
  <c r="P822" i="8"/>
  <c r="Q822" i="8"/>
  <c r="P823" i="8"/>
  <c r="Q823" i="8"/>
  <c r="P824" i="8"/>
  <c r="Q824" i="8"/>
  <c r="P825" i="8"/>
  <c r="Q825" i="8"/>
  <c r="P826" i="8"/>
  <c r="Q826" i="8"/>
  <c r="P827" i="8"/>
  <c r="Q827" i="8"/>
  <c r="P828" i="8"/>
  <c r="Q828" i="8"/>
  <c r="P829" i="8"/>
  <c r="Q829" i="8"/>
  <c r="P830" i="8"/>
  <c r="Q830" i="8"/>
  <c r="P831" i="8"/>
  <c r="Q831" i="8"/>
  <c r="P832" i="8"/>
  <c r="Q832" i="8"/>
  <c r="P833" i="8"/>
  <c r="Q833" i="8"/>
  <c r="P834" i="8"/>
  <c r="Q834" i="8"/>
  <c r="P835" i="8"/>
  <c r="Q835" i="8"/>
  <c r="P836" i="8"/>
  <c r="Q836" i="8"/>
  <c r="P837" i="8"/>
  <c r="Q837" i="8"/>
  <c r="P838" i="8"/>
  <c r="Q838" i="8"/>
  <c r="P839" i="8"/>
  <c r="Q839" i="8"/>
  <c r="P840" i="8"/>
  <c r="Q840" i="8"/>
  <c r="P841" i="8"/>
  <c r="Q841" i="8"/>
  <c r="P842" i="8"/>
  <c r="Q842" i="8"/>
  <c r="P843" i="8"/>
  <c r="Q843" i="8"/>
  <c r="P844" i="8"/>
  <c r="Q844" i="8"/>
  <c r="P845" i="8"/>
  <c r="Q845" i="8"/>
  <c r="P846" i="8"/>
  <c r="Q846" i="8"/>
  <c r="P847" i="8"/>
  <c r="Q847" i="8"/>
  <c r="P848" i="8"/>
  <c r="Q848" i="8"/>
  <c r="P849" i="8"/>
  <c r="Q849" i="8"/>
  <c r="P850" i="8"/>
  <c r="Q850" i="8"/>
  <c r="P851" i="8"/>
  <c r="Q851" i="8"/>
  <c r="P852" i="8"/>
  <c r="Q852" i="8"/>
  <c r="P853" i="8"/>
  <c r="Q853" i="8"/>
  <c r="P854" i="8"/>
  <c r="Q854" i="8"/>
  <c r="P855" i="8"/>
  <c r="Q855" i="8"/>
  <c r="P856" i="8"/>
  <c r="Q856" i="8"/>
  <c r="P857" i="8"/>
  <c r="Q857" i="8"/>
  <c r="P858" i="8"/>
  <c r="Q858" i="8"/>
  <c r="P859" i="8"/>
  <c r="Q859" i="8"/>
  <c r="P860" i="8"/>
  <c r="Q860" i="8"/>
  <c r="P861" i="8"/>
  <c r="Q861" i="8"/>
  <c r="P862" i="8"/>
  <c r="Q862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P712" i="8"/>
  <c r="Q712" i="8"/>
  <c r="P713" i="8"/>
  <c r="Q713" i="8"/>
  <c r="P714" i="8"/>
  <c r="Q714" i="8"/>
  <c r="P715" i="8"/>
  <c r="Q715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17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367" i="8"/>
  <c r="G366" i="8"/>
  <c r="G365" i="8"/>
  <c r="G364" i="8"/>
  <c r="G362" i="8"/>
  <c r="G361" i="8"/>
  <c r="G360" i="8"/>
  <c r="G359" i="8"/>
  <c r="G358" i="8"/>
  <c r="G315" i="8"/>
  <c r="G314" i="8"/>
  <c r="G313" i="8"/>
  <c r="G312" i="8"/>
  <c r="G311" i="8"/>
  <c r="G310" i="8"/>
  <c r="G309" i="8"/>
  <c r="G308" i="8"/>
  <c r="G307" i="8"/>
  <c r="G306" i="8"/>
  <c r="G305" i="8"/>
  <c r="G298" i="8"/>
  <c r="G297" i="8"/>
  <c r="G296" i="8"/>
  <c r="G245" i="8"/>
  <c r="G244" i="8"/>
  <c r="G243" i="8"/>
  <c r="G242" i="8"/>
  <c r="K174" i="8"/>
  <c r="K173" i="8"/>
  <c r="K172" i="8"/>
  <c r="K171" i="8"/>
  <c r="K170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9" i="8"/>
  <c r="G300" i="8"/>
  <c r="G301" i="8"/>
  <c r="G302" i="8"/>
  <c r="G303" i="8"/>
  <c r="G304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63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K126" i="8"/>
  <c r="K125" i="8"/>
  <c r="K124" i="8"/>
  <c r="K123" i="8"/>
  <c r="K122" i="8"/>
  <c r="K121" i="8"/>
  <c r="K120" i="8"/>
  <c r="K119" i="8"/>
  <c r="K118" i="8"/>
  <c r="K74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2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75" i="8"/>
  <c r="K176" i="8"/>
  <c r="K177" i="8"/>
  <c r="K178" i="8"/>
  <c r="K179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59" i="8"/>
  <c r="G1506" i="6"/>
  <c r="G1505" i="6"/>
  <c r="G1504" i="6"/>
  <c r="G1503" i="6"/>
  <c r="G1502" i="6"/>
  <c r="G1501" i="6"/>
  <c r="G1500" i="6"/>
  <c r="G1499" i="6"/>
  <c r="G1498" i="6"/>
  <c r="G1497" i="6"/>
  <c r="G1496" i="6"/>
  <c r="G1495" i="6"/>
  <c r="G1494" i="6"/>
  <c r="G1493" i="6"/>
  <c r="G1492" i="6"/>
  <c r="G1491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29" i="6"/>
  <c r="G1075" i="6"/>
</calcChain>
</file>

<file path=xl/sharedStrings.xml><?xml version="1.0" encoding="utf-8"?>
<sst xmlns="http://schemas.openxmlformats.org/spreadsheetml/2006/main" count="47598" uniqueCount="3232">
  <si>
    <t>Mês</t>
  </si>
  <si>
    <t>UC</t>
  </si>
  <si>
    <t>Usina BC</t>
  </si>
  <si>
    <t>SPE</t>
  </si>
  <si>
    <t>Projeto</t>
  </si>
  <si>
    <t>Geração Plataforma MWh</t>
  </si>
  <si>
    <t>Geração Local MWh</t>
  </si>
  <si>
    <t>Previsão</t>
  </si>
  <si>
    <t>Atingimento %</t>
  </si>
  <si>
    <t>UFV Araçu I</t>
  </si>
  <si>
    <t>BC Energia Araçu I.I</t>
  </si>
  <si>
    <t>BC Araçu I</t>
  </si>
  <si>
    <t>UFV Araçu II</t>
  </si>
  <si>
    <t>BC Energia Araçu II.II</t>
  </si>
  <si>
    <t>BC Araçu II</t>
  </si>
  <si>
    <t>UFV Araçu III</t>
  </si>
  <si>
    <t>BC Energia Araçu II.III</t>
  </si>
  <si>
    <t>UFV Araçu IV</t>
  </si>
  <si>
    <t>BC Energia Araçu II.IV</t>
  </si>
  <si>
    <t>UFV Araçu V</t>
  </si>
  <si>
    <t>BC Energia Araçu II.V</t>
  </si>
  <si>
    <t>UFV Araçu VI</t>
  </si>
  <si>
    <t>BC Energia Araçu III.VI</t>
  </si>
  <si>
    <t>BC Araçu III</t>
  </si>
  <si>
    <t>UFV Araçu VII</t>
  </si>
  <si>
    <t>BC Energia Araçu III.VII</t>
  </si>
  <si>
    <t>UFV Araçu VIII</t>
  </si>
  <si>
    <t>BC Energia Araçu IV.VIII</t>
  </si>
  <si>
    <t>BC Araçu IV</t>
  </si>
  <si>
    <t>6/4136603-0</t>
  </si>
  <si>
    <t>UFV Barra do Garças I</t>
  </si>
  <si>
    <t>BC Energia Barra das Garças I</t>
  </si>
  <si>
    <t>BC Barra do Garças</t>
  </si>
  <si>
    <t>6/4136542-0</t>
  </si>
  <si>
    <t>UFV Barra do Garças II</t>
  </si>
  <si>
    <t>BC Energia Barra das Garças II</t>
  </si>
  <si>
    <t>6/4136538-8</t>
  </si>
  <si>
    <t>UFV Barra do Garças III</t>
  </si>
  <si>
    <t>BC Energia Barra das Garças III</t>
  </si>
  <si>
    <t>UFV Bom Sucesso</t>
  </si>
  <si>
    <t>BC Energia Bom Sucesso I</t>
  </si>
  <si>
    <t>BC Bom Sucesso</t>
  </si>
  <si>
    <t>UFV Caiapônia I</t>
  </si>
  <si>
    <t>BC Energia Caiapônia I.I</t>
  </si>
  <si>
    <t>BC Caiapônia I</t>
  </si>
  <si>
    <t>UFV Caiapônia II</t>
  </si>
  <si>
    <t>BC Energia Caiapônia I.II</t>
  </si>
  <si>
    <t>UFV Caiapônia III</t>
  </si>
  <si>
    <t>BC Energia Caiapônia I.III</t>
  </si>
  <si>
    <t>UFV Caiapônia IV</t>
  </si>
  <si>
    <t>BC Energia Caiapônia I.IV</t>
  </si>
  <si>
    <t>UFV Caiapônia V</t>
  </si>
  <si>
    <t>BC Energia Caiapônia I.V</t>
  </si>
  <si>
    <t>UFV Caiaponia VI</t>
  </si>
  <si>
    <t>BC Energia Caiapônia II.VI</t>
  </si>
  <si>
    <t>BC Caiapônia II</t>
  </si>
  <si>
    <t>UFV Caiaponia VII</t>
  </si>
  <si>
    <t>BC Energia Caiapônia II.VII</t>
  </si>
  <si>
    <t>UFV Caiaponia VIII</t>
  </si>
  <si>
    <t>BC Energia Caiapônia II.VIII</t>
  </si>
  <si>
    <t>UFV Palmeiras de Goiás 1.1</t>
  </si>
  <si>
    <t>BC Energia Camarão - Palmeiras de Goiais I.I</t>
  </si>
  <si>
    <t>BC Camarão I - Palmeiras de Goiás I</t>
  </si>
  <si>
    <t>UFV Palmeiras de Goiás 1.2</t>
  </si>
  <si>
    <t>BC Energia Camarão - Palmeiras de Goiais I.II</t>
  </si>
  <si>
    <t>UFV Palmeiras de Goiás 1.3</t>
  </si>
  <si>
    <t>BC Energia Camarão - Palmeiras de Goiais I.III</t>
  </si>
  <si>
    <t>UFV Palmeiras de Goiás 1.4</t>
  </si>
  <si>
    <t>BC Energia Camarão - Palmeiras de Goiais I.IV</t>
  </si>
  <si>
    <t>UFV Palmeiras de Goiás 1.5</t>
  </si>
  <si>
    <t>BC Energia Camarão - Palmeiras de Goiais I.V</t>
  </si>
  <si>
    <t>UFV Clareira Araçu I</t>
  </si>
  <si>
    <t>BC Energia Clareira Araçu I</t>
  </si>
  <si>
    <t>BC Clareira Araçu</t>
  </si>
  <si>
    <t>UFV Clareira Araçu II</t>
  </si>
  <si>
    <t>BC Energia Clareira Araçu II</t>
  </si>
  <si>
    <t>UFV Corumbá 1.1</t>
  </si>
  <si>
    <t>BC Energia Corumbá I.I</t>
  </si>
  <si>
    <t>BC Corumbá I</t>
  </si>
  <si>
    <t>UFV Corumbá 1.2</t>
  </si>
  <si>
    <t>BC Energia Corumbá I.II</t>
  </si>
  <si>
    <t>UFV Corumbá 1.3</t>
  </si>
  <si>
    <t>BC Energia Corumbá I.III</t>
  </si>
  <si>
    <t>UFV Corumbá 2.1</t>
  </si>
  <si>
    <t>BC Energia Corumbá II.IV</t>
  </si>
  <si>
    <t>BC Corumbá II</t>
  </si>
  <si>
    <t>UFV Corumbá 2.2</t>
  </si>
  <si>
    <t>BC Energia Corumbá II.V</t>
  </si>
  <si>
    <t>UFV Corumbá 2.3</t>
  </si>
  <si>
    <t>BC Energia Corumbá II.VI</t>
  </si>
  <si>
    <t>UFV Panamá I</t>
  </si>
  <si>
    <t>BC Energia Panamá I.I</t>
  </si>
  <si>
    <t>BC Panamá I</t>
  </si>
  <si>
    <t>UFV Panamá II</t>
  </si>
  <si>
    <t>BC Energia Panamá I.II</t>
  </si>
  <si>
    <t>UFV Panamá III</t>
  </si>
  <si>
    <t>BC Energia Panamá I.III</t>
  </si>
  <si>
    <t>UFV Panamá IV</t>
  </si>
  <si>
    <t>BC Energia Panamá I.IV</t>
  </si>
  <si>
    <t>UFV Panamá V</t>
  </si>
  <si>
    <t>BC Energia Panamá I.V</t>
  </si>
  <si>
    <t>UFV Panamá VI</t>
  </si>
  <si>
    <t>BC Energia Panamá I.VI</t>
  </si>
  <si>
    <t>UFV Panamá VII</t>
  </si>
  <si>
    <t>BC Energia Panamá I.VII</t>
  </si>
  <si>
    <t>2353016-2</t>
  </si>
  <si>
    <t>UFV Paranoá I</t>
  </si>
  <si>
    <t>BC Energia Paranoá I.I</t>
  </si>
  <si>
    <t>BC Paranoá I</t>
  </si>
  <si>
    <t>2352648-3</t>
  </si>
  <si>
    <t>UFV Paranoá II</t>
  </si>
  <si>
    <t>BC Energia Paranoá I.II</t>
  </si>
  <si>
    <t>2353023-5</t>
  </si>
  <si>
    <t>UFV Paranoá III</t>
  </si>
  <si>
    <t>BC Energia Paranoá I.III</t>
  </si>
  <si>
    <t>2346023-7</t>
  </si>
  <si>
    <t>UFV Paranoá IV</t>
  </si>
  <si>
    <t>BC Energia Paranoá I.IV</t>
  </si>
  <si>
    <t>2346009-1</t>
  </si>
  <si>
    <t>UFV Paranoá V</t>
  </si>
  <si>
    <t>BC Energia Paranoá I.V</t>
  </si>
  <si>
    <t>2345997-2</t>
  </si>
  <si>
    <t>UFV Paranoá VI</t>
  </si>
  <si>
    <t>BC Energia Paranoá I.VI</t>
  </si>
  <si>
    <t>2345992-1</t>
  </si>
  <si>
    <t>UFV Paranoá VII</t>
  </si>
  <si>
    <t>BC Energia Paranoá I.VII</t>
  </si>
  <si>
    <t>2352661-0</t>
  </si>
  <si>
    <t>UFV Paranoá VIII</t>
  </si>
  <si>
    <t>BC Energia Paranoá I.VIII</t>
  </si>
  <si>
    <t>UFV Rio Bonito 1</t>
  </si>
  <si>
    <t>BC Energia Rio Bonito I.I</t>
  </si>
  <si>
    <t>BC Rio Bonito I</t>
  </si>
  <si>
    <t>UFV Rio Bonito 2</t>
  </si>
  <si>
    <t>BC Energia Rio Bonito II.II</t>
  </si>
  <si>
    <t>BC Rio Bonito II</t>
  </si>
  <si>
    <t>UFV Rio Monte I</t>
  </si>
  <si>
    <t>BC Energia Rio Monte I.I</t>
  </si>
  <si>
    <t>BC Rio Monte I</t>
  </si>
  <si>
    <t>UFV Rio Monte II</t>
  </si>
  <si>
    <t>BC Energia Rio Monte I.II</t>
  </si>
  <si>
    <t>UFV Rio Monte III</t>
  </si>
  <si>
    <t>BC Energia Rio Monte I.III</t>
  </si>
  <si>
    <t>UFV Varjão de Minas I</t>
  </si>
  <si>
    <t>BC Energia Varjão de Minas I.I</t>
  </si>
  <si>
    <t>BC Varjão de Minas I</t>
  </si>
  <si>
    <t>UFV Varjão de Minas II</t>
  </si>
  <si>
    <t>BC Energia Varjão de Minas I.II</t>
  </si>
  <si>
    <t>UFV Varjão de Minas III</t>
  </si>
  <si>
    <t>BC Energia Varjão de Minas I.III</t>
  </si>
  <si>
    <t>UFV Varjão de Minas IV</t>
  </si>
  <si>
    <t>BC Energia Varjão de Minas II.IV</t>
  </si>
  <si>
    <t>BC Varjão de Minas II</t>
  </si>
  <si>
    <t>UFV Varjão de Minas V</t>
  </si>
  <si>
    <t>BC Energia Varjão de Minas II.V</t>
  </si>
  <si>
    <t>UFV Varjão de Minas VI</t>
  </si>
  <si>
    <t>BC Energia Varjão de Minas II.VI</t>
  </si>
  <si>
    <t>UFV Vazante I</t>
  </si>
  <si>
    <t>BC Energia Vazante I.I</t>
  </si>
  <si>
    <t>BC Vazante I</t>
  </si>
  <si>
    <t>UFV Vazante II</t>
  </si>
  <si>
    <t>BC Energia Vazante I.II</t>
  </si>
  <si>
    <t>UFV Vazante III</t>
  </si>
  <si>
    <t>BC Energia Vazante I.III</t>
  </si>
  <si>
    <t>UFV Vazante IV</t>
  </si>
  <si>
    <t>BC Energia Vazante II.IV</t>
  </si>
  <si>
    <t>BC Vazante II</t>
  </si>
  <si>
    <t>UFV Vazante V</t>
  </si>
  <si>
    <t>BC Energia Vazante II.V</t>
  </si>
  <si>
    <t>UFV Vazante VI</t>
  </si>
  <si>
    <t>BC Energia Vazante II.VI</t>
  </si>
  <si>
    <t>UFV Lençóis Paulista I</t>
  </si>
  <si>
    <t>BC Energia Lençois Paulista I</t>
  </si>
  <si>
    <t>UFV Araçu IX</t>
  </si>
  <si>
    <t>BC Energia Araçu V.IX</t>
  </si>
  <si>
    <t>BC Energia Araçu V</t>
  </si>
  <si>
    <t>UFV Araçu X</t>
  </si>
  <si>
    <t>BC Energia Araçu V.X</t>
  </si>
  <si>
    <t>UFV Araçu XI</t>
  </si>
  <si>
    <t>BC Energia Araçu V.XI</t>
  </si>
  <si>
    <t>UFV Araçu XII</t>
  </si>
  <si>
    <t>BC Energia Araçu V.XII</t>
  </si>
  <si>
    <t>UFV Araçu XIII</t>
  </si>
  <si>
    <t>BC Energia Araçu V.XIII</t>
  </si>
  <si>
    <t>UFV Turvânia I</t>
  </si>
  <si>
    <t>BC Energia Turvânia I.I</t>
  </si>
  <si>
    <t>BC Energia Turvânia</t>
  </si>
  <si>
    <t>UFV Turvânia II</t>
  </si>
  <si>
    <t>BC Energia Turvânia I.II</t>
  </si>
  <si>
    <t>UFV Turvânia III</t>
  </si>
  <si>
    <t>BC Energia Turvânia I.III</t>
  </si>
  <si>
    <t>UFV Turvânia IV</t>
  </si>
  <si>
    <t>BC Energia Turvânia I.IV</t>
  </si>
  <si>
    <t>UFV Turvânia V</t>
  </si>
  <si>
    <t>BC Energia Turvânia I.V</t>
  </si>
  <si>
    <t>UFV Formoso I</t>
  </si>
  <si>
    <t>BC Energia Formoso I.I</t>
  </si>
  <si>
    <t>BC Energia Formoso I</t>
  </si>
  <si>
    <t>UFV Formoso II</t>
  </si>
  <si>
    <t>BC Energia Formoso I.II</t>
  </si>
  <si>
    <t>UFV Formoso III</t>
  </si>
  <si>
    <t>BC Energia Formoso I.III</t>
  </si>
  <si>
    <t>UFV Formoso IV</t>
  </si>
  <si>
    <t>BC Energia Formoso II.I</t>
  </si>
  <si>
    <t>BC Energia Formoso II</t>
  </si>
  <si>
    <t>UFV Formoso V</t>
  </si>
  <si>
    <t>BC Energia Formoso II.II</t>
  </si>
  <si>
    <t>UFV Formoso VI</t>
  </si>
  <si>
    <t>BC Energia Formoso II.III</t>
  </si>
  <si>
    <t>UFV Araguatins I</t>
  </si>
  <si>
    <t>BC Energia Araguatins I.I</t>
  </si>
  <si>
    <t>BC Energia Araguatins I</t>
  </si>
  <si>
    <t>UFV Araguatins II</t>
  </si>
  <si>
    <t>BC Energia Araguatins I.II</t>
  </si>
  <si>
    <t>UFV Araguatins III</t>
  </si>
  <si>
    <t>BC Energia Araguatins I.III</t>
  </si>
  <si>
    <t>UFV Araguatins IV</t>
  </si>
  <si>
    <t>BC Energia Araguatins II.I</t>
  </si>
  <si>
    <t>BC Energia Araguatins II</t>
  </si>
  <si>
    <t>UFV Araguatins V</t>
  </si>
  <si>
    <t>BC Energia Araguatins II.II</t>
  </si>
  <si>
    <t>UFV Araguatins VI</t>
  </si>
  <si>
    <t>BC Energia Araguatins II.III</t>
  </si>
  <si>
    <t>UFV Ibiuna I</t>
  </si>
  <si>
    <t>BC Energia Ibiuna I.I</t>
  </si>
  <si>
    <t>BC Energia Ibiuna 1.1</t>
  </si>
  <si>
    <t>UFV Ibiuna II</t>
  </si>
  <si>
    <t>BC Energia Ibiuna I.II</t>
  </si>
  <si>
    <t>BC Energia Ibiuna 1.2</t>
  </si>
  <si>
    <t>Total</t>
  </si>
  <si>
    <t>UFV</t>
  </si>
  <si>
    <t>Tag</t>
  </si>
  <si>
    <t>Início Real do Evento</t>
  </si>
  <si>
    <t>Início</t>
  </si>
  <si>
    <t>Fim</t>
  </si>
  <si>
    <t>Duração</t>
  </si>
  <si>
    <t>Estado Operativo</t>
  </si>
  <si>
    <t>Condição Operativa</t>
  </si>
  <si>
    <t>Origem</t>
  </si>
  <si>
    <t>Equipamento</t>
  </si>
  <si>
    <t>Causa</t>
  </si>
  <si>
    <t>Causas Padrão</t>
  </si>
  <si>
    <t>Resolução</t>
  </si>
  <si>
    <t>Observação</t>
  </si>
  <si>
    <t>Concat - duplicata</t>
  </si>
  <si>
    <t>Combinação</t>
  </si>
  <si>
    <t>BC Caiaponia2.1</t>
  </si>
  <si>
    <t>215KTL-H3(MBUS-12)</t>
  </si>
  <si>
    <t>DAU</t>
  </si>
  <si>
    <t>RDE</t>
  </si>
  <si>
    <t>Queda de rede da concessionária.</t>
  </si>
  <si>
    <t>Falha Rede</t>
  </si>
  <si>
    <t>Distribuidora</t>
  </si>
  <si>
    <t>Foi feito inspeção em todo complexo, checado nível de tensão e resetado relé e rearmado os disjuntores.</t>
  </si>
  <si>
    <t>215KTL-H3(MBUS-13)</t>
  </si>
  <si>
    <t>215KTL-H3(MBUS-14)</t>
  </si>
  <si>
    <t>215KTL-H3(MBUS-15)</t>
  </si>
  <si>
    <t>215KTL-H3(MBUS-16)</t>
  </si>
  <si>
    <t>BC Caiaponia2.2</t>
  </si>
  <si>
    <t>BC Caiaponia2.3</t>
  </si>
  <si>
    <t>LIG</t>
  </si>
  <si>
    <t>RFO</t>
  </si>
  <si>
    <t>COM</t>
  </si>
  <si>
    <t>Comunicação</t>
  </si>
  <si>
    <t>Falha de comunicação</t>
  </si>
  <si>
    <t>Falha Comunicação</t>
  </si>
  <si>
    <t>Prestador de Serviço O&amp;M</t>
  </si>
  <si>
    <t>Logger resetado.</t>
  </si>
  <si>
    <t>BC Caiaponia1</t>
  </si>
  <si>
    <t>SG60KTL(COM1-001)_001_007</t>
  </si>
  <si>
    <t>SG60KTL(COM1-002)_001_010</t>
  </si>
  <si>
    <t>SG60KTL(COM1-003)_001_011</t>
  </si>
  <si>
    <t>SG60KTL(COM1-004)_001_014</t>
  </si>
  <si>
    <t>SG60KTL(COM1-005)_001_017</t>
  </si>
  <si>
    <t>SG60KTL(COM1-006)_001_016</t>
  </si>
  <si>
    <t>SG60KTL(COM1-007)_001_013</t>
  </si>
  <si>
    <t>SG60KTL(COM1-008)_001_001</t>
  </si>
  <si>
    <t>SG60KTL(COM1-009)</t>
  </si>
  <si>
    <t>SG60KTL(COM1-010)</t>
  </si>
  <si>
    <t>SG60KTL(COM1-011)</t>
  </si>
  <si>
    <t>SG60KTL(COM1-012)</t>
  </si>
  <si>
    <t>SG60KTL(COM1-013)</t>
  </si>
  <si>
    <t>SG60KTL(COM1-014)</t>
  </si>
  <si>
    <t>SG60KTL(COM1-015)</t>
  </si>
  <si>
    <t>SG60KTL(COM3-016)_001_009</t>
  </si>
  <si>
    <t>SG60KTL(COM3-017)_001_012</t>
  </si>
  <si>
    <t>SG60KTL(COM3-018)_001_008</t>
  </si>
  <si>
    <t>SG60KTL(COM3-019)_001_019</t>
  </si>
  <si>
    <t>SG60KTL(COM3-020)_001_020</t>
  </si>
  <si>
    <t>SG60KTL(COM2-026)</t>
  </si>
  <si>
    <t>SG60KTL(COM2-027)</t>
  </si>
  <si>
    <t>SG60KTL(COM2-028)</t>
  </si>
  <si>
    <t>SG60KTL(COM2-029)</t>
  </si>
  <si>
    <t>SG50CX(COM1-021)</t>
  </si>
  <si>
    <t>SG50CX(COM1-022)</t>
  </si>
  <si>
    <t>SG50CX(COM1-023)</t>
  </si>
  <si>
    <t>SG50CX(COM1-024)</t>
  </si>
  <si>
    <t>SG50CX(COM1-025)</t>
  </si>
  <si>
    <t>BC Aracu2</t>
  </si>
  <si>
    <t>SG60KTL</t>
  </si>
  <si>
    <t>INV</t>
  </si>
  <si>
    <t>Identificado falha no inversor 6</t>
  </si>
  <si>
    <t>Manutenção</t>
  </si>
  <si>
    <t>Manutenção Corretiva</t>
  </si>
  <si>
    <t xml:space="preserve">Após inversor e disjuntor terem sidos religados, inversor apresentou estouro internamente, o mesmor foi substituido e está em pleno funcionamento, porém sem comunicação no supevisório. </t>
  </si>
  <si>
    <t>araçu 2.1 inversor 1</t>
  </si>
  <si>
    <t>Falha de conexão com o logger.</t>
  </si>
  <si>
    <t>Logger reconfigurado.</t>
  </si>
  <si>
    <t>araçu 2.1 inversor 2</t>
  </si>
  <si>
    <t>araçu 2.1 inversor 3</t>
  </si>
  <si>
    <t>araçu 2.2 inversor 1</t>
  </si>
  <si>
    <t>araçu 2.2 inversor 2</t>
  </si>
  <si>
    <t>araçu 2.2 inversor 3</t>
  </si>
  <si>
    <t>Inverter83</t>
  </si>
  <si>
    <t>araçu 2.3 inversor 5</t>
  </si>
  <si>
    <t>araçu 2.3 inversor 1</t>
  </si>
  <si>
    <t>araçu 2.3 inversor 2</t>
  </si>
  <si>
    <t>araçu 2.3 inversor 4</t>
  </si>
  <si>
    <t>araçu 2.3 inversor 3</t>
  </si>
  <si>
    <t>araçu 2.4 inversor 3</t>
  </si>
  <si>
    <t>araçu 2.4 inversor 1</t>
  </si>
  <si>
    <t>araçu 2.4 inversor 6</t>
  </si>
  <si>
    <t>araçu 2.4 inversor 4</t>
  </si>
  <si>
    <t>araçu 2.4 inversor 2</t>
  </si>
  <si>
    <t>araçu 2.4 inversor 5</t>
  </si>
  <si>
    <t>Inversor 1 apresentando Falha 10 - Queda de Rede</t>
  </si>
  <si>
    <t>Identificado queda de rede - Falha 10. Foi feito a inspeção no inversor, e no QGBT, o mesmo foi religado e voltou a operar normalmente.</t>
  </si>
  <si>
    <t>BC Aracu5.1</t>
  </si>
  <si>
    <t>Inverter(MBUS-1)</t>
  </si>
  <si>
    <t>Função 81 e 86 atuada no relé.</t>
  </si>
  <si>
    <t>Distribuídora</t>
  </si>
  <si>
    <t>Foi feito inspeção em todo complexo, checado nível de tensão e realizado a manobra de normalização da geração.</t>
  </si>
  <si>
    <t>BC Aracu5.2</t>
  </si>
  <si>
    <t>BC Aracu5.3</t>
  </si>
  <si>
    <t>BC Aracu5.4</t>
  </si>
  <si>
    <t>BC Aracu5.5</t>
  </si>
  <si>
    <t>DEM</t>
  </si>
  <si>
    <t>TRF</t>
  </si>
  <si>
    <t>Transformador</t>
  </si>
  <si>
    <t>Inversor 1 apresentou falha</t>
  </si>
  <si>
    <t>Urgência</t>
  </si>
  <si>
    <t>Troca em Garantia</t>
  </si>
  <si>
    <t>Identificado no sistema desequilibrio de fase, ao fazer a inspeção o mantenedor identificou curto circuito no trafo, o mesmo fez as manobras e desenergizou a UFV. Transformador foi coletado e encaminhado para garantia. Usina segue desenergizada</t>
  </si>
  <si>
    <t>DPR</t>
  </si>
  <si>
    <t>Inversor desligado para medição das tensões CC com circuito aberto para relatório semestral da Brasol.</t>
  </si>
  <si>
    <t>Manutenção Preventiva</t>
  </si>
  <si>
    <t>Foi realizado o desligamento dos inversores para medição das tensões CC em circuito aberto. Após o procedimento a UFV retomou a operação normal.</t>
  </si>
  <si>
    <t xml:space="preserve">Será desligada para realizar 3 MPCA na cabine de média tensão </t>
  </si>
  <si>
    <t>Foi realizado os seguintes serviços: Inspeção no componentes de conexão; Torquiamento em todos os parafusos de conexão; Limpeza da cabine de média tensão.
Após procedimentos a UFV foi ligada e segue operando normalmente.</t>
  </si>
  <si>
    <t>Rede</t>
  </si>
  <si>
    <t>Inversor</t>
  </si>
  <si>
    <t>Inversor 83 apresentando falha de rede</t>
  </si>
  <si>
    <t>Logger resetado</t>
  </si>
  <si>
    <t>ARAGUATINS 1.1</t>
  </si>
  <si>
    <t>Inverter(MBUS-12)</t>
  </si>
  <si>
    <t>Falha atuada no relé: 67C e 86Q.</t>
  </si>
  <si>
    <t>Verificado painel dos transformadores e inversores, após verificação e não constatado nenhuma anomalia, foi realizado o reset do relé de proteção e normalizada a geração da UFV.</t>
  </si>
  <si>
    <t>Inverter(MBUS-13)</t>
  </si>
  <si>
    <t>Inverter(MBUS-14)</t>
  </si>
  <si>
    <t>Inverter(MBUS-15)</t>
  </si>
  <si>
    <t>ARAGUATINS 1.2</t>
  </si>
  <si>
    <t>ARAGUATINS 1.3</t>
  </si>
  <si>
    <t>Inverter(MBUS-20)</t>
  </si>
  <si>
    <t>ARAGUATINS 2.1</t>
  </si>
  <si>
    <t>Disjuntor desarmado, sem alarme no Relé</t>
  </si>
  <si>
    <t>Função 27B,C atuada no relé.</t>
  </si>
  <si>
    <t>Falta de energia da concessionária, sem alarme no relé.</t>
  </si>
  <si>
    <t>Função 59N, 86Q atuada no relé.</t>
  </si>
  <si>
    <t>Função 59N, 51N, e 86Q atuada no relé.</t>
  </si>
  <si>
    <t>ARAGUATINS 2.2</t>
  </si>
  <si>
    <t>ARAGUATINS 2.3</t>
  </si>
  <si>
    <t>Função 27C, 50N, 67C, e 86Q atuada no relé.</t>
  </si>
  <si>
    <t>BC Barra1</t>
  </si>
  <si>
    <t>Inverter__5</t>
  </si>
  <si>
    <t>Inversor off-line</t>
  </si>
  <si>
    <t>Falha Inversor</t>
  </si>
  <si>
    <t>Foi realizado um reset no inversor, e foi normalizado.</t>
  </si>
  <si>
    <t>Queda de rede da concessionária, sem alarme no relé</t>
  </si>
  <si>
    <t>Inverter__1</t>
  </si>
  <si>
    <t>BC Camarao1.4</t>
  </si>
  <si>
    <t>INV-6T22A9041381</t>
  </si>
  <si>
    <t>Durante a verificação foi constatado que houve um desequilíbrio de tensão por parte da concessionária. Falha 47</t>
  </si>
  <si>
    <t>BC Camarao1.1</t>
  </si>
  <si>
    <t>BC Camarao1.2</t>
  </si>
  <si>
    <t>Inv. 3</t>
  </si>
  <si>
    <t>Inv. 4</t>
  </si>
  <si>
    <t>Inverter(MBUS-16)</t>
  </si>
  <si>
    <t>BC Camarao1.3</t>
  </si>
  <si>
    <t>BC Camarao1.5</t>
  </si>
  <si>
    <t>215KTL-H3(MBUS-1)</t>
  </si>
  <si>
    <t>Usina gerando normalmente, falha de sinal de internet.</t>
  </si>
  <si>
    <t>Conexão c/ Internet</t>
  </si>
  <si>
    <t>Realizado reset no modem de internet local. Após a reinicialização, a comunicação foi restabelecida.</t>
  </si>
  <si>
    <t>Usina apresentou o desligamento dos inversores devido à atuação do relé que não apresentou nenhum código de segurança</t>
  </si>
  <si>
    <t>BC Corumba1.1</t>
  </si>
  <si>
    <t>U01.I01</t>
  </si>
  <si>
    <t>PRT</t>
  </si>
  <si>
    <t>Relé de Proteção</t>
  </si>
  <si>
    <t xml:space="preserve">Relé de proteção da UFV 1.1 apresentou falha E59 (Somente a Pextron resolve) </t>
  </si>
  <si>
    <t>Realizado a substituição do relé de proteção. UFV religada e operando normalmente.</t>
  </si>
  <si>
    <t>U01.I02</t>
  </si>
  <si>
    <t>U01.I03</t>
  </si>
  <si>
    <t>U01.I04</t>
  </si>
  <si>
    <t>U01.I05</t>
  </si>
  <si>
    <t>Durante a verificação foi constatado que era uma falta de comunicação, foi feito inspeção e identificado que o conversor de mídia da usina 2.3 estava queimado.</t>
  </si>
  <si>
    <t>Foi realizada a substituição do conversor de mídia danificado.</t>
  </si>
  <si>
    <t>BC Corumba1.2</t>
  </si>
  <si>
    <t>U02.I01</t>
  </si>
  <si>
    <t>U02.I02</t>
  </si>
  <si>
    <t>U02.I03</t>
  </si>
  <si>
    <t>U02.I04</t>
  </si>
  <si>
    <t>U02.I05</t>
  </si>
  <si>
    <t>BC Corumba1.3</t>
  </si>
  <si>
    <t>U03.I01</t>
  </si>
  <si>
    <t>U03.I02</t>
  </si>
  <si>
    <t>U03.I03</t>
  </si>
  <si>
    <t>BC Corumba2.1</t>
  </si>
  <si>
    <t>U01. I01</t>
  </si>
  <si>
    <t>U01. I02</t>
  </si>
  <si>
    <t>BC Corumba2.2</t>
  </si>
  <si>
    <t>BC Corumba2.3</t>
  </si>
  <si>
    <t>BC Formoso1.2</t>
  </si>
  <si>
    <t>Função 86 atuada no relé.</t>
  </si>
  <si>
    <t>BC Formoso2.1</t>
  </si>
  <si>
    <t>BC Formoso2.2</t>
  </si>
  <si>
    <t>BC Formoso2.3</t>
  </si>
  <si>
    <t>Falha de sinal de internet.</t>
  </si>
  <si>
    <t>Falha no fornecimento de energia da concessionaria. Aberto chamado</t>
  </si>
  <si>
    <t>Após várias visitas da equatorial, foi reestabelecido o fornecimento de energia</t>
  </si>
  <si>
    <t>BC Formoso1.1</t>
  </si>
  <si>
    <t>BC Formoso1.3</t>
  </si>
  <si>
    <t>Inversor 14 apresentando falha</t>
  </si>
  <si>
    <t>Após realização de testes foi identificado problema em uma das strings, a mesma foi desconectada e inversor esta em operação com uma string a menos</t>
  </si>
  <si>
    <t>Provedora de Internet</t>
  </si>
  <si>
    <t>Foi dectado que o roteador estava queimado, o mesmo foi substituido e reestabelecido o sinal com a intenet</t>
  </si>
  <si>
    <t>Suite com 04 portas queimadas, foi feito a troca de cabos para portas em perfeito estado, sendo reestabelecido a comunicação</t>
  </si>
  <si>
    <t>Função 47B atuada no relé.</t>
  </si>
  <si>
    <t>BC Ibiuna 1.1</t>
  </si>
  <si>
    <t>Função 59N atuada no relé.</t>
  </si>
  <si>
    <t>BC Ibiuna 1.2</t>
  </si>
  <si>
    <t>Função 59N, 27ABC atuada no relé.</t>
  </si>
  <si>
    <t>Função 67C atuada no relé.</t>
  </si>
  <si>
    <t>Função 67B atuada no relé.</t>
  </si>
  <si>
    <t>Função 67A atuada no relé.</t>
  </si>
  <si>
    <t>BC Lencois Paulista</t>
  </si>
  <si>
    <t>Falha de comunicação do Smartlogger</t>
  </si>
  <si>
    <t>Feito a configuração necessária para reestabelecimento da conexão no Logger</t>
  </si>
  <si>
    <t>Função 27ABC, 67ABC e 86 atuada no relé.</t>
  </si>
  <si>
    <t>BC Vazante1.3</t>
  </si>
  <si>
    <t>Inversor 1</t>
  </si>
  <si>
    <t>Queda de rede da concessionária</t>
  </si>
  <si>
    <t>Inversor 2</t>
  </si>
  <si>
    <t>Inversor 3</t>
  </si>
  <si>
    <t>Inversor 4</t>
  </si>
  <si>
    <t>Inversor 5</t>
  </si>
  <si>
    <t>Inversor 6</t>
  </si>
  <si>
    <t>Inversor 7</t>
  </si>
  <si>
    <t>Inversor 8</t>
  </si>
  <si>
    <t>Inversor 9</t>
  </si>
  <si>
    <t>BC Varjao2.1</t>
  </si>
  <si>
    <t>215KTL-H0(MBUS-12)</t>
  </si>
  <si>
    <t>Algumas cameras da usina estavam desligadas</t>
  </si>
  <si>
    <t>Foi realizado a configuração das antenas e postes e realinhamento</t>
  </si>
  <si>
    <t>215KTL-H0(MBUS-13)</t>
  </si>
  <si>
    <t>215KTL-H0(MBUS-14)</t>
  </si>
  <si>
    <t>215KTL-H0(MBUS-15)</t>
  </si>
  <si>
    <t>215KTL-H0(MBUS-16)</t>
  </si>
  <si>
    <t>BC Varjao2.2</t>
  </si>
  <si>
    <t>BC Varjao2.3</t>
  </si>
  <si>
    <t>100KTL-H1(MBUS-1)</t>
  </si>
  <si>
    <t>BC Varjao1.1</t>
  </si>
  <si>
    <t>UFV 1 - INV 1</t>
  </si>
  <si>
    <t>Abertos diversos chamados. O time técnico da Cemig foi ao local no mesmo dia, 13/01, às 16h, mas não conseguiu fechar o religador. Disse que retornaria, mas ainda estamos aguardando a visita. Novos chamados estão sendo abertos hoje, 14/01</t>
  </si>
  <si>
    <t>UFV 1 - INV 5</t>
  </si>
  <si>
    <t>UFV 1 - INV 4</t>
  </si>
  <si>
    <t>UFV 1 - INV 3</t>
  </si>
  <si>
    <t>UFV 1 - INV 2</t>
  </si>
  <si>
    <t>BC Rio Monte1</t>
  </si>
  <si>
    <t>Inverter36</t>
  </si>
  <si>
    <t>Função 27 atuada no relé.</t>
  </si>
  <si>
    <t>Substituição do inversor</t>
  </si>
  <si>
    <t>BC Turvania1.1</t>
  </si>
  <si>
    <t>BC Turvania1.2</t>
  </si>
  <si>
    <t>BC Turvania1.3</t>
  </si>
  <si>
    <t>BC Turvania1.4</t>
  </si>
  <si>
    <t>BC Turvania1.5</t>
  </si>
  <si>
    <t>Inverter35</t>
  </si>
  <si>
    <t>Inverter40</t>
  </si>
  <si>
    <t>Inverter42</t>
  </si>
  <si>
    <t>Inverter41</t>
  </si>
  <si>
    <t>Inverter44</t>
  </si>
  <si>
    <t>Inverter43</t>
  </si>
  <si>
    <t>Inverter45</t>
  </si>
  <si>
    <t>BC Rio Bonito2</t>
  </si>
  <si>
    <t>INV-001</t>
  </si>
  <si>
    <t>Configuração do sistema de comunicação</t>
  </si>
  <si>
    <t>Configurado sistema de comunicação</t>
  </si>
  <si>
    <t>INV-002</t>
  </si>
  <si>
    <t>INV-003</t>
  </si>
  <si>
    <t>INV-004</t>
  </si>
  <si>
    <t>Relé de proteção atuado com a falha 47- fase B</t>
  </si>
  <si>
    <t>Resetado relé de proteção e ligado disjuntor geral, conferência demais relés (1 e 2) e partida na usina.</t>
  </si>
  <si>
    <t>Desligamento da UFV, para passagem de fibra do SCADA</t>
  </si>
  <si>
    <t>Prestador de Serviço SCADA</t>
  </si>
  <si>
    <t>UFV religada, porém ainda sem comunicação nos supervisórios</t>
  </si>
  <si>
    <t>Desligamento da UFV, para passagem de fibra do SCADA no logger</t>
  </si>
  <si>
    <t>Relé de proteção atuado com a falha 67B</t>
  </si>
  <si>
    <t>Feita inspeção em toda Usina , resetado Relé e rearmado disjuntor.</t>
  </si>
  <si>
    <t>BC Paranoa</t>
  </si>
  <si>
    <t>SG60KTL(COM1-014)_001_013</t>
  </si>
  <si>
    <t>Inversor apresentando falha de queda na rede</t>
  </si>
  <si>
    <t>SG60KTL(COM1-013)_001_010</t>
  </si>
  <si>
    <t>SG60KTL(COM1-012)_001_011</t>
  </si>
  <si>
    <t>SG60KTL(COM1-011)_001_005</t>
  </si>
  <si>
    <t>SG60KTL(COM1-010)_001_003</t>
  </si>
  <si>
    <t>SG60KTL(COM1-018)_001_012</t>
  </si>
  <si>
    <t>SG60KTL(COM1-017)_001_007</t>
  </si>
  <si>
    <t>SG60KTL(COM1-016)_001_006</t>
  </si>
  <si>
    <t>SG50CX(COM2-015)_001_017</t>
  </si>
  <si>
    <t>SG60KTL(COM1-009)_001_002</t>
  </si>
  <si>
    <t>SG60KTL(COM1-008)_001_009</t>
  </si>
  <si>
    <t>SG60KTL(COM1-007)_001_004</t>
  </si>
  <si>
    <t>SG60KTL(COM1-006)_001_014</t>
  </si>
  <si>
    <t>SG40CX(COM2-005)_001_015</t>
  </si>
  <si>
    <t>SG60KTL(COM1-019)_002_007</t>
  </si>
  <si>
    <t>SG60KTL(COM1-020)_002_011</t>
  </si>
  <si>
    <t>SG60KTL(COM1-021)_002_017</t>
  </si>
  <si>
    <t>SG60KTL(COM1-022)_002_020</t>
  </si>
  <si>
    <t>SG40CX(COM2-023)_002_024</t>
  </si>
  <si>
    <t>SG40CX(COM2-024)_002_022</t>
  </si>
  <si>
    <t>SG60KTL(COM1-007)_002_013</t>
  </si>
  <si>
    <t>SG60KTL(COM1-008)_002_002</t>
  </si>
  <si>
    <t>SG60KTL(COM1-009)_002_008</t>
  </si>
  <si>
    <t>SG60KTL(COM1-010)_002_003</t>
  </si>
  <si>
    <t>SG60KTL(COM1-011)_002_010</t>
  </si>
  <si>
    <t>SG60KTL(COM1-012)_002_005</t>
  </si>
  <si>
    <t>SG60KTL(COM1-001)_002_006</t>
  </si>
  <si>
    <t>SG60KTL(COM1-002)_002_016</t>
  </si>
  <si>
    <t>SG50CX(COM2-003)_002_021</t>
  </si>
  <si>
    <t>SG50CX(COM2-004)_002_023</t>
  </si>
  <si>
    <t>SG60KTL(COM1-005)_002_009</t>
  </si>
  <si>
    <t>SG60KTL(COM1-006)_002_001</t>
  </si>
  <si>
    <t>SG60KTL(COM1-013)_002_004</t>
  </si>
  <si>
    <t>SG60KTL(COM1-014)_002_019</t>
  </si>
  <si>
    <t>SG60KTL(COM1-015)_002_018</t>
  </si>
  <si>
    <t>SG60KTL(COM1-016)_002_014</t>
  </si>
  <si>
    <t>SG60KTL(COM1-017)_002_015</t>
  </si>
  <si>
    <t>SG60KTL(COM1-018)_002_012</t>
  </si>
  <si>
    <t>SG50CX(COM2-004)_001_018</t>
  </si>
  <si>
    <t>SG50CX(COM2-003)_001_016</t>
  </si>
  <si>
    <t>SG60KTL(COM1-002)_001_008</t>
  </si>
  <si>
    <t>Falha de link no Smartlogger, UFV gerando normalmente, ficou off no supervisório</t>
  </si>
  <si>
    <t>Foi realizado a troca do cabo RJ45, após o procedimento a comunicação da UFV foi normalizada</t>
  </si>
  <si>
    <t>BC Varjao1.2</t>
  </si>
  <si>
    <t>Inversor entrou em modo de proteção por alteração de corrente</t>
  </si>
  <si>
    <t xml:space="preserve">Inversor foi reiniciado </t>
  </si>
  <si>
    <t>BC Vazante 1.1</t>
  </si>
  <si>
    <t>Inverter13</t>
  </si>
  <si>
    <t>Inversor 13 apresentando diversos desligamentos, pois o disjuntor estava desarmando com frequência.</t>
  </si>
  <si>
    <t>Foi realizado testes e ensaios...</t>
  </si>
  <si>
    <t>OEM</t>
  </si>
  <si>
    <t>Falha de inversor</t>
  </si>
  <si>
    <t>Foi feita a inspeção na string ,foi corrigido a falha e adequada novamente no inversor</t>
  </si>
  <si>
    <t>Foi feito uma inspeçao na subestaçao, resetado o relé e rearmado o disjuntor</t>
  </si>
  <si>
    <t>Apenas falha de comunicação</t>
  </si>
  <si>
    <t>Após reiniciar o roteador, a comunicação foi reestabelecida</t>
  </si>
  <si>
    <t>BC Aracu4</t>
  </si>
  <si>
    <t>SG75CX(COM1-018)_001_018</t>
  </si>
  <si>
    <t>SG75CX(COM1-019)_001_019</t>
  </si>
  <si>
    <t>SG75CX(COM1-020)_001_020</t>
  </si>
  <si>
    <t>SG75CX(COM1-021)_001_021</t>
  </si>
  <si>
    <t>Inversor apresentando alarme de baixa impedância</t>
  </si>
  <si>
    <t>Foi realizado testes em todos componentes e detectado uma string com falha, após ser retirada a falha foi religado o inversor e o mesmo segue operando normalmente</t>
  </si>
  <si>
    <t>Função 86Q e 67C atuada no relé.</t>
  </si>
  <si>
    <t>Foi realizada a inspeção de todo o complexo e, aproveitando a falta de energia na UFV, foi corrigida a posição do sensor PT100 da UFV 1.3, que não estava instalado no local correto. Em razão disso, os ventiladores estavam operando de forma ininterrupta, mesmo com a temperatura baixa. Após a realocação do PT100 para o local adequado, foi realizado o reset do relé, o rearme dos disjuntores e, assim, o sistema de refrigeração da UFV 1.3 foi normalizado.</t>
  </si>
  <si>
    <t>INVERSORES VINCULADOS AO DATA LOGGER B2142330373 COM ALARME DE QUEDA DE REDE / INVERSORES VINCULADOS AO DATA LOGGER B2142330370 PARCIALMENTE OFF-LINE COM ALARME DE QUEDA DE REDE</t>
  </si>
  <si>
    <t>Resetado sistema de comunicação, e a usina foi normalizada</t>
  </si>
  <si>
    <t xml:space="preserve">Inversor off-line na plataforma </t>
  </si>
  <si>
    <t>Foi realizado inspeção no inversor e QGBT, ao certificar que estava tudo normal, o inversor foi reiniciado.</t>
  </si>
  <si>
    <t>Falha de comunicação com os inversores</t>
  </si>
  <si>
    <t>Auto-Restart</t>
  </si>
  <si>
    <t>Comunicação se normalizou sem nenhuma interferência humana</t>
  </si>
  <si>
    <t>Desligamento programado para execução de MP e adequação do QGBT</t>
  </si>
  <si>
    <t>Foi realizado manutenções nos inversores e QGBT. Após a ação, a usina voltou à operação normal.</t>
  </si>
  <si>
    <t>I</t>
  </si>
  <si>
    <t>G</t>
  </si>
  <si>
    <t>K</t>
  </si>
  <si>
    <t>H</t>
  </si>
  <si>
    <t>F</t>
  </si>
  <si>
    <t>D</t>
  </si>
  <si>
    <t>E</t>
  </si>
  <si>
    <t>C</t>
  </si>
  <si>
    <t>B</t>
  </si>
  <si>
    <t>A</t>
  </si>
  <si>
    <t>J</t>
  </si>
  <si>
    <t>Foi realizado uma inspeção no inversor e no logger, Inversor está funcionando normalmente. Internet está oscilando bastante.</t>
  </si>
  <si>
    <t>Durante a verificação foi constatado que não está chegando nenhuma fase na UFV</t>
  </si>
  <si>
    <t>Foram abertos 03 chamados na concessionária de energia e mantenedor segue acompanhando. 468276028, 468276138, 468276223</t>
  </si>
  <si>
    <t>Foi feito inspeção nos inversores e religado o disjuntor geral</t>
  </si>
  <si>
    <t xml:space="preserve">Falha de comunicação </t>
  </si>
  <si>
    <t>Comunicação reestabeleceu sozinha</t>
  </si>
  <si>
    <t xml:space="preserve">Foi feito a inspeção na subestaçao, resetado o relé e rearmado o disjuntor </t>
  </si>
  <si>
    <t>BC Aracu1</t>
  </si>
  <si>
    <t>Inverter71</t>
  </si>
  <si>
    <t>Inverter72</t>
  </si>
  <si>
    <t>Inverter73</t>
  </si>
  <si>
    <t>Inverter74</t>
  </si>
  <si>
    <t>Inverter75</t>
  </si>
  <si>
    <t>Inverter76</t>
  </si>
  <si>
    <t>Inverter77</t>
  </si>
  <si>
    <t>BC Aracu3</t>
  </si>
  <si>
    <t>Inverter4</t>
  </si>
  <si>
    <t>Inverter3</t>
  </si>
  <si>
    <t>Inverter1</t>
  </si>
  <si>
    <t>Inverter2</t>
  </si>
  <si>
    <t>BC Vazante2.3</t>
  </si>
  <si>
    <t>Inverter(MBUS-11)</t>
  </si>
  <si>
    <t>Usina gerando normalmente, porém ao realizar a inspeção foi identificado que o conversor de mídea estava danificado. Foi realizado o pedido, aguardando a aquisição para substituição</t>
  </si>
  <si>
    <t>Falta de energia na UFV Araguatins. Relé atuando na Função 67ABC e 86B.</t>
  </si>
  <si>
    <t xml:space="preserve">Inspecionado todo complexo, não havia nenhuma anomalia foi realizado reset em os relé e rearmado os disjuntores </t>
  </si>
  <si>
    <t>Foi feito reset nos relés e fechado disjuntores</t>
  </si>
  <si>
    <t xml:space="preserve">Foi feito uma inspeçao na subestaçao, resetado o relé e rearmado o disjuntor </t>
  </si>
  <si>
    <t>Função 27ABC atuada no relé.</t>
  </si>
  <si>
    <t>Inversor 13, com falha de queda na rede</t>
  </si>
  <si>
    <t>Foi desligado e rearmado o disjuntor</t>
  </si>
  <si>
    <t>Função 86B atuada no relé.</t>
  </si>
  <si>
    <t>Foi feito inspeção em campo e fechado religador</t>
  </si>
  <si>
    <t>Inverter34</t>
  </si>
  <si>
    <t>Inverter37</t>
  </si>
  <si>
    <t>Inverter33</t>
  </si>
  <si>
    <t>Inverter29</t>
  </si>
  <si>
    <t>Inverter39</t>
  </si>
  <si>
    <t>Inverter31</t>
  </si>
  <si>
    <t>Inverter30</t>
  </si>
  <si>
    <t>Inverter38</t>
  </si>
  <si>
    <t>Inverter32</t>
  </si>
  <si>
    <t>Reiniciado smart logger e a comunicação retornou</t>
  </si>
  <si>
    <t>Relé de proteção atuou na função 27 B</t>
  </si>
  <si>
    <t xml:space="preserve">Foi feita uma inspeção visual, logo após foi feito o reset do relé e reamado o disjuntor </t>
  </si>
  <si>
    <t>Fonte do conversor de mídea queimada</t>
  </si>
  <si>
    <t>Durante a verificação foi constatado que a UFV estava gerando, apenas a fonte do conversor de mídea estava queimada, realizei a substituição</t>
  </si>
  <si>
    <t>Inversor apresentando falha</t>
  </si>
  <si>
    <t xml:space="preserve">Foi trocado o disjuntor do inversor 13 com o inversor 12 </t>
  </si>
  <si>
    <t>Resetado o sistema de comunicação</t>
  </si>
  <si>
    <t>BC Vazante2.2</t>
  </si>
  <si>
    <t>Inversor 6T2499045588 apresentou falha 2033 - subtensão da rede elétrica. Apesar dos inversores vizinhos estarem operando normalmente.</t>
  </si>
  <si>
    <t>Foi realizado verificação das strings e fusíveis. Não foram identificados problemas físicos. Foi realizado o acionamento do fabricante - e estão sendo realizados os de testes solicitados.</t>
  </si>
  <si>
    <t>Desligamento programado CPFL, para manutenção na Rede</t>
  </si>
  <si>
    <t>Manutenção geral na região. Troca do transformador. Apos a manutenção da concessionaria foi rearmado o complexo</t>
  </si>
  <si>
    <t>Relé de proteção atuou na função 27 ABC</t>
  </si>
  <si>
    <t xml:space="preserve">Relé atuado por 47e 86 na fase AB </t>
  </si>
  <si>
    <t>Erro de conexão no Smartlogger</t>
  </si>
  <si>
    <t>Queda de rede da concessionária, Falha 27ABC no relé</t>
  </si>
  <si>
    <t xml:space="preserve">Falta de energia na UFV Araguatins 01 disjuntor desarmado, sem alarme no relé </t>
  </si>
  <si>
    <t>Inverter12</t>
  </si>
  <si>
    <t>Trip no disjuntor</t>
  </si>
  <si>
    <t>Foi realizada uma inspeção e não identificado anomalias. O disjuntor foi rearmado e a geração no inversor normalizada.</t>
  </si>
  <si>
    <t>Inversor 12 com falha, alarme (equipamento anormal).</t>
  </si>
  <si>
    <t>Foi aberto chamado com fabricante e o caso foi tratado como garantia. Após aceite de garantia por parte do fabricante, o inversor foi substituído por um sobressalente. A huawei irá enviar um inversor novo para reposição em garantia, que irá para o estoque.</t>
  </si>
  <si>
    <t>BC BomSucesso</t>
  </si>
  <si>
    <t>Foi identificada falha de comunicação que afetou simultaneamente os inversores e o sistema de CFTV da usina.</t>
  </si>
  <si>
    <t>ABB_01</t>
  </si>
  <si>
    <t>ABB_02</t>
  </si>
  <si>
    <t>ABB_03</t>
  </si>
  <si>
    <t>ABB_04</t>
  </si>
  <si>
    <t>ABB_05</t>
  </si>
  <si>
    <t>ABB_06</t>
  </si>
  <si>
    <t>ABB_07</t>
  </si>
  <si>
    <t>ABB_08</t>
  </si>
  <si>
    <t>ABB_09</t>
  </si>
  <si>
    <t>ABB_10</t>
  </si>
  <si>
    <t>ABB_11</t>
  </si>
  <si>
    <t>Durante a verificação foi constatado que houve um desequilíbrio de tensão por parte da concessionária.</t>
  </si>
  <si>
    <t>Após retorno da rede, foi realizado programa de manobra para normalização da geração.</t>
  </si>
  <si>
    <t>inv. 1</t>
  </si>
  <si>
    <t>Falha 47 atuada no relé de proteção.</t>
  </si>
  <si>
    <t>Realizado reset do relé e rearme do disjuntor.</t>
  </si>
  <si>
    <t>Falta de tensão da rede da concessionária. Relá atuado em 27ABC.</t>
  </si>
  <si>
    <t>BC Vazante1.1</t>
  </si>
  <si>
    <t>Inverter01</t>
  </si>
  <si>
    <t>Comissionamento e testes nos componentes de medição e geração do complexo.</t>
  </si>
  <si>
    <t>Realização de comissionamento dos transformadores de média tensão, Inspeção e testes dos barramentos.</t>
  </si>
  <si>
    <t>Inverter02</t>
  </si>
  <si>
    <t>Inverter03</t>
  </si>
  <si>
    <t>Inverter04</t>
  </si>
  <si>
    <t>Inverter05</t>
  </si>
  <si>
    <t>Inverter06</t>
  </si>
  <si>
    <t>Inverter07</t>
  </si>
  <si>
    <t>Inverter08</t>
  </si>
  <si>
    <t>Inverter09</t>
  </si>
  <si>
    <t>Inverter10</t>
  </si>
  <si>
    <t>Inverter11</t>
  </si>
  <si>
    <t>Inverter14</t>
  </si>
  <si>
    <t>Inverter15</t>
  </si>
  <si>
    <t>Inverter16</t>
  </si>
  <si>
    <t>Inverter17</t>
  </si>
  <si>
    <t>BC Vazante2.1</t>
  </si>
  <si>
    <t>Execução do comissionamento do sistema Tok-Pass e instalação de DPS no QGBT.</t>
  </si>
  <si>
    <t>Foi realizada a adequação do QGBT para a instalação dos dispositivos de proteção contra surtos (DPS).</t>
  </si>
  <si>
    <t>Inverter(MBUS-2)</t>
  </si>
  <si>
    <t>Inverter(MBUS-4)</t>
  </si>
  <si>
    <t>Inverter(MBUS-5)</t>
  </si>
  <si>
    <t>BC Clareira1.1</t>
  </si>
  <si>
    <t>Desligamento programado da usina para realização de inspeção nos cubículos de média tensão.</t>
  </si>
  <si>
    <t>Realizado a substituição do relé e rearme do disjuntor, UFV em operação.</t>
  </si>
  <si>
    <t xml:space="preserve">	Inverter(MBUS-14)</t>
  </si>
  <si>
    <t xml:space="preserve">	Inverter(MBUS-15)</t>
  </si>
  <si>
    <t>BC Clareira1.2</t>
  </si>
  <si>
    <t xml:space="preserve">	215KTL-H3(MBUS-12)</t>
  </si>
  <si>
    <t xml:space="preserve">	215KTL-H3(MBUS-13)</t>
  </si>
  <si>
    <t>100KTL-H1(MBUS-14)</t>
  </si>
  <si>
    <t>Queda de rede, da concessionária.</t>
  </si>
  <si>
    <t>Foi feito inspeção em todo complexo, checado nível de tensão e resetado relé e fechado o religador.</t>
  </si>
  <si>
    <t>Inverter47</t>
  </si>
  <si>
    <t>Relé de proteção  atuado com função 59N 27BC.</t>
  </si>
  <si>
    <t>Desarme da usina, sem atuação no relé de proteção.</t>
  </si>
  <si>
    <t>A usina apresentou desligamento dos inversores após a atuação do relé, porém não houve registro de código de falha ou alarme associado.</t>
  </si>
  <si>
    <t>Inverter(MBUS-6)</t>
  </si>
  <si>
    <t>Inverter(MBUS-7)</t>
  </si>
  <si>
    <t>Inverter(MBUS-8)</t>
  </si>
  <si>
    <t>Inverter(MBUS-10)</t>
  </si>
  <si>
    <t>Inversor apresentando falha ao sincronizar</t>
  </si>
  <si>
    <t>Foi feito comando reset no inversor</t>
  </si>
  <si>
    <t>Foi feito inspeção em todo complexo,  incluindo conexões nos inversores, transformadores e cubículos, checado nível de tensão e resetado relé e rearmado disjuntor.</t>
  </si>
  <si>
    <t>Foi realizada a adequação do QGBT para a instalação dos dispositivos de proteção contra surtos (DPS) e instalação da chave NH.</t>
  </si>
  <si>
    <t>Ruído anormal identificado no cubículo geral, indicando possível fuga de corrente.</t>
  </si>
  <si>
    <t>UFV desenergizada para inspeção. Realizado procedimento completo de secagem e reforço das vedações.</t>
  </si>
  <si>
    <t>BC Varjao1.3</t>
  </si>
  <si>
    <t>100KTL-H1(MBUS-13)</t>
  </si>
  <si>
    <t>UF3Inv2</t>
  </si>
  <si>
    <t>Oscilação da rede da concessionária</t>
  </si>
  <si>
    <t>Realização de teste operacional para verificação dos procedimentos de desligamento e religamento</t>
  </si>
  <si>
    <t>Identif. O&amp;M</t>
  </si>
  <si>
    <t xml:space="preserve">Foi realizado treinamento do mantenedor e acompanhamento das etapas de procedimento de manobra </t>
  </si>
  <si>
    <t>Durante a verificação foi constatado que era uma falta de comunicação, foi feito inspeção e identificado que o conversor de mídia estava queimado.</t>
  </si>
  <si>
    <t>Abertura do religador após oscilação da rede.</t>
  </si>
  <si>
    <t>Falha rede</t>
  </si>
  <si>
    <t>Durante a verificação foi constatado que era uma falta de comunicação, foi feito inspeção e identificado que a fonte de alimentação do conversor de mídia estava queimada.</t>
  </si>
  <si>
    <t>Foi realizada a substituição da fonte do conversor de mídia danificado.</t>
  </si>
  <si>
    <t>Foi feito inspeção em todo complexo, checado nível de tensão e resetado relé e rearmado disjuntor.</t>
  </si>
  <si>
    <t>INT</t>
  </si>
  <si>
    <t>Foi reiniciado o roteador.</t>
  </si>
  <si>
    <t>Araçu IV</t>
  </si>
  <si>
    <t>Falta de tensão da rede da concessionária. Relé atuado em 27C e 86.</t>
  </si>
  <si>
    <t>BC Rio Monte 3</t>
  </si>
  <si>
    <t>Falta de tensão da rede da concessionária. Relé atuado em 27ABC.</t>
  </si>
  <si>
    <t>BC Rio Bonito1</t>
  </si>
  <si>
    <t>SG36KTL-M-17_001_017</t>
  </si>
  <si>
    <t>SG60KTL-10_001_010</t>
  </si>
  <si>
    <t>SG60KTL-11_001_011</t>
  </si>
  <si>
    <t>SG60KTL-12_001_012</t>
  </si>
  <si>
    <t>SG60KTL-13_001_013</t>
  </si>
  <si>
    <t>SG60KTL-14_001_014</t>
  </si>
  <si>
    <t>SG60KTL-15_001_015</t>
  </si>
  <si>
    <t>SG60KTL-16_001_016</t>
  </si>
  <si>
    <t>SG60KTL-1_001_001</t>
  </si>
  <si>
    <t>SG60KTL-2_001_002</t>
  </si>
  <si>
    <t>SG60KTL-3_001_003</t>
  </si>
  <si>
    <t>SG60KTL-4_001_004</t>
  </si>
  <si>
    <t>SG60KTL-5_001_005</t>
  </si>
  <si>
    <t>SG60KTL-6_001_006</t>
  </si>
  <si>
    <t>SG60KTL-7_001_007</t>
  </si>
  <si>
    <t>SG60KTL-8_001_008</t>
  </si>
  <si>
    <t>SG60KTL-9_001_009</t>
  </si>
  <si>
    <t>CORUMBÁ I - UFV 1</t>
  </si>
  <si>
    <t>CORUMBÁ I - UFV 2</t>
  </si>
  <si>
    <t>CORUMBÁ I - UFV 3</t>
  </si>
  <si>
    <t>CORUMBÁ II - UFV 1</t>
  </si>
  <si>
    <t>CORUMBÁ II - UFV 2</t>
  </si>
  <si>
    <t>CORUMBÁ II - UFV 3</t>
  </si>
  <si>
    <t>Função 47 atuada no relé.</t>
  </si>
  <si>
    <t>Rio Monte I</t>
  </si>
  <si>
    <t>SG75CX(COM2-001)_001_018</t>
  </si>
  <si>
    <t>Rio Monte II</t>
  </si>
  <si>
    <t>SG40CX(COM2-007)_001_017</t>
  </si>
  <si>
    <t>SG60KTL(COM1-002)_001_005</t>
  </si>
  <si>
    <t>SG60KTL(COM1-003)_001__011</t>
  </si>
  <si>
    <t>SG60KTL(COM1-004)_001_007</t>
  </si>
  <si>
    <t>SG60KTL(COM1-005)_001_009</t>
  </si>
  <si>
    <t>SG60KTL(COM1-006)_001_006</t>
  </si>
  <si>
    <t>Caiaponia I</t>
  </si>
  <si>
    <t>Caiaponia II</t>
  </si>
  <si>
    <t>Rio Monte III</t>
  </si>
  <si>
    <t>SG60KTL(COM1-008)_001_016</t>
  </si>
  <si>
    <t>SG60KTL(COM1-009)_001_010</t>
  </si>
  <si>
    <t>SG60KTL(COM1-010)_001_012</t>
  </si>
  <si>
    <t>SG60KTL(COM1-011)_001_002</t>
  </si>
  <si>
    <t>SG60KTL(COM1-012)_001_015</t>
  </si>
  <si>
    <t>SG60KTL(COM1-013)_001_003</t>
  </si>
  <si>
    <t>SG60KTL(COM1-014)_001_004</t>
  </si>
  <si>
    <t>SG60KTL(COM1-015)_001_013</t>
  </si>
  <si>
    <t>SG60KTL(COM1-016)_001_014</t>
  </si>
  <si>
    <t>SG60KTL(COM1-017)_001_008</t>
  </si>
  <si>
    <t>Falta de tensão da rede da concessionária. Relé atuado em 27ABC e 59ABC.</t>
  </si>
  <si>
    <t>Caiaponia III</t>
  </si>
  <si>
    <t>Caiaponia IV</t>
  </si>
  <si>
    <t>Caiaponia V</t>
  </si>
  <si>
    <t>UFV CAIAPONIA II - UC 1</t>
  </si>
  <si>
    <t>UFV CAIAPONIA II - UC 2</t>
  </si>
  <si>
    <t>UFV CAIAPONIA II - UC 3</t>
  </si>
  <si>
    <t>Função 27 e 47 atuada no relé.</t>
  </si>
  <si>
    <t>Função 50N e 86Q atuada no relé.</t>
  </si>
  <si>
    <t>Função 50N, 86Q e 51ABC atuada no relé.</t>
  </si>
  <si>
    <t>Função 57A, 86Q e 47A atuada no relé.</t>
  </si>
  <si>
    <t>Araçu II</t>
  </si>
  <si>
    <t>Araçu 2.1 inv 1</t>
  </si>
  <si>
    <t>Araçu 2.1 inv 2</t>
  </si>
  <si>
    <t>Araçu 2.1 inv 3</t>
  </si>
  <si>
    <t>Araçu 2.2 inv.1</t>
  </si>
  <si>
    <t>Araçu 2.2 inv .2</t>
  </si>
  <si>
    <t>Araçu 2.2 inv 3</t>
  </si>
  <si>
    <t>Araçu 2.3inv 1</t>
  </si>
  <si>
    <t>Araçu 2.3 inv 2</t>
  </si>
  <si>
    <t>Araçu 2.3 inv 4</t>
  </si>
  <si>
    <t>Araçu.2.3 inv 5</t>
  </si>
  <si>
    <t>Araçu 2.3 inv</t>
  </si>
  <si>
    <t>Araçu 2.3 inv 6</t>
  </si>
  <si>
    <t>ARAÇU.2.4.INV.2</t>
  </si>
  <si>
    <t>Araçu.2.4 inv 3</t>
  </si>
  <si>
    <t>Araçu 2.4 inv 6</t>
  </si>
  <si>
    <t>Araçu 2.4 inv 1</t>
  </si>
  <si>
    <t>Araçu 2.4 inv 4</t>
  </si>
  <si>
    <t>Araçu 2.4 inv 5</t>
  </si>
  <si>
    <t>Panamá I</t>
  </si>
  <si>
    <t>ITAPOAN 001 (COM1-001)_001_001</t>
  </si>
  <si>
    <t>Prestador de Serviço de TI/CFTV</t>
  </si>
  <si>
    <t>Foi acionado o provedor de internet, cabo rompido devido a chuva, comunicação reestabelecida</t>
  </si>
  <si>
    <t>Realizado reset no sistema de CFTV. Após a reinicialização, a comunicação foi restabelecida.</t>
  </si>
  <si>
    <t>Auto-restart.</t>
  </si>
  <si>
    <t>VARJÃO 1 - UFV 1</t>
  </si>
  <si>
    <t>Desligamento programado da usina para realização de comissionamento dos transformadores de média tensão</t>
  </si>
  <si>
    <t>Coleta de óleo no transformador. Testes e Megagem do transformador.</t>
  </si>
  <si>
    <t>VARJÃO 1 - UFV 2</t>
  </si>
  <si>
    <t>VARJÃO 1 - UFV 3</t>
  </si>
  <si>
    <t>VARJÃO 2 - UFV 2.1</t>
  </si>
  <si>
    <t>VARJÃO 2 - UFV 2.2</t>
  </si>
  <si>
    <t>VARJÃO 2 - UFV 2.3</t>
  </si>
  <si>
    <t>UFV LENÇOIS PAULISTA</t>
  </si>
  <si>
    <t>Desligamento programado da usina para limpeza e inspeção do transformador</t>
  </si>
  <si>
    <t>Realizado limpeza, verificado o reaperto dos terminais, condições das mulfas e fixação dos cabos</t>
  </si>
  <si>
    <t>Clareira de Araçu - UFV 1</t>
  </si>
  <si>
    <t>Função 32 atuada no relé.</t>
  </si>
  <si>
    <t>Clareira de Araçu - UFV 2</t>
  </si>
  <si>
    <t>Acompanhar e registrar as atividades</t>
  </si>
  <si>
    <t>Manutenção no QGBT - Resolução de pendências pós entrega de obras</t>
  </si>
  <si>
    <t>Foi realizada manutenção nas canaletas do QGTB</t>
  </si>
  <si>
    <t>Araçu I</t>
  </si>
  <si>
    <t>Araçu III</t>
  </si>
  <si>
    <t xml:space="preserve">Somente duas cameras ativas </t>
  </si>
  <si>
    <t xml:space="preserve"> Relé atuado por 81 e 86.</t>
  </si>
  <si>
    <t>BC Panama1.1</t>
  </si>
  <si>
    <t>CEREAL_002</t>
  </si>
  <si>
    <t>Foi feito inspeção em todo complexo, rearmado disjuntor.</t>
  </si>
  <si>
    <t>ITAPOAN_003</t>
  </si>
  <si>
    <t>BC Panama1.2</t>
  </si>
  <si>
    <t>COOGED_005</t>
  </si>
  <si>
    <t>ART_006</t>
  </si>
  <si>
    <t>ART_004</t>
  </si>
  <si>
    <t>RADIO_007</t>
  </si>
  <si>
    <t>Desligamento programado da usina para realização de comissionamento dos cabos de media tensão e testes nos barramentos</t>
  </si>
  <si>
    <t>Realizado testes e megagem dos cabos de média tensão, muflas e componentes.</t>
  </si>
  <si>
    <t>Falha de geração nos inversores (Queda de rede identificada no sistema de monitoramento).</t>
  </si>
  <si>
    <t>Identificado trip no disjuntor geral da usina. Foi realizado o desarme dele e verificação dos reapertos. Posteriormente foi realizado o rearme e a manobra para normalização da geração.</t>
  </si>
  <si>
    <t>Falha no relé de segurança do painel de entrada PMT, falhas atuadas: 67 fase A, B e C e 86.</t>
  </si>
  <si>
    <t>Contatar provedor de internet</t>
  </si>
  <si>
    <t>Queda de energia da concessionária</t>
  </si>
  <si>
    <t>Falha de comunicação. Conversor de mídia queimado.</t>
  </si>
  <si>
    <t>Foi realizado a substituição do conversor de mídia.</t>
  </si>
  <si>
    <t>Queda da rede da concessionária.</t>
  </si>
  <si>
    <t>Rio Bonito I</t>
  </si>
  <si>
    <t>Barra do Garças I</t>
  </si>
  <si>
    <t>Barra do Garças II</t>
  </si>
  <si>
    <t>Inverter__4</t>
  </si>
  <si>
    <t>Inverter__3</t>
  </si>
  <si>
    <t>Inverter__2</t>
  </si>
  <si>
    <t>Inverter__7</t>
  </si>
  <si>
    <t>Barra do Garças III</t>
  </si>
  <si>
    <t>Inverter__9</t>
  </si>
  <si>
    <t>Inverter__8</t>
  </si>
  <si>
    <t>Inverter__10</t>
  </si>
  <si>
    <t>Inverter__6</t>
  </si>
  <si>
    <t>Trip no disjuntor do inversor.</t>
  </si>
  <si>
    <t>Realizado rearme do disjuntor.</t>
  </si>
  <si>
    <t>Falta de tensão da rede da concessionária. Relé atuado em 59ABC.</t>
  </si>
  <si>
    <t>Durante a verificação foi constatado que houve uma atuação do relé de proteção, sem registros de código ansi.</t>
  </si>
  <si>
    <t>Foi realizado inspeção nos componentes do sistema de geração e não sendo identificadas anomalias persistentes procedeu-se com o religamento do disjuntor.</t>
  </si>
  <si>
    <t xml:space="preserve">Falha de comunicação. </t>
  </si>
  <si>
    <t>Realizado reset do roteador e switchs da usina.</t>
  </si>
  <si>
    <t>Araçu VIII</t>
  </si>
  <si>
    <t>Falha na rede da concessionária, código 47.</t>
  </si>
  <si>
    <t>Falta de tensão da rede da concessionária. Relé atuado em 27AC, 50N, 51N e 86Q.</t>
  </si>
  <si>
    <t>Realizado o reset da smartlogger.</t>
  </si>
  <si>
    <t>Queda causada por oscilação da rede.</t>
  </si>
  <si>
    <t>Após verificação local, foi realizada a manobra de normalização do inversor.</t>
  </si>
  <si>
    <t>VAZANTE II - UFV 2</t>
  </si>
  <si>
    <t>Inverter-ES2180058349</t>
  </si>
  <si>
    <t>08/12/20205 10:41</t>
  </si>
  <si>
    <t>Identificado falha no inversor (ES2170028664).</t>
  </si>
  <si>
    <t>Inversor apresentou falha e foi substituído. Inversor não possui mais cobertura de garantia, e foi substituído por um inversor reparado pelo time de O&amp;M.</t>
  </si>
  <si>
    <t>Inverter-ES2170027326</t>
  </si>
  <si>
    <t>Inversor apresentou falha e foi substituído por um sobressalente, após garantia ser aceita pela huawei.</t>
  </si>
  <si>
    <t>Inverter-ES2180058977</t>
  </si>
  <si>
    <t>Inverter-ES2170028141</t>
  </si>
  <si>
    <t xml:space="preserve">Desligamento programado da usina para manutenção corretiva nos cubículos de proteção (Execução: Power Sys, empresa contratada) </t>
  </si>
  <si>
    <t>Após manutenção, usina foi reenergizada de acordo com programa de manobras.</t>
  </si>
  <si>
    <t>Logger substituído, após tratativa em garantia.</t>
  </si>
  <si>
    <t>Foi realizada a substituição do smartlogger, após identificação de mau funcionamento dele. Após a substituição e configuração, o equipamento não subiu na plataforma fusion, apesar de estar devidamente configurado e funcionando.</t>
  </si>
  <si>
    <t>Cabo da concessionária rompido.</t>
  </si>
  <si>
    <t>Foi realizado emenda do cabo rompido, e após a inspeção nos componentes do sistema de geração e não sendo identificadas anomalias persistentes procedeu-se com o religamento do disjuntor.</t>
  </si>
  <si>
    <t>Vazante I</t>
  </si>
  <si>
    <t xml:space="preserve">Após inspeção realizada pela equipe técnica da CEMIG, foi constatado que dois cabos da rede elétrica foram totalmente danificados devido a uma intensa descarga atmosférica.  A equipe de projetos da concessionária propôs, inicialmente, a construção de uma rede aérea provisória. No entanto, essa alternativa foi descartada devido à proximidade da rede com a linha de transmissão, o que representa risco operacional. Como a linha afetada passa pela mesma caixa de passagem utilizada pela UFV Vazante 2, será necessário o desligamento temporário dessa usina para a execução do serviço.  </t>
  </si>
  <si>
    <t>A equipe da CEMIG enviou as equipes para recomposição da rede. Após normalização, foi realizada a manobra para energização da usina.</t>
  </si>
  <si>
    <t>Vazante II</t>
  </si>
  <si>
    <t>Inverter 1</t>
  </si>
  <si>
    <t>Inverter 2</t>
  </si>
  <si>
    <t>Inverter 3</t>
  </si>
  <si>
    <t>Inverter 4</t>
  </si>
  <si>
    <t>Inverter 5</t>
  </si>
  <si>
    <t>Inverter 6</t>
  </si>
  <si>
    <t>Inverter 7</t>
  </si>
  <si>
    <t>Inverter 8</t>
  </si>
  <si>
    <t>Inverter 9</t>
  </si>
  <si>
    <t>Inverter 10</t>
  </si>
  <si>
    <t>Inverter 11</t>
  </si>
  <si>
    <t>Inverter 12</t>
  </si>
  <si>
    <t>Inverter 13</t>
  </si>
  <si>
    <t>Inverter 14</t>
  </si>
  <si>
    <t>Inverter 15</t>
  </si>
  <si>
    <t>Inverter 16</t>
  </si>
  <si>
    <t>Inverter 17</t>
  </si>
  <si>
    <t>Vazante III</t>
  </si>
  <si>
    <t>VAZANTE II - UFV 1</t>
  </si>
  <si>
    <t>Inverter-ES2170028610</t>
  </si>
  <si>
    <t>Inverter-ES2180059185</t>
  </si>
  <si>
    <t>Inverter-ES2180058348</t>
  </si>
  <si>
    <t>Inverter-ES2170080328</t>
  </si>
  <si>
    <t>Inverter-ES2190011079</t>
  </si>
  <si>
    <t>Inverter-ES2170028664</t>
  </si>
  <si>
    <t>VAZANTE II - UFV 3</t>
  </si>
  <si>
    <t>Inverter-ES2190011070</t>
  </si>
  <si>
    <t>Inverter-ES2180058350</t>
  </si>
  <si>
    <t>Inverter-ES2240060614</t>
  </si>
  <si>
    <t> </t>
  </si>
  <si>
    <t>Um surto elétrico danificou componentes e desconfigurou a lógica de proteção, impedindo a operação da usina devido à queima de equipamentos.</t>
  </si>
  <si>
    <t>Um surto elétrico danificou componentes e desconfigurou a lógica de proteção, impedindo a operação da usina devido à queima de equipamentos e erros de instalação. A equipe técnica restabeleceu a energia após substituir o relé, corrigir a fiação e ajustar a parametrização, mantendo como pendência a troca urgente da fonte capacitiva e dos DPS.</t>
  </si>
  <si>
    <t>Queda da rede da concessionária. Protocolo: 462071852.</t>
  </si>
  <si>
    <t>Desligamento programado para realização de manutenção em TP auxiliar.</t>
  </si>
  <si>
    <t>Após realização da manutenção, usina foi normalizada.</t>
  </si>
  <si>
    <t>Durante inspeção técnica, foi identificado que dois elos fusíveis da concessionária estavam queimados.</t>
  </si>
  <si>
    <t>Realizada a aquisição dos elos fusíveis pela equipe técnica e realizada a substituição e manobra de normalização da usina.</t>
  </si>
  <si>
    <t>Manutenção no provedor de internet</t>
  </si>
  <si>
    <t>Manutenção na internet, realizada pelo provedor. Não afetou a geração da usina.</t>
  </si>
  <si>
    <t>Tracker em posição de segurança devido à alarme de rajadas de vento na RSU.</t>
  </si>
  <si>
    <t>Trackers colocados em modo automatico, posição de segurança, após alarme de vento. Normalizado automaticamente após alarme ser encerrado.</t>
  </si>
  <si>
    <t>Desequilíbrio de rede da concessinária causou abertura do religador.</t>
  </si>
  <si>
    <t>Foram realizadas manobras para energizar a usina e o religador foi fechado.</t>
  </si>
  <si>
    <t>Falha 2064, Equipamento anormal.</t>
  </si>
  <si>
    <t>Inversor parou de funcionar, após apresentar falha 2064. Foram realizados todos os testes solicitados pela huawei e o equipamento foi aceito na troca em garantia. Estamos aguardando o envio do novo equipamento para substituição em campo.</t>
  </si>
  <si>
    <t>Desligamento de emergência devido a ação criminosa. Durante a madrugada, houve desenergização da usina ocasionada por intervenção indevida no religador da concessionária. A quadrilha atuou diretamente no equipamento, interrompendo o fornecimento de energia com o intuito de viabilizar furto nas instalações da usina.</t>
  </si>
  <si>
    <t>Ações Executadas: 
- Abertura imediata de chamado junto à concessionária Neoenergia. 
- Equipe técnica da concessionária realizou o restabelecimento da rede no dia seguinte. 
- Inspeção em campo foi realizada para verificação dos sistemas. 
- A operação foi parcialmente restabelecida para as UFVs IV, V, VI e VIII ( nomenclatura conforme projeto ). 
- Os demais unidades consumidoras permanecem desernergizadas para perícia e manutenção.</t>
  </si>
  <si>
    <t>Logger queimado.</t>
  </si>
  <si>
    <t>Após retorno da internet na usina, foi identificado que o logger estava queimado. Foi realizada a compra de sobressalente, porém, a sungrow apenas irá retornar com as vendas em janeiro. Está sendo realizada coleta local da geração.</t>
  </si>
  <si>
    <t>Falha foi causada pela atuação do relé de segurança do painel de entrada (PMT), apresentando o alarme 67 na fase A e a falha 86 (bloqueio)</t>
  </si>
  <si>
    <t>A usina desligou automaticamente devido à atuação da proteção do relé, registrada sob o código ANSI 78, indicando uma possível instabilidade de fase na rede.</t>
  </si>
  <si>
    <t>Ações Executadas:  
- Realizada inspeção geral nos principais componentes de geração (inversores e transformador);  
- Nenhuma anormalidade física aparente foi identificada;  
- Efetuado o reset do relé de proteção;  
- Comando de religamento acionado com sucesso, restabelecendo a operação da usina.</t>
  </si>
  <si>
    <t>BC Camarao1.2Inv. 445961,72569444444596245962,2902777778</t>
  </si>
  <si>
    <t>DAURDE</t>
  </si>
  <si>
    <t>BC Camarao1.2Inverter(MBUS-16)45961,72569444444596245962,2902777778</t>
  </si>
  <si>
    <t>BC Camarao1.2Inverter(MBUS-12)45961,72569444444596245962,2902777778</t>
  </si>
  <si>
    <t>BC Camarao1.2Inv. 345961,72569444444596245962,2902777778</t>
  </si>
  <si>
    <t>BC Camarao1.2Inverter(MBUS-1)45961,72569444444596245962,2902777778</t>
  </si>
  <si>
    <t>Falta de tensão da rede da concessionária.</t>
  </si>
  <si>
    <t>BC Rio Monte1Inverter3845962,2545962,2545962,2638888889</t>
  </si>
  <si>
    <t>BC Rio Monte1Inverter3745962,2545962,2545962,2638888889</t>
  </si>
  <si>
    <t>BC Rio Monte1Inverter4345962,2545962,2545962,2638888889</t>
  </si>
  <si>
    <t>BC Rio Monte1Inverter4245962,2545962,2545962,2638888889</t>
  </si>
  <si>
    <t>BC Rio Monte1Inverter4545962,2545962,2545962,2638888889</t>
  </si>
  <si>
    <t>BC Rio Monte1Inverter4445962,2545962,2545962,2638888889</t>
  </si>
  <si>
    <t>Inverter46</t>
  </si>
  <si>
    <t>BC Rio Monte1Inverter4645962,2545962,2545962,2638888889</t>
  </si>
  <si>
    <t>BC Rio Monte1Inverter4145962,2545962,2545962,2638888889</t>
  </si>
  <si>
    <t>BC Rio Monte1Inverter4745962,2545962,2545962,2638888889</t>
  </si>
  <si>
    <t>BC Rio Monte1Inverter3545962,2545962,2545962,2638888889</t>
  </si>
  <si>
    <t>BC Rio Monte1Inverter3645962,2545962,2545962,2638888889</t>
  </si>
  <si>
    <t>BC Rio Monte1Inverter3145962,2545962,2545962,2638888889</t>
  </si>
  <si>
    <t>BC Rio Monte1Inverter3345962,2545962,2545962,2638888889</t>
  </si>
  <si>
    <t>BC Rio Monte1Inverter3945962,2545962,2545962,2638888889</t>
  </si>
  <si>
    <t>BC Rio Monte1Inverter3245962,2545962,2545962,2638888889</t>
  </si>
  <si>
    <t>BC Rio Monte1Inverter4045962,2545962,2545962,2638888889</t>
  </si>
  <si>
    <t>BC Rio Monte1Inverter3445962,2545962,2545962,2638888889</t>
  </si>
  <si>
    <t>Função 32C atuada no relé de proteção.</t>
  </si>
  <si>
    <t>ARAGUATINS 2.1Inverter(MBUS-13)45962,410416666745962,410416666745962,4618055556</t>
  </si>
  <si>
    <t>ARAGUATINS 2.1Inverter(MBUS-12)45962,410416666745962,410416666745962,4618055556</t>
  </si>
  <si>
    <t>ARAGUATINS 2.1Inverter(MBUS-15)45962,410416666745962,410416666745962,4618055556</t>
  </si>
  <si>
    <t>ARAGUATINS 2.1Inverter(MBUS-14)45962,410416666745962,410416666745962,4618055556</t>
  </si>
  <si>
    <t>ARAGUATINS 2.2Inverter(MBUS-15)45962,410416666745962,410416666745962,4618055556</t>
  </si>
  <si>
    <t>ARAGUATINS 2.2Inverter(MBUS-13)45962,410416666745962,410416666745962,4618055556</t>
  </si>
  <si>
    <t>ARAGUATINS 2.2Inverter(MBUS-14)45962,410416666745962,410416666745962,4618055556</t>
  </si>
  <si>
    <t>ARAGUATINS 2.2Inverter(MBUS-12)45962,410416666745962,410416666745962,4618055556</t>
  </si>
  <si>
    <t>BC Caiaponia1SG60KTL(COM1-001)_001_00745963,341666666745963,341666666745963,4201388889</t>
  </si>
  <si>
    <t>BC Caiaponia1SG60KTL(COM1-002)_001_01045963,341666666745963,341666666745963,4201388889</t>
  </si>
  <si>
    <t>BC Caiaponia1SG60KTL(COM1-003)_001_01145963,341666666745963,341666666745963,4201388889</t>
  </si>
  <si>
    <t>BC Caiaponia1SG60KTL(COM1-004)_001_01445963,341666666745963,341666666745963,4201388889</t>
  </si>
  <si>
    <t>BC Caiaponia1SG60KTL(COM1-005)_001_01745963,341666666745963,341666666745963,4201388889</t>
  </si>
  <si>
    <t>BC Caiaponia1SG60KTL(COM1-006)_001_01645963,341666666745963,341666666745963,4201388889</t>
  </si>
  <si>
    <t>BC Caiaponia1SG60KTL(COM1-007)_001_01345963,341666666745963,341666666745963,4201388889</t>
  </si>
  <si>
    <t>BC Caiaponia1SG60KTL(COM1-008)_001_00145963,341666666745963,341666666745963,4201388889</t>
  </si>
  <si>
    <t>BC Caiaponia1SG60KTL(COM1-009)45963,341666666745963,341666666745963,4201388889</t>
  </si>
  <si>
    <t>BC Caiaponia1SG60KTL(COM1-010)45963,341666666745963,341666666745963,4201388889</t>
  </si>
  <si>
    <t>BC Caiaponia1SG60KTL(COM1-011)45963,341666666745963,341666666745963,4201388889</t>
  </si>
  <si>
    <t>BC Caiaponia1SG60KTL(COM1-012)45963,341666666745963,341666666745963,4201388889</t>
  </si>
  <si>
    <t>BC Caiaponia1SG60KTL(COM1-013)45963,341666666745963,341666666745963,4201388889</t>
  </si>
  <si>
    <t>BC Caiaponia1SG60KTL(COM1-014)45963,341666666745963,341666666745963,4201388889</t>
  </si>
  <si>
    <t>BC Caiaponia1SG60KTL(COM1-015)45963,341666666745963,341666666745963,4201388889</t>
  </si>
  <si>
    <t>BC Caiaponia1SG60KTL(COM3-016)_001_00945963,341666666745963,341666666745963,4201388889</t>
  </si>
  <si>
    <t>BC Caiaponia1SG60KTL(COM3-017)_001_01245963,341666666745963,341666666745963,4201388889</t>
  </si>
  <si>
    <t>BC Caiaponia1SG60KTL(COM3-018)_001_00845963,341666666745963,341666666745963,4201388889</t>
  </si>
  <si>
    <t>BC Caiaponia1SG60KTL(COM3-019)_001_01945963,341666666745963,341666666745963,4201388889</t>
  </si>
  <si>
    <t>BC Caiaponia1SG60KTL(COM3-020)_001_02045963,341666666745963,341666666745963,4201388889</t>
  </si>
  <si>
    <t>BC Caiaponia1SG60KTL(COM2-026)45963,341666666745963,341666666745963,4201388889</t>
  </si>
  <si>
    <t>BC Caiaponia1SG60KTL(COM2-027)45963,341666666745963,341666666745963,4201388889</t>
  </si>
  <si>
    <t>BC Caiaponia1SG60KTL(COM2-028)45963,341666666745963,341666666745963,4201388889</t>
  </si>
  <si>
    <t>BC Caiaponia1SG60KTL(COM2-029)45963,341666666745963,341666666745963,4201388889</t>
  </si>
  <si>
    <t>BC Caiaponia1SG50CX(COM1-021)45963,341666666745963,341666666745963,4201388889</t>
  </si>
  <si>
    <t>BC Caiaponia1SG50CX(COM1-022)45963,341666666745963,341666666745963,4201388889</t>
  </si>
  <si>
    <t>BC Caiaponia1SG50CX(COM1-023)45963,341666666745963,341666666745963,4201388889</t>
  </si>
  <si>
    <t>BC Caiaponia1SG50CX(COM1-024)45963,341666666745963,341666666745963,4201388889</t>
  </si>
  <si>
    <t>BC Caiaponia1SG50CX(COM1-025)45963,341666666745963,341666666745963,4201388889</t>
  </si>
  <si>
    <t>BC Caiaponia2.1215KTL-H3(MBUS-12)45963,341666666745963,341666666745963,4201388889</t>
  </si>
  <si>
    <t>BC Caiaponia2.1215KTL-H3(MBUS-13)45963,341666666745963,341666666745963,4201388889</t>
  </si>
  <si>
    <t>BC Caiaponia2.1215KTL-H3(MBUS-14)45963,341666666745963,341666666745963,4201388889</t>
  </si>
  <si>
    <t>BC Caiaponia2.1215KTL-H3(MBUS-15)45963,341666666745963,341666666745963,4201388889</t>
  </si>
  <si>
    <t>BC Caiaponia2.1215KTL-H3(MBUS-16)45963,341666666745963,341666666745963,4201388889</t>
  </si>
  <si>
    <t>BC Caiaponia2.2215KTL-H3(MBUS-12)45963,341666666745963,341666666745963,4201388889</t>
  </si>
  <si>
    <t>BC Caiaponia2.2215KTL-H3(MBUS-13)45963,341666666745963,341666666745963,4201388889</t>
  </si>
  <si>
    <t>BC Caiaponia2.2215KTL-H3(MBUS-14)45963,341666666745963,341666666745963,4201388889</t>
  </si>
  <si>
    <t>BC Caiaponia2.2215KTL-H3(MBUS-15)45963,341666666745963,341666666745963,4201388889</t>
  </si>
  <si>
    <t>BC Caiaponia2.2215KTL-H3(MBUS-16)45963,341666666745963,341666666745963,4201388889</t>
  </si>
  <si>
    <t>BC Caiaponia2.3215KTL-H3(MBUS-12)45963,341666666745963,341666666745963,4201388889</t>
  </si>
  <si>
    <t>BC Caiaponia2.3215KTL-H3(MBUS-13)45963,341666666745963,341666666745963,4201388889</t>
  </si>
  <si>
    <t>BC Caiaponia2.3215KTL-H3(MBUS-14)45963,341666666745963,341666666745963,4201388889</t>
  </si>
  <si>
    <t>BC Caiaponia2.3215KTL-H3(MBUS-15)45963,341666666745963,341666666745963,4201388889</t>
  </si>
  <si>
    <t>BC Caiaponia2.3215KTL-H3(MBUS-16)45963,341666666745963,341666666745963,4201388889</t>
  </si>
  <si>
    <t>Função 67c e 86b atuada no relé de proteção.</t>
  </si>
  <si>
    <t>ARAGUATINS 2.1Inverter(MBUS-13)45963,356944444445963,356944444445963,7361111111</t>
  </si>
  <si>
    <t>ARAGUATINS 2.1Inverter(MBUS-12)45963,356944444445963,356944444445963,7361111111</t>
  </si>
  <si>
    <t>ARAGUATINS 2.1Inverter(MBUS-15)45963,356944444445963,356944444445963,7361111111</t>
  </si>
  <si>
    <t>ARAGUATINS 2.1Inverter(MBUS-14)45963,356944444445963,356944444445963,7361111111</t>
  </si>
  <si>
    <t>ARAGUATINS 2.2Inverter(MBUS-15)45963,356944444445963,356944444445963,7361111111</t>
  </si>
  <si>
    <t>ARAGUATINS 2.2Inverter(MBUS-13)45963,356944444445963,356944444445963,7361111111</t>
  </si>
  <si>
    <t>ARAGUATINS 2.2Inverter(MBUS-14)45963,356944444445963,356944444445963,7361111111</t>
  </si>
  <si>
    <t>ARAGUATINS 2.2Inverter(MBUS-12)45963,356944444445963,356944444445963,7361111111</t>
  </si>
  <si>
    <t>BC Caiaponia1SG60KTL(COM1-001)_001_00745963,461805555645963,461805555645963,5416666667</t>
  </si>
  <si>
    <t>BC Caiaponia1SG60KTL(COM1-002)_001_01045963,461805555645963,461805555645963,5416666667</t>
  </si>
  <si>
    <t>BC Caiaponia1SG60KTL(COM1-003)_001_01145963,461805555645963,461805555645963,5416666667</t>
  </si>
  <si>
    <t>BC Caiaponia1SG60KTL(COM1-004)_001_01445963,461805555645963,461805555645963,5416666667</t>
  </si>
  <si>
    <t>BC Caiaponia1SG60KTL(COM1-005)_001_01745963,461805555645963,461805555645963,5416666667</t>
  </si>
  <si>
    <t>BC Caiaponia1SG60KTL(COM1-006)_001_01645963,461805555645963,461805555645963,5416666667</t>
  </si>
  <si>
    <t>BC Caiaponia1SG60KTL(COM1-007)_001_01345963,461805555645963,461805555645963,5416666667</t>
  </si>
  <si>
    <t>BC Caiaponia1SG60KTL(COM1-008)_001_00145963,461805555645963,461805555645963,5416666667</t>
  </si>
  <si>
    <t>BC Caiaponia1SG60KTL(COM1-009)45963,461805555645963,461805555645963,5416666667</t>
  </si>
  <si>
    <t>BC Caiaponia1SG60KTL(COM1-010)45963,461805555645963,461805555645963,5416666667</t>
  </si>
  <si>
    <t>BC Caiaponia1SG60KTL(COM1-011)45963,461805555645963,461805555645963,5416666667</t>
  </si>
  <si>
    <t>BC Caiaponia1SG60KTL(COM1-012)45963,461805555645963,461805555645963,5416666667</t>
  </si>
  <si>
    <t>BC Caiaponia1SG60KTL(COM1-013)45963,461805555645963,461805555645963,5416666667</t>
  </si>
  <si>
    <t>BC Caiaponia1SG60KTL(COM1-014)45963,461805555645963,461805555645963,5416666667</t>
  </si>
  <si>
    <t>BC Caiaponia1SG60KTL(COM1-015)45963,461805555645963,461805555645963,5416666667</t>
  </si>
  <si>
    <t>BC Caiaponia1SG60KTL(COM3-016)_001_00945963,461805555645963,461805555645963,5416666667</t>
  </si>
  <si>
    <t>BC Caiaponia1SG60KTL(COM3-017)_001_01245963,461805555645963,461805555645963,5416666667</t>
  </si>
  <si>
    <t>BC Caiaponia1SG60KTL(COM3-018)_001_00845963,461805555645963,461805555645963,5416666667</t>
  </si>
  <si>
    <t>BC Caiaponia1SG60KTL(COM3-019)_001_01945963,461805555645963,461805555645963,5416666667</t>
  </si>
  <si>
    <t>BC Caiaponia1SG60KTL(COM3-020)_001_02045963,461805555645963,461805555645963,5416666667</t>
  </si>
  <si>
    <t>BC Caiaponia1SG60KTL(COM2-026)45963,461805555645963,461805555645963,5416666667</t>
  </si>
  <si>
    <t>BC Caiaponia1SG60KTL(COM2-027)45963,461805555645963,461805555645963,5416666667</t>
  </si>
  <si>
    <t>BC Caiaponia1SG60KTL(COM2-028)45963,461805555645963,461805555645963,5416666667</t>
  </si>
  <si>
    <t>BC Caiaponia1SG60KTL(COM2-029)45963,461805555645963,461805555645963,5416666667</t>
  </si>
  <si>
    <t>BC Caiaponia1SG50CX(COM1-021)45963,461805555645963,461805555645963,5416666667</t>
  </si>
  <si>
    <t>BC Caiaponia1SG50CX(COM1-022)45963,461805555645963,461805555645963,5416666667</t>
  </si>
  <si>
    <t>BC Caiaponia1SG50CX(COM1-023)45963,461805555645963,461805555645963,5416666667</t>
  </si>
  <si>
    <t>BC Caiaponia1SG50CX(COM1-024)45963,461805555645963,461805555645963,5416666667</t>
  </si>
  <si>
    <t>BC Caiaponia1SG50CX(COM1-025)45963,461805555645963,461805555645963,5416666667</t>
  </si>
  <si>
    <t>BC Caiaponia2.1215KTL-H3(MBUS-12)45963,461805555645963,461805555645963,5416666667</t>
  </si>
  <si>
    <t>BC Caiaponia2.1215KTL-H3(MBUS-13)45963,461805555645963,461805555645963,5416666667</t>
  </si>
  <si>
    <t>BC Caiaponia2.1215KTL-H3(MBUS-14)45963,461805555645963,461805555645963,5416666667</t>
  </si>
  <si>
    <t>BC Caiaponia2.1215KTL-H3(MBUS-15)45963,461805555645963,461805555645963,5416666667</t>
  </si>
  <si>
    <t>BC Caiaponia2.1215KTL-H3(MBUS-16)45963,461805555645963,461805555645963,5416666667</t>
  </si>
  <si>
    <t>BC Caiaponia2.2215KTL-H3(MBUS-12)45963,461805555645963,461805555645963,5416666667</t>
  </si>
  <si>
    <t>BC Caiaponia2.2215KTL-H3(MBUS-13)45963,461805555645963,461805555645963,5416666667</t>
  </si>
  <si>
    <t>BC Caiaponia2.2215KTL-H3(MBUS-14)45963,461805555645963,461805555645963,5416666667</t>
  </si>
  <si>
    <t>BC Caiaponia2.2215KTL-H3(MBUS-15)45963,461805555645963,461805555645963,5416666667</t>
  </si>
  <si>
    <t>BC Caiaponia2.2215KTL-H3(MBUS-16)45963,461805555645963,461805555645963,5416666667</t>
  </si>
  <si>
    <t>BC Caiaponia2.3215KTL-H3(MBUS-12)45963,461805555645963,461805555645963,5416666667</t>
  </si>
  <si>
    <t>BC Caiaponia2.3215KTL-H3(MBUS-13)45963,461805555645963,461805555645963,5416666667</t>
  </si>
  <si>
    <t>BC Caiaponia2.3215KTL-H3(MBUS-14)45963,461805555645963,461805555645963,5416666667</t>
  </si>
  <si>
    <t>BC Caiaponia2.3215KTL-H3(MBUS-15)45963,461805555645963,461805555645963,5416666667</t>
  </si>
  <si>
    <t>BC Caiaponia2.3215KTL-H3(MBUS-16)45963,461805555645963,461805555645963,5416666667</t>
  </si>
  <si>
    <t>BC Rio Monte1Inverter3845963,465277777845963,465277777845963,5034722222</t>
  </si>
  <si>
    <t>BC Rio Monte1Inverter3745963,465277777845963,465277777845963,5034722222</t>
  </si>
  <si>
    <t>BC Rio Monte1Inverter4345963,465277777845963,465277777845963,5034722222</t>
  </si>
  <si>
    <t>BC Rio Monte1Inverter4245963,465277777845963,465277777845963,5034722222</t>
  </si>
  <si>
    <t>BC Rio Monte1Inverter4545963,465277777845963,465277777845963,5034722222</t>
  </si>
  <si>
    <t>BC Rio Monte1Inverter4445963,465277777845963,465277777845963,5034722222</t>
  </si>
  <si>
    <t>BC Rio Monte1Inverter4645963,465277777845963,465277777845963,5034722222</t>
  </si>
  <si>
    <t>BC Rio Monte1Inverter4145963,465277777845963,465277777845963,5034722222</t>
  </si>
  <si>
    <t>BC Rio Monte1Inverter4745963,465277777845963,465277777845963,5034722222</t>
  </si>
  <si>
    <t>BC Rio Monte1Inverter3545963,465277777845963,465277777845963,5034722222</t>
  </si>
  <si>
    <t>BC Rio Monte1Inverter3645963,465277777845963,465277777845963,5034722222</t>
  </si>
  <si>
    <t>BC Rio Monte1Inverter3145963,465277777845963,465277777845963,5034722222</t>
  </si>
  <si>
    <t>BC Rio Monte1Inverter3345963,465277777845963,465277777845963,5034722222</t>
  </si>
  <si>
    <t>BC Rio Monte1Inverter3945963,465277777845963,465277777845963,5034722222</t>
  </si>
  <si>
    <t>BC Rio Monte1Inverter3245963,465277777845963,465277777845963,5034722222</t>
  </si>
  <si>
    <t>BC Rio Monte1Inverter4045963,465277777845963,465277777845963,5034722222</t>
  </si>
  <si>
    <t>BC Rio Monte1Inverter3445963,465277777845963,465277777845963,5034722222</t>
  </si>
  <si>
    <t>Panamá II</t>
  </si>
  <si>
    <t>BC Panama1.1CEREAL_00245963,5062545963,5062545964,25</t>
  </si>
  <si>
    <t>BC Panama1.1ITAPOAN 001 (COM1-001)_001_00145963,5062545963,5062545964,25</t>
  </si>
  <si>
    <t>Panamá III</t>
  </si>
  <si>
    <t>BC Panama1.1ITAPOAN_00345963,5062545963,5062545964,25</t>
  </si>
  <si>
    <t>Panamá V</t>
  </si>
  <si>
    <t>BC Panama1.2COOGED_00545963,5062545963,5062545964,25</t>
  </si>
  <si>
    <t>Panamá VI</t>
  </si>
  <si>
    <t>BC Panama1.2ART_00645963,5062545963,5062545964,25</t>
  </si>
  <si>
    <t>Panamá IV</t>
  </si>
  <si>
    <t>BC Panama1.2ART_00445963,5062545963,5062545964,25</t>
  </si>
  <si>
    <t>Panamá VII</t>
  </si>
  <si>
    <t>BC Panama1.2RADIO_00745963,5062545963,5062545964,25</t>
  </si>
  <si>
    <t>Rio Bonito II</t>
  </si>
  <si>
    <t>BC Rio Bonito2INV-00145963,531944444445963,531944444445963,6458333333</t>
  </si>
  <si>
    <t>BC Rio Bonito2INV-00245963,531944444445963,531944444445963,6458333333</t>
  </si>
  <si>
    <t>BC Rio Bonito2INV-00345963,531944444445963,531944444445963,6458333333</t>
  </si>
  <si>
    <t>BC Rio Bonito2INV-00445963,531944444445963,531944444445963,6458333333</t>
  </si>
  <si>
    <t>BC Rio Bonito1SG36KTL-M-17_001_01745963,531944444445963,531944444445963,6458333333</t>
  </si>
  <si>
    <t>BC Rio Bonito1SG60KTL-10_001_01045963,531944444445963,531944444445963,6458333333</t>
  </si>
  <si>
    <t>BC Rio Bonito1SG60KTL-11_001_01145963,531944444445963,531944444445963,6458333333</t>
  </si>
  <si>
    <t>BC Rio Bonito1SG60KTL-12_001_01245963,531944444445963,531944444445963,6458333333</t>
  </si>
  <si>
    <t>BC Rio Bonito1SG60KTL-13_001_01345963,531944444445963,531944444445963,6458333333</t>
  </si>
  <si>
    <t>BC Rio Bonito1SG60KTL-14_001_01445963,531944444445963,531944444445963,6458333333</t>
  </si>
  <si>
    <t>BC Rio Bonito1SG60KTL-15_001_01545963,531944444445963,531944444445963,6458333333</t>
  </si>
  <si>
    <t>BC Rio Bonito1SG60KTL-16_001_01645963,531944444445963,531944444445963,6458333333</t>
  </si>
  <si>
    <t>BC Rio Bonito1SG60KTL-1_001_00145963,531944444445963,531944444445963,6458333333</t>
  </si>
  <si>
    <t>BC Rio Bonito1SG60KTL-2_001_00245963,531944444445963,531944444445963,6458333333</t>
  </si>
  <si>
    <t>BC Rio Bonito1SG60KTL-3_001_00345963,531944444445963,531944444445963,6458333333</t>
  </si>
  <si>
    <t>BC Rio Bonito1SG60KTL-4_001_00445963,531944444445963,531944444445963,6458333333</t>
  </si>
  <si>
    <t>BC Rio Bonito1SG60KTL-5_001_00545963,531944444445963,531944444445963,6458333333</t>
  </si>
  <si>
    <t>BC Rio Bonito1SG60KTL-6_001_00645963,531944444445963,531944444445963,6458333333</t>
  </si>
  <si>
    <t>BC Rio Bonito1SG60KTL-7_001_00745963,531944444445963,531944444445963,6458333333</t>
  </si>
  <si>
    <t>BC Rio Bonito1SG60KTL-8_001_00845963,531944444445963,531944444445963,6458333333</t>
  </si>
  <si>
    <t>BC Rio Bonito1SG60KTL-9_001_00945963,531944444445963,531944444445963,6458333333</t>
  </si>
  <si>
    <t>Cabo do religador da concessionária rompido.</t>
  </si>
  <si>
    <t>Foi aberto chamado para substituição do cabo do religador. Após execução da OS pela cemig, foi realizada a manobra de normalização da geração pelo time de manutenção da usina.</t>
  </si>
  <si>
    <t>BC Vazante1.1Inverter0145964,229166666745964,229166666745965,625</t>
  </si>
  <si>
    <t>BC Vazante1.1Inverter0245964,229166666745964,229166666745965,625</t>
  </si>
  <si>
    <t>BC Vazante1.1Inverter0345964,229166666745964,229166666745965,625</t>
  </si>
  <si>
    <t>BC Vazante1.1Inverter0445964,229166666745964,229166666745965,625</t>
  </si>
  <si>
    <t>BC Vazante1.1Inverter0545964,229166666745964,229166666745965,625</t>
  </si>
  <si>
    <t>BC Vazante1.1Inverter0645964,229166666745964,229166666745965,625</t>
  </si>
  <si>
    <t>BC Vazante1.1Inverter0745964,229166666745964,229166666745965,625</t>
  </si>
  <si>
    <t>BC Vazante1.1Inverter0845964,229166666745964,229166666745965,625</t>
  </si>
  <si>
    <t>BC Vazante1.1Inverter0945964,229166666745964,229166666745965,625</t>
  </si>
  <si>
    <t>BC Vazante1.1Inverter1045964,229166666745964,229166666745965,625</t>
  </si>
  <si>
    <t>BC Vazante1.1Inverter1145964,229166666745964,229166666745965,625</t>
  </si>
  <si>
    <t>BC Vazante1.1Inverter1245964,229166666745964,229166666745965,625</t>
  </si>
  <si>
    <t>BC Vazante1.1Inverter1345964,229166666745964,229166666745965,625</t>
  </si>
  <si>
    <t>BC Vazante1.1Inverter1445964,229166666745964,229166666745965,625</t>
  </si>
  <si>
    <t>BC Vazante1.1Inverter1545964,229166666745964,229166666745965,625</t>
  </si>
  <si>
    <t>BC Vazante1.1Inverter1645964,229166666745964,229166666745965,625</t>
  </si>
  <si>
    <t>BC Vazante1.1Inverter1745964,229166666745964,229166666745965,625</t>
  </si>
  <si>
    <t>BC Vazante1.2</t>
  </si>
  <si>
    <t>BC Vazante1.2Inverter 145964,229166666745964,229166666745965,625</t>
  </si>
  <si>
    <t>BC Vazante1.2Inverter 245964,229166666745964,229166666745965,625</t>
  </si>
  <si>
    <t>BC Vazante1.2Inverter 345964,229166666745964,229166666745965,625</t>
  </si>
  <si>
    <t>BC Vazante1.2Inverter 445964,229166666745964,229166666745965,625</t>
  </si>
  <si>
    <t>BC Vazante1.2Inverter 545964,229166666745964,229166666745965,625</t>
  </si>
  <si>
    <t>BC Vazante1.2Inverter 645964,229166666745964,229166666745965,625</t>
  </si>
  <si>
    <t>BC Vazante1.2Inverter 745964,229166666745964,229166666745965,625</t>
  </si>
  <si>
    <t>BC Vazante1.2Inverter 845964,229166666745964,229166666745965,625</t>
  </si>
  <si>
    <t>BC Vazante1.2Inverter 945964,229166666745964,229166666745965,625</t>
  </si>
  <si>
    <t>BC Vazante1.2Inverter 1045964,229166666745964,229166666745965,625</t>
  </si>
  <si>
    <t>BC Vazante1.2Inverter 1145964,229166666745964,229166666745965,625</t>
  </si>
  <si>
    <t>BC Vazante1.2Inverter 1245964,229166666745964,229166666745965,625</t>
  </si>
  <si>
    <t>BC Vazante1.2Inverter 1345964,229166666745964,229166666745965,625</t>
  </si>
  <si>
    <t>BC Vazante1.2Inverter 1445964,229166666745964,229166666745965,625</t>
  </si>
  <si>
    <t>BC Vazante1.2Inverter 1545964,229166666745964,229166666745965,625</t>
  </si>
  <si>
    <t>BC Vazante1.2Inverter 1645964,229166666745964,229166666745965,625</t>
  </si>
  <si>
    <t>BC Vazante1.2Inverter 1745964,229166666745964,229166666745965,625</t>
  </si>
  <si>
    <t>BC Vazante1.3Inversor 145964,229166666745964,229166666745965,625</t>
  </si>
  <si>
    <t>BC Vazante1.3Inversor 245964,229166666745964,229166666745965,625</t>
  </si>
  <si>
    <t>BC Vazante1.3Inversor 345964,229166666745964,229166666745965,625</t>
  </si>
  <si>
    <t>BC Vazante1.3Inversor 445964,229166666745964,229166666745965,625</t>
  </si>
  <si>
    <t>BC Vazante1.3Inversor 545964,229166666745964,229166666745965,625</t>
  </si>
  <si>
    <t>BC Vazante1.3Inversor 645964,229166666745964,229166666745965,625</t>
  </si>
  <si>
    <t>BC Vazante1.3Inversor 745964,229166666745964,229166666745965,625</t>
  </si>
  <si>
    <t>BC Vazante1.3Inversor 845964,229166666745964,229166666745965,625</t>
  </si>
  <si>
    <t>BC Vazante1.3Inversor 945964,229166666745964,229166666745965,625</t>
  </si>
  <si>
    <t>BC Vazante2.1Inverter(MBUS-1)45964,229166666745964,229166666745965,625</t>
  </si>
  <si>
    <t>BC Vazante2.1Inverter(MBUS-2)45964,229166666745964,229166666745965,625</t>
  </si>
  <si>
    <t>BC Vazante2.1Inverter(MBUS-4)45964,229166666745964,229166666745965,625</t>
  </si>
  <si>
    <t>BC Vazante2.1Inverter(MBUS-5)45964,229166666745964,229166666745965,625</t>
  </si>
  <si>
    <t>BC Vazante2.1Inverter(MBUS-12)45964,229166666745964,229166666745965,625</t>
  </si>
  <si>
    <t>BC Vazante2.2Inverter(MBUS-1)45964,229166666745964,229166666745965,625</t>
  </si>
  <si>
    <t>BC Vazante2.2Inverter(MBUS-6)45964,229166666745964,229166666745965,625</t>
  </si>
  <si>
    <t>BC Vazante2.2Inverter(MBUS-7)45964,229166666745964,229166666745965,625</t>
  </si>
  <si>
    <t>BC Vazante2.2Inverter(MBUS-8)45964,229166666745964,229166666745965,625</t>
  </si>
  <si>
    <t>BC Vazante2.2Inverter(MBUS-10)45964,229166666745964,229166666745965,625</t>
  </si>
  <si>
    <t>BC Vazante2.3Inverter(MBUS-11)45964,229166666745964,229166666745965,625</t>
  </si>
  <si>
    <t>BC Vazante2.3Inverter(MBUS-12)45964,229166666745964,229166666745965,625</t>
  </si>
  <si>
    <t>BC Vazante2.3Inverter(MBUS-13)45964,229166666745964,229166666745965,625</t>
  </si>
  <si>
    <t>BC Aracu5.1Inverter(MBUS-1)45964,2545964,2545964,3333333333</t>
  </si>
  <si>
    <t>BC Aracu5.2Inverter(MBUS-1)45964,2545964,2545964,3333333333</t>
  </si>
  <si>
    <t>BC Aracu5.3Inverter(MBUS-1)45964,2545964,2545964,3333333333</t>
  </si>
  <si>
    <t>BC Aracu5.4Inverter(MBUS-1)45964,2545964,2545964,3333333333</t>
  </si>
  <si>
    <t>BC Aracu5.5Inverter(MBUS-1)45964,2545964,2545964,3333333333</t>
  </si>
  <si>
    <t>Queda do disjuntor, após oscilação da rede, muita chuva.</t>
  </si>
  <si>
    <t>Foi feito inspeção em todo complexo, checado nível de tensão e rearmado disjuntor.</t>
  </si>
  <si>
    <t>BC Aracu4SG75CX(COM1-018)_001_01845964,2545964,2545964,3333333333</t>
  </si>
  <si>
    <t>SG75CX(COM1-018)_001_019</t>
  </si>
  <si>
    <t>BC Aracu4SG75CX(COM1-018)_001_01945964,2545964,2545964,3333333333</t>
  </si>
  <si>
    <t>SG75CX(COM1-018)_001_020</t>
  </si>
  <si>
    <t>BC Aracu4SG75CX(COM1-018)_001_02045964,2545964,2545964,3333333333</t>
  </si>
  <si>
    <t>SG75CX(COM1-018)_001_021</t>
  </si>
  <si>
    <t>BC Aracu4SG75CX(COM1-018)_001_02145964,2545964,2545964,3333333333</t>
  </si>
  <si>
    <t>Inverter79</t>
  </si>
  <si>
    <t>Baixa resistência de isolamento do sist.</t>
  </si>
  <si>
    <t>BC Aracu1Inverter7945964,298923611145964,298923611145964,305162037</t>
  </si>
  <si>
    <t>DAUINV</t>
  </si>
  <si>
    <t>Após descaga atmosférica e queda da rede, verificou-se que o TP de medição do quadro geral encontrava-se danificado, ocasionando a queda da UFV e a indisponibilidade do sistema de CFTV.</t>
  </si>
  <si>
    <t>A supervisão foi informada e, em seguida, foi iniciada a tratativa para substituição do equipamento danificado. Após a troca do TP, realizou-se nova inspeção nos demais componentes e, com tudo em conformidade, a usina foi religada com sucesso.</t>
  </si>
  <si>
    <t>BC Camarao1.1Inverter(MBUS-1)45964,319444444445964,319444444445964,625</t>
  </si>
  <si>
    <t>BC Camarao1.1215KTL-H3(MBUS-12)45964,319444444445964,319444444445964,625</t>
  </si>
  <si>
    <t>BC Camarao1.1215KTL-H3(MBUS-13)45964,319444444445964,319444444445964,625</t>
  </si>
  <si>
    <t>BC Camarao1.1215KTL-H3(MBUS-16)45964,319444444445964,319444444445964,625</t>
  </si>
  <si>
    <t>BC Camarao1.1215KTL-H3(MBUS-15)45964,319444444445964,319444444445964,625</t>
  </si>
  <si>
    <t>BC Camarao1.2Inv. 445964,319444444445964,319444444445964,625</t>
  </si>
  <si>
    <t>BC Camarao1.2Inverter(MBUS-16)45964,319444444445964,319444444445964,625</t>
  </si>
  <si>
    <t>BC Camarao1.2Inverter(MBUS-12)45964,319444444445964,319444444445964,625</t>
  </si>
  <si>
    <t>BC Camarao1.2Inv. 345964,319444444445964,319444444445964,625</t>
  </si>
  <si>
    <t>BC Camarao1.2Inverter(MBUS-1)45964,319444444445964,319444444445964,625</t>
  </si>
  <si>
    <t>BC Camarao1.3215KTL-H3(MBUS-16)45964,319444444445964,319444444445964,625</t>
  </si>
  <si>
    <t>BC Camarao1.3215KTL-H3(MBUS-14)45964,319444444445964,319444444445964,625</t>
  </si>
  <si>
    <t>BC Camarao1.3215KTL-H3(MBUS-15)45964,319444444445964,319444444445964,625</t>
  </si>
  <si>
    <t>BC Camarao1.3215KTL-H3(MBUS-12)45964,319444444445964,319444444445964,625</t>
  </si>
  <si>
    <t>BC Camarao1.3215KTL-H3(MBUS-13)45964,319444444445964,319444444445964,625</t>
  </si>
  <si>
    <t>BC Camarao1.4inv. 145964,319444444445964,319444444445964,625</t>
  </si>
  <si>
    <t>BC Camarao1.4215KTL-H3(MBUS-14)45964,319444444445964,319444444445964,625</t>
  </si>
  <si>
    <t>BC Camarao1.4215KTL-H3(MBUS-13)45964,319444444445964,319444444445964,625</t>
  </si>
  <si>
    <t>BC Camarao1.4215KTL-H3(MBUS-16)45964,319444444445964,319444444445964,625</t>
  </si>
  <si>
    <t>BC Camarao1.4215KTL-H3(MBUS-15)45964,319444444445964,319444444445964,625</t>
  </si>
  <si>
    <t>BC Camarao1.5215KTL-H3(MBUS-15)45964,319444444445964,319444444445964,625</t>
  </si>
  <si>
    <t>BC Camarao1.5Inverter(MBUS-1)45964,319444444445964,319444444445964,625</t>
  </si>
  <si>
    <t>BC Camarao1.5215KTL-H3(MBUS-13)45964,319444444445964,319444444445964,625</t>
  </si>
  <si>
    <t>BC Camarao1.5215KTL-H3(MBUS-12)45964,319444444445964,319444444445964,625</t>
  </si>
  <si>
    <t>BC Camarao1.5Inverter(MBUS-14)45964,319444444445964,319444444445964,625</t>
  </si>
  <si>
    <t>BC Aracu1Inverter7945964,326770833345964,326770833345964,3337152778</t>
  </si>
  <si>
    <t>ARAGUATINS 2.1Inverter(MBUS-13)45964,384722222245964,384722222245965,2395833333</t>
  </si>
  <si>
    <t>ARAGUATINS 2.1Inverter(MBUS-12)45964,384722222245964,384722222245965,2395833333</t>
  </si>
  <si>
    <t>ARAGUATINS 2.1Inverter(MBUS-15)45964,384722222245964,384722222245965,2395833333</t>
  </si>
  <si>
    <t>ARAGUATINS 2.1Inverter(MBUS-14)45964,384722222245964,384722222245965,2395833333</t>
  </si>
  <si>
    <t>ARAGUATINS 2.2Inverter(MBUS-15)45964,384722222245964,384722222245965,2395833333</t>
  </si>
  <si>
    <t>ARAGUATINS 2.2Inverter(MBUS-13)45964,384722222245964,384722222245965,2395833333</t>
  </si>
  <si>
    <t>ARAGUATINS 2.2Inverter(MBUS-14)45964,384722222245964,384722222245965,2395833333</t>
  </si>
  <si>
    <t>ARAGUATINS 2.2Inverter(MBUS-12)45964,384722222245964,384722222245965,2395833333</t>
  </si>
  <si>
    <t>BC Rio Monte1Inverter4145964,386111111145964,386111111145964,4368055556</t>
  </si>
  <si>
    <t>BC Rio Monte1Inverter4745964,386111111145964,386111111145964,4368055556</t>
  </si>
  <si>
    <t>BC Rio Monte1Inverter3545964,386111111145964,386111111145964,4368055556</t>
  </si>
  <si>
    <t>BC Rio Monte1Inverter3645964,386111111145964,386111111145964,4368055556</t>
  </si>
  <si>
    <t>BC Rio Monte1Inverter3145964,386111111145964,386111111145964,4368055556</t>
  </si>
  <si>
    <t>BC Rio Monte1Inverter3345964,386111111145964,386111111145964,4368055556</t>
  </si>
  <si>
    <t>BC Rio Monte1Inverter3945964,386111111145964,386111111145964,4368055556</t>
  </si>
  <si>
    <t>BC Rio Monte1Inverter3245964,386111111145964,386111111145964,4368055556</t>
  </si>
  <si>
    <t>BC Rio Monte1Inverter4045964,386111111145964,386111111145964,4368055556</t>
  </si>
  <si>
    <t>BC Rio Monte1Inverter3445964,386111111145964,386111111145964,4368055556</t>
  </si>
  <si>
    <t>BC Rio Monte1Inverter4145964,545138888945964,545138888945964,6125</t>
  </si>
  <si>
    <t>BC Rio Monte1Inverter4745964,545138888945964,545138888945964,6125</t>
  </si>
  <si>
    <t>BC Rio Monte1Inverter3545964,545138888945964,545138888945964,6125</t>
  </si>
  <si>
    <t>BC Rio Monte1Inverter3645964,545138888945964,545138888945964,6125</t>
  </si>
  <si>
    <t>BC Rio Monte1Inverter3145964,545138888945964,545138888945964,6125</t>
  </si>
  <si>
    <t>BC Rio Monte1Inverter3345964,545138888945964,545138888945964,6125</t>
  </si>
  <si>
    <t>BC Rio Monte1Inverter3945964,545138888945964,545138888945964,6125</t>
  </si>
  <si>
    <t>BC Rio Monte1Inverter3245964,545138888945964,545138888945964,6125</t>
  </si>
  <si>
    <t>BC Rio Monte1Inverter4045964,545138888945964,545138888945964,6125</t>
  </si>
  <si>
    <t>BC Rio Monte1Inverter3445964,545138888945964,545138888945964,6125</t>
  </si>
  <si>
    <t>BC Rio Bonito2INV-00145964,5812545964,5812545964,6041666667</t>
  </si>
  <si>
    <t>BC Rio Bonito2INV-00245964,5812545964,5812545964,6041666667</t>
  </si>
  <si>
    <t>BC Rio Bonito2INV-00345964,5812545964,5812545964,6041666667</t>
  </si>
  <si>
    <t>BC Rio Bonito2INV-00445964,5812545964,5812545964,6041666667</t>
  </si>
  <si>
    <t>BC Rio Bonito1SG36KTL-M-17_001_01745964,5812545964,5812545964,6041666667</t>
  </si>
  <si>
    <t>BC Rio Bonito1SG60KTL-10_001_01045964,5812545964,5812545964,6041666667</t>
  </si>
  <si>
    <t>BC Rio Bonito1SG60KTL-11_001_01145964,5812545964,5812545964,6041666667</t>
  </si>
  <si>
    <t>BC Rio Bonito1SG60KTL-12_001_01245964,5812545964,5812545964,6041666667</t>
  </si>
  <si>
    <t>BC Rio Bonito1SG60KTL-13_001_01345964,5812545964,5812545964,6041666667</t>
  </si>
  <si>
    <t>BC Rio Bonito1SG60KTL-14_001_01445964,5812545964,5812545964,6041666667</t>
  </si>
  <si>
    <t>BC Rio Bonito1SG60KTL-15_001_01545964,5812545964,5812545964,6041666667</t>
  </si>
  <si>
    <t>BC Rio Bonito1SG60KTL-16_001_01645964,5812545964,5812545964,6041666667</t>
  </si>
  <si>
    <t>BC Rio Bonito1SG60KTL-1_001_00145964,5812545964,5812545964,6041666667</t>
  </si>
  <si>
    <t>BC Rio Bonito1SG60KTL-2_001_00245964,5812545964,5812545964,6041666667</t>
  </si>
  <si>
    <t>BC Rio Bonito1SG60KTL-3_001_00345964,5812545964,5812545964,6041666667</t>
  </si>
  <si>
    <t>BC Rio Bonito1SG60KTL-4_001_00445964,5812545964,5812545964,6041666667</t>
  </si>
  <si>
    <t>BC Rio Bonito1SG60KTL-5_001_00545964,5812545964,5812545964,6041666667</t>
  </si>
  <si>
    <t>BC Rio Bonito1SG60KTL-6_001_00645964,5812545964,5812545964,6041666667</t>
  </si>
  <si>
    <t>BC Rio Bonito1SG60KTL-7_001_00745964,5812545964,5812545964,6041666667</t>
  </si>
  <si>
    <t>BC Rio Bonito1SG60KTL-8_001_00845964,5812545964,5812545964,6041666667</t>
  </si>
  <si>
    <t>BC Rio Bonito1SG60KTL-9_001_00945964,5812545964,5812545964,6041666667</t>
  </si>
  <si>
    <t>BC Aracu1Inverter7945965,269710648245965,269710648245965,2766435185</t>
  </si>
  <si>
    <t>Inverter84</t>
  </si>
  <si>
    <t>BC Aracu1Inverter8445965,269942129645965,269942129645965,2768865741</t>
  </si>
  <si>
    <t>Inverter81</t>
  </si>
  <si>
    <t>BC Aracu1Inverter8145965,270023148245965,270023148245965,2769907407</t>
  </si>
  <si>
    <t>BC Caiaponia1SG60KTL(COM1-001)_001_00745965,270833333345965,270833333345965,3402777778</t>
  </si>
  <si>
    <t>BC Caiaponia1SG60KTL(COM1-002)_001_01045965,270833333345965,270833333345965,3402777778</t>
  </si>
  <si>
    <t>BC Caiaponia1SG60KTL(COM1-003)_001_01145965,270833333345965,270833333345965,3402777778</t>
  </si>
  <si>
    <t>BC Caiaponia1SG60KTL(COM1-004)_001_01445965,270833333345965,270833333345965,3402777778</t>
  </si>
  <si>
    <t>BC Caiaponia1SG60KTL(COM1-005)_001_01745965,270833333345965,270833333345965,3402777778</t>
  </si>
  <si>
    <t>BC Caiaponia1SG60KTL(COM1-006)_001_01645965,270833333345965,270833333345965,3402777778</t>
  </si>
  <si>
    <t>BC Caiaponia1SG60KTL(COM1-007)_001_01345965,270833333345965,270833333345965,3402777778</t>
  </si>
  <si>
    <t>BC Caiaponia1SG60KTL(COM1-008)_001_00145965,270833333345965,270833333345965,3402777778</t>
  </si>
  <si>
    <t>BC Caiaponia1SG60KTL(COM1-009)45965,270833333345965,270833333345965,3402777778</t>
  </si>
  <si>
    <t>BC Caiaponia1SG60KTL(COM1-010)45965,270833333345965,270833333345965,3402777778</t>
  </si>
  <si>
    <t>BC Caiaponia1SG60KTL(COM1-011)45965,270833333345965,270833333345965,3402777778</t>
  </si>
  <si>
    <t>BC Caiaponia1SG60KTL(COM1-012)45965,270833333345965,270833333345965,3402777778</t>
  </si>
  <si>
    <t>BC Caiaponia1SG60KTL(COM1-013)45965,270833333345965,270833333345965,3402777778</t>
  </si>
  <si>
    <t>BC Caiaponia1SG60KTL(COM1-014)45965,270833333345965,270833333345965,3402777778</t>
  </si>
  <si>
    <t>BC Caiaponia1SG60KTL(COM1-015)45965,270833333345965,270833333345965,3402777778</t>
  </si>
  <si>
    <t>BC Caiaponia1SG60KTL(COM3-016)_001_00945965,270833333345965,270833333345965,3402777778</t>
  </si>
  <si>
    <t>BC Caiaponia1SG60KTL(COM3-017)_001_01245965,270833333345965,270833333345965,3402777778</t>
  </si>
  <si>
    <t>BC Caiaponia1SG60KTL(COM3-018)_001_00845965,270833333345965,270833333345965,3402777778</t>
  </si>
  <si>
    <t>BC Caiaponia1SG60KTL(COM3-019)_001_01945965,270833333345965,270833333345965,3402777778</t>
  </si>
  <si>
    <t>BC Caiaponia1SG60KTL(COM3-020)_001_02045965,270833333345965,270833333345965,3402777778</t>
  </si>
  <si>
    <t>BC Caiaponia1SG60KTL(COM2-026)45965,270833333345965,270833333345965,3402777778</t>
  </si>
  <si>
    <t>BC Caiaponia1SG60KTL(COM2-027)45965,270833333345965,270833333345965,3402777778</t>
  </si>
  <si>
    <t>BC Caiaponia1SG60KTL(COM2-028)45965,270833333345965,270833333345965,3402777778</t>
  </si>
  <si>
    <t>BC Caiaponia1SG60KTL(COM2-029)45965,270833333345965,270833333345965,3402777778</t>
  </si>
  <si>
    <t>BC Caiaponia1SG50CX(COM1-021)45965,270833333345965,270833333345965,3402777778</t>
  </si>
  <si>
    <t>BC Caiaponia1SG50CX(COM1-022)45965,270833333345965,270833333345965,3402777778</t>
  </si>
  <si>
    <t>BC Caiaponia1SG50CX(COM1-023)45965,270833333345965,270833333345965,3402777778</t>
  </si>
  <si>
    <t>BC Caiaponia1SG50CX(COM1-024)45965,270833333345965,270833333345965,3402777778</t>
  </si>
  <si>
    <t>BC Caiaponia1SG50CX(COM1-025)45965,270833333345965,270833333345965,3402777778</t>
  </si>
  <si>
    <t>BC Caiaponia2.1215KTL-H3(MBUS-12)45965,270833333345965,270833333345965,3402777778</t>
  </si>
  <si>
    <t>BC Caiaponia2.1215KTL-H3(MBUS-13)45965,270833333345965,270833333345965,3402777778</t>
  </si>
  <si>
    <t>BC Caiaponia2.1215KTL-H3(MBUS-14)45965,270833333345965,270833333345965,3402777778</t>
  </si>
  <si>
    <t>BC Caiaponia2.1215KTL-H3(MBUS-15)45965,270833333345965,270833333345965,3402777778</t>
  </si>
  <si>
    <t>BC Caiaponia2.1215KTL-H3(MBUS-16)45965,270833333345965,270833333345965,3402777778</t>
  </si>
  <si>
    <t>BC Caiaponia2.2215KTL-H3(MBUS-12)45965,270833333345965,270833333345965,3402777778</t>
  </si>
  <si>
    <t>BC Caiaponia2.2215KTL-H3(MBUS-13)45965,270833333345965,270833333345965,3402777778</t>
  </si>
  <si>
    <t>BC Caiaponia2.2215KTL-H3(MBUS-14)45965,270833333345965,270833333345965,3402777778</t>
  </si>
  <si>
    <t>BC Caiaponia2.2215KTL-H3(MBUS-15)45965,270833333345965,270833333345965,3402777778</t>
  </si>
  <si>
    <t>BC Caiaponia2.2215KTL-H3(MBUS-16)45965,270833333345965,270833333345965,3402777778</t>
  </si>
  <si>
    <t>BC Caiaponia2.3215KTL-H3(MBUS-12)45965,270833333345965,270833333345965,3402777778</t>
  </si>
  <si>
    <t>BC Caiaponia2.3215KTL-H3(MBUS-13)45965,270833333345965,270833333345965,3402777778</t>
  </si>
  <si>
    <t>BC Caiaponia2.3215KTL-H3(MBUS-14)45965,270833333345965,270833333345965,3402777778</t>
  </si>
  <si>
    <t>BC Caiaponia2.3215KTL-H3(MBUS-15)45965,270833333345965,270833333345965,3402777778</t>
  </si>
  <si>
    <t>BC Caiaponia2.3215KTL-H3(MBUS-16)45965,270833333345965,270833333345965,3402777778</t>
  </si>
  <si>
    <t>BC Rio Monte1Inverter4145965,270833333345965,270833333345965,3555555556</t>
  </si>
  <si>
    <t>BC Rio Monte1Inverter4745965,270833333345965,270833333345965,3555555556</t>
  </si>
  <si>
    <t>BC Rio Monte1Inverter3545965,270833333345965,270833333345965,3555555556</t>
  </si>
  <si>
    <t>BC Rio Monte1Inverter3645965,270833333345965,270833333345965,3555555556</t>
  </si>
  <si>
    <t>BC Rio Monte1Inverter3145965,270833333345965,270833333345965,3555555556</t>
  </si>
  <si>
    <t>BC Rio Monte1Inverter3345965,270833333345965,270833333345965,3555555556</t>
  </si>
  <si>
    <t>BC Rio Monte1Inverter3945965,270833333345965,270833333345965,3555555556</t>
  </si>
  <si>
    <t>BC Rio Monte1Inverter3245965,270833333345965,270833333345965,3555555556</t>
  </si>
  <si>
    <t>BC Rio Monte1Inverter4045965,270833333345965,270833333345965,3555555556</t>
  </si>
  <si>
    <t>BC Rio Monte1Inverter3445965,270833333345965,270833333345965,3555555556</t>
  </si>
  <si>
    <t>Desligamento programado da usina para a execução da substituição do QG (Quadro Geral ), adequação solicitada nas adequações ao pós closing. O serviço será realizado pela empresa terceirizada Power Sys, conforme planejamento de manutenção corretiva.</t>
  </si>
  <si>
    <t>Considerado manutenção corretiva, mas é uma melhoria solicitada no pós closing. Após manutenção, foi realizada a amanobra para normalização da geração do ativo.</t>
  </si>
  <si>
    <t>BC BomSucessoSG60KTL45965,4687545965,4687545972,6597222222</t>
  </si>
  <si>
    <t>DPRUFV</t>
  </si>
  <si>
    <t>BC BomSucessoABB_0145965,4687545965,4687545972,6597222222</t>
  </si>
  <si>
    <t>BC BomSucessoABB_0245965,4687545965,4687545972,6597222222</t>
  </si>
  <si>
    <t>BC BomSucessoABB_0345965,4687545965,4687545972,6597222222</t>
  </si>
  <si>
    <t>BC BomSucessoABB_0445965,4687545965,4687545972,6597222222</t>
  </si>
  <si>
    <t>BC BomSucessoABB_0545965,4687545965,4687545972,6597222222</t>
  </si>
  <si>
    <t>BC BomSucessoABB_0645965,4687545965,4687545972,6597222222</t>
  </si>
  <si>
    <t>BC BomSucessoABB_0745965,4687545965,4687545972,6597222222</t>
  </si>
  <si>
    <t>BC BomSucessoABB_0845965,4687545965,4687545972,6597222222</t>
  </si>
  <si>
    <t>BC BomSucessoABB_0945965,4687545965,4687545972,6597222222</t>
  </si>
  <si>
    <t>BC BomSucessoABB_1045965,4687545965,4687545972,6597222222</t>
  </si>
  <si>
    <t>BC BomSucessoABB_1145965,4687545965,4687545972,6597222222</t>
  </si>
  <si>
    <t>Internet</t>
  </si>
  <si>
    <t>BC Clareira1.1Inverter(MBUS-12)45965,576388888945965,576388888945965,6006944444</t>
  </si>
  <si>
    <t>LIGRFOINT</t>
  </si>
  <si>
    <t>BC Clareira1.1Inverter(MBUS-13)45965,576388888945965,576388888945965,6006944444</t>
  </si>
  <si>
    <t>BC Clareira1.1	Inverter(MBUS-14)45965,576388888945965,576388888945965,6006944444</t>
  </si>
  <si>
    <t>BC Clareira1.1	Inverter(MBUS-15)45965,576388888945965,576388888945965,6006944444</t>
  </si>
  <si>
    <t>BC Clareira1.1Inverter(MBUS-16)45965,576388888945965,576388888945965,6006944444</t>
  </si>
  <si>
    <t>BC Clareira1.2	215KTL-H3(MBUS-12)45965,576388888945965,576388888945965,6006944444</t>
  </si>
  <si>
    <t>BC Clareira1.2	215KTL-H3(MBUS-13)45965,576388888945965,576388888945965,6006944444</t>
  </si>
  <si>
    <t>BC Clareira1.2100KTL-H1(MBUS-14)45965,576388888945965,576388888945965,6006944444</t>
  </si>
  <si>
    <t>Falta de tensão da rede da concessionária. Relá atuado em 81.</t>
  </si>
  <si>
    <t>BC Formoso2.2Inverter(MBUS-14)45966,253472222245966,253472222245966,3083333333</t>
  </si>
  <si>
    <t>Relé atuado em 81.</t>
  </si>
  <si>
    <t>BC Formoso2.2Inverter(MBUS-13)45966,253472222245966,253472222245966,3083333333</t>
  </si>
  <si>
    <t>BC Formoso2.2Inverter(MBUS-12)45966,253472222245966,253472222245966,3083333333</t>
  </si>
  <si>
    <t>BC Formoso2.2Inverter(MBUS-1)45966,253472222245966,253472222245966,3083333333</t>
  </si>
  <si>
    <t>BC Formoso1.2Inverter(MBUS-13)45966,253472222245966,253472222245966,3083333333</t>
  </si>
  <si>
    <t>BC Formoso1.2Inverter(MBUS-12)45966,253472222245966,253472222245966,3083333333</t>
  </si>
  <si>
    <t>BC Formoso1.2Inverter(MBUS-15)45966,253472222245966,253472222245966,3083333333</t>
  </si>
  <si>
    <t>BC Formoso1.2Inverter(MBUS-14)45966,253472222245966,253472222245966,3083333333</t>
  </si>
  <si>
    <t>BC Formoso1.3Inverter(MBUS-13)45966,253472222245966,253472222245966,3083333333</t>
  </si>
  <si>
    <t>BC Formoso1.3Inverter(MBUS-12)45966,253472222245966,253472222245966,3083333333</t>
  </si>
  <si>
    <t>UFV online porém sem dados de potência no sistema de monitoramento Isolarcloud.</t>
  </si>
  <si>
    <t>Usina voltou a subir os dados sozinha, auto-restart.</t>
  </si>
  <si>
    <t>BC Panama1.1CEREAL_00245966,256944444445966,256944444445966,3506944444</t>
  </si>
  <si>
    <t>LIGRFOCOM</t>
  </si>
  <si>
    <t>BC Panama1.1ITAPOAN 001 (COM1-001)_001_00145966,256944444445966,256944444445966,3506944444</t>
  </si>
  <si>
    <t>BC Panama1.1ITAPOAN_00345966,256944444445966,256944444445966,3506944444</t>
  </si>
  <si>
    <t>BC Aracu1Inverter7945966,261388888945966,261388888945966,2683564815</t>
  </si>
  <si>
    <t>BC Aracu1Inverter8445966,261840277845966,261840277845966,2852314815</t>
  </si>
  <si>
    <t>BC Aracu1Inverter8145966,261863425945966,261863425945966,2852314815</t>
  </si>
  <si>
    <t>Inverter82</t>
  </si>
  <si>
    <t>BC Aracu1Inverter8245966,261932870445966,261932870445966,2852314815</t>
  </si>
  <si>
    <t>Desligamento programado da usina para realização dos ensaios elétricos nos cubículos de proteção e no  trafo de média tensão (Execução: Power Sys, empresa contratada) e aterramento do cercamento, conforme alinhado nas adequações ao pós closing.</t>
  </si>
  <si>
    <t>BC Rio Monte1Inverter4145966,306944444445966,306944444445966,7222222222</t>
  </si>
  <si>
    <t>BC Rio Monte1Inverter4745966,306944444445966,306944444445966,7222222222</t>
  </si>
  <si>
    <t>BC Rio Monte1Inverter3545966,306944444445966,306944444445966,7222222222</t>
  </si>
  <si>
    <t>BC Rio Monte1Inverter3645966,306944444445966,306944444445966,7222222222</t>
  </si>
  <si>
    <t>BC Rio Monte1Inverter3145966,306944444445966,306944444445966,7222222222</t>
  </si>
  <si>
    <t>BC Rio Monte1Inverter3345966,306944444445966,306944444445966,7222222222</t>
  </si>
  <si>
    <t>BC Rio Monte1Inverter3945966,306944444445966,306944444445966,7222222222</t>
  </si>
  <si>
    <t>BC Rio Monte1Inverter3245966,306944444445966,306944444445966,7222222222</t>
  </si>
  <si>
    <t>BC Rio Monte1Inverter4045966,306944444445966,306944444445966,7222222222</t>
  </si>
  <si>
    <t>BC Rio Monte1Inverter3445966,306944444445966,306944444445966,7222222222</t>
  </si>
  <si>
    <t>A usina foi desligada devido à atuação do relé de proteção, que indicou uma condição de subtensão temporária na rede. Esse evento ocasionou o desligamento dos inversores do complexo.</t>
  </si>
  <si>
    <t>BC Corumba1.1U01.I0245966,434722222245966,434722222245966,4479166667</t>
  </si>
  <si>
    <t>BC Corumba1.1U01.I0345966,434722222245966,434722222245966,4479166667</t>
  </si>
  <si>
    <t>BC Corumba1.1U01.I0445966,434722222245966,434722222245966,4479166667</t>
  </si>
  <si>
    <t>BC Corumba1.1U01.I0545966,434722222245966,434722222245966,4479166667</t>
  </si>
  <si>
    <t>BC Corumba1.2U02.I0245966,434722222245966,434722222245966,4479166667</t>
  </si>
  <si>
    <t>BC Corumba1.2U02.I0145966,434722222245966,434722222245966,4479166667</t>
  </si>
  <si>
    <t>BC Corumba1.2U02.I0345966,434722222245966,434722222245966,4479166667</t>
  </si>
  <si>
    <t>BC Corumba1.2U02.I0545966,434722222245966,434722222245966,4479166667</t>
  </si>
  <si>
    <t>BC Corumba1.2U02.I0445966,434722222245966,434722222245966,4479166667</t>
  </si>
  <si>
    <t>BC Corumba1.3U03.I0145966,434722222245966,434722222245966,4479166667</t>
  </si>
  <si>
    <t>BC Corumba1.3U03.I0345966,434722222245966,434722222245966,4479166667</t>
  </si>
  <si>
    <t>BC Corumba1.3U03.I0245966,434722222245966,434722222245966,4479166667</t>
  </si>
  <si>
    <t>BC Corumba2.1Inverter(MBUS-14)45966,434722222245966,434722222245966,4479166667</t>
  </si>
  <si>
    <t>BC Corumba2.1Inverter(MBUS-15)45966,434722222245966,434722222245966,4479166667</t>
  </si>
  <si>
    <t>BC Corumba2.1Inverter(MBUS-16)45966,434722222245966,434722222245966,4479166667</t>
  </si>
  <si>
    <t>BC Corumba2.1U01. I0145966,434722222245966,434722222245966,4479166667</t>
  </si>
  <si>
    <t>BC Corumba2.1U01. I0245966,434722222245966,434722222245966,4479166667</t>
  </si>
  <si>
    <t>BC Corumba2.2U02.I0145966,434722222245966,434722222245966,4479166667</t>
  </si>
  <si>
    <t>BC Corumba2.2U02.I0245966,434722222245966,434722222245966,4479166667</t>
  </si>
  <si>
    <t>BC Corumba2.2U02.I0345966,434722222245966,434722222245966,4479166667</t>
  </si>
  <si>
    <t>BC Corumba2.2U02.I0445966,434722222245966,434722222245966,4479166667</t>
  </si>
  <si>
    <t>BC Corumba2.2U02.I0545966,434722222245966,434722222245966,4479166667</t>
  </si>
  <si>
    <t>BC Corumba2.3U03.I0145966,434722222245966,434722222245966,4479166667</t>
  </si>
  <si>
    <t>BC Corumba2.3U03.I0245966,434722222245966,434722222245966,4479166667</t>
  </si>
  <si>
    <t>BC Corumba2.3U03.I0345966,434722222245966,434722222245966,4479166667</t>
  </si>
  <si>
    <t>Paranoá I</t>
  </si>
  <si>
    <t>Queda de rede da concessionária. Aberto protocolo na neoenergia brasília - 90502286.</t>
  </si>
  <si>
    <t>BC ParanoaSG60KTL(COM1-014)_001_01345966,62545966,62545966,7083333333</t>
  </si>
  <si>
    <t>BC ParanoaSG60KTL(COM1-013)_001_01045966,62545966,62545966,7083333333</t>
  </si>
  <si>
    <t>BC ParanoaSG60KTL(COM1-012)_001_01145966,62545966,62545966,7083333333</t>
  </si>
  <si>
    <t>BC ParanoaSG60KTL(COM1-011)_001_00545966,62545966,62545966,7083333333</t>
  </si>
  <si>
    <t>BC ParanoaSG60KTL(COM1-010)_001_00345966,62545966,62545966,7083333333</t>
  </si>
  <si>
    <t>BC ParanoaSG60KTL(COM1-018)_001_01245966,62545966,62545966,7083333333</t>
  </si>
  <si>
    <t>BC ParanoaSG60KTL(COM1-017)_001_00745966,62545966,62545966,7083333333</t>
  </si>
  <si>
    <t>BC ParanoaSG60KTL(COM1-016)_001_00645966,62545966,62545966,7083333333</t>
  </si>
  <si>
    <t>BC ParanoaSG50CX(COM2-015)_001_01745966,62545966,62545966,7083333333</t>
  </si>
  <si>
    <t>Paranoá II</t>
  </si>
  <si>
    <t>BC ParanoaSG60KTL(COM1-009)_001_00245966,62545966,62545966,7083333333</t>
  </si>
  <si>
    <t>BC ParanoaSG60KTL(COM1-008)_001_00945966,62545966,62545966,7083333333</t>
  </si>
  <si>
    <t>BC ParanoaSG60KTL(COM1-007)_001_00445966,62545966,62545966,7083333333</t>
  </si>
  <si>
    <t>BC ParanoaSG60KTL(COM1-006)_001_01445966,62545966,62545966,7083333333</t>
  </si>
  <si>
    <t>BC ParanoaSG40CX(COM2-005)_001_01545966,62545966,62545966,7083333333</t>
  </si>
  <si>
    <t>Paranoá III</t>
  </si>
  <si>
    <t>BC ParanoaSG60KTL(COM1-019)_002_00745966,62545966,62545966,7083333333</t>
  </si>
  <si>
    <t>BC ParanoaSG60KTL(COM1-020)_002_01145966,62545966,62545966,7083333333</t>
  </si>
  <si>
    <t>BC ParanoaSG60KTL(COM1-021)_002_01745966,62545966,62545966,7083333333</t>
  </si>
  <si>
    <t>BC ParanoaSG60KTL(COM1-022)_002_02045966,62545966,62545966,7083333333</t>
  </si>
  <si>
    <t>BC ParanoaSG40CX(COM2-023)_002_02445966,62545966,62545966,7083333333</t>
  </si>
  <si>
    <t>BC ParanoaSG40CX(COM2-024)_002_02245966,62545966,62545966,7083333333</t>
  </si>
  <si>
    <t>Paranoá IV</t>
  </si>
  <si>
    <t>BC ParanoaSG60KTL(COM1-007)_002_01345966,62545966,62545966,7083333333</t>
  </si>
  <si>
    <t>BC ParanoaSG60KTL(COM1-008)_002_00245966,62545966,62545966,7083333333</t>
  </si>
  <si>
    <t>BC ParanoaSG60KTL(COM1-009)_002_00845966,62545966,62545966,7083333333</t>
  </si>
  <si>
    <t>BC ParanoaSG60KTL(COM1-010)_002_00345966,62545966,62545966,7083333333</t>
  </si>
  <si>
    <t>BC ParanoaSG60KTL(COM1-011)_002_01045966,62545966,62545966,7083333333</t>
  </si>
  <si>
    <t>BC ParanoaSG60KTL(COM1-012)_002_00545966,62545966,62545966,7083333333</t>
  </si>
  <si>
    <t>Paranoá V</t>
  </si>
  <si>
    <t>BC ParanoaSG60KTL(COM1-001)_002_00645966,62545966,62545966,7083333333</t>
  </si>
  <si>
    <t>BC ParanoaSG60KTL(COM1-002)_002_01645966,62545966,62545966,7083333333</t>
  </si>
  <si>
    <t>BC ParanoaSG50CX(COM2-003)_002_02145966,62545966,62545966,7083333333</t>
  </si>
  <si>
    <t>Paranoá VI</t>
  </si>
  <si>
    <t>BC ParanoaSG50CX(COM2-004)_002_02345966,62545966,62545966,7083333333</t>
  </si>
  <si>
    <t>BC ParanoaSG60KTL(COM1-005)_002_00945966,62545966,62545966,7083333333</t>
  </si>
  <si>
    <t>BC ParanoaSG60KTL(COM1-006)_002_00145966,62545966,62545966,7083333333</t>
  </si>
  <si>
    <t>Paranoá VII</t>
  </si>
  <si>
    <t>BC ParanoaSG60KTL(COM1-013)_002_00445966,62545966,62545966,7083333333</t>
  </si>
  <si>
    <t>BC ParanoaSG60KTL(COM1-014)_002_01945966,62545966,62545966,7083333333</t>
  </si>
  <si>
    <t>BC ParanoaSG60KTL(COM1-015)_002_01845966,62545966,62545966,7083333333</t>
  </si>
  <si>
    <t>BC ParanoaSG60KTL(COM1-016)_002_01445966,62545966,62545966,7083333333</t>
  </si>
  <si>
    <t>BC ParanoaSG60KTL(COM1-017)_002_01545966,62545966,62545966,7083333333</t>
  </si>
  <si>
    <t>BC ParanoaSG60KTL(COM1-018)_002_01245966,62545966,62545966,7083333333</t>
  </si>
  <si>
    <t>Paranoá VIII</t>
  </si>
  <si>
    <t>BC ParanoaSG50CX(COM2-004)_001_01845966,62545966,62545966,7083333333</t>
  </si>
  <si>
    <t>BC ParanoaSG50CX(COM2-003)_001_01645966,62545966,62545966,7083333333</t>
  </si>
  <si>
    <t>BC ParanoaSG60KTL(COM1-002)_001_00845966,62545966,62545966,7083333333</t>
  </si>
  <si>
    <t>BC Aracu1Inverter7945967,263182870445967,263182870445967,2701273148</t>
  </si>
  <si>
    <t>BC Aracu1Inverter8445967,263483796345967,263483796345967,2990740741</t>
  </si>
  <si>
    <t>Falta de tensão da rede da concessionária, chaves seccionadoras abertas devido a queda de poste na quadra da usina.</t>
  </si>
  <si>
    <t>Após manutenção da concessionária, usina pôde ser normalizada.</t>
  </si>
  <si>
    <t>BC Panama1.1CEREAL_00245967,268055555645967,268055555645972,2326388889</t>
  </si>
  <si>
    <t>DEMRDE</t>
  </si>
  <si>
    <t>BC Panama1.1ITAPOAN 001 (COM1-001)_001_00145967,268055555645967,268055555645972,2326388889</t>
  </si>
  <si>
    <t>BC Panama1.1ITAPOAN_00345967,268055555645967,268055555645972,2326388889</t>
  </si>
  <si>
    <t>Falta de tensão da rede da concessionária. Relá atuado em 27AB.</t>
  </si>
  <si>
    <t>BC Caiaponia1SG60KTL(COM1-001)_001_00745967,272222222245967,272222222245967,3020833333</t>
  </si>
  <si>
    <t>BC Caiaponia1SG60KTL(COM1-002)_001_01045967,272222222245967,272222222245967,3020833333</t>
  </si>
  <si>
    <t>BC Caiaponia1SG60KTL(COM1-003)_001_01145967,272222222245967,272222222245967,3020833333</t>
  </si>
  <si>
    <t>BC Caiaponia1SG60KTL(COM1-004)_001_01445967,272222222245967,272222222245967,3020833333</t>
  </si>
  <si>
    <t>BC Caiaponia1SG60KTL(COM1-005)_001_01745967,272222222245967,272222222245967,3020833333</t>
  </si>
  <si>
    <t>BC Caiaponia1SG60KTL(COM1-006)_001_01645967,272222222245967,272222222245967,3020833333</t>
  </si>
  <si>
    <t>BC Caiaponia1SG60KTL(COM1-007)_001_01345967,272222222245967,272222222245967,3020833333</t>
  </si>
  <si>
    <t>BC Caiaponia1SG60KTL(COM1-008)_001_00145967,272222222245967,272222222245967,3020833333</t>
  </si>
  <si>
    <t>BC Caiaponia1SG60KTL(COM1-009)45967,272222222245967,272222222245967,3020833333</t>
  </si>
  <si>
    <t>BC Caiaponia1SG60KTL(COM1-010)45967,272222222245967,272222222245967,3020833333</t>
  </si>
  <si>
    <t>BC Caiaponia1SG60KTL(COM1-011)45967,272222222245967,272222222245967,3020833333</t>
  </si>
  <si>
    <t>BC Caiaponia1SG60KTL(COM1-012)45967,272222222245967,272222222245967,3020833333</t>
  </si>
  <si>
    <t>BC Caiaponia1SG60KTL(COM1-013)45967,272222222245967,272222222245967,3020833333</t>
  </si>
  <si>
    <t>BC Caiaponia1SG60KTL(COM1-014)45967,272222222245967,272222222245967,3020833333</t>
  </si>
  <si>
    <t>BC Caiaponia1SG60KTL(COM1-015)45967,272222222245967,272222222245967,3020833333</t>
  </si>
  <si>
    <t>BC Caiaponia1SG60KTL(COM3-016)_001_00945967,272222222245967,272222222245967,3020833333</t>
  </si>
  <si>
    <t>BC Caiaponia1SG60KTL(COM3-017)_001_01245967,272222222245967,272222222245967,3020833333</t>
  </si>
  <si>
    <t>BC Caiaponia1SG60KTL(COM3-018)_001_00845967,272222222245967,272222222245967,3020833333</t>
  </si>
  <si>
    <t>BC Caiaponia1SG60KTL(COM3-019)_001_01945967,272222222245967,272222222245967,3020833333</t>
  </si>
  <si>
    <t>BC Caiaponia1SG60KTL(COM3-020)_001_02045967,272222222245967,272222222245967,3020833333</t>
  </si>
  <si>
    <t>BC Caiaponia1SG60KTL(COM2-026)45967,272222222245967,272222222245967,3020833333</t>
  </si>
  <si>
    <t>BC Caiaponia1SG60KTL(COM2-027)45967,272222222245967,272222222245967,3020833333</t>
  </si>
  <si>
    <t>BC Caiaponia1SG60KTL(COM2-028)45967,272222222245967,272222222245967,3020833333</t>
  </si>
  <si>
    <t>BC Caiaponia1SG60KTL(COM2-029)45967,272222222245967,272222222245967,3020833333</t>
  </si>
  <si>
    <t>BC Caiaponia1SG50CX(COM1-021)45967,272222222245967,272222222245967,3020833333</t>
  </si>
  <si>
    <t>BC Caiaponia1SG50CX(COM1-022)45967,272222222245967,272222222245967,3020833333</t>
  </si>
  <si>
    <t>BC Caiaponia1SG50CX(COM1-023)45967,272222222245967,272222222245967,3020833333</t>
  </si>
  <si>
    <t>BC Caiaponia1SG50CX(COM1-024)45967,272222222245967,272222222245967,3020833333</t>
  </si>
  <si>
    <t>BC Caiaponia1SG50CX(COM1-025)45967,272222222245967,272222222245967,3020833333</t>
  </si>
  <si>
    <t>Inverter78</t>
  </si>
  <si>
    <t>BC Aracu1Inverter7845967,298541666745967,298541666745967,3229166667</t>
  </si>
  <si>
    <t>Inversor 06</t>
  </si>
  <si>
    <t>BC Aracu1Inversor 0645967,298541666745967,298541666745967,3229166667</t>
  </si>
  <si>
    <t>BC Aracu1Inverter7945967,298541666745967,298541666745967,2986689815</t>
  </si>
  <si>
    <t>BC Aracu1Inverter8345967,298541666745967,298541666745967,3229166667</t>
  </si>
  <si>
    <t>Desligamento programado da usina para realização da manutenção anual preventiva na SE, (conduzida pela Power Sys; empresa contratada).</t>
  </si>
  <si>
    <t>Desligamento da UFV para execução de testes nos transformadores de média tensão e inspeção dos componentes do cubículo de medição. Após execução, foi realizada a manobra de energização da usina.</t>
  </si>
  <si>
    <t>BC Caiaponia2.1215KTL-H3(MBUS-12)45967,336805555645967,336805555645967,4520833333</t>
  </si>
  <si>
    <t>BC Caiaponia2.1215KTL-H3(MBUS-13)45967,336805555645967,336805555645967,4520833333</t>
  </si>
  <si>
    <t>BC Caiaponia2.1215KTL-H3(MBUS-14)45967,336805555645967,336805555645967,4520833333</t>
  </si>
  <si>
    <t>BC Caiaponia2.1215KTL-H3(MBUS-15)45967,336805555645967,336805555645967,4520833333</t>
  </si>
  <si>
    <t>BC Caiaponia2.1215KTL-H3(MBUS-16)45967,336805555645967,336805555645967,4520833333</t>
  </si>
  <si>
    <t>BC Caiaponia1SG60KTL(COM1-001)_001_00745967,618055555645967,618055555645967,65625</t>
  </si>
  <si>
    <t>BC Caiaponia1SG60KTL(COM1-002)_001_01045967,618055555645967,618055555645967,65625</t>
  </si>
  <si>
    <t>BC Caiaponia1SG60KTL(COM1-003)_001_01145967,618055555645967,618055555645967,65625</t>
  </si>
  <si>
    <t>BC Caiaponia1SG60KTL(COM1-004)_001_01445967,618055555645967,618055555645967,65625</t>
  </si>
  <si>
    <t>BC Caiaponia1SG60KTL(COM1-005)_001_01745967,618055555645967,618055555645967,65625</t>
  </si>
  <si>
    <t>BC Caiaponia1SG60KTL(COM1-006)_001_01645967,618055555645967,618055555645967,65625</t>
  </si>
  <si>
    <t>BC Caiaponia1SG60KTL(COM1-007)_001_01345967,618055555645967,618055555645967,65625</t>
  </si>
  <si>
    <t>BC Caiaponia1SG60KTL(COM1-008)_001_00145967,618055555645967,618055555645967,65625</t>
  </si>
  <si>
    <t>BC Caiaponia1SG60KTL(COM1-009)45967,618055555645967,618055555645967,65625</t>
  </si>
  <si>
    <t>BC Caiaponia1SG60KTL(COM1-010)45967,618055555645967,618055555645967,65625</t>
  </si>
  <si>
    <t>BC Caiaponia1SG60KTL(COM1-011)45967,618055555645967,618055555645967,65625</t>
  </si>
  <si>
    <t>BC Caiaponia1SG60KTL(COM1-012)45967,618055555645967,618055555645967,65625</t>
  </si>
  <si>
    <t>BC Caiaponia1SG60KTL(COM1-013)45967,618055555645967,618055555645967,65625</t>
  </si>
  <si>
    <t>BC Caiaponia1SG60KTL(COM1-014)45967,618055555645967,618055555645967,65625</t>
  </si>
  <si>
    <t>BC Caiaponia1SG60KTL(COM1-015)45967,618055555645967,618055555645967,65625</t>
  </si>
  <si>
    <t>BC Caiaponia1SG60KTL(COM3-016)_001_00945967,618055555645967,618055555645967,65625</t>
  </si>
  <si>
    <t>BC Caiaponia1SG60KTL(COM3-017)_001_01245967,618055555645967,618055555645967,65625</t>
  </si>
  <si>
    <t>BC Caiaponia1SG60KTL(COM3-018)_001_00845967,618055555645967,618055555645967,65625</t>
  </si>
  <si>
    <t>BC Caiaponia1SG60KTL(COM3-019)_001_01945967,618055555645967,618055555645967,65625</t>
  </si>
  <si>
    <t>BC Caiaponia1SG60KTL(COM3-020)_001_02045967,618055555645967,618055555645967,65625</t>
  </si>
  <si>
    <t>BC Caiaponia1SG60KTL(COM2-026)45967,618055555645967,618055555645967,65625</t>
  </si>
  <si>
    <t>BC Caiaponia1SG60KTL(COM2-027)45967,618055555645967,618055555645967,65625</t>
  </si>
  <si>
    <t>BC Caiaponia1SG60KTL(COM2-028)45967,618055555645967,618055555645967,65625</t>
  </si>
  <si>
    <t>BC Caiaponia1SG60KTL(COM2-029)45967,618055555645967,618055555645967,65625</t>
  </si>
  <si>
    <t>BC Caiaponia1SG50CX(COM1-021)45967,618055555645967,618055555645967,65625</t>
  </si>
  <si>
    <t>BC Caiaponia1SG50CX(COM1-022)45967,618055555645967,618055555645967,65625</t>
  </si>
  <si>
    <t>BC Caiaponia1SG50CX(COM1-023)45967,618055555645967,618055555645967,65625</t>
  </si>
  <si>
    <t>BC Caiaponia1SG50CX(COM1-024)45967,618055555645967,618055555645967,65625</t>
  </si>
  <si>
    <t>BC Caiaponia1SG50CX(COM1-025)45967,618055555645967,618055555645967,65625</t>
  </si>
  <si>
    <t>BC Caiaponia2.1215KTL-H3(MBUS-12)45967,618055555645967,618055555645967,65625</t>
  </si>
  <si>
    <t>BC Caiaponia2.1215KTL-H3(MBUS-13)45967,618055555645967,618055555645967,65625</t>
  </si>
  <si>
    <t>BC Caiaponia2.1215KTL-H3(MBUS-14)45967,618055555645967,618055555645967,65625</t>
  </si>
  <si>
    <t>BC Caiaponia2.1215KTL-H3(MBUS-15)45967,618055555645967,618055555645967,65625</t>
  </si>
  <si>
    <t>BC Caiaponia2.1215KTL-H3(MBUS-16)45967,618055555645967,618055555645967,65625</t>
  </si>
  <si>
    <t>BC Caiaponia2.2215KTL-H3(MBUS-12)45967,618055555645967,618055555645967,65625</t>
  </si>
  <si>
    <t>BC Caiaponia2.2215KTL-H3(MBUS-13)45967,618055555645967,618055555645967,65625</t>
  </si>
  <si>
    <t>BC Caiaponia2.2215KTL-H3(MBUS-14)45967,618055555645967,618055555645967,65625</t>
  </si>
  <si>
    <t>BC Caiaponia2.2215KTL-H3(MBUS-15)45967,618055555645967,618055555645967,65625</t>
  </si>
  <si>
    <t>BC Caiaponia2.2215KTL-H3(MBUS-16)45967,618055555645967,618055555645967,65625</t>
  </si>
  <si>
    <t>BC Caiaponia2.3215KTL-H3(MBUS-12)45967,618055555645967,618055555645967,65625</t>
  </si>
  <si>
    <t>BC Caiaponia2.3215KTL-H3(MBUS-13)45967,618055555645967,618055555645967,65625</t>
  </si>
  <si>
    <t>BC Caiaponia2.3215KTL-H3(MBUS-14)45967,618055555645967,618055555645967,65625</t>
  </si>
  <si>
    <t>BC Caiaponia2.3215KTL-H3(MBUS-15)45967,618055555645967,618055555645967,65625</t>
  </si>
  <si>
    <t>BC Caiaponia2.3215KTL-H3(MBUS-16)45967,618055555645967,618055555645967,65625</t>
  </si>
  <si>
    <t>BC Rio Monte1Inverter3845967,618055555645967,618055555645967,7027777778</t>
  </si>
  <si>
    <t>BC Rio Monte1Inverter3745967,618055555645967,618055555645967,7027777778</t>
  </si>
  <si>
    <t>BC Rio Monte1Inverter4345967,618055555645967,618055555645967,7027777778</t>
  </si>
  <si>
    <t>BC Rio Monte1Inverter4245967,618055555645967,618055555645967,7027777778</t>
  </si>
  <si>
    <t>BC Rio Monte1Inverter4545967,618055555645967,618055555645967,7027777778</t>
  </si>
  <si>
    <t>BC Rio Monte1Inverter4445967,618055555645967,618055555645967,7027777778</t>
  </si>
  <si>
    <t>BC Rio Monte1Inverter4645967,618055555645967,618055555645967,7027777778</t>
  </si>
  <si>
    <t>BC Rio Monte1Inverter4145967,618055555645967,618055555645967,7027777778</t>
  </si>
  <si>
    <t>BC Rio Monte1Inverter4745967,618055555645967,618055555645967,7027777778</t>
  </si>
  <si>
    <t>BC Rio Monte1Inverter3545967,618055555645967,618055555645967,7027777778</t>
  </si>
  <si>
    <t>BC Rio Monte1Inverter3645967,618055555645967,618055555645967,7027777778</t>
  </si>
  <si>
    <t>BC Rio Monte1Inverter3145967,618055555645967,618055555645967,7027777778</t>
  </si>
  <si>
    <t>BC Rio Monte1Inverter3345967,618055555645967,618055555645967,7027777778</t>
  </si>
  <si>
    <t>BC Rio Monte1Inverter3945967,618055555645967,618055555645967,7027777778</t>
  </si>
  <si>
    <t>BC Rio Monte1Inverter3245967,618055555645967,618055555645967,7027777778</t>
  </si>
  <si>
    <t>BC Rio Monte1Inverter4045967,618055555645967,618055555645967,7027777778</t>
  </si>
  <si>
    <t>BC Rio Monte1Inverter3445967,618055555645967,618055555645967,7027777778</t>
  </si>
  <si>
    <t>BC Aracu5.1Inverter(MBUS-1)45968,2545968,2545968,2854166667</t>
  </si>
  <si>
    <t>BC Aracu5.2Inverter(MBUS-1)45968,2545968,2545968,2854166667</t>
  </si>
  <si>
    <t>BC Aracu5.3Inverter(MBUS-1)45968,2545968,2545968,2854166667</t>
  </si>
  <si>
    <t>BC Aracu5.4Inverter(MBUS-1)45968,2545968,2545968,2854166667</t>
  </si>
  <si>
    <t>BC Aracu5.5Inverter(MBUS-1)45968,2545968,2545968,2854166667</t>
  </si>
  <si>
    <t>BC Aracu5.1Inverter(MBUS-1)45968,377777777845968,377777777845968,3847222222</t>
  </si>
  <si>
    <t>BC Aracu5.2Inverter(MBUS-1)45968,377777777845968,377777777845968,3847222222</t>
  </si>
  <si>
    <t>BC Aracu5.3Inverter(MBUS-1)45968,377777777845968,377777777845968,3847222222</t>
  </si>
  <si>
    <t>BC Aracu5.4Inverter(MBUS-1)45968,377777777845968,377777777845968,3847222222</t>
  </si>
  <si>
    <t>BC Aracu5.5Inverter(MBUS-1)45968,377777777845968,377777777845968,3847222222</t>
  </si>
  <si>
    <t>BC Clareira1.1Inverter(MBUS-12)45968,440972222245968,440972222245968,4479166667</t>
  </si>
  <si>
    <t>BC Clareira1.1Inverter(MBUS-13)45968,440972222245968,440972222245968,4479166667</t>
  </si>
  <si>
    <t>BC Clareira1.1	Inverter(MBUS-14)45968,440972222245968,440972222245968,4479166667</t>
  </si>
  <si>
    <t>BC Clareira1.1	Inverter(MBUS-15)45968,440972222245968,440972222245968,4479166667</t>
  </si>
  <si>
    <t>BC Clareira1.1Inverter(MBUS-16)45968,440972222245968,440972222245968,4479166667</t>
  </si>
  <si>
    <t>BC Clareira1.2	215KTL-H3(MBUS-12)45968,440972222245968,440972222245968,4479166667</t>
  </si>
  <si>
    <t>BC Clareira1.2	215KTL-H3(MBUS-13)45968,440972222245968,440972222245968,4479166667</t>
  </si>
  <si>
    <t>BC Clareira1.2100KTL-H1(MBUS-14)45968,440972222245968,440972222245968,4479166667</t>
  </si>
  <si>
    <t>BC Clareira1.1Inverter(MBUS-12)45968,511805555645968,511805555645968,5451388889</t>
  </si>
  <si>
    <t>BC Clareira1.1Inverter(MBUS-13)45968,511805555645968,511805555645968,5451388889</t>
  </si>
  <si>
    <t>BC Clareira1.1	Inverter(MBUS-14)45968,511805555645968,511805555645968,5451388889</t>
  </si>
  <si>
    <t>BC Clareira1.1	Inverter(MBUS-15)45968,511805555645968,511805555645968,5451388889</t>
  </si>
  <si>
    <t>BC Clareira1.1Inverter(MBUS-16)45968,511805555645968,511805555645968,5451388889</t>
  </si>
  <si>
    <t>BC Clareira1.2	215KTL-H3(MBUS-12)45968,511805555645968,511805555645968,5451388889</t>
  </si>
  <si>
    <t>BC Clareira1.2	215KTL-H3(MBUS-13)45968,511805555645968,511805555645968,5451388889</t>
  </si>
  <si>
    <t>BC Clareira1.2100KTL-H1(MBUS-14)45968,511805555645968,511805555645968,5451388889</t>
  </si>
  <si>
    <t xml:space="preserve">Foi realizado o desligamento programado da subestação devido à finalização da instalação do sistema de escada, executado pela empresa EcoSet. A intervenção foi necessária para a passagem dos cabos de comunicação entre o cubículo de proteção e os cubículos de medição. Para realizar essa atividade com segurança, foi indispensável o acesso interno aos cubículos, exigindo o desligamento total da subestação.
</t>
  </si>
  <si>
    <t>Ações Executadas:  
- Desligamento seguro da subestação.  
- Liberação de acesso aos cubículos.  
- Início da passagem dos cabos de comunicação.  
- Acompanhamento técnico da execução.
. conclusão do trabalho foi passado os cabo de comunicação nos cúbiculo das UFV 2.1 2.2 2.3</t>
  </si>
  <si>
    <t>BC Formoso2.1Inverter(MBUS-12)45969,506944444445969,506944444445969,6083333333</t>
  </si>
  <si>
    <t>BC Formoso2.1Inverter(MBUS-14)45969,506944444445969,506944444445969,6083333333</t>
  </si>
  <si>
    <t>BC Formoso2.1Inverter(MBUS-13)45969,506944444445969,506944444445969,6083333333</t>
  </si>
  <si>
    <t>BC Formoso2.1Inverter(MBUS-1)45969,506944444445969,506944444445969,6083333333</t>
  </si>
  <si>
    <t>BC Formoso2.2Inverter(MBUS-14)45969,506944444445969,506944444445969,6083333333</t>
  </si>
  <si>
    <t>BC Formoso2.2Inverter(MBUS-13)45969,506944444445969,506944444445969,6083333333</t>
  </si>
  <si>
    <t>BC Formoso2.2Inverter(MBUS-12)45969,506944444445969,506944444445969,6083333333</t>
  </si>
  <si>
    <t>BC Formoso2.2Inverter(MBUS-1)45969,506944444445969,506944444445969,6083333333</t>
  </si>
  <si>
    <t>BC Formoso2.3Inverter(MBUS-13)45969,506944444445969,506944444445969,6083333333</t>
  </si>
  <si>
    <t>BC Formoso2.3Inverter(MBUS-12)45969,506944444445969,506944444445969,6083333333</t>
  </si>
  <si>
    <t>Falha na rede da concessionária.</t>
  </si>
  <si>
    <t>BC Turvania1.1Inverter(MBUS-12)45969,676388888945969,676388888945970,28125</t>
  </si>
  <si>
    <t>BC Turvania1.1Inverter(MBUS-13)45969,676388888945969,676388888945970,28125</t>
  </si>
  <si>
    <t>BC Turvania1.1Inverter(MBUS-14)45969,676388888945969,676388888945970,28125</t>
  </si>
  <si>
    <t>BC Turvania1.1Inverter(MBUS-15)45969,676388888945969,676388888945970,28125</t>
  </si>
  <si>
    <t>BC Turvania1.2Inverter(MBUS-12)45969,676388888945969,676388888945970,28125</t>
  </si>
  <si>
    <t>BC Turvania1.2Inverter(MBUS-13)45969,676388888945969,676388888945970,28125</t>
  </si>
  <si>
    <t>BC Turvania1.2Inverter(MBUS-14)45969,676388888945969,676388888945970,28125</t>
  </si>
  <si>
    <t>BC Turvania1.2Inverter(MBUS-15)45969,676388888945969,676388888945970,28125</t>
  </si>
  <si>
    <t>BC Turvania1.3Inverter(MBUS-1)45969,676388888945969,676388888945970,28125</t>
  </si>
  <si>
    <t>BC Turvania1.3Inverter(MBUS-13)45969,676388888945969,676388888945970,28125</t>
  </si>
  <si>
    <t>BC Turvania1.3Inverter(MBUS-14)45969,676388888945969,676388888945970,28125</t>
  </si>
  <si>
    <t>BC Turvania1.3Inverter(MBUS-15)45969,676388888945969,676388888945970,28125</t>
  </si>
  <si>
    <t>BC Turvania1.4Inverter(MBUS-12)45969,676388888945969,676388888945970,28125</t>
  </si>
  <si>
    <t>BC Turvania1.4Inverter(MBUS-13)45969,676388888945969,676388888945970,28125</t>
  </si>
  <si>
    <t>BC Turvania1.4Inverter(MBUS-14)45969,676388888945969,676388888945970,28125</t>
  </si>
  <si>
    <t>BC Turvania1.4Inverter(MBUS-15)45969,676388888945969,676388888945970,28125</t>
  </si>
  <si>
    <t>BC Turvania1.5Inverter(MBUS-12)45969,676388888945969,676388888945970,28125</t>
  </si>
  <si>
    <t>BC Turvania1.5Inverter(MBUS-13)45969,676388888945969,676388888945970,28125</t>
  </si>
  <si>
    <t>BC Turvania1.5Inverter(MBUS-14)45969,676388888945969,676388888945970,28125</t>
  </si>
  <si>
    <t>BC Turvania1.5Inverter(MBUS-1)45969,676388888945969,676388888945970,28125</t>
  </si>
  <si>
    <t>BC Rio Monte1Inverter3845969,725694444445969,725694444445970,2604166667</t>
  </si>
  <si>
    <t>BC Rio Monte1Inverter3745969,725694444445969,725694444445970,2604166667</t>
  </si>
  <si>
    <t>BC Rio Monte1Inverter4345969,725694444445969,725694444445970,2604166667</t>
  </si>
  <si>
    <t>BC Rio Monte1Inverter4245969,725694444445969,725694444445970,2604166667</t>
  </si>
  <si>
    <t>BC Rio Monte1Inverter4545969,725694444445969,725694444445970,2604166667</t>
  </si>
  <si>
    <t>BC Rio Monte1Inverter4445969,725694444445969,725694444445970,2604166667</t>
  </si>
  <si>
    <t>BC Rio Monte1Inverter4645969,725694444445969,725694444445970,2604166667</t>
  </si>
  <si>
    <t>BC Rio Monte1Inverter4145969,725694444445969,725694444445970,2604166667</t>
  </si>
  <si>
    <t>BC Rio Monte1Inverter4745969,725694444445969,725694444445970,2604166667</t>
  </si>
  <si>
    <t>BC Rio Monte1Inverter3545969,725694444445969,725694444445970,2604166667</t>
  </si>
  <si>
    <t>BC Rio Monte1Inverter3645969,725694444445969,725694444445970,2604166667</t>
  </si>
  <si>
    <t>BC Rio Monte1Inverter3145969,725694444445969,725694444445970,2604166667</t>
  </si>
  <si>
    <t>BC Rio Monte1Inverter3345969,725694444445969,725694444445970,2604166667</t>
  </si>
  <si>
    <t>BC Rio Monte1Inverter3945969,725694444445969,725694444445970,2604166667</t>
  </si>
  <si>
    <t>BC Rio Monte1Inverter3245969,725694444445969,725694444445970,2604166667</t>
  </si>
  <si>
    <t>BC Rio Monte1Inverter4045969,725694444445969,725694444445970,2604166667</t>
  </si>
  <si>
    <t>BC Rio Monte1Inverter3445969,725694444445969,725694444445970,2604166667</t>
  </si>
  <si>
    <t>Foi realizada a substituição da fonte de alimentação do conversor de mídia.</t>
  </si>
  <si>
    <t>BC Corumba2.1Inverter(MBUS-14)45970,2545970,2545970,375</t>
  </si>
  <si>
    <t>BC Corumba2.1Inverter(MBUS-15)45970,2545970,2545970,375</t>
  </si>
  <si>
    <t>BC Corumba2.1Inverter(MBUS-16)45970,2545970,2545970,375</t>
  </si>
  <si>
    <t>BC Corumba2.1U01. I0145970,2545970,2545970,375</t>
  </si>
  <si>
    <t>BC Corumba2.1U01. I0245970,2545970,2545970,375</t>
  </si>
  <si>
    <t>Após inspeção geral no QGBT e no cubículo, foi identificado um cabo rompido, responsável pela leitura da temperatura do transformador através do relé de proteção.</t>
  </si>
  <si>
    <t>Devido a essa falha, não era possível rearmar a UFV. Após o reparo e ajuste do cabo, foi realizado o reset e o religamento do disjuntor.</t>
  </si>
  <si>
    <t>BC Formoso1.2Inverter(MBUS-13)45970,253472222245970,253472222245971,5590277778</t>
  </si>
  <si>
    <t>DAUUFV</t>
  </si>
  <si>
    <t>BC Formoso1.2Inverter(MBUS-12)45970,253472222245970,253472222245971,5590277778</t>
  </si>
  <si>
    <t>BC Formoso1.2Inverter(MBUS-15)45970,253472222245970,253472222245971,5590277778</t>
  </si>
  <si>
    <t>BC Formoso1.2Inverter(MBUS-14)45970,253472222245970,253472222245971,5590277778</t>
  </si>
  <si>
    <t>Foi realizada inspeção e identificado que a fonte de alimentação do conversor de mídia e filtro de linha estavam queimados.</t>
  </si>
  <si>
    <t>Foi realizada a substituição dos itens e usina teve a comunicação normalizada.</t>
  </si>
  <si>
    <t>BC Rio Bonito2INV-00145970,694444444445970,694444444445970,7215277778</t>
  </si>
  <si>
    <t>BC Rio Bonito2INV-00245970,694444444445970,694444444445970,7215277778</t>
  </si>
  <si>
    <t>BC Rio Bonito2INV-00345970,694444444445970,694444444445970,7215277778</t>
  </si>
  <si>
    <t>BC Rio Bonito2INV-00445970,694444444445970,694444444445970,7215277778</t>
  </si>
  <si>
    <t>Ações Executadas:  
- Abertura imediata de chamado junto à concessionária Neoenergia.  
- Equipe técnica da concessionária realizou o restabelecimento da rede no dia seguinte.  
- Inspeção em campo foi realizada para verificação dos sistemas.  
- A operação foi parcialmente restabelecida para as UFVs IV, V, VI e VIII ( nomenclatura conforme projeto ).  
- Os demais unidades consumidoras permanecem desernergizadas para perícia e manutenção.</t>
  </si>
  <si>
    <t>BC ParanoaSG60KTL(COM1-012)_001_01145970,982638888945970,982638888945988,7395833333</t>
  </si>
  <si>
    <t>DEMUFV</t>
  </si>
  <si>
    <t>BC ParanoaSG60KTL(COM1-011)_001_00545970,982638888945970,982638888945988,7395833333</t>
  </si>
  <si>
    <t>BC ParanoaSG60KTL(COM1-010)_001_00345970,982638888945970,982638888945988,7395833333</t>
  </si>
  <si>
    <t>BC ParanoaSG60KTL(COM1-018)_001_01245970,982638888945970,982638888945988,7395833333</t>
  </si>
  <si>
    <t>BC ParanoaSG60KTL(COM1-017)_001_00745970,982638888945970,982638888945988,7395833333</t>
  </si>
  <si>
    <t>BC ParanoaSG60KTL(COM1-016)_001_00645970,982638888945970,982638888945988,7395833333</t>
  </si>
  <si>
    <t>BC ParanoaSG50CX(COM2-015)_001_01745970,982638888945970,982638888945988,7395833333</t>
  </si>
  <si>
    <t>BC ParanoaSG60KTL(COM1-009)_001_00245970,982638888945970,982638888945989,6354166667</t>
  </si>
  <si>
    <t>BC ParanoaSG60KTL(COM1-008)_001_00945970,982638888945970,982638888945989,6354166667</t>
  </si>
  <si>
    <t>BC ParanoaSG60KTL(COM1-007)_001_00445970,982638888945970,982638888945989,6354166667</t>
  </si>
  <si>
    <t>BC ParanoaSG60KTL(COM1-006)_001_01445970,982638888945970,982638888945989,6354166667</t>
  </si>
  <si>
    <t>BC ParanoaSG40CX(COM2-005)_001_01545970,982638888945970,982638888945989,6354166667</t>
  </si>
  <si>
    <t>BC ParanoaSG60KTL(COM1-019)_002_00745970,982638888945970,982638888945991,9999884259</t>
  </si>
  <si>
    <t>BC ParanoaSG60KTL(COM1-020)_002_01145970,982638888945970,982638888945991,9999884259</t>
  </si>
  <si>
    <t>BC ParanoaSG60KTL(COM1-021)_002_01745970,982638888945970,982638888945991,9999884259</t>
  </si>
  <si>
    <t>BC ParanoaSG60KTL(COM1-022)_002_02045970,982638888945970,982638888945991,9999884259</t>
  </si>
  <si>
    <t>BC ParanoaSG40CX(COM2-023)_002_02445970,982638888945970,982638888945991,9999884259</t>
  </si>
  <si>
    <t>BC ParanoaSG40CX(COM2-024)_002_02245970,982638888945970,982638888945991,9999884259</t>
  </si>
  <si>
    <t>BC ParanoaSG60KTL(COM1-007)_002_01345970,982638888945970,982638888945973,3333333333</t>
  </si>
  <si>
    <t>BC ParanoaSG60KTL(COM1-008)_002_00245970,982638888945970,982638888945973,3333333333</t>
  </si>
  <si>
    <t>BC ParanoaSG60KTL(COM1-009)_002_00845970,982638888945970,982638888945973,3333333333</t>
  </si>
  <si>
    <t>BC ParanoaSG60KTL(COM1-010)_002_00345970,982638888945970,982638888945973,3333333333</t>
  </si>
  <si>
    <t>BC ParanoaSG60KTL(COM1-011)_002_01045970,982638888945970,982638888945973,3333333333</t>
  </si>
  <si>
    <t>BC ParanoaSG60KTL(COM1-012)_002_00545970,982638888945970,982638888945973,3333333333</t>
  </si>
  <si>
    <t>BC ParanoaSG60KTL(COM1-001)_002_00645970,982638888945970,982638888945973,3333333333</t>
  </si>
  <si>
    <t>BC ParanoaSG60KTL(COM1-002)_002_01645970,982638888945970,982638888945973,3333333333</t>
  </si>
  <si>
    <t>BC ParanoaSG50CX(COM2-003)_002_02145970,982638888945970,982638888945973,3333333333</t>
  </si>
  <si>
    <t>BC ParanoaSG50CX(COM2-004)_002_02345970,982638888945970,982638888945973,3333333333</t>
  </si>
  <si>
    <t>BC ParanoaSG60KTL(COM1-005)_002_00945970,982638888945970,982638888945973,3333333333</t>
  </si>
  <si>
    <t>BC ParanoaSG60KTL(COM1-006)_002_00145970,982638888945970,982638888945973,3333333333</t>
  </si>
  <si>
    <t>BC ParanoaSG60KTL(COM1-013)_002_00445970,982638888945970,982638888945991,9999884259</t>
  </si>
  <si>
    <t>BC ParanoaSG60KTL(COM1-014)_002_01945970,982638888945970,982638888945991,9999884259</t>
  </si>
  <si>
    <t>BC ParanoaSG60KTL(COM1-015)_002_01845970,982638888945970,982638888945991,9999884259</t>
  </si>
  <si>
    <t>BC ParanoaSG60KTL(COM1-016)_002_01445970,982638888945970,982638888945991,9999884259</t>
  </si>
  <si>
    <t>BC ParanoaSG60KTL(COM1-017)_002_01545970,982638888945970,982638888945991,9999884259</t>
  </si>
  <si>
    <t>BC ParanoaSG60KTL(COM1-018)_002_01245970,982638888945970,982638888945991,9999884259</t>
  </si>
  <si>
    <t>BC ParanoaSG50CX(COM2-004)_001_01845970,982638888945970,982638888945973,3333333333</t>
  </si>
  <si>
    <t>BC ParanoaSG50CX(COM2-003)_001_01645970,982638888945970,982638888945973,3333333333</t>
  </si>
  <si>
    <t>BC ParanoaSG60KTL(COM1-002)_001_00845970,982638888945970,982638888945973,3333333333</t>
  </si>
  <si>
    <t>BC ParanoaSG60KTL(COM1-014)_001_01345970,982638888945970,982638888945988,7395833333</t>
  </si>
  <si>
    <t>BC ParanoaSG60KTL(COM1-013)_001_01045970,982638888945970,982638888945988,7395833333</t>
  </si>
  <si>
    <t>BC Rio Monte1Inverter3845971,255555555645971,255555555645971,3854166667</t>
  </si>
  <si>
    <t>BC Rio Monte1Inverter3745971,255555555645971,255555555645971,3854166667</t>
  </si>
  <si>
    <t>BC Rio Monte1Inverter4345971,255555555645971,255555555645971,3854166667</t>
  </si>
  <si>
    <t>BC Rio Monte1Inverter4245971,255555555645971,255555555645971,3854166667</t>
  </si>
  <si>
    <t>BC Rio Monte1Inverter4545971,255555555645971,255555555645971,3854166667</t>
  </si>
  <si>
    <t>BC Rio Monte1Inverter4445971,255555555645971,255555555645971,3854166667</t>
  </si>
  <si>
    <t>BC Rio Monte1Inverter4645971,255555555645971,255555555645971,3854166667</t>
  </si>
  <si>
    <t>BC Rio Monte1Inverter4145971,255555555645971,255555555645971,3854166667</t>
  </si>
  <si>
    <t>BC Rio Monte1Inverter4745971,255555555645971,255555555645971,3854166667</t>
  </si>
  <si>
    <t>BC Rio Monte1Inverter3545971,255555555645971,255555555645971,3854166667</t>
  </si>
  <si>
    <t>BC Rio Monte1Inverter3645971,255555555645971,255555555645971,3854166667</t>
  </si>
  <si>
    <t>BC Rio Monte1Inverter3145971,255555555645971,255555555645971,3854166667</t>
  </si>
  <si>
    <t>BC Rio Monte1Inverter3345971,255555555645971,255555555645971,3854166667</t>
  </si>
  <si>
    <t>BC Rio Monte1Inverter3945971,255555555645971,255555555645971,3854166667</t>
  </si>
  <si>
    <t>BC Rio Monte1Inverter3245971,255555555645971,255555555645971,3854166667</t>
  </si>
  <si>
    <t>BC Rio Monte1Inverter4045971,255555555645971,255555555645971,3854166667</t>
  </si>
  <si>
    <t>BC Rio Monte1Inverter3445971,255555555645971,255555555645971,3854166667</t>
  </si>
  <si>
    <t>BC Caiaponia1SG60KTL(COM1-001)_001_00745971,259027777845971,259027777845971,3194444444</t>
  </si>
  <si>
    <t>BC Caiaponia1SG60KTL(COM1-002)_001_01045971,259027777845971,259027777845971,3194444444</t>
  </si>
  <si>
    <t>BC Caiaponia1SG60KTL(COM1-003)_001_01145971,259027777845971,259027777845971,3194444444</t>
  </si>
  <si>
    <t>BC Caiaponia1SG60KTL(COM1-004)_001_01445971,259027777845971,259027777845971,3194444444</t>
  </si>
  <si>
    <t>BC Caiaponia1SG60KTL(COM1-005)_001_01745971,259027777845971,259027777845971,3194444444</t>
  </si>
  <si>
    <t>BC Caiaponia1SG60KTL(COM1-006)_001_01645971,259027777845971,259027777845971,3194444444</t>
  </si>
  <si>
    <t>BC Caiaponia1SG60KTL(COM1-007)_001_01345971,259027777845971,259027777845971,3194444444</t>
  </si>
  <si>
    <t>BC Caiaponia1SG60KTL(COM1-008)_001_00145971,259027777845971,259027777845971,3194444444</t>
  </si>
  <si>
    <t>BC Caiaponia1SG60KTL(COM1-009)45971,259027777845971,259027777845971,3194444444</t>
  </si>
  <si>
    <t>BC Caiaponia1SG60KTL(COM1-010)45971,259027777845971,259027777845971,3194444444</t>
  </si>
  <si>
    <t>BC Caiaponia1SG60KTL(COM1-011)45971,259027777845971,259027777845971,3194444444</t>
  </si>
  <si>
    <t>BC Caiaponia1SG60KTL(COM1-012)45971,259027777845971,259027777845971,3194444444</t>
  </si>
  <si>
    <t>BC Caiaponia1SG60KTL(COM1-013)45971,259027777845971,259027777845971,3194444444</t>
  </si>
  <si>
    <t>BC Caiaponia1SG60KTL(COM1-014)45971,259027777845971,259027777845971,3194444444</t>
  </si>
  <si>
    <t>BC Caiaponia1SG60KTL(COM1-015)45971,259027777845971,259027777845971,3194444444</t>
  </si>
  <si>
    <t>BC Caiaponia1SG60KTL(COM3-016)_001_00945971,259027777845971,259027777845971,3194444444</t>
  </si>
  <si>
    <t>BC Caiaponia1SG60KTL(COM3-017)_001_01245971,259027777845971,259027777845971,3194444444</t>
  </si>
  <si>
    <t>BC Caiaponia1SG60KTL(COM3-018)_001_00845971,259027777845971,259027777845971,3194444444</t>
  </si>
  <si>
    <t>BC Caiaponia1SG60KTL(COM3-019)_001_01945971,259027777845971,259027777845971,3194444444</t>
  </si>
  <si>
    <t>BC Caiaponia1SG60KTL(COM3-020)_001_02045971,259027777845971,259027777845971,3194444444</t>
  </si>
  <si>
    <t>BC Caiaponia1SG60KTL(COM2-026)45971,259027777845971,259027777845971,3194444444</t>
  </si>
  <si>
    <t>BC Caiaponia1SG60KTL(COM2-027)45971,259027777845971,259027777845971,3194444444</t>
  </si>
  <si>
    <t>BC Caiaponia1SG60KTL(COM2-028)45971,259027777845971,259027777845971,3194444444</t>
  </si>
  <si>
    <t>BC Caiaponia1SG60KTL(COM2-029)45971,259027777845971,259027777845971,3194444444</t>
  </si>
  <si>
    <t>BC Caiaponia1SG50CX(COM1-021)45971,259027777845971,259027777845971,3194444444</t>
  </si>
  <si>
    <t>BC Caiaponia1SG50CX(COM1-022)45971,259027777845971,259027777845971,3194444444</t>
  </si>
  <si>
    <t>BC Caiaponia1SG50CX(COM1-023)45971,259027777845971,259027777845971,3194444444</t>
  </si>
  <si>
    <t>BC Caiaponia1SG50CX(COM1-024)45971,259027777845971,259027777845971,3194444444</t>
  </si>
  <si>
    <t>BC Caiaponia1SG50CX(COM1-025)45971,259027777845971,259027777845971,3194444444</t>
  </si>
  <si>
    <t>BC Aracu1Inverter8145971,262187545971,262187545971,266087963</t>
  </si>
  <si>
    <t>BC Aracu1Inverter7945971,262187545971,262187545971,2656944444</t>
  </si>
  <si>
    <t>BC Aracu1Inverter8245971,262187545971,262187545971,2660648148</t>
  </si>
  <si>
    <t>BC Aracu1Inverter8445971,262187545971,262187545971,2660648148</t>
  </si>
  <si>
    <t>BC Aracu1Inversor 0645971,262187545971,262187545971,2661342593</t>
  </si>
  <si>
    <t>BC Aracu1Inverter7845971,262187545971,262187545971,2660648148</t>
  </si>
  <si>
    <t>BC Aracu1Inverter8345971,262187545971,262187545971,2661111111</t>
  </si>
  <si>
    <t>BC Caiaponia2.1215KTL-H3(MBUS-12)45971,263888888945971,263888888945971,3229166667</t>
  </si>
  <si>
    <t>BC Caiaponia2.1215KTL-H3(MBUS-13)45971,263888888945971,263888888945971,3229166667</t>
  </si>
  <si>
    <t>BC Caiaponia2.1215KTL-H3(MBUS-14)45971,263888888945971,263888888945971,3229166667</t>
  </si>
  <si>
    <t>BC Caiaponia2.1215KTL-H3(MBUS-15)45971,263888888945971,263888888945971,3229166667</t>
  </si>
  <si>
    <t>BC Caiaponia2.1215KTL-H3(MBUS-16)45971,263888888945971,263888888945971,3229166667</t>
  </si>
  <si>
    <t>BC Caiaponia2.2215KTL-H3(MBUS-12)45971,263888888945971,263888888945971,3229166667</t>
  </si>
  <si>
    <t>BC Caiaponia2.2215KTL-H3(MBUS-13)45971,263888888945971,263888888945971,3229166667</t>
  </si>
  <si>
    <t>BC Caiaponia2.2215KTL-H3(MBUS-14)45971,263888888945971,263888888945971,3229166667</t>
  </si>
  <si>
    <t>BC Caiaponia2.2215KTL-H3(MBUS-15)45971,263888888945971,263888888945971,3229166667</t>
  </si>
  <si>
    <t>BC Caiaponia2.2215KTL-H3(MBUS-16)45971,263888888945971,263888888945971,3229166667</t>
  </si>
  <si>
    <t>BC Caiaponia2.3215KTL-H3(MBUS-12)45971,263888888945971,263888888945971,3229166667</t>
  </si>
  <si>
    <t>BC Caiaponia2.3215KTL-H3(MBUS-13)45971,263888888945971,263888888945971,3229166667</t>
  </si>
  <si>
    <t>BC Caiaponia2.3215KTL-H3(MBUS-14)45971,263888888945971,263888888945971,3229166667</t>
  </si>
  <si>
    <t>BC Caiaponia2.3215KTL-H3(MBUS-15)45971,263888888945971,263888888945971,3229166667</t>
  </si>
  <si>
    <t>BC Caiaponia2.3215KTL-H3(MBUS-16)45971,263888888945971,263888888945971,3229166667</t>
  </si>
  <si>
    <t>O looger estava desatualizado.</t>
  </si>
  <si>
    <t>Foi aberto um chamado na HUAWEI , e foi feito a configuração do looger.</t>
  </si>
  <si>
    <t>BC Caiaponia2.2215KTL-H3(MBUS-13)45972,2545972,2545974,6388888889</t>
  </si>
  <si>
    <t>BC Caiaponia2.2215KTL-H3(MBUS-14)45972,2545972,2545974,6388888889</t>
  </si>
  <si>
    <t>BC Caiaponia2.2215KTL-H3(MBUS-15)45972,2545972,2545974,6388888889</t>
  </si>
  <si>
    <t>BC Caiaponia2.2215KTL-H3(MBUS-12)45972,2545972,2545974,6388888889</t>
  </si>
  <si>
    <t>BC Caiaponia2.2215KTL-H3(MBUS-16)45972,2545972,2545974,6388888889</t>
  </si>
  <si>
    <t>Falha 47 atuada no relé.</t>
  </si>
  <si>
    <t>BC Formoso1.2Inverter(MBUS-13)45972,253472222245972,253472222245972,3298611111</t>
  </si>
  <si>
    <t>BC Formoso1.2Inverter(MBUS-12)45972,253472222245972,253472222245972,3298611111</t>
  </si>
  <si>
    <t>BC Formoso1.2Inverter(MBUS-15)45972,253472222245972,253472222245972,3298611111</t>
  </si>
  <si>
    <t>BC Formoso1.2Inverter(MBUS-14)45972,253472222245972,253472222245972,3298611111</t>
  </si>
  <si>
    <t>BC Aracu1Inverter7945972,25453703745972,25453703745972,2614930556</t>
  </si>
  <si>
    <t>BC Aracu1Inverter8145972,254652777845972,254652777845972,2616782407</t>
  </si>
  <si>
    <t>BC Aracu1Inverter8445972,254687545972,254687545972,2617013889</t>
  </si>
  <si>
    <t>BC Aracu1Inverter7845972,254768518545972,254768518545972,261712963</t>
  </si>
  <si>
    <t>BC Aracu1Inversor 0645972,25483796345972,25483796345972,261875</t>
  </si>
  <si>
    <t>Inversores desligados devido à manutenção programada do transformador e do religador da unidade.</t>
  </si>
  <si>
    <t>Após manutenção, usina foi normalizada.</t>
  </si>
  <si>
    <t>BC Rio Monte1Inverter3845972,305555555645972,305555555645972,70625</t>
  </si>
  <si>
    <t>BC Rio Monte1Inverter3745972,305555555645972,305555555645972,70625</t>
  </si>
  <si>
    <t>BC Rio Monte1Inverter4345972,305555555645972,305555555645972,70625</t>
  </si>
  <si>
    <t>BC Rio Monte1Inverter4245972,305555555645972,305555555645972,70625</t>
  </si>
  <si>
    <t>BC Rio Monte1Inverter4545972,305555555645972,305555555645972,70625</t>
  </si>
  <si>
    <t>BC Rio Monte1Inverter4445972,305555555645972,305555555645972,70625</t>
  </si>
  <si>
    <t>BC Rio Monte1Inverter4645972,305555555645972,305555555645972,70625</t>
  </si>
  <si>
    <t>Foi realizada inspeção e identificado que o filtro de linha estava queimado.</t>
  </si>
  <si>
    <t>Foi realizada a substituição e usina teve a comunicação normalizada.</t>
  </si>
  <si>
    <t>BC Rio Bonito2INV-00145972,470833333345972,470833333345972,6909722222</t>
  </si>
  <si>
    <t>BC Rio Bonito2INV-00245972,470833333345972,470833333345972,6909722222</t>
  </si>
  <si>
    <t>BC Rio Bonito2INV-00345972,470833333345972,470833333345972,6909722222</t>
  </si>
  <si>
    <t>BC Rio Bonito2INV-00445972,470833333345972,470833333345972,6909722222</t>
  </si>
  <si>
    <t>Perdemos o acesso a UFV Rio Monte no sistema Isolarcloud.</t>
  </si>
  <si>
    <t>Colaborador Brasol</t>
  </si>
  <si>
    <t>Foi reportado aos colaboradores Brasol, estamos aguardando resolução. Após report, o time da Brasol compartilhou novamente a planta.</t>
  </si>
  <si>
    <t>BC Rio Monte1Inverter3845972,611805555645972,611805555645973,2465277778</t>
  </si>
  <si>
    <t>BC Rio Monte1Inverter3745972,611805555645972,611805555645973,2465277778</t>
  </si>
  <si>
    <t>BC Rio Monte1Inverter4345972,611805555645972,611805555645973,2465277778</t>
  </si>
  <si>
    <t>BC Rio Monte1Inverter4245972,611805555645972,611805555645973,2465277778</t>
  </si>
  <si>
    <t>BC Rio Monte1Inverter4545972,611805555645972,611805555645973,2465277778</t>
  </si>
  <si>
    <t>BC Rio Monte1Inverter4445972,611805555645972,611805555645973,2465277778</t>
  </si>
  <si>
    <t>BC Rio Monte1Inverter4645972,611805555645972,611805555645973,2465277778</t>
  </si>
  <si>
    <t>BC Rio Monte1Inverter4145972,611805555645972,611805555645973,2465277778</t>
  </si>
  <si>
    <t>BC Rio Monte1Inverter4745972,611805555645972,611805555645973,2465277778</t>
  </si>
  <si>
    <t>BC Rio Monte1Inverter3545972,611805555645972,611805555645973,2465277778</t>
  </si>
  <si>
    <t>BC Rio Monte1Inverter3645972,611805555645972,611805555645973,2465277778</t>
  </si>
  <si>
    <t>BC Rio Monte1Inverter3145972,611805555645972,611805555645973,2465277778</t>
  </si>
  <si>
    <t>BC Rio Monte1Inverter3345972,611805555645972,611805555645973,2465277778</t>
  </si>
  <si>
    <t>BC Rio Monte1Inverter3945972,611805555645972,611805555645973,2465277778</t>
  </si>
  <si>
    <t>BC Rio Monte1Inverter3245972,611805555645972,611805555645973,2465277778</t>
  </si>
  <si>
    <t>BC Rio Monte1Inverter4045972,611805555645972,611805555645973,2465277778</t>
  </si>
  <si>
    <t>BC Rio Monte1Inverter3445972,611805555645972,611805555645973,2465277778</t>
  </si>
  <si>
    <t>Araçu VII</t>
  </si>
  <si>
    <t>SG60KTL-ARACU_VII</t>
  </si>
  <si>
    <t>Perdemos o acesso a UFV Araçu 3 no sistema Isolarcloud.</t>
  </si>
  <si>
    <t>BC Aracu3SG60KTL-ARACU_VII45972,611805555645972,611805555645973,2465277778</t>
  </si>
  <si>
    <t>Araçu VI</t>
  </si>
  <si>
    <t>SG60KTL-ARACU_VI</t>
  </si>
  <si>
    <t>BC Aracu3SG60KTL-ARACU_VI45972,611805555645972,611805555645973,2465277778</t>
  </si>
  <si>
    <t>SG50CX-ARACU_VI</t>
  </si>
  <si>
    <t>BC Aracu3SG50CX-ARACU_VI45972,611805555645972,611805555645973,2465277778</t>
  </si>
  <si>
    <t>SG50CX-ARACU-VII</t>
  </si>
  <si>
    <t>BC Aracu3SG50CX-ARACU-VII45972,611805555645972,611805555645973,2465277778</t>
  </si>
  <si>
    <t xml:space="preserve"> Relé atuado por 86.</t>
  </si>
  <si>
    <t>BC Aracu5.1Inverter(MBUS-1)45972,742361111145972,742361111145972,7638888889</t>
  </si>
  <si>
    <t>BC Aracu5.2Inverter(MBUS-1)45972,742361111145972,742361111145972,7638888889</t>
  </si>
  <si>
    <t>BC Aracu5.3Inverter(MBUS-1)45972,742361111145972,742361111145972,7638888889</t>
  </si>
  <si>
    <t>BC Aracu5.4Inverter(MBUS-1)45972,742361111145972,742361111145972,7638888889</t>
  </si>
  <si>
    <t>BC Aracu5.5Inverter(MBUS-1)45972,742361111145972,742361111145972,7638888889</t>
  </si>
  <si>
    <t>Desligamento programado para parametrização do relé de proteção.</t>
  </si>
  <si>
    <t>Realizada inspeção, parametrização e oscilografia no relé de proteção. Após isto, foi feito inspeção em todo complexo, checado nível de tensão e realizado a manobra de normalização da geração.</t>
  </si>
  <si>
    <t>BC Formoso2.2Inverter(MBUS-14)45972,744444444445972,744444444445972,7708333333</t>
  </si>
  <si>
    <t>BC Formoso2.2Inverter(MBUS-13)45972,744444444445972,744444444445972,7708333333</t>
  </si>
  <si>
    <t>BC Formoso2.2Inverter(MBUS-12)45972,744444444445972,744444444445972,7708333333</t>
  </si>
  <si>
    <t>BC Formoso2.2Inverter(MBUS-1)45972,744444444445972,744444444445972,7708333333</t>
  </si>
  <si>
    <t>BC Formoso2.3Inverter(MBUS-13)45972,744444444445972,744444444445972,7708333333</t>
  </si>
  <si>
    <t>BC Formoso2.3Inverter(MBUS-12)45972,744444444445972,744444444445972,7708333333</t>
  </si>
  <si>
    <t>Desenergizada para parametrização do relé de proteção e inspeção no Tp auxiliar.</t>
  </si>
  <si>
    <t>Foi realizada a inspeção,parametrizaçao e avaliada a oscilografia do relé de proteção . O TP auxiliar foi retirado pra realizar ensaio o mesmo apresentou falha no seu funcionamento e foi encaminhado para garantia junto ao fabricante, Tamura.</t>
  </si>
  <si>
    <t>BC Formoso2.1Inverter(MBUS-12)45972,744444444445972,744444444445973,4479166667</t>
  </si>
  <si>
    <t>BC Formoso2.1Inverter(MBUS-14)45972,744444444445972,744444444445973,4479166667</t>
  </si>
  <si>
    <t>BC Formoso2.1Inverter(MBUS-13)45972,744444444445972,744444444445973,4479166667</t>
  </si>
  <si>
    <t>BC Formoso2.1Inverter(MBUS-1)45972,744444444445972,744444444445973,4479166667</t>
  </si>
  <si>
    <t>BC Rio Monte1Inverter3845973,2545973,2545973,2902777778</t>
  </si>
  <si>
    <t>BC Rio Monte1Inverter3745973,2545973,2545973,2902777778</t>
  </si>
  <si>
    <t>BC Rio Monte1Inverter4345973,2545973,2545973,2902777778</t>
  </si>
  <si>
    <t>BC Rio Monte1Inverter4245973,2545973,2545973,2902777778</t>
  </si>
  <si>
    <t>BC Rio Monte1Inverter4545973,2545973,2545973,2902777778</t>
  </si>
  <si>
    <t>BC Rio Monte1Inverter4445973,2545973,2545973,2902777778</t>
  </si>
  <si>
    <t>BC Rio Monte1Inverter4645973,2545973,2545973,2902777778</t>
  </si>
  <si>
    <t>BC Aracu1Inverter8445973,250532407445973,250532407445973,2743055556</t>
  </si>
  <si>
    <t>BC Aracu1Inverter7945973,256886574145973,256886574145973,2638078704</t>
  </si>
  <si>
    <t>BC Aracu1Inverter8145973,257002314845973,257002314845973,2639236111</t>
  </si>
  <si>
    <t>BC Aracu1Inverter8245973,25702546345973,25702546345973,2639814815</t>
  </si>
  <si>
    <t>BC Aracu1Inverter7845973,257048611145973,257048611145973,2639814815</t>
  </si>
  <si>
    <t>BC Aracu1Inversor 0645973,257106481545973,257106481545973,2640393519</t>
  </si>
  <si>
    <t>BC Aracu1Inverter8345973,257164351945973,257164351945973,2641203704</t>
  </si>
  <si>
    <t>BC Aracu5.1Inverter(MBUS-1)45973,263888888945973,263888888945973,2833333333</t>
  </si>
  <si>
    <t>BC Aracu5.2Inverter(MBUS-1)45973,263888888945973,263888888945973,2833333333</t>
  </si>
  <si>
    <t>BC Aracu5.3Inverter(MBUS-1)45973,263888888945973,263888888945973,2833333333</t>
  </si>
  <si>
    <t>BC Aracu5.4Inverter(MBUS-1)45973,263888888945973,263888888945973,2833333333</t>
  </si>
  <si>
    <t>BC Aracu5.5Inverter(MBUS-1)45973,263888888945973,263888888945973,2833333333</t>
  </si>
  <si>
    <t>Desligamento da UFV para execução de testes nos transformadores de média tensão e no religador. Após execução, foi realizada a manobra de energização da usina.</t>
  </si>
  <si>
    <t>BC Rio Bonito1SG36KTL-M-17_001_01745973,451388888945973,451388888945973,64375</t>
  </si>
  <si>
    <t>BC Rio Bonito1SG60KTL-10_001_01045973,451388888945973,451388888945973,64375</t>
  </si>
  <si>
    <t>BC Rio Bonito1SG60KTL-11_001_01145973,451388888945973,451388888945973,64375</t>
  </si>
  <si>
    <t>BC Rio Bonito1SG60KTL-12_001_01245973,451388888945973,451388888945973,64375</t>
  </si>
  <si>
    <t>BC Rio Bonito1SG60KTL-13_001_01345973,451388888945973,451388888945973,64375</t>
  </si>
  <si>
    <t>BC Rio Bonito1SG60KTL-14_001_01445973,451388888945973,451388888945973,64375</t>
  </si>
  <si>
    <t>BC Rio Bonito1SG60KTL-15_001_01545973,451388888945973,451388888945973,64375</t>
  </si>
  <si>
    <t>BC Rio Bonito1SG60KTL-16_001_01645973,451388888945973,451388888945973,64375</t>
  </si>
  <si>
    <t>BC Rio Bonito1SG60KTL-1_001_00145973,451388888945973,451388888945973,64375</t>
  </si>
  <si>
    <t>BC Rio Bonito1SG60KTL-2_001_00245973,451388888945973,451388888945973,64375</t>
  </si>
  <si>
    <t>BC Rio Bonito1SG60KTL-3_001_00345973,451388888945973,451388888945973,64375</t>
  </si>
  <si>
    <t>BC Rio Bonito1SG60KTL-4_001_00445973,451388888945973,451388888945973,64375</t>
  </si>
  <si>
    <t>BC Rio Bonito1SG60KTL-5_001_00545973,451388888945973,451388888945973,64375</t>
  </si>
  <si>
    <t>BC Rio Bonito1SG60KTL-6_001_00645973,451388888945973,451388888945973,64375</t>
  </si>
  <si>
    <t>BC Rio Bonito1SG60KTL-7_001_00745973,451388888945973,451388888945973,64375</t>
  </si>
  <si>
    <t>BC Rio Bonito1SG60KTL-8_001_00845973,451388888945973,451388888945973,64375</t>
  </si>
  <si>
    <t>BC Rio Bonito1SG60KTL-9_001_00945973,451388888945973,451388888945973,64375</t>
  </si>
  <si>
    <t>BC Aracu5.1Inverter(MBUS-1)45973,556944444445973,556944444445973,5604166667</t>
  </si>
  <si>
    <t>BC Aracu5.2Inverter(MBUS-1)45973,556944444445973,556944444445973,5604166667</t>
  </si>
  <si>
    <t>BC Aracu5.3Inverter(MBUS-1)45973,556944444445973,556944444445973,5604166667</t>
  </si>
  <si>
    <t>BC Aracu5.4Inverter(MBUS-1)45973,556944444445973,556944444445973,5604166667</t>
  </si>
  <si>
    <t>BC Aracu5.5Inverter(MBUS-1)45973,556944444445973,556944444445973,5604166667</t>
  </si>
  <si>
    <t>BC Rio Bonito2INV-00145973,649305555645973,649305555645973,7229166667</t>
  </si>
  <si>
    <t>BC Rio Bonito2INV-00245973,649305555645973,649305555645973,7229166667</t>
  </si>
  <si>
    <t>BC Rio Bonito2INV-00345973,649305555645973,649305555645973,7229166667</t>
  </si>
  <si>
    <t>BC Rio Bonito2INV-00445973,649305555645973,649305555645973,7229166667</t>
  </si>
  <si>
    <t>BC ParanoaSG60KTL(COM1-007)_002_01345974,0937545974,0937545974,2291666667</t>
  </si>
  <si>
    <t>BC ParanoaSG60KTL(COM1-008)_002_00245974,0937545974,0937545974,2291666667</t>
  </si>
  <si>
    <t>BC ParanoaSG60KTL(COM1-009)_002_00845974,0937545974,0937545974,2291666667</t>
  </si>
  <si>
    <t>BC ParanoaSG60KTL(COM1-010)_002_00345974,0937545974,0937545974,2291666667</t>
  </si>
  <si>
    <t>BC ParanoaSG60KTL(COM1-011)_002_01045974,0937545974,0937545974,2291666667</t>
  </si>
  <si>
    <t>BC ParanoaSG60KTL(COM1-012)_002_00545974,0937545974,0937545974,2291666667</t>
  </si>
  <si>
    <t>BC ParanoaSG60KTL(COM1-001)_002_00645974,0937545974,0937545974,2291666667</t>
  </si>
  <si>
    <t>BC ParanoaSG60KTL(COM1-002)_002_01645974,0937545974,0937545974,2291666667</t>
  </si>
  <si>
    <t>BC ParanoaSG50CX(COM2-003)_002_02145974,0937545974,0937545974,2291666667</t>
  </si>
  <si>
    <t>BC ParanoaSG50CX(COM2-004)_002_02345974,0937545974,0937545974,2291666667</t>
  </si>
  <si>
    <t>BC ParanoaSG60KTL(COM1-005)_002_00945974,0937545974,0937545974,2291666667</t>
  </si>
  <si>
    <t>BC ParanoaSG60KTL(COM1-006)_002_00145974,0937545974,0937545974,2291666667</t>
  </si>
  <si>
    <t>BC ParanoaSG50CX(COM2-004)_001_01845974,0937545974,0937545974,2291666667</t>
  </si>
  <si>
    <t>BC ParanoaSG50CX(COM2-003)_001_01645974,0937545974,0937545974,2291666667</t>
  </si>
  <si>
    <t>BC ParanoaSG60KTL(COM1-002)_001_00845974,0937545974,0937545974,2291666667</t>
  </si>
  <si>
    <t>BC Aracu1Inverter7845974,2662545974,2662545974,2812847222</t>
  </si>
  <si>
    <t>BC Aracu1Inverter8345974,2662545974,2662545974,2812847222</t>
  </si>
  <si>
    <t>BC Aracu1Inverter8245974,2662545974,2662545974,2812847222</t>
  </si>
  <si>
    <t>BC Aracu1Inverter7945974,2662545974,2662545974,2672800926</t>
  </si>
  <si>
    <t>BC Aracu1Inverter8445974,2662545974,2662545974,2812847222</t>
  </si>
  <si>
    <t>BC Aracu1Inverter8145974,2662545974,2662545974,2812847222</t>
  </si>
  <si>
    <t>BC Aracu1Inversor 0645974,2662545974,2662545974,2812847222</t>
  </si>
  <si>
    <t>Desligamento programado da Cemig para melhorias da rede.</t>
  </si>
  <si>
    <t>Após manutenção programada, usina foi normalizada.</t>
  </si>
  <si>
    <t>BC Varjao2.1215KTL-H0(MBUS-12)45974,504166666745974,504166666745974,6597222222</t>
  </si>
  <si>
    <t>BC Varjao2.1215KTL-H0(MBUS-13)45974,504166666745974,504166666745974,6597222222</t>
  </si>
  <si>
    <t>BC Varjao2.1215KTL-H0(MBUS-14)45974,504166666745974,504166666745974,6597222222</t>
  </si>
  <si>
    <t>BC Varjao2.1215KTL-H0(MBUS-15)45974,504166666745974,504166666745974,6597222222</t>
  </si>
  <si>
    <t>BC Varjao2.1215KTL-H0(MBUS-16)45974,504166666745974,504166666745974,6597222222</t>
  </si>
  <si>
    <t>BC Varjao2.2215KTL-H0(MBUS-13)45974,504166666745974,504166666745974,6597222222</t>
  </si>
  <si>
    <t>BC Varjao2.2215KTL-H0(MBUS-14)45974,504166666745974,504166666745974,6597222222</t>
  </si>
  <si>
    <t>BC Varjao2.2215KTL-H0(MBUS-15)45974,504166666745974,504166666745974,6597222222</t>
  </si>
  <si>
    <t>BC Varjao2.2215KTL-H0(MBUS-16)45974,504166666745974,504166666745974,6597222222</t>
  </si>
  <si>
    <t>BC Varjao2.2215KTL-H0(MBUS-12)45974,504166666745974,504166666745974,6597222222</t>
  </si>
  <si>
    <t>BC Varjao2.3100KTL-H1(MBUS-1)45974,504166666745974,504166666745974,6597222222</t>
  </si>
  <si>
    <t>BC Varjao2.3215KTL-H0(MBUS-13)45974,504166666745974,504166666745974,6597222222</t>
  </si>
  <si>
    <t>BC Varjao2.3215KTL-H0(MBUS-12)45974,504166666745974,504166666745974,6597222222</t>
  </si>
  <si>
    <t>BC Aracu1Inverter7945975,255173611145975,255173611145975,2700694444</t>
  </si>
  <si>
    <t>BC Aracu1Inverter8145975,255300925945975,255300925945975,2700694444</t>
  </si>
  <si>
    <t>BC Aracu1Inverter8245975,255312545975,255312545975,2700694444</t>
  </si>
  <si>
    <t>BC Aracu1Inverter8445975,255312545975,255312545975,2700694444</t>
  </si>
  <si>
    <t>BC Aracu1Inverter7845975,255324074145975,255324074145975,2700694444</t>
  </si>
  <si>
    <t>BC Aracu1Inversor 0645975,255370370445975,255370370445975,2700694444</t>
  </si>
  <si>
    <t>BC Aracu1Inverter8345975,255439814845975,255439814845975,2700694444</t>
  </si>
  <si>
    <t>BC Aracu1Inverter7945975,283796296345975,283796296345975,2907407407</t>
  </si>
  <si>
    <t>BC Aracu1Inverter8445975,283923611145975,283923611145975,2941087963</t>
  </si>
  <si>
    <t>BC Aracu1Inverter7845975,283946759345975,283946759345975,2941087963</t>
  </si>
  <si>
    <t>BC Aracu1Inverter8245975,283946759345975,283946759345975,2941087963</t>
  </si>
  <si>
    <t>BC Aracu1Inverter8145975,283958333345975,283958333345975,2908449074</t>
  </si>
  <si>
    <t>BC Aracu1Inversor 0645975,284050925945975,284050925945975,2941087963</t>
  </si>
  <si>
    <t>BC Aracu1Inverter8345975,284085648145975,284085648145975,2941087963</t>
  </si>
  <si>
    <t>BC Panama1.1CEREAL_00245975,447222222245975,447222222245975,625</t>
  </si>
  <si>
    <t>BC Panama1.1ITAPOAN 001 (COM1-001)_001_00145975,447222222245975,447222222245975,625</t>
  </si>
  <si>
    <t>BC Panama1.1ITAPOAN_00345975,447222222245975,447222222245975,625</t>
  </si>
  <si>
    <t>BC Panama1.2COOGED_00545975,447222222245975,447222222245975,625</t>
  </si>
  <si>
    <t>BC Panama1.2ART_00645975,447222222245975,447222222245975,625</t>
  </si>
  <si>
    <t>BC Panama1.2ART_00445975,447222222245975,447222222245975,625</t>
  </si>
  <si>
    <t>BC Panama1.2RADIO_00745975,447222222245975,447222222245975,625</t>
  </si>
  <si>
    <t>BC Aracu5.1Inverter(MBUS-1)45976,194444444445976,194444444445976,2604166667</t>
  </si>
  <si>
    <t>BC Aracu5.2Inverter(MBUS-1)45976,194444444445976,194444444445976,2604166667</t>
  </si>
  <si>
    <t>BC Aracu5.3Inverter(MBUS-1)45976,194444444445976,194444444445976,2604166667</t>
  </si>
  <si>
    <t>BC Aracu5.4Inverter(MBUS-1)45976,194444444445976,194444444445976,2604166667</t>
  </si>
  <si>
    <t>BC Aracu5.5Inverter(MBUS-1)45976,194444444445976,194444444445976,2604166667</t>
  </si>
  <si>
    <t>O logger parou de comunicar com o fusion solar.</t>
  </si>
  <si>
    <t>Foi realizado um reset da smartlogger.</t>
  </si>
  <si>
    <t>BC Caiaponia2.2215KTL-H3(MBUS-13)45976,270833333345976,270833333345976,3805555556</t>
  </si>
  <si>
    <t>BC Caiaponia2.2215KTL-H3(MBUS-14)45976,270833333345976,270833333345976,3805555556</t>
  </si>
  <si>
    <t>BC Caiaponia2.2215KTL-H3(MBUS-15)45976,270833333345976,270833333345976,3805555556</t>
  </si>
  <si>
    <t>BC Caiaponia2.2215KTL-H3(MBUS-12)45976,270833333345976,270833333345976,3805555556</t>
  </si>
  <si>
    <t>BC Caiaponia2.2215KTL-H3(MBUS-16)45976,270833333345976,270833333345976,3805555556</t>
  </si>
  <si>
    <t>BC Clareira1.1Inverter(MBUS-12)45976,470833333345976,470833333345976,5090277778</t>
  </si>
  <si>
    <t>BC Clareira1.1Inverter(MBUS-13)45976,470833333345976,470833333345976,5090277778</t>
  </si>
  <si>
    <t>BC Clareira1.1	Inverter(MBUS-14)45976,470833333345976,470833333345976,5090277778</t>
  </si>
  <si>
    <t>BC Clareira1.1	Inverter(MBUS-15)45976,470833333345976,470833333345976,5090277778</t>
  </si>
  <si>
    <t>BC Clareira1.1Inverter(MBUS-16)45976,470833333345976,470833333345976,5090277778</t>
  </si>
  <si>
    <t>BC Clareira1.2	215KTL-H3(MBUS-12)45976,470833333345976,470833333345976,5090277778</t>
  </si>
  <si>
    <t>BC Clareira1.2	215KTL-H3(MBUS-13)45976,470833333345976,470833333345976,5090277778</t>
  </si>
  <si>
    <t>BC Clareira1.2100KTL-H1(MBUS-14)45976,470833333345976,470833333345976,5090277778</t>
  </si>
  <si>
    <t>Falha de comunicação com a internet.</t>
  </si>
  <si>
    <t>Foi feito o reset no TP-LINK e foi notado que o disjuntor que alimenta a internet da vazante 2 encontrava-se em trip no quadro geral da subestação. Foi normalizada após identificação.</t>
  </si>
  <si>
    <t>BC Vazante2.1Inverter(MBUS-1)45976,555555555645976,555555555645976,6944444444</t>
  </si>
  <si>
    <t>BC Vazante2.1Inverter(MBUS-2)45976,555555555645976,555555555645976,6944444444</t>
  </si>
  <si>
    <t xml:space="preserve">	Inverter(MBUS-4)</t>
  </si>
  <si>
    <t>BC Vazante2.1	Inverter(MBUS-4)45976,555555555645976,555555555645976,6944444444</t>
  </si>
  <si>
    <t xml:space="preserve">	Inverter(MBUS-5)</t>
  </si>
  <si>
    <t>BC Vazante2.1	Inverter(MBUS-5)45976,555555555645976,555555555645976,6944444444</t>
  </si>
  <si>
    <t xml:space="preserve">	Inverter(MBUS-12)</t>
  </si>
  <si>
    <t>BC Vazante2.1	Inverter(MBUS-12)45976,555555555645976,555555555645976,6944444444</t>
  </si>
  <si>
    <t xml:space="preserve">	Inverter(MBUS-1)</t>
  </si>
  <si>
    <t>BC Vazante2.2	Inverter(MBUS-1)45976,555555555645976,555555555645976,6944444444</t>
  </si>
  <si>
    <t xml:space="preserve">	Inverter(MBUS-10)</t>
  </si>
  <si>
    <t>BC Vazante2.2	Inverter(MBUS-10)45976,555555555645976,555555555645976,6944444444</t>
  </si>
  <si>
    <t xml:space="preserve">	Inverter(MBUS-6)</t>
  </si>
  <si>
    <t>BC Vazante2.2	Inverter(MBUS-6)45976,555555555645976,555555555645976,6944444444</t>
  </si>
  <si>
    <t xml:space="preserve">	Inverter(MBUS-7)</t>
  </si>
  <si>
    <t>BC Vazante2.2	Inverter(MBUS-7)45976,555555555645976,555555555645976,6944444444</t>
  </si>
  <si>
    <t xml:space="preserve">	Inverter(MBUS-8)</t>
  </si>
  <si>
    <t>BC Vazante2.2	Inverter(MBUS-8)45976,555555555645976,555555555645976,6944444444</t>
  </si>
  <si>
    <t xml:space="preserve">	Inverter(MBUS-11)</t>
  </si>
  <si>
    <t>BC Vazante2.3	Inverter(MBUS-11)45976,555555555645976,555555555645976,6944444444</t>
  </si>
  <si>
    <t>BC Vazante2.3	Inverter(MBUS-12)45976,555555555645976,555555555645976,6944444444</t>
  </si>
  <si>
    <t xml:space="preserve">	Inverter(MBUS-13)</t>
  </si>
  <si>
    <t>BC Vazante2.3	Inverter(MBUS-13)45976,555555555645976,555555555645976,6944444444</t>
  </si>
  <si>
    <t>BC Aracu5.1Inverter(MBUS-1)45976,726388888945976,726388888945977,2534722222</t>
  </si>
  <si>
    <t>BC Aracu5.2Inverter(MBUS-1)45976,726388888945976,726388888945977,2534722222</t>
  </si>
  <si>
    <t>BC Aracu5.3Inverter(MBUS-1)45976,726388888945976,726388888945977,2534722222</t>
  </si>
  <si>
    <t>BC Aracu5.4Inverter(MBUS-1)45976,726388888945976,726388888945977,2534722222</t>
  </si>
  <si>
    <t>BC Aracu5.5Inverter(MBUS-1)45976,726388888945976,726388888945977,2534722222</t>
  </si>
  <si>
    <t>Falha de comunicação com o fusionsolar.</t>
  </si>
  <si>
    <t xml:space="preserve">Foi feito o reset e mudados de posição o conversor de mídia, trocando com cada um das smarts logger para verificação se poderia ser o conversor. </t>
  </si>
  <si>
    <t>BC Vazante2.1Inverter(MBUS-1)45976,731944444445976,731944444445977,4861111111</t>
  </si>
  <si>
    <t>BC Vazante2.1Inverter(MBUS-2)45976,731944444445976,731944444445977,4861111111</t>
  </si>
  <si>
    <t>BC Vazante2.1	Inverter(MBUS-4)45976,731944444445976,731944444445977,4861111111</t>
  </si>
  <si>
    <t>BC Vazante2.1	Inverter(MBUS-5)45976,731944444445976,731944444445977,4861111111</t>
  </si>
  <si>
    <t>BC Vazante2.1	Inverter(MBUS-12)45976,731944444445976,731944444445977,4861111111</t>
  </si>
  <si>
    <t>BC Vazante2.2	Inverter(MBUS-1)45976,731944444445976,731944444445977,4861111111</t>
  </si>
  <si>
    <t>BC Vazante2.2	Inverter(MBUS-10)45976,731944444445976,731944444445977,4861111111</t>
  </si>
  <si>
    <t>BC Vazante2.2	Inverter(MBUS-6)45976,731944444445976,731944444445977,4861111111</t>
  </si>
  <si>
    <t>BC Vazante2.2	Inverter(MBUS-7)45976,731944444445976,731944444445977,4861111111</t>
  </si>
  <si>
    <t>BC Vazante2.2	Inverter(MBUS-8)45976,731944444445976,731944444445977,4861111111</t>
  </si>
  <si>
    <t>BC Vazante2.3	Inverter(MBUS-11)45976,731944444445976,731944444445977,4861111111</t>
  </si>
  <si>
    <t>BC Vazante2.3	Inverter(MBUS-12)45976,731944444445976,731944444445977,4861111111</t>
  </si>
  <si>
    <t>BC Vazante2.3	Inverter(MBUS-13)45976,731944444445976,731944444445977,4861111111</t>
  </si>
  <si>
    <t>BC Caiaponia1SG60KTL(COM1-003)_001_01145977,215972164445977,215972164445977,3597222222</t>
  </si>
  <si>
    <t>BC Caiaponia1SG60KTL(COM1-004)_001_01445977,215972164445977,215972164445977,3597222222</t>
  </si>
  <si>
    <t>BC Caiaponia1SG60KTL(COM1-005)_001_01745977,215972164445977,215972164445977,3597222222</t>
  </si>
  <si>
    <t>BC Caiaponia1SG60KTL(COM1-006)_001_01645977,215972164445977,215972164445977,3597222222</t>
  </si>
  <si>
    <t>BC Caiaponia1SG60KTL(COM1-007)_001_01345977,215972164445977,215972164445977,3597222222</t>
  </si>
  <si>
    <t>BC Caiaponia1SG60KTL(COM1-008)_001_00145977,215972164445977,215972164445977,3597222222</t>
  </si>
  <si>
    <t>BC Caiaponia1SG60KTL(COM1-009)45977,215972164445977,215972164445977,3597222222</t>
  </si>
  <si>
    <t>BC Caiaponia1SG60KTL(COM1-010)45977,215972164445977,215972164445977,3597222222</t>
  </si>
  <si>
    <t>BC Caiaponia1SG60KTL(COM1-011)45977,215972164445977,215972164445977,3597222222</t>
  </si>
  <si>
    <t>BC Caiaponia1SG60KTL(COM1-012)45977,215972164445977,215972164445977,3597222222</t>
  </si>
  <si>
    <t>BC Caiaponia1SG60KTL(COM1-013)45977,215972164445977,215972164445977,3597222222</t>
  </si>
  <si>
    <t>BC Caiaponia1SG60KTL(COM1-014)45977,215972164445977,215972164445977,3597222222</t>
  </si>
  <si>
    <t>BC Caiaponia1SG60KTL(COM1-015)45977,215972164445977,215972164445977,3597222222</t>
  </si>
  <si>
    <t>BC Caiaponia1SG60KTL(COM3-016)_001_00945977,215972164445977,215972164445977,3597222222</t>
  </si>
  <si>
    <t>BC Caiaponia1SG60KTL(COM3-017)_001_01245977,215972164445977,215972164445977,3597222222</t>
  </si>
  <si>
    <t>BC Caiaponia1SG60KTL(COM3-018)_001_00845977,215972164445977,215972164445977,3597222222</t>
  </si>
  <si>
    <t>BC Caiaponia1SG60KTL(COM3-019)_001_01945977,215972164445977,215972164445977,3597222222</t>
  </si>
  <si>
    <t>BC Caiaponia1SG60KTL(COM3-020)_001_02045977,215972164445977,215972164445977,3597222222</t>
  </si>
  <si>
    <t>BC Caiaponia1SG60KTL(COM2-026)45977,215972164445977,215972164445977,3597222222</t>
  </si>
  <si>
    <t>BC Caiaponia1SG60KTL(COM2-027)45977,215972164445977,215972164445977,3597222222</t>
  </si>
  <si>
    <t>BC Caiaponia1SG60KTL(COM2-028)45977,215972164445977,215972164445977,3597222222</t>
  </si>
  <si>
    <t>BC Caiaponia1SG60KTL(COM2-029)45977,215972164445977,215972164445977,3597222222</t>
  </si>
  <si>
    <t>BC Caiaponia1SG50CX(COM1-021)45977,215972164445977,215972164445977,3597222222</t>
  </si>
  <si>
    <t>BC Caiaponia1SG50CX(COM1-022)45977,215972164445977,215972164445977,3597222222</t>
  </si>
  <si>
    <t>BC Caiaponia1SG50CX(COM1-023)45977,215972164445977,215972164445977,3597222222</t>
  </si>
  <si>
    <t>BC Caiaponia1SG50CX(COM1-024)45977,215972164445977,215972164445977,3597222222</t>
  </si>
  <si>
    <t>BC Caiaponia1SG50CX(COM1-025)45977,215972164445977,215972164445977,3597222222</t>
  </si>
  <si>
    <t>BC Caiaponia2.1215KTL-H3(MBUS-12)45977,215972164445977,215972164445977,3597222222</t>
  </si>
  <si>
    <t>BC Caiaponia2.1215KTL-H3(MBUS-13)45977,215972164445977,215972164445977,3597222222</t>
  </si>
  <si>
    <t>BC Caiaponia2.1215KTL-H3(MBUS-14)45977,215972164445977,215972164445977,3597222222</t>
  </si>
  <si>
    <t>BC Caiaponia2.1215KTL-H3(MBUS-15)45977,215972164445977,215972164445977,3597222222</t>
  </si>
  <si>
    <t>BC Caiaponia2.1215KTL-H3(MBUS-16)45977,215972164445977,215972164445977,3597222222</t>
  </si>
  <si>
    <t>BC Caiaponia2.2215KTL-H3(MBUS-12)45977,215972164445977,215972164445977,3597222222</t>
  </si>
  <si>
    <t>BC Caiaponia2.2215KTL-H3(MBUS-13)45977,215972164445977,215972164445977,3597222222</t>
  </si>
  <si>
    <t>BC Caiaponia2.2215KTL-H3(MBUS-14)45977,215972164445977,215972164445977,3597222222</t>
  </si>
  <si>
    <t>BC Caiaponia2.2215KTL-H3(MBUS-15)45977,215972164445977,215972164445977,3597222222</t>
  </si>
  <si>
    <t>BC Caiaponia2.2215KTL-H3(MBUS-16)45977,215972164445977,215972164445977,3597222222</t>
  </si>
  <si>
    <t>BC Caiaponia2.3215KTL-H3(MBUS-12)45977,215972164445977,215972164445977,3597222222</t>
  </si>
  <si>
    <t>BC Caiaponia2.3215KTL-H3(MBUS-13)45977,215972164445977,215972164445977,3597222222</t>
  </si>
  <si>
    <t>BC Caiaponia2.3215KTL-H3(MBUS-14)45977,215972164445977,215972164445977,3597222222</t>
  </si>
  <si>
    <t>BC Caiaponia2.3215KTL-H3(MBUS-15)45977,215972164445977,215972164445977,3597222222</t>
  </si>
  <si>
    <t>BC Caiaponia2.3215KTL-H3(MBUS-16)45977,215972164445977,215972164445977,3597222222</t>
  </si>
  <si>
    <t>BC Caiaponia1SG60KTL(COM1-001)_001_00745977,215972222245977,215972222245977,3597222222</t>
  </si>
  <si>
    <t>BC Caiaponia1SG60KTL(COM1-002)_001_01045977,215972222245977,215972222245977,3597222222</t>
  </si>
  <si>
    <t>BC Rio Bonito2INV-00145977,545138888945977,545138888945977,7513888889</t>
  </si>
  <si>
    <t>BC Rio Bonito2INV-00245977,545138888945977,545138888945977,7513888889</t>
  </si>
  <si>
    <t>BC Rio Bonito2INV-00345977,545138888945977,545138888945977,7513888889</t>
  </si>
  <si>
    <t>BC Rio Bonito2INV-00445977,545138888945977,545138888945977,7513888889</t>
  </si>
  <si>
    <t>BC Rio Bonito1SG36KTL-M-17_001_01745977,545138888945977,545138888945977,7513888889</t>
  </si>
  <si>
    <t>BC Rio Bonito1SG60KTL-10_001_01045977,545138888945977,545138888945977,7513888889</t>
  </si>
  <si>
    <t>BC Rio Bonito1SG60KTL-11_001_01145977,545138888945977,545138888945977,7513888889</t>
  </si>
  <si>
    <t>BC Rio Bonito1SG60KTL-12_001_01245977,545138888945977,545138888945977,7513888889</t>
  </si>
  <si>
    <t>BC Rio Bonito1SG60KTL-13_001_01345977,545138888945977,545138888945977,7513888889</t>
  </si>
  <si>
    <t>BC Rio Bonito1SG60KTL-14_001_01445977,545138888945977,545138888945977,7513888889</t>
  </si>
  <si>
    <t>BC Rio Bonito1SG60KTL-15_001_01545977,545138888945977,545138888945977,7513888889</t>
  </si>
  <si>
    <t>BC Rio Bonito1SG60KTL-16_001_01645977,545138888945977,545138888945977,7513888889</t>
  </si>
  <si>
    <t>BC Rio Bonito1SG60KTL-1_001_00145977,545138888945977,545138888945977,7513888889</t>
  </si>
  <si>
    <t>BC Rio Bonito1SG60KTL-2_001_00245977,545138888945977,545138888945977,7513888889</t>
  </si>
  <si>
    <t>BC Rio Bonito1SG60KTL-3_001_00345977,545138888945977,545138888945977,7513888889</t>
  </si>
  <si>
    <t>BC Rio Bonito1SG60KTL-4_001_00445977,545138888945977,545138888945977,7513888889</t>
  </si>
  <si>
    <t>BC Rio Bonito1SG60KTL-5_001_00545977,545138888945977,545138888945977,7513888889</t>
  </si>
  <si>
    <t>BC Rio Bonito1SG60KTL-6_001_00645977,545138888945977,545138888945977,7513888889</t>
  </si>
  <si>
    <t>BC Rio Bonito1SG60KTL-7_001_00745977,545138888945977,545138888945977,7513888889</t>
  </si>
  <si>
    <t>BC Rio Bonito1SG60KTL-8_001_00845977,545138888945977,545138888945977,7513888889</t>
  </si>
  <si>
    <t>BC Rio Bonito1SG60KTL-9_001_00945977,545138888945977,545138888945977,7513888889</t>
  </si>
  <si>
    <t>BC Rio Monte1Inverter3845977,937545977,937545978,2604166667</t>
  </si>
  <si>
    <t>BC Rio Monte1Inverter3745977,937545977,937545978,2604166667</t>
  </si>
  <si>
    <t>BC Rio Monte1Inverter4345977,937545977,937545978,2604166667</t>
  </si>
  <si>
    <t>BC Rio Monte1Inverter4245977,937545977,937545978,2604166667</t>
  </si>
  <si>
    <t>BC Rio Monte1Inverter4545977,937545977,937545978,2604166667</t>
  </si>
  <si>
    <t>BC Rio Monte1Inverter4445977,937545977,937545978,2604166667</t>
  </si>
  <si>
    <t>BC Rio Monte1Inverter4645977,937545977,937545978,2604166667</t>
  </si>
  <si>
    <t>BC Rio Monte1Inverter4145977,937545977,937545978,2604166667</t>
  </si>
  <si>
    <t>BC Rio Monte1Inverter4745977,937545977,937545978,2604166667</t>
  </si>
  <si>
    <t>BC Rio Monte1Inverter3545977,937545977,937545978,2604166667</t>
  </si>
  <si>
    <t>BC Rio Monte1Inverter3645977,937545977,937545978,2604166667</t>
  </si>
  <si>
    <t>BC Rio Monte1Inverter3145977,937545977,937545978,2604166667</t>
  </si>
  <si>
    <t>BC Rio Monte1Inverter3345977,937545977,937545978,2604166667</t>
  </si>
  <si>
    <t>BC Rio Monte1Inverter3945977,937545977,937545978,2604166667</t>
  </si>
  <si>
    <t>BC Rio Monte1Inverter3245977,937545977,937545978,2604166667</t>
  </si>
  <si>
    <t>BC Rio Monte1Inverter4045977,937545977,937545978,2604166667</t>
  </si>
  <si>
    <t>BC Rio Monte1Inverter3445977,937545977,937545978,2604166667</t>
  </si>
  <si>
    <t>BC Caiaponia1SG60KTL(COM1-001)_001_00745977,937545977,937545978,3194444444</t>
  </si>
  <si>
    <t>BC Caiaponia1SG60KTL(COM1-002)_001_01045977,937545977,937545978,3194444444</t>
  </si>
  <si>
    <t>BC Caiaponia1SG60KTL(COM1-003)_001_01145977,937545977,937545978,3194444444</t>
  </si>
  <si>
    <t>BC Caiaponia1SG60KTL(COM1-004)_001_01445977,937545977,937545978,3194444444</t>
  </si>
  <si>
    <t>BC Caiaponia1SG60KTL(COM1-005)_001_01745977,937545977,937545978,3194444444</t>
  </si>
  <si>
    <t>BC Caiaponia1SG60KTL(COM1-006)_001_01645977,937545977,937545978,3194444444</t>
  </si>
  <si>
    <t>BC Caiaponia1SG60KTL(COM1-007)_001_01345977,937545977,937545978,3194444444</t>
  </si>
  <si>
    <t>BC Caiaponia1SG60KTL(COM1-008)_001_00145977,937545977,937545978,3194444444</t>
  </si>
  <si>
    <t>BC Caiaponia1SG60KTL(COM1-009)45977,937545977,937545978,3194444444</t>
  </si>
  <si>
    <t>BC Caiaponia1SG60KTL(COM1-010)45977,937545977,937545978,3194444444</t>
  </si>
  <si>
    <t>BC Caiaponia1SG60KTL(COM1-011)45977,937545977,937545978,3194444444</t>
  </si>
  <si>
    <t>BC Caiaponia1SG60KTL(COM1-012)45977,937545977,937545978,3194444444</t>
  </si>
  <si>
    <t>BC Caiaponia1SG60KTL(COM1-013)45977,937545977,937545978,3194444444</t>
  </si>
  <si>
    <t>BC Caiaponia1SG60KTL(COM1-014)45977,937545977,937545978,3194444444</t>
  </si>
  <si>
    <t>BC Caiaponia1SG60KTL(COM1-015)45977,937545977,937545978,3194444444</t>
  </si>
  <si>
    <t>BC Caiaponia1SG60KTL(COM3-016)_001_00945977,937545977,937545978,3194444444</t>
  </si>
  <si>
    <t>BC Caiaponia1SG60KTL(COM3-017)_001_01245977,937545977,937545978,3194444444</t>
  </si>
  <si>
    <t>BC Caiaponia1SG60KTL(COM3-018)_001_00845977,937545977,937545978,3194444444</t>
  </si>
  <si>
    <t>BC Caiaponia1SG60KTL(COM3-019)_001_01945977,937545977,937545978,3194444444</t>
  </si>
  <si>
    <t>BC Caiaponia1SG60KTL(COM3-020)_001_02045977,937545977,937545978,3194444444</t>
  </si>
  <si>
    <t>BC Caiaponia1SG60KTL(COM2-026)45977,937545977,937545978,3194444444</t>
  </si>
  <si>
    <t>BC Caiaponia1SG60KTL(COM2-027)45977,937545977,937545978,3194444444</t>
  </si>
  <si>
    <t>BC Caiaponia1SG60KTL(COM2-028)45977,937545977,937545978,3194444444</t>
  </si>
  <si>
    <t>BC Caiaponia1SG60KTL(COM2-029)45977,937545977,937545978,3194444444</t>
  </si>
  <si>
    <t>BC Caiaponia1SG50CX(COM1-021)45977,937545977,937545978,3194444444</t>
  </si>
  <si>
    <t>BC Caiaponia1SG50CX(COM1-022)45977,937545977,937545978,3194444444</t>
  </si>
  <si>
    <t>BC Caiaponia1SG50CX(COM1-023)45977,937545977,937545978,3194444444</t>
  </si>
  <si>
    <t>BC Caiaponia1SG50CX(COM1-024)45977,937545977,937545978,3194444444</t>
  </si>
  <si>
    <t>BC Caiaponia1SG50CX(COM1-025)45977,937545977,937545978,3194444444</t>
  </si>
  <si>
    <t>BC Caiaponia2.1215KTL-H3(MBUS-12)45977,937545977,937545978,3194444444</t>
  </si>
  <si>
    <t>BC Caiaponia2.1215KTL-H3(MBUS-13)45977,937545977,937545978,3194444444</t>
  </si>
  <si>
    <t>BC Caiaponia2.1215KTL-H3(MBUS-14)45977,937545977,937545978,3194444444</t>
  </si>
  <si>
    <t>BC Caiaponia2.1215KTL-H3(MBUS-15)45977,937545977,937545978,3194444444</t>
  </si>
  <si>
    <t>BC Caiaponia2.1215KTL-H3(MBUS-16)45977,937545977,937545978,3194444444</t>
  </si>
  <si>
    <t>BC Caiaponia2.2215KTL-H3(MBUS-12)45977,937545977,937545978,3194444444</t>
  </si>
  <si>
    <t>BC Caiaponia2.2215KTL-H3(MBUS-13)45977,937545977,937545978,3194444444</t>
  </si>
  <si>
    <t>BC Caiaponia2.2215KTL-H3(MBUS-14)45977,937545977,937545978,3194444444</t>
  </si>
  <si>
    <t>BC Caiaponia2.2215KTL-H3(MBUS-15)45977,937545977,937545978,3194444444</t>
  </si>
  <si>
    <t>BC Caiaponia2.2215KTL-H3(MBUS-16)45977,937545977,937545978,3194444444</t>
  </si>
  <si>
    <t>BC Caiaponia2.3215KTL-H3(MBUS-12)45977,937545977,937545978,3194444444</t>
  </si>
  <si>
    <t>BC Caiaponia2.3215KTL-H3(MBUS-13)45977,937545977,937545978,3194444444</t>
  </si>
  <si>
    <t>BC Caiaponia2.3215KTL-H3(MBUS-14)45977,937545977,937545978,3194444444</t>
  </si>
  <si>
    <t>BC Caiaponia2.3215KTL-H3(MBUS-15)45977,937545977,937545978,3194444444</t>
  </si>
  <si>
    <t>BC Caiaponia2.3215KTL-H3(MBUS-16)45977,937545977,937545978,3194444444</t>
  </si>
  <si>
    <t>BC Aracu1Inverter7945978,261354166745978,261354166745978,268275463</t>
  </si>
  <si>
    <t>BC Aracu1Inverter8445978,261550925945978,261550925945978,2684953704</t>
  </si>
  <si>
    <t>BC Aracu1Inverter8145978,261620370445978,261620370445978,2685185185</t>
  </si>
  <si>
    <t>BC Aracu1Inverter8245978,261643518545978,261643518545978,2685416667</t>
  </si>
  <si>
    <t>BC Aracu1Inverter7845978,261643518545978,261643518545978,2686111111</t>
  </si>
  <si>
    <t>BC Aracu1Inversor 0645978,26171296345978,26171296345978,2686574074</t>
  </si>
  <si>
    <t>BC Aracu1Inverter8345978,261805555645978,261805555645978,2687615741</t>
  </si>
  <si>
    <t>BC Aracu1Inverter7945978,289942129645978,289942129645978,2969328704</t>
  </si>
  <si>
    <t>BC Aracu1Inverter8145978,29016203745978,29016203745978,2971296296</t>
  </si>
  <si>
    <t>BC Aracu1Inverter8445978,290173611145978,290173611145978,2971412037</t>
  </si>
  <si>
    <t>BC Aracu1Inverter8245978,290185185245978,290185185245978,2971412037</t>
  </si>
  <si>
    <t>BC Aracu1Inverter7845978,290277777845978,290277777845978,2972222222</t>
  </si>
  <si>
    <t>BC Aracu1Inversor 0645978,290347222245978,290347222245978,2972916667</t>
  </si>
  <si>
    <t>BC Aracu1Inverter8345978,290405092645978,290405092645978,2973726852</t>
  </si>
  <si>
    <t>Foi feito o reset do conversor de mídia.</t>
  </si>
  <si>
    <t>BC Vazante2.2	Inverter(MBUS-1)45978,363194444445978,363194444445978,4305555556</t>
  </si>
  <si>
    <t>BC Vazante2.2	Inverter(MBUS-10)45978,363194444445978,363194444445978,4305555556</t>
  </si>
  <si>
    <t>BC Vazante2.2	Inverter(MBUS-6)45978,363194444445978,363194444445978,4305555556</t>
  </si>
  <si>
    <t>BC Vazante2.2	Inverter(MBUS-7)45978,363194444445978,363194444445978,4305555556</t>
  </si>
  <si>
    <t>BC Vazante2.2	Inverter(MBUS-8)45978,363194444445978,363194444445978,4305555556</t>
  </si>
  <si>
    <t>BC Caiaponia1SG60KTL(COM1-001)_001_00745978,520833333345978,520833333345978,6388888889</t>
  </si>
  <si>
    <t>BC Caiaponia1SG60KTL(COM1-002)_001_01045978,520833333345978,520833333345978,6388888889</t>
  </si>
  <si>
    <t>BC Caiaponia1SG60KTL(COM1-003)_001_01145978,520833333345978,520833333345978,6388888889</t>
  </si>
  <si>
    <t>BC Caiaponia1SG60KTL(COM1-004)_001_01445978,520833333345978,520833333345978,6388888889</t>
  </si>
  <si>
    <t>BC Caiaponia1SG60KTL(COM1-005)_001_01745978,520833333345978,520833333345978,6388888889</t>
  </si>
  <si>
    <t>BC Caiaponia1SG60KTL(COM1-006)_001_01645978,520833333345978,520833333345978,6388888889</t>
  </si>
  <si>
    <t>BC Caiaponia1SG60KTL(COM1-007)_001_01345978,520833333345978,520833333345978,6388888889</t>
  </si>
  <si>
    <t>BC Caiaponia1SG60KTL(COM1-008)_001_00145978,520833333345978,520833333345978,6388888889</t>
  </si>
  <si>
    <t>BC Caiaponia1SG60KTL(COM1-009)45978,520833333345978,520833333345978,6388888889</t>
  </si>
  <si>
    <t>BC Caiaponia1SG60KTL(COM1-010)45978,520833333345978,520833333345978,6388888889</t>
  </si>
  <si>
    <t>BC Caiaponia1SG60KTL(COM1-011)45978,520833333345978,520833333345978,6388888889</t>
  </si>
  <si>
    <t>BC Caiaponia1SG60KTL(COM1-012)45978,520833333345978,520833333345978,6388888889</t>
  </si>
  <si>
    <t>BC Caiaponia1SG60KTL(COM1-013)45978,520833333345978,520833333345978,6388888889</t>
  </si>
  <si>
    <t>BC Caiaponia1SG60KTL(COM1-014)45978,520833333345978,520833333345978,6388888889</t>
  </si>
  <si>
    <t>BC Caiaponia1SG60KTL(COM1-015)45978,520833333345978,520833333345978,6388888889</t>
  </si>
  <si>
    <t>BC Caiaponia1SG60KTL(COM3-016)_001_00945978,520833333345978,520833333345978,6388888889</t>
  </si>
  <si>
    <t>BC Caiaponia1SG60KTL(COM3-017)_001_01245978,520833333345978,520833333345978,6388888889</t>
  </si>
  <si>
    <t>BC Caiaponia1SG60KTL(COM3-018)_001_00845978,520833333345978,520833333345978,6388888889</t>
  </si>
  <si>
    <t>BC Caiaponia1SG60KTL(COM3-019)_001_01945978,520833333345978,520833333345978,6388888889</t>
  </si>
  <si>
    <t>BC Caiaponia1SG60KTL(COM3-020)_001_02045978,520833333345978,520833333345978,6388888889</t>
  </si>
  <si>
    <t>BC Caiaponia1SG60KTL(COM2-026)45978,520833333345978,520833333345978,6388888889</t>
  </si>
  <si>
    <t>BC Caiaponia1SG60KTL(COM2-027)45978,520833333345978,520833333345978,6388888889</t>
  </si>
  <si>
    <t>BC Caiaponia1SG60KTL(COM2-028)45978,520833333345978,520833333345978,6388888889</t>
  </si>
  <si>
    <t>BC Caiaponia1SG60KTL(COM2-029)45978,520833333345978,520833333345978,6388888889</t>
  </si>
  <si>
    <t>BC Caiaponia1SG50CX(COM1-021)45978,520833333345978,520833333345978,6388888889</t>
  </si>
  <si>
    <t>BC Caiaponia1SG50CX(COM1-022)45978,520833333345978,520833333345978,6388888889</t>
  </si>
  <si>
    <t>BC Caiaponia1SG50CX(COM1-023)45978,520833333345978,520833333345978,6388888889</t>
  </si>
  <si>
    <t>BC Caiaponia1SG50CX(COM1-024)45978,520833333345978,520833333345978,6388888889</t>
  </si>
  <si>
    <t>BC Caiaponia1SG50CX(COM1-025)45978,520833333345978,520833333345978,6388888889</t>
  </si>
  <si>
    <t>BC Caiaponia2.1215KTL-H3(MBUS-12)45978,520833333345978,520833333345978,6388888889</t>
  </si>
  <si>
    <t>BC Caiaponia2.1215KTL-H3(MBUS-13)45978,520833333345978,520833333345978,6388888889</t>
  </si>
  <si>
    <t>BC Caiaponia2.1215KTL-H3(MBUS-14)45978,520833333345978,520833333345978,6388888889</t>
  </si>
  <si>
    <t>BC Caiaponia2.1215KTL-H3(MBUS-15)45978,520833333345978,520833333345978,6388888889</t>
  </si>
  <si>
    <t>BC Caiaponia2.1215KTL-H3(MBUS-16)45978,520833333345978,520833333345978,6388888889</t>
  </si>
  <si>
    <t>BC Caiaponia2.2215KTL-H3(MBUS-12)45978,520833333345978,520833333345978,6388888889</t>
  </si>
  <si>
    <t>BC Caiaponia2.2215KTL-H3(MBUS-13)45978,520833333345978,520833333345978,6388888889</t>
  </si>
  <si>
    <t>BC Caiaponia2.2215KTL-H3(MBUS-14)45978,520833333345978,520833333345978,6388888889</t>
  </si>
  <si>
    <t>BC Caiaponia2.2215KTL-H3(MBUS-15)45978,520833333345978,520833333345978,6388888889</t>
  </si>
  <si>
    <t>BC Caiaponia2.2215KTL-H3(MBUS-16)45978,520833333345978,520833333345978,6388888889</t>
  </si>
  <si>
    <t>BC Caiaponia2.3215KTL-H3(MBUS-12)45978,520833333345978,520833333345978,6388888889</t>
  </si>
  <si>
    <t>BC Caiaponia2.3215KTL-H3(MBUS-13)45978,520833333345978,520833333345978,6388888889</t>
  </si>
  <si>
    <t>BC Caiaponia2.3215KTL-H3(MBUS-14)45978,520833333345978,520833333345978,6388888889</t>
  </si>
  <si>
    <t>BC Caiaponia2.3215KTL-H3(MBUS-15)45978,520833333345978,520833333345978,6388888889</t>
  </si>
  <si>
    <t>BC Caiaponia2.3215KTL-H3(MBUS-16)45978,520833333345978,520833333345978,6388888889</t>
  </si>
  <si>
    <t>Foi feito o reset no conversor de mídia.</t>
  </si>
  <si>
    <t>BC Vazante2.2	Inverter(MBUS-1)45978,554861111145978,554861111145979,2916666667</t>
  </si>
  <si>
    <t>BC Vazante2.2	Inverter(MBUS-10)45978,554861111145978,554861111145979,2916666667</t>
  </si>
  <si>
    <t>BC Vazante2.2	Inverter(MBUS-6)45978,554861111145978,554861111145979,2916666667</t>
  </si>
  <si>
    <t>BC Vazante2.2	Inverter(MBUS-7)45978,554861111145978,554861111145979,2916666667</t>
  </si>
  <si>
    <t>BC Vazante2.2	Inverter(MBUS-8)45978,554861111145978,554861111145979,2916666667</t>
  </si>
  <si>
    <t>BC Aracu5.1Inverter(MBUS-1)45978,616666666745978,616666666745978,6243055556</t>
  </si>
  <si>
    <t>BC Aracu5.2Inverter(MBUS-1)45978,616666666745978,616666666745978,6243055556</t>
  </si>
  <si>
    <t>BC Aracu5.3Inverter(MBUS-1)45978,616666666745978,616666666745978,6243055556</t>
  </si>
  <si>
    <t>BC Aracu5.4Inverter(MBUS-1)45978,616666666745978,616666666745978,6243055556</t>
  </si>
  <si>
    <t>BC Aracu5.5Inverter(MBUS-1)45978,616666666745978,616666666745978,6243055556</t>
  </si>
  <si>
    <t>Identificado curto no inversor.</t>
  </si>
  <si>
    <t>BC Aracu2araçu 2.2 inversor 145978,638194444445978,638194444445986,6354166667</t>
  </si>
  <si>
    <t>BC Corumba1.1U01.I0145978,916666666745978,916666666745978,9444444444</t>
  </si>
  <si>
    <t>BC Corumba1.1U01.I0245978,916666666745978,916666666745978,9444444444</t>
  </si>
  <si>
    <t>BC Corumba1.1U01.I0345978,916666666745978,916666666745978,9444444444</t>
  </si>
  <si>
    <t>BC Corumba1.1U01.I0445978,916666666745978,916666666745978,9444444444</t>
  </si>
  <si>
    <t>BC Corumba1.1U01.I0545978,916666666745978,916666666745978,9444444444</t>
  </si>
  <si>
    <t>BC Corumba1.2U02.I0245978,916666666745978,916666666745978,9444444444</t>
  </si>
  <si>
    <t>BC Corumba1.2U02.I0145978,916666666745978,916666666745978,9444444444</t>
  </si>
  <si>
    <t>BC Corumba1.2U02.I0345978,916666666745978,916666666745978,9444444444</t>
  </si>
  <si>
    <t>BC Corumba1.2U02.I0545978,916666666745978,916666666745978,9444444444</t>
  </si>
  <si>
    <t>BC Corumba1.2U02.I0445978,916666666745978,916666666745978,9444444444</t>
  </si>
  <si>
    <t>BC Corumba1.3U03.I0145978,916666666745978,916666666745978,9444444444</t>
  </si>
  <si>
    <t>BC Corumba1.3U03.I0345978,916666666745978,916666666745978,9444444444</t>
  </si>
  <si>
    <t>BC Corumba1.3U03.I0245978,916666666745978,916666666745978,9444444444</t>
  </si>
  <si>
    <t>BC Corumba2.1U01. I0145978,916666666745978,916666666745978,9444444444</t>
  </si>
  <si>
    <t>BC Corumba2.1Inverter(MBUS-14)45978,916666666745978,916666666745978,9444444444</t>
  </si>
  <si>
    <t>BC Corumba2.1Inverter(MBUS-16)45978,916666666745978,916666666745978,9444444444</t>
  </si>
  <si>
    <t>BC Corumba2.1U01. I0245978,916666666745978,916666666745978,9444444444</t>
  </si>
  <si>
    <t>BC Corumba2.1Inverter(MBUS-15)45978,916666666745978,916666666745978,9444444444</t>
  </si>
  <si>
    <t>BC Corumba2.2U02.I0445978,916666666745978,916666666745978,9444444444</t>
  </si>
  <si>
    <t>BC Corumba2.2U02.I0545978,916666666745978,916666666745978,9444444444</t>
  </si>
  <si>
    <t>BC Corumba2.2U02.I0345978,916666666745978,916666666745978,9444444444</t>
  </si>
  <si>
    <t>BC Corumba2.2U02.I0145978,916666666745978,916666666745978,9444444444</t>
  </si>
  <si>
    <t>BC Corumba2.2U02.I0245978,916666666745978,916666666745978,9444444444</t>
  </si>
  <si>
    <t>BC Corumba2.3U03.I0345978,916666666745978,916666666745978,9444444444</t>
  </si>
  <si>
    <t>BC Corumba2.3U03.I0245978,916666666745978,916666666745978,9444444444</t>
  </si>
  <si>
    <t>BC Corumba2.3U03.I0145978,916666666745978,916666666745978,9444444444</t>
  </si>
  <si>
    <t>BC Clareira1.1Inverter(MBUS-12)45979,2062545979,2062545979,2791666667</t>
  </si>
  <si>
    <t>BC Clareira1.1Inverter(MBUS-13)45979,2062545979,2062545979,2791666667</t>
  </si>
  <si>
    <t>BC Clareira1.1	Inverter(MBUS-14)45979,2062545979,2062545979,2791666667</t>
  </si>
  <si>
    <t>BC Clareira1.1	Inverter(MBUS-15)45979,2062545979,2062545979,2791666667</t>
  </si>
  <si>
    <t>BC Clareira1.1Inverter(MBUS-16)45979,2062545979,2062545979,2791666667</t>
  </si>
  <si>
    <t>BC Clareira1.2	215KTL-H3(MBUS-12)45979,2062545979,2062545979,2791666667</t>
  </si>
  <si>
    <t>BC Clareira1.2	215KTL-H3(MBUS-13)45979,2062545979,2062545979,2791666667</t>
  </si>
  <si>
    <t>BC Clareira1.2100KTL-H1(MBUS-14)45979,2062545979,2062545979,2791666667</t>
  </si>
  <si>
    <t>Durante a verificação foi constatado que houve um desequilíbrio de tensão por parte da concessionária. Chamado 459297035 aberto.</t>
  </si>
  <si>
    <t>BC Camarao1.1Inverter(MBUS-1)45979,312545979,312545979,4861111111</t>
  </si>
  <si>
    <t>BC Camarao1.1215KTL-H3(MBUS-12)45979,312545979,312545979,4861111111</t>
  </si>
  <si>
    <t>BC Camarao1.1215KTL-H3(MBUS-13)45979,312545979,312545979,4861111111</t>
  </si>
  <si>
    <t>BC Camarao1.1215KTL-H3(MBUS-16)45979,312545979,312545979,4861111111</t>
  </si>
  <si>
    <t>BC Camarao1.1215KTL-H3(MBUS-15)45979,312545979,312545979,4861111111</t>
  </si>
  <si>
    <t>BC Camarao1.2Inv. 445979,312545979,312545979,4861111111</t>
  </si>
  <si>
    <t>BC Camarao1.2Inverter(MBUS-16)45979,312545979,312545979,4861111111</t>
  </si>
  <si>
    <t>BC Camarao1.2Inverter(MBUS-12)45979,312545979,312545979,4861111111</t>
  </si>
  <si>
    <t>BC Camarao1.2Inv. 345979,312545979,312545979,4861111111</t>
  </si>
  <si>
    <t>BC Camarao1.2Inverter(MBUS-1)45979,312545979,312545979,4861111111</t>
  </si>
  <si>
    <t>BC Camarao1.3215KTL-H3(MBUS-16)45979,312545979,312545979,4861111111</t>
  </si>
  <si>
    <t>BC Camarao1.3215KTL-H3(MBUS-14)45979,312545979,312545979,4861111111</t>
  </si>
  <si>
    <t>BC Camarao1.3215KTL-H3(MBUS-15)45979,312545979,312545979,4861111111</t>
  </si>
  <si>
    <t>BC Camarao1.3215KTL-H3(MBUS-12)45979,312545979,312545979,4861111111</t>
  </si>
  <si>
    <t>BC Camarao1.3215KTL-H3(MBUS-13)45979,312545979,312545979,4861111111</t>
  </si>
  <si>
    <t>BC Camarao1.4inv. 145979,312545979,312545979,4861111111</t>
  </si>
  <si>
    <t>BC Camarao1.4215KTL-H3(MBUS-14)45979,312545979,312545979,4861111111</t>
  </si>
  <si>
    <t>BC Camarao1.4215KTL-H3(MBUS-13)45979,312545979,312545979,4861111111</t>
  </si>
  <si>
    <t>BC Camarao1.4215KTL-H3(MBUS-16)45979,312545979,312545979,4861111111</t>
  </si>
  <si>
    <t>BC Camarao1.4215KTL-H3(MBUS-15)45979,312545979,312545979,4861111111</t>
  </si>
  <si>
    <t>BC Camarao1.5215KTL-H3(MBUS-15)45979,312545979,312545979,4861111111</t>
  </si>
  <si>
    <t>BC Camarao1.5Inverter(MBUS-1)45979,312545979,312545979,4861111111</t>
  </si>
  <si>
    <t>BC Camarao1.5215KTL-H3(MBUS-13)45979,312545979,312545979,4861111111</t>
  </si>
  <si>
    <t>BC Camarao1.5215KTL-H3(MBUS-12)45979,312545979,312545979,4861111111</t>
  </si>
  <si>
    <t>BC Camarao1.5Inverter(MBUS-14)45979,312545979,312545979,4861111111</t>
  </si>
  <si>
    <t>BC Caiaponia2.1215KTL-H3(MBUS-12)45979,396527777845979,396527777845979,4986111111</t>
  </si>
  <si>
    <t>BC Caiaponia2.1215KTL-H3(MBUS-13)45979,396527777845979,396527777845979,4986111111</t>
  </si>
  <si>
    <t>BC Caiaponia2.1215KTL-H3(MBUS-14)45979,396527777845979,396527777845979,4986111111</t>
  </si>
  <si>
    <t>BC Caiaponia2.1215KTL-H3(MBUS-15)45979,396527777845979,396527777845979,4986111111</t>
  </si>
  <si>
    <t>BC Caiaponia2.1215KTL-H3(MBUS-16)45979,396527777845979,396527777845979,4986111111</t>
  </si>
  <si>
    <t>BC Aracu5.1Inverter(MBUS-1)45979,543055555645979,543055555645979,5555555556</t>
  </si>
  <si>
    <t>BC Aracu5.2Inverter(MBUS-1)45979,543055555645979,543055555645979,5555555556</t>
  </si>
  <si>
    <t>BC Aracu5.3Inverter(MBUS-1)45979,543055555645979,543055555645979,5555555556</t>
  </si>
  <si>
    <t>BC Aracu5.4Inverter(MBUS-1)45979,543055555645979,543055555645979,5555555556</t>
  </si>
  <si>
    <t>BC Aracu5.5Inverter(MBUS-1)45979,543055555645979,543055555645979,5555555556</t>
  </si>
  <si>
    <t>Falha de conexão com o logger 1000b.</t>
  </si>
  <si>
    <t>BC Vazante1.1Inverter0145979,554166666745979,554166666745979,5694444444</t>
  </si>
  <si>
    <t>BC Vazante1.1Inverter0245979,554166666745979,554166666745979,5694444444</t>
  </si>
  <si>
    <t>BC Vazante1.1Inverter0345979,554166666745979,554166666745979,5694444444</t>
  </si>
  <si>
    <t>BC Vazante1.1Inverter0445979,554166666745979,554166666745979,5694444444</t>
  </si>
  <si>
    <t>BC Vazante1.1Inverter0545979,554166666745979,554166666745979,5694444444</t>
  </si>
  <si>
    <t>BC Vazante1.1Inverter0645979,554166666745979,554166666745979,5694444444</t>
  </si>
  <si>
    <t>BC Vazante1.1Inverter0745979,554166666745979,554166666745979,5694444444</t>
  </si>
  <si>
    <t>BC Vazante1.1Inverter0845979,554166666745979,554166666745979,5694444444</t>
  </si>
  <si>
    <t>BC Vazante1.1Inverter0945979,554166666745979,554166666745979,5694444444</t>
  </si>
  <si>
    <t>BC Vazante1.1Inverter1045979,554166666745979,554166666745979,5694444444</t>
  </si>
  <si>
    <t>BC Vazante1.1Inverter1145979,554166666745979,554166666745979,5694444444</t>
  </si>
  <si>
    <t>BC Vazante1.1Inverter1245979,554166666745979,554166666745979,5694444444</t>
  </si>
  <si>
    <t>BC Vazante1.1Inverter1345979,554166666745979,554166666745979,5694444444</t>
  </si>
  <si>
    <t>BC Vazante1.1Inverter1445979,554166666745979,554166666745979,5694444444</t>
  </si>
  <si>
    <t>BC Vazante1.1Inverter1545979,554166666745979,554166666745979,5694444444</t>
  </si>
  <si>
    <t>BC Vazante1.1Inverter1645979,554166666745979,554166666745979,5694444444</t>
  </si>
  <si>
    <t>BC Vazante1.1Inverter1745979,554166666745979,554166666745979,5694444444</t>
  </si>
  <si>
    <t>BC Vazante1.2Inverter 145979,554166666745979,554166666745979,5694444444</t>
  </si>
  <si>
    <t>BC Vazante1.2Inverter 245979,554166666745979,554166666745979,5694444444</t>
  </si>
  <si>
    <t>BC Vazante1.2Inverter 345979,554166666745979,554166666745979,5694444444</t>
  </si>
  <si>
    <t>BC Vazante1.2Inverter 445979,554166666745979,554166666745979,5694444444</t>
  </si>
  <si>
    <t>BC Vazante1.2Inverter 545979,554166666745979,554166666745979,5694444444</t>
  </si>
  <si>
    <t>BC Vazante1.2Inverter 645979,554166666745979,554166666745979,5694444444</t>
  </si>
  <si>
    <t>BC Vazante1.2Inverter 745979,554166666745979,554166666745979,5694444444</t>
  </si>
  <si>
    <t>BC Vazante1.2Inverter 845979,554166666745979,554166666745979,5694444444</t>
  </si>
  <si>
    <t>BC Vazante1.2Inverter 945979,554166666745979,554166666745979,5694444444</t>
  </si>
  <si>
    <t>BC Vazante1.2Inverter 1045979,554166666745979,554166666745979,5694444444</t>
  </si>
  <si>
    <t>BC Vazante1.2Inverter 1145979,554166666745979,554166666745979,5694444444</t>
  </si>
  <si>
    <t>BC Vazante1.2Inverter 1245979,554166666745979,554166666745979,5694444444</t>
  </si>
  <si>
    <t>BC Vazante1.2Inverter 1345979,554166666745979,554166666745979,5694444444</t>
  </si>
  <si>
    <t>BC Vazante1.2Inverter 1445979,554166666745979,554166666745979,5694444444</t>
  </si>
  <si>
    <t>BC Vazante1.2Inverter 1545979,554166666745979,554166666745979,5694444444</t>
  </si>
  <si>
    <t>BC Vazante1.2Inverter 1645979,554166666745979,554166666745979,5694444444</t>
  </si>
  <si>
    <t>BC Vazante1.2Inverter 1745979,554166666745979,554166666745979,5694444444</t>
  </si>
  <si>
    <t>BC Camarao1.1Inverter(MBUS-1)45980,246527777845980,246527777845980,3125</t>
  </si>
  <si>
    <t>BC Camarao1.1215KTL-H3(MBUS-12)45980,246527777845980,246527777845980,3125</t>
  </si>
  <si>
    <t>BC Camarao1.1215KTL-H3(MBUS-13)45980,246527777845980,246527777845980,3125</t>
  </si>
  <si>
    <t>BC Camarao1.1215KTL-H3(MBUS-16)45980,246527777845980,246527777845980,3125</t>
  </si>
  <si>
    <t>BC Camarao1.1215KTL-H3(MBUS-15)45980,246527777845980,246527777845980,3125</t>
  </si>
  <si>
    <t>BC Camarao1.2Inv. 445980,246527777845980,246527777845980,3125</t>
  </si>
  <si>
    <t>BC Camarao1.2Inverter(MBUS-16)45980,246527777845980,246527777845980,3125</t>
  </si>
  <si>
    <t>BC Camarao1.2Inverter(MBUS-12)45980,246527777845980,246527777845980,3125</t>
  </si>
  <si>
    <t>BC Camarao1.2Inv. 345980,246527777845980,246527777845980,3125</t>
  </si>
  <si>
    <t>BC Camarao1.2Inverter(MBUS-1)45980,246527777845980,246527777845980,3125</t>
  </si>
  <si>
    <t>BC Camarao1.3215KTL-H3(MBUS-16)45980,246527777845980,246527777845980,3125</t>
  </si>
  <si>
    <t>BC Camarao1.3215KTL-H3(MBUS-14)45980,246527777845980,246527777845980,3125</t>
  </si>
  <si>
    <t>BC Camarao1.3215KTL-H3(MBUS-15)45980,246527777845980,246527777845980,3125</t>
  </si>
  <si>
    <t>BC Camarao1.3215KTL-H3(MBUS-12)45980,246527777845980,246527777845980,3125</t>
  </si>
  <si>
    <t>BC Camarao1.3215KTL-H3(MBUS-13)45980,246527777845980,246527777845980,3125</t>
  </si>
  <si>
    <t>BC Camarao1.4inv. 145980,246527777845980,246527777845980,3125</t>
  </si>
  <si>
    <t>BC Camarao1.4215KTL-H3(MBUS-14)45980,246527777845980,246527777845980,3125</t>
  </si>
  <si>
    <t>BC Camarao1.4215KTL-H3(MBUS-13)45980,246527777845980,246527777845980,3125</t>
  </si>
  <si>
    <t>BC Camarao1.4215KTL-H3(MBUS-16)45980,246527777845980,246527777845980,3125</t>
  </si>
  <si>
    <t>BC Camarao1.4215KTL-H3(MBUS-15)45980,246527777845980,246527777845980,3125</t>
  </si>
  <si>
    <t>BC Camarao1.5215KTL-H3(MBUS-15)45980,246527777845980,246527777845980,3125</t>
  </si>
  <si>
    <t>BC Camarao1.5Inverter(MBUS-1)45980,246527777845980,246527777845980,3125</t>
  </si>
  <si>
    <t>BC Camarao1.5215KTL-H3(MBUS-13)45980,246527777845980,246527777845980,3125</t>
  </si>
  <si>
    <t>BC Camarao1.5215KTL-H3(MBUS-12)45980,246527777845980,246527777845980,3125</t>
  </si>
  <si>
    <t>BC Camarao1.5Inverter(MBUS-14)45980,246527777845980,246527777845980,3125</t>
  </si>
  <si>
    <t>BC Aracu1Inverter7945980,255231481545980,255231481545980,2621759259</t>
  </si>
  <si>
    <t>BC Aracu1Inverter8445980,25546296345980,25546296345980,2819791667</t>
  </si>
  <si>
    <t>BC Aracu1Inverter8245980,255486111145980,255486111145980,2819791667</t>
  </si>
  <si>
    <t>BC Aracu1Inverter8145980,255520833345980,255520833345980,2819791667</t>
  </si>
  <si>
    <t>BC Aracu1Inverter7845980,255567129645980,255567129645980,2819791667</t>
  </si>
  <si>
    <t>Falha de rede elétrica, função 50N.</t>
  </si>
  <si>
    <t>Foi realizada a inspeção na rede da concessionária resetado o relé de proteção e rearmado o disjuntor.</t>
  </si>
  <si>
    <t>ARAGUATINS 1.1Inverter(MBUS-12)45980,277777777845980,277777777845980,3194444444</t>
  </si>
  <si>
    <t>ARAGUATINS 1.1Inverter(MBUS-13)45980,277777777845980,277777777845980,3194444444</t>
  </si>
  <si>
    <t>ARAGUATINS 1.1Inverter(MBUS-14)45980,277777777845980,277777777845980,3194444444</t>
  </si>
  <si>
    <t>ARAGUATINS 1.1Inverter(MBUS-15)45980,277777777845980,277777777845980,3194444444</t>
  </si>
  <si>
    <t>ARAGUATINS 1.2Inverter(MBUS-12)45980,277777777845980,277777777845980,3194444444</t>
  </si>
  <si>
    <t>ARAGUATINS 1.2Inverter(MBUS-13)45980,277777777845980,277777777845980,3194444444</t>
  </si>
  <si>
    <t>ARAGUATINS 1.2Inverter(MBUS-14)45980,277777777845980,277777777845980,3194444444</t>
  </si>
  <si>
    <t>ARAGUATINS 1.2Inverter(MBUS-15)45980,277777777845980,277777777845980,3194444444</t>
  </si>
  <si>
    <t>ARAGUATINS 1.3Inverter(MBUS-20)45980,277777777845980,277777777845980,3194444444</t>
  </si>
  <si>
    <t>ARAGUATINS 1.3Inverter(MBUS-1)45980,277777777845980,277777777845980,3194444444</t>
  </si>
  <si>
    <t>BC Aracu1Inverter7945980,283865740745980,283865740745980,290787037</t>
  </si>
  <si>
    <t>BC Aracu1Inverter8145980,284074074145980,284074074145980,2910069444</t>
  </si>
  <si>
    <t>BC Aracu1Inverter8445980,284085648145980,284085648145980,2910300926</t>
  </si>
  <si>
    <t>BC Aracu1Inverter7845980,284131944445980,284131944445980,291087963</t>
  </si>
  <si>
    <t>BC Aracu1Inverter8245980,284131944445980,284131944445980,2910648148</t>
  </si>
  <si>
    <t>BC Aracu1Inversor 0645980,284247685245980,284247685245980,2912152778</t>
  </si>
  <si>
    <t>BC Aracu1Inverter8345980,284259259345980,284259259345980,2912384259</t>
  </si>
  <si>
    <t>BC Aracu1Inverter7945981,259456018545981,259456018545981,266400463</t>
  </si>
  <si>
    <t>BC Aracu1Inverter8445981,259502314845981,259502314845981,2664814815</t>
  </si>
  <si>
    <t>BC Aracu1Inverter8145981,259965277845981,259965277845981,2820023148</t>
  </si>
  <si>
    <t>BC Aracu1Inversor 0645981,26015046345981,26015046345981,2820023148</t>
  </si>
  <si>
    <t>BC Aracu1Inverter8245981,260196759345981,260196759345981,2820023148</t>
  </si>
  <si>
    <t>BC Aracu1Inverter7845981,260254629645981,260254629645981,2820023148</t>
  </si>
  <si>
    <t>BC Aracu1Inversor 0645981,288819444445981,288819444445981,2958333333</t>
  </si>
  <si>
    <t>BC Aracu1Inverter7845981,28890046345981,28890046345981,2957986111</t>
  </si>
  <si>
    <t>Falha 86 (relé de bloqueio)</t>
  </si>
  <si>
    <t>BC Formoso2.2Inverter(MBUS-14)45982,239583333345982,239583333345982,3125</t>
  </si>
  <si>
    <t>BC Formoso2.2Inverter(MBUS-13)45982,239583333345982,239583333345982,3125</t>
  </si>
  <si>
    <t>BC Formoso2.2Inverter(MBUS-12)45982,239583333345982,239583333345982,3125</t>
  </si>
  <si>
    <t>BC Formoso2.2Inverter(MBUS-1)45982,239583333345982,239583333345982,3125</t>
  </si>
  <si>
    <t>Falha de conexão com a smartlogger.</t>
  </si>
  <si>
    <t>BC Corumba2.2U02.I0445982,358333333345982,358333333345982,3590277778</t>
  </si>
  <si>
    <t>BC Corumba2.2U02.I0545982,358333333345982,358333333345982,3590277778</t>
  </si>
  <si>
    <t>BC Corumba2.2U02.I0345982,358333333345982,358333333345982,3590277778</t>
  </si>
  <si>
    <t>BC Corumba2.2U02.I0145982,358333333345982,358333333345982,3590277778</t>
  </si>
  <si>
    <t>BC Corumba2.2U02.I0245982,358333333345982,358333333345982,3590277778</t>
  </si>
  <si>
    <t>Desligado UFV para passagem dos cabos do Painel do sistema Scada, até o painel de controle do PMT, necessário o desligamento pela abertura da tampa traseira do cubículo, e da passagem do cabo muito próximo dos barramentos de entrada de energia.</t>
  </si>
  <si>
    <t>Desligado o disjuntor de entrada, aberto as chaves seccionadoras do poste, feito a passagem do cabos, religado e normalizado a UFV.</t>
  </si>
  <si>
    <t>BC Lencois PaulistaInverter(MBUS-12)45982,437545982,437545982,5</t>
  </si>
  <si>
    <t>BC Lencois PaulistaInverter(MBUS-13)45982,437545982,437545982,5</t>
  </si>
  <si>
    <t>BC Lencois PaulistaInverter(MBUS-14)45982,437545982,437545982,5</t>
  </si>
  <si>
    <t>BC Lencois PaulistaInverter(MBUS-15)45982,437545982,437545982,5</t>
  </si>
  <si>
    <t>Desligado UFV para passagem dos cabos do Painel do sistema Scada, até o painel de controle do PMT, necessário o desligamento pela abertura da tampa traseira do cubículo, e da passagem do cabo muito próximo dos barramentos de entrada de energia, finalização para módulo de comando remoto.</t>
  </si>
  <si>
    <t>BC Lencois PaulistaInverter(MBUS-12)45983,270833333345983,270833333345983,4305555556</t>
  </si>
  <si>
    <t>BC Lencois PaulistaInverter(MBUS-13)45983,270833333345983,270833333345983,4305555556</t>
  </si>
  <si>
    <t>BC Lencois PaulistaInverter(MBUS-14)45983,270833333345983,270833333345983,4305555556</t>
  </si>
  <si>
    <t>BC Lencois PaulistaInverter(MBUS-15)45983,270833333345983,270833333345983,4305555556</t>
  </si>
  <si>
    <t>ARAGUATINS 2.3Inverter(MBUS-12)45983,413194444445983,413194444445983,4472222222</t>
  </si>
  <si>
    <t>ARAGUATINS 2.3Inverter(MBUS-13)45983,413194444445983,413194444445983,4472222222</t>
  </si>
  <si>
    <t>BC Aracu1Inverter7945984,273182870445984,273182870445984,2801157407</t>
  </si>
  <si>
    <t>BC Aracu1Inverter8445984,273703703745984,273703703745984,3315972222</t>
  </si>
  <si>
    <t>BC Aracu1Inverter8245984,273784722245984,273784722245984,3315972222</t>
  </si>
  <si>
    <t>BC Aracu1Inverter7845984,273819444445984,273819444445984,3315972222</t>
  </si>
  <si>
    <t>BC Aracu1Inverter8145984,273831018545984,273831018545984,3315972222</t>
  </si>
  <si>
    <t>BC Aracu1Inversor 0645984,27390046345984,27390046345984,3315972222</t>
  </si>
  <si>
    <t>BC Aracu1Inverter7945984,302245370445984,302245370445984,3087384259</t>
  </si>
  <si>
    <t>Falha de conexão com a smartlogger, fonte queimada.</t>
  </si>
  <si>
    <t>Feito a troca da fonte de alimentação do conversor de midia que fica na Smart logger.</t>
  </si>
  <si>
    <t>BC Formoso1.1Inverter(MBUS-13)45985,190277777845985,190277777845985,3229166667</t>
  </si>
  <si>
    <t>BC Formoso1.1Inverter(MBUS-12)45985,190277777845985,190277777845985,3229166667</t>
  </si>
  <si>
    <t>BC Formoso1.1Inverter(MBUS-15)45985,190277777845985,190277777845985,3229166667</t>
  </si>
  <si>
    <t>BC Formoso1.1Inverter(MBUS-14)45985,190277777845985,190277777845985,3229166667</t>
  </si>
  <si>
    <t>BC Rio Bonito1SG36KTL-M-17_001_01745985,209722222245985,209722222245985,2222222222</t>
  </si>
  <si>
    <t>BC Rio Bonito1SG60KTL-10_001_01045985,209722222245985,209722222245985,2222222222</t>
  </si>
  <si>
    <t>BC Rio Bonito1SG60KTL-11_001_01145985,209722222245985,209722222245985,2222222222</t>
  </si>
  <si>
    <t>BC Rio Bonito1SG60KTL-12_001_01245985,209722222245985,209722222245985,2222222222</t>
  </si>
  <si>
    <t>BC Rio Bonito1SG60KTL-13_001_01345985,209722222245985,209722222245985,2222222222</t>
  </si>
  <si>
    <t>BC Rio Bonito1SG60KTL-14_001_01445985,209722222245985,209722222245985,2222222222</t>
  </si>
  <si>
    <t>BC Rio Bonito1SG60KTL-15_001_01545985,209722222245985,209722222245985,2222222222</t>
  </si>
  <si>
    <t>BC Rio Bonito1SG60KTL-16_001_01645985,209722222245985,209722222245985,2222222222</t>
  </si>
  <si>
    <t>BC Rio Bonito1SG60KTL-1_001_00145985,209722222245985,209722222245985,2222222222</t>
  </si>
  <si>
    <t>BC Rio Bonito1SG60KTL-2_001_00245985,209722222245985,209722222245985,2222222222</t>
  </si>
  <si>
    <t>BC Rio Bonito1SG60KTL-3_001_00345985,209722222245985,209722222245985,2222222222</t>
  </si>
  <si>
    <t>BC Rio Bonito1SG60KTL-4_001_00445985,209722222245985,209722222245985,2222222222</t>
  </si>
  <si>
    <t>BC Rio Bonito1SG60KTL-5_001_00545985,209722222245985,209722222245985,2222222222</t>
  </si>
  <si>
    <t>BC Rio Bonito1SG60KTL-6_001_00645985,209722222245985,209722222245985,2222222222</t>
  </si>
  <si>
    <t>BC Rio Bonito1SG60KTL-7_001_00745985,209722222245985,209722222245985,2222222222</t>
  </si>
  <si>
    <t>BC Rio Bonito1SG60KTL-8_001_00845985,209722222245985,209722222245985,2222222222</t>
  </si>
  <si>
    <t>BC Rio Bonito1SG60KTL-9_001_00945985,209722222245985,209722222245985,2222222222</t>
  </si>
  <si>
    <t>BC Aracu1Inverter7945985,255648148245985,255648148245985,2628472222</t>
  </si>
  <si>
    <t>BC Aracu5.1Inverter(MBUS-1)45985,355555555645985,355555555645985,3583333333</t>
  </si>
  <si>
    <t>BC Aracu5.2Inverter(MBUS-1)45985,355555555645985,355555555645985,3583333333</t>
  </si>
  <si>
    <t>BC Aracu5.3Inverter(MBUS-1)45985,355555555645985,355555555645985,3583333333</t>
  </si>
  <si>
    <t>BC Aracu5.4Inverter(MBUS-1)45985,355555555645985,355555555645985,3583333333</t>
  </si>
  <si>
    <t>BC Aracu5.5Inverter(MBUS-1)45985,355555555645985,355555555645985,3583333333</t>
  </si>
  <si>
    <t>Desligamento temporário do logger programado para sua realocação. A medida foi adotada com o objetivo de melhorar a ventilação dos inversores, já que o posicionamento anterior limitava a circulação de ar adequada.</t>
  </si>
  <si>
    <t>O logger foi instalado em um novo ponto estratégico, proporcionando melhor ventilação ao inversor que anteriormente apresentava superaquecimento devido à limitação de fluxo de ar no local.</t>
  </si>
  <si>
    <t>BC Aracu3SG60KTL-ARACU_VII45985,590277777845985,590277777845985,7222222222</t>
  </si>
  <si>
    <t>BC Aracu3SG60KTL-ARACU_VI45985,590277777845985,590277777845985,7222222222</t>
  </si>
  <si>
    <t>BC Aracu3SG50CX-ARACU_VI45985,590277777845985,590277777845985,7222222222</t>
  </si>
  <si>
    <t>BC Aracu3SG50CX-ARACU-VII45985,590277777845985,590277777845985,7222222222</t>
  </si>
  <si>
    <t>Falha 81 atuada no relé de proteção.</t>
  </si>
  <si>
    <t>BC Formoso2.1Inverter(MBUS-12)45986,229166666745986,229166666745986,3298611111</t>
  </si>
  <si>
    <t>BC Formoso2.1Inverter(MBUS-14)45986,229166666745986,229166666745986,3298611111</t>
  </si>
  <si>
    <t>BC Formoso2.1Inverter(MBUS-13)45986,229166666745986,229166666745986,3298611111</t>
  </si>
  <si>
    <t>BC Formoso2.1Inverter(MBUS-1)45986,229166666745986,229166666745986,3298611111</t>
  </si>
  <si>
    <t>BC Formoso2.2Inverter(MBUS-14)45986,229166666745986,229166666745986,3298611111</t>
  </si>
  <si>
    <t>BC Formoso2.2Inverter(MBUS-13)45986,229166666745986,229166666745986,3298611111</t>
  </si>
  <si>
    <t>BC Formoso2.2Inverter(MBUS-12)45986,229166666745986,229166666745986,3298611111</t>
  </si>
  <si>
    <t>BC Formoso2.2Inverter(MBUS-1)45986,229166666745986,229166666745986,3298611111</t>
  </si>
  <si>
    <t>BC Formoso2.3Inverter(MBUS-13)45986,229166666745986,229166666745986,3298611111</t>
  </si>
  <si>
    <t>BC Formoso2.3Inverter(MBUS-12)45986,229166666745986,229166666745986,3298611111</t>
  </si>
  <si>
    <t>BC Formoso1.1Inverter(MBUS-13)45986,229166666745986,229166666745986,3298611111</t>
  </si>
  <si>
    <t>BC Formoso1.1Inverter(MBUS-12)45986,229166666745986,229166666745986,3298611111</t>
  </si>
  <si>
    <t>BC Formoso1.1Inverter(MBUS-15)45986,229166666745986,229166666745986,3298611111</t>
  </si>
  <si>
    <t>BC Formoso1.1Inverter(MBUS-14)45986,229166666745986,229166666745986,3298611111</t>
  </si>
  <si>
    <t>BC Formoso1.2Inverter(MBUS-13)45986,229166666745986,229166666745986,3298611111</t>
  </si>
  <si>
    <t>BC Formoso1.2Inverter(MBUS-12)45986,229166666745986,229166666745986,3298611111</t>
  </si>
  <si>
    <t>BC Formoso1.2Inverter(MBUS-15)45986,229166666745986,229166666745986,3298611111</t>
  </si>
  <si>
    <t>BC Formoso1.2Inverter(MBUS-14)45986,229166666745986,229166666745986,3298611111</t>
  </si>
  <si>
    <t>BC Formoso1.3Inverter(MBUS-13)45986,229166666745986,229166666745986,3298611111</t>
  </si>
  <si>
    <t>BC Formoso1.3Inverter(MBUS-12)45986,229166666745986,229166666745986,3298611111</t>
  </si>
  <si>
    <t>BC Rio Monte1Inverter3845986,239583333345986,239583333345970,3368054977</t>
  </si>
  <si>
    <t>BC Rio Monte1Inverter3745986,239583333345986,239583333345971,3368054977</t>
  </si>
  <si>
    <t>BC Rio Monte1Inverter4345986,239583333345986,239583333345972,3368054977</t>
  </si>
  <si>
    <t>BC Rio Monte1Inverter4245986,239583333345986,239583333345973,3368054977</t>
  </si>
  <si>
    <t>BC Rio Monte1Inverter4545986,239583333345986,239583333345974,3368054977</t>
  </si>
  <si>
    <t>BC Rio Monte1Inverter4445986,239583333345986,239583333345975,3368054977</t>
  </si>
  <si>
    <t>BC Rio Monte1Inverter4645986,239583333345986,239583333345976,3368054977</t>
  </si>
  <si>
    <t>BC Rio Monte1Inverter4145986,239583333345986,239583333345977,3368054977</t>
  </si>
  <si>
    <t>BC Rio Monte1Inverter4745986,239583333345986,239583333345978,3368054977</t>
  </si>
  <si>
    <t>BC Rio Monte1Inverter3545986,239583333345986,239583333345979,3368054977</t>
  </si>
  <si>
    <t>BC Rio Monte1Inverter3645986,239583333345986,239583333345980,3368054977</t>
  </si>
  <si>
    <t>BC Rio Monte1Inverter3145986,239583333345986,239583333345981,3368054977</t>
  </si>
  <si>
    <t>BC Rio Monte1Inverter3345986,239583333345986,239583333345982,3368054977</t>
  </si>
  <si>
    <t>BC Rio Monte1Inverter3945986,239583333345986,239583333345983,3368054977</t>
  </si>
  <si>
    <t>BC Rio Monte1Inverter3245986,239583333345986,239583333345984,3368054977</t>
  </si>
  <si>
    <t>BC Rio Monte1Inverter4045986,239583333345986,239583333345985,3368054977</t>
  </si>
  <si>
    <t>BC Rio Monte1Inverter3445986,239583333345986,239583333345986,3368055556</t>
  </si>
  <si>
    <t>BC Caiaponia1SG60KTL(COM1-001)_001_00745986,239583333345986,239583333345986,3159722222</t>
  </si>
  <si>
    <t>BC Caiaponia1SG60KTL(COM1-002)_001_01045986,239583333345986,239583333345986,3159722222</t>
  </si>
  <si>
    <t>BC Caiaponia1SG60KTL(COM1-003)_001_01145986,239583333345986,239583333345986,3159722222</t>
  </si>
  <si>
    <t>BC Caiaponia1SG60KTL(COM1-004)_001_01445986,239583333345986,239583333345986,3159722222</t>
  </si>
  <si>
    <t>BC Caiaponia1SG60KTL(COM1-005)_001_01745986,239583333345986,239583333345986,3159722222</t>
  </si>
  <si>
    <t>BC Caiaponia1SG60KTL(COM1-006)_001_01645986,239583333345986,239583333345986,3159722222</t>
  </si>
  <si>
    <t>BC Caiaponia1SG60KTL(COM1-007)_001_01345986,239583333345986,239583333345986,3159722222</t>
  </si>
  <si>
    <t>BC Caiaponia1SG60KTL(COM1-008)_001_00145986,239583333345986,239583333345986,3159722222</t>
  </si>
  <si>
    <t>BC Caiaponia1SG60KTL(COM1-009)45986,239583333345986,239583333345986,3159722222</t>
  </si>
  <si>
    <t>BC Caiaponia1SG60KTL(COM1-010)45986,239583333345986,239583333345986,3159722222</t>
  </si>
  <si>
    <t>BC Caiaponia1SG60KTL(COM1-011)45986,239583333345986,239583333345986,3159722222</t>
  </si>
  <si>
    <t>BC Caiaponia1SG60KTL(COM1-012)45986,239583333345986,239583333345986,3159722222</t>
  </si>
  <si>
    <t>BC Caiaponia1SG60KTL(COM1-013)45986,239583333345986,239583333345986,3159722222</t>
  </si>
  <si>
    <t>BC Caiaponia1SG60KTL(COM1-014)45986,239583333345986,239583333345986,3159722222</t>
  </si>
  <si>
    <t>BC Caiaponia1SG60KTL(COM1-015)45986,239583333345986,239583333345986,3159722222</t>
  </si>
  <si>
    <t>BC Caiaponia1SG60KTL(COM3-016)_001_00945986,239583333345986,239583333345986,3159722222</t>
  </si>
  <si>
    <t>BC Caiaponia1SG60KTL(COM3-017)_001_01245986,239583333345986,239583333345986,3159722222</t>
  </si>
  <si>
    <t>BC Caiaponia1SG60KTL(COM3-018)_001_00845986,239583333345986,239583333345986,3159722222</t>
  </si>
  <si>
    <t>BC Caiaponia1SG60KTL(COM3-019)_001_01945986,239583333345986,239583333345986,3159722222</t>
  </si>
  <si>
    <t>BC Caiaponia1SG60KTL(COM3-020)_001_02045986,239583333345986,239583333345986,3159722222</t>
  </si>
  <si>
    <t>BC Caiaponia1SG60KTL(COM2-026)45986,239583333345986,239583333345986,3159722222</t>
  </si>
  <si>
    <t>BC Caiaponia1SG60KTL(COM2-027)45986,239583333345986,239583333345986,3159722222</t>
  </si>
  <si>
    <t>BC Caiaponia1SG60KTL(COM2-028)45986,239583333345986,239583333345986,3159722222</t>
  </si>
  <si>
    <t>BC Caiaponia1SG60KTL(COM2-029)45986,239583333345986,239583333345986,3159722222</t>
  </si>
  <si>
    <t>BC Caiaponia1SG50CX(COM1-021)45986,239583333345986,239583333345986,3159722222</t>
  </si>
  <si>
    <t>BC Caiaponia1SG50CX(COM1-022)45986,239583333345986,239583333345986,3159722222</t>
  </si>
  <si>
    <t>BC Caiaponia1SG50CX(COM1-023)45986,239583333345986,239583333345986,3159722222</t>
  </si>
  <si>
    <t>BC Caiaponia1SG50CX(COM1-024)45986,239583333345986,239583333345986,3159722222</t>
  </si>
  <si>
    <t>BC Caiaponia1SG50CX(COM1-025)45986,239583333345986,239583333345986,3159722222</t>
  </si>
  <si>
    <t>BC Caiaponia2.1215KTL-H3(MBUS-12)45986,239583333345986,239583333345986,3159722222</t>
  </si>
  <si>
    <t>BC Caiaponia2.1215KTL-H3(MBUS-13)45986,239583333345986,239583333345986,3159722222</t>
  </si>
  <si>
    <t>BC Caiaponia2.1215KTL-H3(MBUS-14)45986,239583333345986,239583333345986,3159722222</t>
  </si>
  <si>
    <t>BC Caiaponia2.1215KTL-H3(MBUS-15)45986,239583333345986,239583333345986,3159722222</t>
  </si>
  <si>
    <t>BC Caiaponia2.1215KTL-H3(MBUS-16)45986,239583333345986,239583333345986,3159722222</t>
  </si>
  <si>
    <t>BC Caiaponia2.2215KTL-H3(MBUS-12)45986,239583333345986,239583333345986,3159722222</t>
  </si>
  <si>
    <t>BC Caiaponia2.2215KTL-H3(MBUS-13)45986,239583333345986,239583333345986,3159722222</t>
  </si>
  <si>
    <t>BC Caiaponia2.2215KTL-H3(MBUS-14)45986,239583333345986,239583333345986,3159722222</t>
  </si>
  <si>
    <t>BC Caiaponia2.2215KTL-H3(MBUS-15)45986,239583333345986,239583333345986,3159722222</t>
  </si>
  <si>
    <t>BC Caiaponia2.2215KTL-H3(MBUS-16)45986,239583333345986,239583333345986,3159722222</t>
  </si>
  <si>
    <t>BC Caiaponia2.3215KTL-H3(MBUS-12)45986,239583333345986,239583333345986,3159722222</t>
  </si>
  <si>
    <t>BC Caiaponia2.3215KTL-H3(MBUS-13)45986,239583333345986,239583333345986,3159722222</t>
  </si>
  <si>
    <t>BC Caiaponia2.3215KTL-H3(MBUS-14)45986,239583333345986,239583333345986,3159722222</t>
  </si>
  <si>
    <t>BC Caiaponia2.3215KTL-H3(MBUS-15)45986,239583333345986,239583333345986,3159722222</t>
  </si>
  <si>
    <t>BC Caiaponia2.3215KTL-H3(MBUS-16)45986,239583333345986,239583333345986,3159722222</t>
  </si>
  <si>
    <t>BC Aracu1Inverter7945986,272465277845986,272465277845986,2794097222</t>
  </si>
  <si>
    <t>Inversores desligados para substituir disjuntores de 630A.</t>
  </si>
  <si>
    <t>Após manutenção, foi feito inspeção em todo complexo, checado nível de tensão e realizado a manobra de normalização da geração.</t>
  </si>
  <si>
    <t>BC Rio Monte1Inverter3745986,350694444445986,350694444445986,3993055556</t>
  </si>
  <si>
    <t>DPRINV</t>
  </si>
  <si>
    <t>BC Rio Monte1Inverter4345986,350694444445986,350694444445986,3993055556</t>
  </si>
  <si>
    <t>BC Rio Monte1Inverter4245986,350694444445986,350694444445986,3993055556</t>
  </si>
  <si>
    <t>BC Rio Monte1Inverter4545986,350694444445986,350694444445986,3993055556</t>
  </si>
  <si>
    <t>BC Rio Monte1Inverter4445986,350694444445986,350694444445986,3993055556</t>
  </si>
  <si>
    <t>BC Rio Monte1Inverter4645986,350694444445986,350694444445986,3993055556</t>
  </si>
  <si>
    <t>BC Rio Monte1Inverter4145986,350694444445986,350694444445986,3993055556</t>
  </si>
  <si>
    <t>BC Rio Monte1Inverter4745986,350694444445986,350694444445986,3993055556</t>
  </si>
  <si>
    <t>BC Rio Monte1Inverter3545986,350694444445986,350694444445986,3993055556</t>
  </si>
  <si>
    <t>BC Rio Monte1Inverter3645986,350694444445986,350694444445986,3993055556</t>
  </si>
  <si>
    <t>BC Rio Monte1Inverter3145986,350694444445986,350694444445986,3993055556</t>
  </si>
  <si>
    <t>BC Rio Monte1Inverter3345986,350694444445986,350694444445986,3993055556</t>
  </si>
  <si>
    <t>BC Rio Monte1Inverter3945986,350694444445986,350694444445986,3993055556</t>
  </si>
  <si>
    <t>BC Rio Monte1Inverter3245986,350694444445986,350694444445986,3993055556</t>
  </si>
  <si>
    <t>BC Rio Monte1Inverter4045986,350694444445986,350694444445986,3993055556</t>
  </si>
  <si>
    <t>BC Rio Monte1Inverter3445986,350694444445986,350694444445986,3993055556</t>
  </si>
  <si>
    <t>BC Rio Bonito2INV-00145987,234722222245987,234722222245987,3958333333</t>
  </si>
  <si>
    <t>BC Rio Bonito2INV-00245987,234722222245987,234722222245987,3958333333</t>
  </si>
  <si>
    <t>BC Rio Bonito2INV-00345987,234722222245987,234722222245987,3958333333</t>
  </si>
  <si>
    <t>BC Rio Bonito2INV-00445987,234722222245987,234722222245987,3958333333</t>
  </si>
  <si>
    <t>BC Rio Bonito1SG36KTL-M-17_001_01745987,234722222245987,234722222245987,3958333333</t>
  </si>
  <si>
    <t>BC Rio Bonito1SG60KTL-10_001_01045987,234722222245987,234722222245987,3958333333</t>
  </si>
  <si>
    <t>BC Rio Bonito1SG60KTL-11_001_01145987,234722222245987,234722222245987,3958333333</t>
  </si>
  <si>
    <t>BC Rio Bonito1SG60KTL-12_001_01245987,234722222245987,234722222245987,3958333333</t>
  </si>
  <si>
    <t>BC Rio Bonito1SG60KTL-13_001_01345987,234722222245987,234722222245987,3958333333</t>
  </si>
  <si>
    <t>BC Rio Bonito1SG60KTL-14_001_01445987,234722222245987,234722222245987,3958333333</t>
  </si>
  <si>
    <t>BC Rio Bonito1SG60KTL-15_001_01545987,234722222245987,234722222245987,3958333333</t>
  </si>
  <si>
    <t>BC Rio Bonito1SG60KTL-16_001_01645987,234722222245987,234722222245987,3958333333</t>
  </si>
  <si>
    <t>BC Rio Bonito1SG60KTL-1_001_00145987,234722222245987,234722222245987,3958333333</t>
  </si>
  <si>
    <t>BC Rio Bonito1SG60KTL-2_001_00245987,234722222245987,234722222245987,3958333333</t>
  </si>
  <si>
    <t>BC Rio Bonito1SG60KTL-3_001_00345987,234722222245987,234722222245987,3958333333</t>
  </si>
  <si>
    <t>BC Rio Bonito1SG60KTL-4_001_00445987,234722222245987,234722222245987,3958333333</t>
  </si>
  <si>
    <t>BC Rio Bonito1SG60KTL-5_001_00545987,234722222245987,234722222245987,3958333333</t>
  </si>
  <si>
    <t>BC Rio Bonito1SG60KTL-6_001_00645987,234722222245987,234722222245987,3958333333</t>
  </si>
  <si>
    <t>BC Rio Bonito1SG60KTL-7_001_00745987,234722222245987,234722222245987,3958333333</t>
  </si>
  <si>
    <t>BC Rio Bonito1SG60KTL-8_001_00845987,234722222245987,234722222245987,3958333333</t>
  </si>
  <si>
    <t>BC Rio Bonito1SG60KTL-9_001_00945987,234722222245987,234722222245987,3958333333</t>
  </si>
  <si>
    <t>Desligamento da UFV para execução de testes nos transformadores de média tensão e nos cubículos. Após execução, foi realizada a manobra de energização da usina.</t>
  </si>
  <si>
    <t>BC Caiaponia2.1215KTL-H3(MBUS-13)45987,543055555645987,543055555645987,5590277778</t>
  </si>
  <si>
    <t>BC Caiaponia2.1215KTL-H3(MBUS-14)45987,543055555645987,543055555645987,5590277778</t>
  </si>
  <si>
    <t>BC Caiaponia2.1215KTL-H3(MBUS-15)45987,543055555645987,543055555645987,5590277778</t>
  </si>
  <si>
    <t>BC Caiaponia2.1215KTL-H3(MBUS-12)45987,543055555645987,543055555645987,5590277778</t>
  </si>
  <si>
    <t>BC Caiaponia2.1215KTL-H3(MBUS-16)45987,543055555645987,543055555645987,5590277778</t>
  </si>
  <si>
    <t>Foi identificado um curto-circuito no transformador 1, ocasionando a atuação do relé de proteção principal com o código 86 (bloqueio de sistema), o que resultou na queda de comunicação dos inversores e do sistema de CFTV. A usina 1 alimenta o sistema de comunicação, e por isso todo o complexo ficou fora.</t>
  </si>
  <si>
    <t>Foi realizada a substituição do transformador de média tensão da unidade UFV 1.1, que apresentava danos. Após a troca, o sistema foi restabelecido com sucesso, e tanto os inversores quanto o sistema de CFTV voltaram a operar normalmente.</t>
  </si>
  <si>
    <t>BC Turvania1.1Inverter(MBUS-12)45988,215277777845988,215277777845989,625</t>
  </si>
  <si>
    <t>DAUTRF</t>
  </si>
  <si>
    <t>BC Turvania1.1Inverter(MBUS-13)45988,215277777845988,215277777845989,625</t>
  </si>
  <si>
    <t>BC Turvania1.1Inverter(MBUS-14)45988,215277777845988,215277777845989,625</t>
  </si>
  <si>
    <t>BC Turvania1.1Inverter(MBUS-15)45988,215277777845988,215277777845989,625</t>
  </si>
  <si>
    <t>BC Turvania1.2Inverter(MBUS-12)45988,215277777845988,215277777845989,625</t>
  </si>
  <si>
    <t>BC Turvania1.2Inverter(MBUS-13)45988,215277777845988,215277777845989,625</t>
  </si>
  <si>
    <t>BC Turvania1.2Inverter(MBUS-14)45988,215277777845988,215277777845989,625</t>
  </si>
  <si>
    <t>BC Turvania1.2Inverter(MBUS-15)45988,215277777845988,215277777845989,625</t>
  </si>
  <si>
    <t>BC Turvania1.3Inverter(MBUS-1)45988,215277777845988,215277777845989,625</t>
  </si>
  <si>
    <t>BC Turvania1.3Inverter(MBUS-13)45988,215277777845988,215277777845989,625</t>
  </si>
  <si>
    <t>BC Turvania1.3Inverter(MBUS-14)45988,215277777845988,215277777845989,625</t>
  </si>
  <si>
    <t>BC Turvania1.3Inverter(MBUS-15)45988,215277777845988,215277777845989,625</t>
  </si>
  <si>
    <t>BC Turvania1.4Inverter(MBUS-12)45988,215277777845988,215277777845989,625</t>
  </si>
  <si>
    <t>BC Turvania1.4Inverter(MBUS-13)45988,215277777845988,215277777845989,625</t>
  </si>
  <si>
    <t>BC Turvania1.4Inverter(MBUS-14)45988,215277777845988,215277777845989,625</t>
  </si>
  <si>
    <t>BC Turvania1.4Inverter(MBUS-15)45988,215277777845988,215277777845989,625</t>
  </si>
  <si>
    <t>BC Turvania1.5Inverter(MBUS-12)45988,215277777845988,215277777845989,625</t>
  </si>
  <si>
    <t>BC Turvania1.5Inverter(MBUS-13)45988,215277777845988,215277777845989,625</t>
  </si>
  <si>
    <t>BC Turvania1.5Inverter(MBUS-14)45988,215277777845988,215277777845989,625</t>
  </si>
  <si>
    <t>BC Turvania1.5Inverter(MBUS-1)45988,215277777845988,215277777845989,625</t>
  </si>
  <si>
    <t>BC Clareira1.1Inverter(MBUS-12)45988,404166666745988,404166666745988,4083333333</t>
  </si>
  <si>
    <t>BC Clareira1.1Inverter(MBUS-13)45988,404166666745988,404166666745988,4083333333</t>
  </si>
  <si>
    <t>BC Clareira1.1	Inverter(MBUS-14)45988,404166666745988,404166666745988,4083333333</t>
  </si>
  <si>
    <t>BC Clareira1.1	Inverter(MBUS-15)45988,404166666745988,404166666745988,4083333333</t>
  </si>
  <si>
    <t>BC Clareira1.1Inverter(MBUS-16)45988,404166666745988,404166666745988,4083333333</t>
  </si>
  <si>
    <t>BC Clareira1.2	215KTL-H3(MBUS-12)45988,404166666745988,404166666745988,4083333333</t>
  </si>
  <si>
    <t>BC Clareira1.2	215KTL-H3(MBUS-13)45988,404166666745988,404166666745988,4083333333</t>
  </si>
  <si>
    <t>BC Clareira1.2100KTL-H1(MBUS-14)45988,404166666745988,404166666745988,4083333333</t>
  </si>
  <si>
    <t>Relé atuado por causa de oscilação na rede da concessionária. Falhas 86Q, 50N e 51N.</t>
  </si>
  <si>
    <t>BC Varjao2.1215KTL-H0(MBUS-12)45988,495138888945988,495138888945988,5173611111</t>
  </si>
  <si>
    <t>BC Varjao2.1215KTL-H0(MBUS-13)45988,495138888945988,495138888945988,5173611111</t>
  </si>
  <si>
    <t>BC Varjao2.1215KTL-H0(MBUS-14)45988,495138888945988,495138888945988,5173611111</t>
  </si>
  <si>
    <t>BC Varjao2.1215KTL-H0(MBUS-15)45988,495138888945988,495138888945988,5173611111</t>
  </si>
  <si>
    <t>BC Varjao2.1215KTL-H0(MBUS-16)45988,495138888945988,495138888945988,5173611111</t>
  </si>
  <si>
    <t>ARAGUATINS 1.1Inverter(MBUS-12)45988,652777777845988,652777777845988,6826388889</t>
  </si>
  <si>
    <t>ARAGUATINS 1.1Inverter(MBUS-13)45988,652777777845988,652777777845988,6826388889</t>
  </si>
  <si>
    <t>ARAGUATINS 1.1Inverter(MBUS-14)45988,652777777845988,652777777845988,6826388889</t>
  </si>
  <si>
    <t>ARAGUATINS 1.1Inverter(MBUS-15)45988,652777777845988,652777777845988,6826388889</t>
  </si>
  <si>
    <t>ARAGUATINS 1.2Inverter(MBUS-12)45988,652777777845988,652777777845988,6826388889</t>
  </si>
  <si>
    <t>ARAGUATINS 1.2Inverter(MBUS-13)45988,652777777845988,652777777845988,6826388889</t>
  </si>
  <si>
    <t>ARAGUATINS 1.2Inverter(MBUS-14)45988,652777777845988,652777777845988,6826388889</t>
  </si>
  <si>
    <t>ARAGUATINS 1.2Inverter(MBUS-15)45988,652777777845988,652777777845988,6826388889</t>
  </si>
  <si>
    <t>ARAGUATINS 1.3Inverter(MBUS-20)45988,652777777845988,652777777845988,6826388889</t>
  </si>
  <si>
    <t>ARAGUATINS 1.3Inverter(MBUS-1)45988,652777777845988,652777777845988,6826388889</t>
  </si>
  <si>
    <t>ARAGUATINS 2.1Inverter(MBUS-13)45988,652777777845988,652777777845988,6826388889</t>
  </si>
  <si>
    <t>ARAGUATINS 2.1Inverter(MBUS-12)45988,652777777845988,652777777845988,6826388889</t>
  </si>
  <si>
    <t>ARAGUATINS 2.1Inverter(MBUS-15)45988,652777777845988,652777777845988,6826388889</t>
  </si>
  <si>
    <t>ARAGUATINS 2.1Inverter(MBUS-14)45988,652777777845988,652777777845988,6826388889</t>
  </si>
  <si>
    <t>ARAGUATINS 2.2Inverter(MBUS-15)45988,652777777845988,652777777845988,6826388889</t>
  </si>
  <si>
    <t>ARAGUATINS 2.2Inverter(MBUS-13)45988,652777777845988,652777777845988,6826388889</t>
  </si>
  <si>
    <t>ARAGUATINS 2.2Inverter(MBUS-14)45988,652777777845988,652777777845988,6826388889</t>
  </si>
  <si>
    <t>ARAGUATINS 2.2Inverter(MBUS-12)45988,652777777845988,652777777845988,6826388889</t>
  </si>
  <si>
    <t>ARAGUATINS 2.3Inverter(MBUS-12)45988,652777777845988,652777777845988,6826388889</t>
  </si>
  <si>
    <t>ARAGUATINS 2.3Inverter(MBUS-13)45988,652777777845988,652777777845988,6826388889</t>
  </si>
  <si>
    <t>Relé atuado por causa de oscilação na rede da concessionária. Falhas 86Q e 67C.</t>
  </si>
  <si>
    <t>ARAGUATINS 1.1Inverter(MBUS-12)45989,649305555645989,649305555645989,6791666667</t>
  </si>
  <si>
    <t>ARAGUATINS 1.1Inverter(MBUS-13)45989,649305555645989,649305555645989,6791666667</t>
  </si>
  <si>
    <t>ARAGUATINS 1.1Inverter(MBUS-14)45989,649305555645989,649305555645989,6791666667</t>
  </si>
  <si>
    <t>ARAGUATINS 1.1Inverter(MBUS-15)45989,649305555645989,649305555645989,6791666667</t>
  </si>
  <si>
    <t>ARAGUATINS 1.2Inverter(MBUS-12)45989,649305555645989,649305555645989,6791666667</t>
  </si>
  <si>
    <t>ARAGUATINS 1.2Inverter(MBUS-13)45989,649305555645989,649305555645989,6791666667</t>
  </si>
  <si>
    <t>ARAGUATINS 1.2Inverter(MBUS-14)45989,649305555645989,649305555645989,6791666667</t>
  </si>
  <si>
    <t>ARAGUATINS 1.2Inverter(MBUS-15)45989,649305555645989,649305555645989,6791666667</t>
  </si>
  <si>
    <t>ARAGUATINS 1.3Inverter(MBUS-20)45989,649305555645989,649305555645989,6791666667</t>
  </si>
  <si>
    <t>ARAGUATINS 1.3Inverter(MBUS-1)45989,649305555645989,649305555645989,6791666667</t>
  </si>
  <si>
    <t>ARAGUATINS 2.1Inverter(MBUS-13)45989,649305555645989,649305555645989,6791666667</t>
  </si>
  <si>
    <t>ARAGUATINS 2.1Inverter(MBUS-12)45989,649305555645989,649305555645989,6791666667</t>
  </si>
  <si>
    <t>ARAGUATINS 2.1Inverter(MBUS-15)45989,649305555645989,649305555645989,6791666667</t>
  </si>
  <si>
    <t>ARAGUATINS 2.1Inverter(MBUS-14)45989,649305555645989,649305555645989,6791666667</t>
  </si>
  <si>
    <t>ARAGUATINS 2.2Inverter(MBUS-15)45989,649305555645989,649305555645989,6791666667</t>
  </si>
  <si>
    <t>ARAGUATINS 2.2Inverter(MBUS-13)45989,649305555645989,649305555645989,6791666667</t>
  </si>
  <si>
    <t>ARAGUATINS 2.2Inverter(MBUS-14)45989,649305555645989,649305555645989,6791666667</t>
  </si>
  <si>
    <t>ARAGUATINS 2.2Inverter(MBUS-12)45989,649305555645989,649305555645989,6791666667</t>
  </si>
  <si>
    <t>ARAGUATINS 2.3Inverter(MBUS-12)45989,649305555645989,649305555645989,6791666667</t>
  </si>
  <si>
    <t>ARAGUATINS 2.3Inverter(MBUS-13)45989,649305555645989,649305555645989,6791666667</t>
  </si>
  <si>
    <t>Foi constatada a interrupção do fornecimento de energia proveniente da rede da concessionária, devido à manutenção programada na subestação da mesma.</t>
  </si>
  <si>
    <t>Realizada inspeção nos transformadores e sistemas associados. Verificada a ausência de tensão na rede da concessionária. Foram realizados os resets nos relés de proteção e o rearme dos disjuntores para restabelecimento total da operação.</t>
  </si>
  <si>
    <t>BC Turvania1.1Inverter(MBUS-14)45989,695833275545989,695833275545989,7083333333</t>
  </si>
  <si>
    <t>BC Turvania1.1Inverter(MBUS-15)45989,695833275545989,695833275545989,7083333333</t>
  </si>
  <si>
    <t>BC Turvania1.2Inverter(MBUS-12)45989,695833275545989,695833275545989,7083333333</t>
  </si>
  <si>
    <t>BC Turvania1.2Inverter(MBUS-13)45989,695833275545989,695833275545989,7083333333</t>
  </si>
  <si>
    <t>BC Turvania1.2Inverter(MBUS-14)45989,695833275545989,695833275545989,7083333333</t>
  </si>
  <si>
    <t>BC Turvania1.2Inverter(MBUS-15)45989,695833275545989,695833275545989,7083333333</t>
  </si>
  <si>
    <t>BC Turvania1.3Inverter(MBUS-1)45989,695833275545989,695833275545989,7083333333</t>
  </si>
  <si>
    <t>BC Turvania1.3Inverter(MBUS-13)45989,695833275545989,695833275545989,7083333333</t>
  </si>
  <si>
    <t>BC Turvania1.3Inverter(MBUS-14)45989,695833275545989,695833275545989,7083333333</t>
  </si>
  <si>
    <t>BC Turvania1.3Inverter(MBUS-15)45989,695833275545989,695833275545989,7083333333</t>
  </si>
  <si>
    <t>BC Turvania1.4Inverter(MBUS-12)45989,695833275545989,695833275545989,7083333333</t>
  </si>
  <si>
    <t>BC Turvania1.4Inverter(MBUS-13)45989,695833275545989,695833275545989,7083333333</t>
  </si>
  <si>
    <t>BC Turvania1.4Inverter(MBUS-14)45989,695833275545989,695833275545989,7083333333</t>
  </si>
  <si>
    <t>BC Turvania1.4Inverter(MBUS-15)45989,695833275545989,695833275545989,7083333333</t>
  </si>
  <si>
    <t>BC Turvania1.5Inverter(MBUS-12)45989,695833275545989,695833275545989,7083333333</t>
  </si>
  <si>
    <t>BC Turvania1.5Inverter(MBUS-13)45989,695833275545989,695833275545989,7083333333</t>
  </si>
  <si>
    <t>BC Turvania1.5Inverter(MBUS-14)45989,695833275545989,695833275545989,7083333333</t>
  </si>
  <si>
    <t>BC Turvania1.5Inverter(MBUS-1)45989,695833275545989,695833275545989,7083333333</t>
  </si>
  <si>
    <t>BC Turvania1.1Inverter(MBUS-12)45989,695833333345989,695833333345989,7083333333</t>
  </si>
  <si>
    <t>BC Turvania1.1Inverter(MBUS-13)45989,695833333345989,695833333345989,7083333333</t>
  </si>
  <si>
    <t>ARAGUATINS 1.1Inverter(MBUS-12)45989,833333333345989,833333333345990,2854166667</t>
  </si>
  <si>
    <t>ARAGUATINS 1.1Inverter(MBUS-13)45989,833333333345989,833333333345990,2854166667</t>
  </si>
  <si>
    <t>ARAGUATINS 1.1Inverter(MBUS-14)45989,833333333345989,833333333345990,2854166667</t>
  </si>
  <si>
    <t>ARAGUATINS 1.1Inverter(MBUS-15)45989,833333333345989,833333333345990,2854166667</t>
  </si>
  <si>
    <t>ARAGUATINS 1.2Inverter(MBUS-12)45989,833333333345989,833333333345990,2854166667</t>
  </si>
  <si>
    <t>ARAGUATINS 1.2Inverter(MBUS-13)45989,833333333345989,833333333345990,2854166667</t>
  </si>
  <si>
    <t>ARAGUATINS 1.2Inverter(MBUS-14)45989,833333333345989,833333333345990,2854166667</t>
  </si>
  <si>
    <t>ARAGUATINS 1.2Inverter(MBUS-15)45989,833333333345989,833333333345990,2854166667</t>
  </si>
  <si>
    <t>ARAGUATINS 1.3Inverter(MBUS-20)45989,833333333345989,833333333345990,2854166667</t>
  </si>
  <si>
    <t>ARAGUATINS 1.3Inverter(MBUS-1)45989,833333333345989,833333333345990,2854166667</t>
  </si>
  <si>
    <t>Relé de proteção  atuado com função 47.</t>
  </si>
  <si>
    <t>BC Formoso1.2Inverter(MBUS-13)45990,477777777845990,477777777845990,5</t>
  </si>
  <si>
    <t>BC Formoso1.2Inverter(MBUS-12)45990,477777777845990,477777777845990,5</t>
  </si>
  <si>
    <t>BC Formoso1.2Inverter(MBUS-15)45990,477777777845990,477777777845990,5</t>
  </si>
  <si>
    <t>BC Formoso1.2Inverter(MBUS-14)45990,477777777845990,477777777845990,5</t>
  </si>
  <si>
    <t>Relé de proteção  atuado com função 59N.</t>
  </si>
  <si>
    <t>BC Formoso2.2Inverter(MBUS-14)45991,252777777845991,252777777845991,3888888889</t>
  </si>
  <si>
    <t>BC Formoso2.2Inverter(MBUS-13)45991,252777777845991,252777777845991,3888888889</t>
  </si>
  <si>
    <t>BC Formoso2.2Inverter(MBUS-12)45991,252777777845991,252777777845991,3888888889</t>
  </si>
  <si>
    <t>BC Formoso2.2Inverter(MBUS-1)45991,252777777845991,252777777845991,3888888889</t>
  </si>
  <si>
    <t>Falha de comunicação.</t>
  </si>
  <si>
    <t>Foi reiniciado o roteador e os loggers.</t>
  </si>
  <si>
    <t>ARAGUATINS 1.1Inverter(MBUS-12)45991,435416666745991,435416666745991,4652777778</t>
  </si>
  <si>
    <t>ARAGUATINS 1.1Inverter(MBUS-13)45991,435416666745991,435416666745991,4652777778</t>
  </si>
  <si>
    <t>ARAGUATINS 1.1Inverter(MBUS-14)45991,435416666745991,435416666745991,4652777778</t>
  </si>
  <si>
    <t>ARAGUATINS 1.1Inverter(MBUS-15)45991,435416666745991,435416666745991,4652777778</t>
  </si>
  <si>
    <t>ARAGUATINS 1.2Inverter(MBUS-12)45991,435416666745991,435416666745991,4652777778</t>
  </si>
  <si>
    <t>ARAGUATINS 1.2Inverter(MBUS-13)45991,435416666745991,435416666745991,4652777778</t>
  </si>
  <si>
    <t>ARAGUATINS 1.2Inverter(MBUS-14)45991,435416666745991,435416666745991,4652777778</t>
  </si>
  <si>
    <t>ARAGUATINS 1.2Inverter(MBUS-15)45991,435416666745991,435416666745991,4652777778</t>
  </si>
  <si>
    <t>ARAGUATINS 1.3Inverter(MBUS-20)45991,435416666745991,435416666745991,4652777778</t>
  </si>
  <si>
    <t>ARAGUATINS 1.3Inverter(MBUS-1)45991,435416666745991,435416666745991,4652777778</t>
  </si>
  <si>
    <t>ARAGUATINS 2.1Inverter(MBUS-13)45991,435416666745991,435416666745991,4652777778</t>
  </si>
  <si>
    <t>ARAGUATINS 2.1Inverter(MBUS-12)45991,435416666745991,435416666745991,4652777778</t>
  </si>
  <si>
    <t>ARAGUATINS 2.1Inverter(MBUS-15)45991,435416666745991,435416666745991,4652777778</t>
  </si>
  <si>
    <t>ARAGUATINS 2.1Inverter(MBUS-14)45991,435416666745991,435416666745991,4652777778</t>
  </si>
  <si>
    <t>ARAGUATINS 2.2Inverter(MBUS-15)45991,435416666745991,435416666745991,4652777778</t>
  </si>
  <si>
    <t>ARAGUATINS 2.2Inverter(MBUS-13)45991,435416666745991,435416666745991,4652777778</t>
  </si>
  <si>
    <t>ARAGUATINS 2.2Inverter(MBUS-14)45991,435416666745991,435416666745991,4652777778</t>
  </si>
  <si>
    <t>ARAGUATINS 2.2Inverter(MBUS-12)45991,435416666745991,435416666745991,4652777778</t>
  </si>
  <si>
    <t>ARAGUATINS 2.3Inverter(MBUS-12)45991,435416666745991,435416666745991,4652777778</t>
  </si>
  <si>
    <t>ARAGUATINS 2.3Inverter(MBUS-13)45991,435416666745991,435416666745991,4652777778</t>
  </si>
  <si>
    <t>BC Varjao2.1215KTL-H0(MBUS-12)45991,660416666745991,660416666745991,6631944444</t>
  </si>
  <si>
    <t>2025-11-01 10:49:56</t>
  </si>
  <si>
    <t>2025-11-01 10:52:55</t>
  </si>
  <si>
    <t>Conexão inversa do MPPT</t>
  </si>
  <si>
    <t>BC Aracu2araçu 2.3 inversor 42025-11-01 10:49:562025-11-01 10:49:562025-11-01 10:52:55</t>
  </si>
  <si>
    <t>2025-11-02 05:29:15</t>
  </si>
  <si>
    <t>2025-11-02 05:33:38</t>
  </si>
  <si>
    <t>BC Aracu2araçu 2.3 inversor 42025-11-02 05:29:152025-11-02 05:29:152025-11-02 05:33:38</t>
  </si>
  <si>
    <t>2025-11-04 05:50:34</t>
  </si>
  <si>
    <t>2025-11-04 05:53:30</t>
  </si>
  <si>
    <t>Corrente de fuga excessiva</t>
  </si>
  <si>
    <t>BC Aracu2araçu 2.2 inversor 22025-11-04 05:50:342025-11-04 05:50:342025-11-04 05:53:30</t>
  </si>
  <si>
    <t>2025-11-09 05:44:51</t>
  </si>
  <si>
    <t>2025-11-09 05:47:50</t>
  </si>
  <si>
    <t>BC Aracu2araçu 2.2 inversor 22025-11-09 05:44:512025-11-09 05:44:512025-11-09 05:47:50</t>
  </si>
  <si>
    <t>2025-11-11 05:24:27</t>
  </si>
  <si>
    <t>2025-11-11 05:27:28</t>
  </si>
  <si>
    <t>BC Aracu2araçu 2.2 inversor 22025-11-11 05:24:272025-11-11 05:24:272025-11-11 05:27:28</t>
  </si>
  <si>
    <t>2025-11-13 05:29:04</t>
  </si>
  <si>
    <t>2025-11-13 05:32:01</t>
  </si>
  <si>
    <t>BC Aracu2araçu 2.2 inversor 22025-11-13 05:29:042025-11-13 05:29:042025-11-13 05:32:01</t>
  </si>
  <si>
    <t>2025-11-15 15:59:09</t>
  </si>
  <si>
    <t>2025-11-15 16:07:20</t>
  </si>
  <si>
    <t>BC Aracu2araçu 2.3 inversor 42025-11-15 15:59:092025-11-15 15:59:092025-11-15 16:07:20</t>
  </si>
  <si>
    <t>2025-11-16 05:32:54</t>
  </si>
  <si>
    <t>2025-11-16 05:35:52</t>
  </si>
  <si>
    <t>BC Aracu2araçu 2.2 inversor 22025-11-16 05:32:542025-11-16 05:32:542025-11-16 05:35:52</t>
  </si>
  <si>
    <t>2025-11-17 13:12:49</t>
  </si>
  <si>
    <t>2025-11-17 15:30:22</t>
  </si>
  <si>
    <t>Queda da rede</t>
  </si>
  <si>
    <t>Mantenedor fez a verificação local e normalizou os inversores.</t>
  </si>
  <si>
    <t>BC Aracu2araçu 2.2 inversor 22025-11-17 13:12:492025-11-17 13:12:492025-11-17 15:30:22</t>
  </si>
  <si>
    <t>2025-11-17 13:12:52</t>
  </si>
  <si>
    <t>2025-11-17 15:30:33</t>
  </si>
  <si>
    <t>BC Aracu2araçu 2.2 inversor 32025-11-17 13:12:522025-11-17 13:12:522025-11-17 15:30:33</t>
  </si>
  <si>
    <t>2025-11-21 15:57:07</t>
  </si>
  <si>
    <t>2025-11-21 16:03:33</t>
  </si>
  <si>
    <t>BC Aracu2araçu 2.3 inversor 42025-11-21 15:57:072025-11-21 15:57:072025-11-21 16:03:33</t>
  </si>
  <si>
    <t>2025-11-21 18:31:48</t>
  </si>
  <si>
    <t>2025-11-21 18:45:21</t>
  </si>
  <si>
    <t>BC Aracu2araçu 2.3 inversor 42025-11-21 18:31:482025-11-21 18:31:482025-11-21 18:45:21</t>
  </si>
  <si>
    <t>2025-11-22 12:31:13</t>
  </si>
  <si>
    <t>2025-11-22 13:57:30</t>
  </si>
  <si>
    <t>BC Aracu2araçu 2.3 inversor 42025-11-22 12:31:132025-11-22 12:31:132025-11-22 13:57:30</t>
  </si>
  <si>
    <t>2025-11-23 16:15:36</t>
  </si>
  <si>
    <t>2025-11-23 17:38:11</t>
  </si>
  <si>
    <t>BC Aracu2araçu 2.3 inversor 42025-11-23 16:15:362025-11-23 16:15:362025-11-23 17:38:11</t>
  </si>
  <si>
    <t>2025-11-24 18:01:13</t>
  </si>
  <si>
    <t>2025-11-24 18:10:21</t>
  </si>
  <si>
    <t>BC Aracu2araçu 2.3 inversor 42025-11-24 18:01:132025-11-24 18:01:132025-11-24 18:10:21</t>
  </si>
  <si>
    <t>2025-11-27 05:37:41</t>
  </si>
  <si>
    <t>2025-11-27 05:40:43</t>
  </si>
  <si>
    <t>BC Aracu2araçu 2.2 inversor 22025-11-27 05:37:412025-11-27 05:37:412025-11-27 05:40:43</t>
  </si>
  <si>
    <t>2025-11-28 15:19:53</t>
  </si>
  <si>
    <t>2025-11-28 15:35:06</t>
  </si>
  <si>
    <t>BC Aracu2araçu 2.3 inversor 42025-11-28 15:19:532025-11-28 15:19:532025-11-28 15:35:06</t>
  </si>
  <si>
    <t>2025-11-29 18:42:04</t>
  </si>
  <si>
    <t>2025-11-29 18:42:50</t>
  </si>
  <si>
    <t>BC Aracu2araçu 2.3 inversor 42025-11-29 18:42:042025-11-29 18:42:042025-11-29 18:42:50</t>
  </si>
  <si>
    <t>2025-11-30 05:36:20</t>
  </si>
  <si>
    <t>2025-11-30 05:39:14</t>
  </si>
  <si>
    <t>BC Aracu2araçu 2.2 inversor 22025-11-30 05:36:202025-11-30 05:36:202025-11-30 05:39:14</t>
  </si>
  <si>
    <t>Usina ou UFV</t>
  </si>
  <si>
    <t>Data</t>
  </si>
  <si>
    <t>Horário de Brasília</t>
  </si>
  <si>
    <t>Horário local</t>
  </si>
  <si>
    <t>Classificação</t>
  </si>
  <si>
    <t>Tipo</t>
  </si>
  <si>
    <t>Status</t>
  </si>
  <si>
    <t>ID Registro</t>
  </si>
  <si>
    <t>Descrição</t>
  </si>
  <si>
    <t>Ação</t>
  </si>
  <si>
    <t>Hora final</t>
  </si>
  <si>
    <t>Data final</t>
  </si>
  <si>
    <t>Clareira de Araçu</t>
  </si>
  <si>
    <t>CFTV</t>
  </si>
  <si>
    <t>Off-line</t>
  </si>
  <si>
    <t>fechado</t>
  </si>
  <si>
    <t>relé atuado por 32</t>
  </si>
  <si>
    <t>foi feito a espeçao na subestaçao e resetado o relé e rearmado o disjuntor</t>
  </si>
  <si>
    <t>Varjão 2.1</t>
  </si>
  <si>
    <t>DAU INV - Falha 2064.</t>
  </si>
  <si>
    <t>Aberto</t>
  </si>
  <si>
    <t>Após avaliação junto com o integrador Weg e fabricante huawei, o inversor deu entrada em tratativa em garantia após apresentar a falha 2064 - equipamento anormal.</t>
  </si>
  <si>
    <t>Realização dos testes: - Reset eletrônico, medições e coleta de LOGs.</t>
  </si>
  <si>
    <t>UFV Clareira de Araçu</t>
  </si>
  <si>
    <t>UFV e CFTV</t>
  </si>
  <si>
    <t>Inversores e câmeras Off-line</t>
  </si>
  <si>
    <t>Aguardando avaliação.</t>
  </si>
  <si>
    <t>Foi encaminhado para o Grupo O&amp;M / Mantenedor</t>
  </si>
  <si>
    <t>Lençóis Paulista</t>
  </si>
  <si>
    <t>14h34</t>
  </si>
  <si>
    <t>Manutenção preventiva.</t>
  </si>
  <si>
    <t>Programada</t>
  </si>
  <si>
    <t>Desligamento da UFC para limpeza e inspeção do transformador rebaixados se tensão.</t>
  </si>
  <si>
    <t>Feito limpeza, verificado reaberto dos terminais de ligação, condições das muflas, fixação dos cabos neutro e terra.</t>
  </si>
  <si>
    <t>15h37</t>
  </si>
  <si>
    <t>UFV / CFTV</t>
  </si>
  <si>
    <t>Fechado</t>
  </si>
  <si>
    <t>UFV Camarão Complexo</t>
  </si>
  <si>
    <t>Inversores Off-line</t>
  </si>
  <si>
    <t>Sobretensão na rede.</t>
  </si>
  <si>
    <t>Foi feito a inspeção dos transformadores, reiniciado o relé e rearmado o disjuntor.</t>
  </si>
  <si>
    <t>UFV Formoso Complexo</t>
  </si>
  <si>
    <t>Falha na internet e comunicação</t>
  </si>
  <si>
    <t>Foi acionado o provedor, já normalizou a rede (houve uma interrupção por causa de um cabo rompido devido a chuva mas já normalizou</t>
  </si>
  <si>
    <t>UFV FORMOSO 1.2-1.3-2.1-2.2-2.3</t>
  </si>
  <si>
    <t>INVERSORES OFF-LINE</t>
  </si>
  <si>
    <t>Queda de rede,FAHLA no relé de proteção (código da falha ,47) desiqulibrio de tensão</t>
  </si>
  <si>
    <t>Foi inspeçionado cúbiculos e feito reset no relé de proteção e rearmado dijuntor</t>
  </si>
  <si>
    <t>UFV CAIAPONIA 2.1-2.2-2.3</t>
  </si>
  <si>
    <t>INVERSORES OFF-LINE / CFTV PARCIAL</t>
  </si>
  <si>
    <t>teve uma queda de rede, concessionária atuando relé 27 ABC</t>
  </si>
  <si>
    <t>foi feito inspeção em campo e nos transformar, e resetado os relés e fechado o disjuntores</t>
  </si>
  <si>
    <t>UFV Vazante I (Complexo)</t>
  </si>
  <si>
    <t>Inversores e câmeras off-line</t>
  </si>
  <si>
    <t>Execução do comissionamento e testes nos componentes de medição e geração do complexo.</t>
  </si>
  <si>
    <t>Foram realizados os seguintes serviços: Comissionamento dos transformadores de média tensão, Inspeção e testes dos barramentos.</t>
  </si>
  <si>
    <t>Corumbá 2.2</t>
  </si>
  <si>
    <t>falha na comunicação ( internet)</t>
  </si>
  <si>
    <t>normalizou sozinha</t>
  </si>
  <si>
    <t>UFV Vazante 2.1</t>
  </si>
  <si>
    <t>UFV / Desligamento programado</t>
  </si>
  <si>
    <t>Inversores Online</t>
  </si>
  <si>
    <t>Foi realizada a adequação no QGBT para instalação de DPS.</t>
  </si>
  <si>
    <t>Foi feito a substituição do relé e rearmado o disjuntor usina normalizads</t>
  </si>
  <si>
    <t>UFV Turvania</t>
  </si>
  <si>
    <t>Algumas câmeras Off-line .</t>
  </si>
  <si>
    <t>falha de comunicação cftv</t>
  </si>
  <si>
    <t>reiniciado o CFTV</t>
  </si>
  <si>
    <t>Rio Monte 3</t>
  </si>
  <si>
    <t>Inversores Off-line .</t>
  </si>
  <si>
    <t>Queda de tensão.</t>
  </si>
  <si>
    <t>Foi feito inspeção e fechado o religador .</t>
  </si>
  <si>
    <t>07h10</t>
  </si>
  <si>
    <t>Relé de segurança cabine de entrada acionado as falhas 59 - N e 27 - Fase B e C</t>
  </si>
  <si>
    <t>Resetado rele e rearmado disjuntor, partido a usina e acompanhando funcionando.</t>
  </si>
  <si>
    <t>7h30</t>
  </si>
  <si>
    <t>UFV Vazante 1.3</t>
  </si>
  <si>
    <t>Inversores Offline</t>
  </si>
  <si>
    <t>Encaminhado ao grupo O&amp;M para registro de atividades.</t>
  </si>
  <si>
    <t>UFV Vazante 2.2</t>
  </si>
  <si>
    <t>Solicitação encaminhada ao grupo de Operação e Manutenção (O&amp;M).</t>
  </si>
  <si>
    <t>UFV Camarão</t>
  </si>
  <si>
    <t>Câmeras On-line .</t>
  </si>
  <si>
    <t>Falha comunicação</t>
  </si>
  <si>
    <t>Foi reiniciado o sistema de CFTV e da internet e logo em seguida normalizou.</t>
  </si>
  <si>
    <t>13h10</t>
  </si>
  <si>
    <t>Inversores off-line</t>
  </si>
  <si>
    <t>UFV Caiapônia 2.3</t>
  </si>
  <si>
    <t>Inversor Off-line 215KTL</t>
  </si>
  <si>
    <t>Inversor com falha ao sincronizar</t>
  </si>
  <si>
    <t>foi feito reset no inversor</t>
  </si>
  <si>
    <t>UFV CORUMBÁ - COMPLEXO</t>
  </si>
  <si>
    <t>INVERSORES OFF-LINE - COMPLEXO</t>
  </si>
  <si>
    <t>Foi feito inspeção em todo complexo, checado os níveis de tensão, resetado relés e rearmados disjuntores.</t>
  </si>
  <si>
    <t>Formoso 1.2 e 1.3</t>
  </si>
  <si>
    <t>Desequilíbrio de rede externa da concessionária</t>
  </si>
  <si>
    <t>foi feito inspeção na UFV, resetado relé e rearmado disjuntores.</t>
  </si>
  <si>
    <t>UFV Varjão 1.1</t>
  </si>
  <si>
    <t>UFV / Desligamento Programado</t>
  </si>
  <si>
    <t>Desligamento Programado - manutenção preventiva</t>
  </si>
  <si>
    <t>Adequação do QGBT da unidade consumidora, instalação de DPS e ensaio do Tok-Pass.</t>
  </si>
  <si>
    <t>Instalação dos Dps. Instalação da chave NH.</t>
  </si>
  <si>
    <t>BC Camarão 1 a 5</t>
  </si>
  <si>
    <t>FECHADO</t>
  </si>
  <si>
    <t>12h40</t>
  </si>
  <si>
    <t>Realização de comissionamento dos transformadores de média tensão.</t>
  </si>
  <si>
    <t>Foram realizados testes funcionais nos cubículos de média tensão. UFV Vazante 2.2 e 2.3 foram normalizadas.</t>
  </si>
  <si>
    <t>16h00</t>
  </si>
  <si>
    <t>UFV Varjão 1.2</t>
  </si>
  <si>
    <t>UFV Varjão 1.3</t>
  </si>
  <si>
    <t>UFV Formoso 1.3</t>
  </si>
  <si>
    <t>Desligamento Programado</t>
  </si>
  <si>
    <t>Realização de teste operacional para verificação dos procedimentos de desligamento e religamento.</t>
  </si>
  <si>
    <t>Treinamento do mantenedor e acompanhamento das etapas do procedimento de manobra</t>
  </si>
  <si>
    <t>Formoso ( 1.2 e 1.3 )</t>
  </si>
  <si>
    <t>Inversores off-line .</t>
  </si>
  <si>
    <t>foi feito a inspeção no rele , feito reset, e estabelecendo o funcionamento da usina</t>
  </si>
  <si>
    <t>Vazante 2.2</t>
  </si>
  <si>
    <t>Durante a inspeção, foi identificada falha de comunicação entre os inversores, causada por um conversor de mídia queimado.</t>
  </si>
  <si>
    <t>07h30</t>
  </si>
  <si>
    <t>religador aberto devido tempo chuvoso.</t>
  </si>
  <si>
    <t>foi feito inspeção em campo e no transformador, e fechado religador</t>
  </si>
  <si>
    <t>UFV Varjão 2.1</t>
  </si>
  <si>
    <t>UFV Varjão 2.3</t>
  </si>
  <si>
    <t>Formoso 1.3</t>
  </si>
  <si>
    <t>Encaminhado ocorrência no Grupo O&amp;M / Mantenedor .</t>
  </si>
  <si>
    <t>UFV Varjão 2.2</t>
  </si>
  <si>
    <t>religador aberto devido desequilíbrio de rede da concessionária.</t>
  </si>
  <si>
    <t>foi feito manobras de energização, e fechado o religador.</t>
  </si>
  <si>
    <t>Durante testes de verificação de conexão, foi identificado que a fonte de alimentação do conversor de mídia encontrava-se queimada.</t>
  </si>
  <si>
    <t>Formoso 1.2</t>
  </si>
  <si>
    <t>Fechada</t>
  </si>
  <si>
    <t>desequilíbrio de rede externa ( concessionária).</t>
  </si>
  <si>
    <t>foi feita inspeção em toda a UFV, resetado relé e rearmado disjuntor.</t>
  </si>
  <si>
    <t>Araçu 5 todo complexo</t>
  </si>
  <si>
    <t>UFV: Araçu 5 CFTV: Araçu 4</t>
  </si>
  <si>
    <t>off-line .</t>
  </si>
  <si>
    <t>relé atuado por 86 na fase B</t>
  </si>
  <si>
    <t>foi feito a espeçao na subestaçao rearmado o disjuntor</t>
  </si>
  <si>
    <t>Bom sucesso ( CFTV )</t>
  </si>
  <si>
    <t>off-line</t>
  </si>
  <si>
    <t>falha na comunicação ( internet).</t>
  </si>
  <si>
    <t>resetado sistema de comunicação.</t>
  </si>
  <si>
    <t>Araguatins todo complexo</t>
  </si>
  <si>
    <t>relé atuando na função 86Q e 57A na UFV Araguatins 01 e na UFV Araguatins 02 atuou na 47A</t>
  </si>
  <si>
    <t>inspeção visual em campo resetado os relé e rearmado os disjuntores</t>
  </si>
  <si>
    <t>Paranoá</t>
  </si>
  <si>
    <t>Câmeras Off-line .</t>
  </si>
  <si>
    <t>Acionado mantenedor para fazer ronda na UFV.</t>
  </si>
  <si>
    <t>Inversor com falha de geração .</t>
  </si>
  <si>
    <t>Encaminhado ocorrência no Grupo O&amp;M / Mantenedor</t>
  </si>
  <si>
    <t>Invesores Off-line .</t>
  </si>
  <si>
    <t>Religador aberto devido o tempo chuvoso.</t>
  </si>
  <si>
    <t>Foi feito inspeção em campo e fechado o religador.</t>
  </si>
  <si>
    <t>Bom sucesso</t>
  </si>
  <si>
    <t>Invesores on-line .</t>
  </si>
  <si>
    <t>falha na comunicação</t>
  </si>
  <si>
    <t>Foi feito as inspeções nos componentes e nos inversores reiniciando o sistema e voltando a comunicação normal.</t>
  </si>
  <si>
    <t>Araguatins 1.3</t>
  </si>
  <si>
    <t>falta de energia sem nenhum alarme no relé</t>
  </si>
  <si>
    <t>inspeção visual resetado o relé e rearmado disjutor</t>
  </si>
  <si>
    <t>UFV Araçu 4</t>
  </si>
  <si>
    <t>relé atuado por 86 . e 27 na fase C</t>
  </si>
  <si>
    <t>fechando</t>
  </si>
  <si>
    <t>falha na comunicação do CFTV.</t>
  </si>
  <si>
    <t>reiniciando o sistema do CfTV. Normalizado a comunicação</t>
  </si>
  <si>
    <t>Realizada a aquisição dos elos fusíveis pela equipe técnica e procedeu-se com a substituição.</t>
  </si>
  <si>
    <t>UFV Formoso 1.2 e 2.1</t>
  </si>
  <si>
    <t>Aguardando avaliação</t>
  </si>
  <si>
    <t>CFTV PARANOÁ</t>
  </si>
  <si>
    <t>NA PLATAFORMA MONUV CAMERAS 2-3-5 off</t>
  </si>
  <si>
    <t>ABERTO</t>
  </si>
  <si>
    <t>AGUARDANDO AVALIAÇÃO</t>
  </si>
  <si>
    <t>Encaminhado para GRUPO O&amp;M E MANTENEDOR</t>
  </si>
  <si>
    <t>CFTV BOM SUCESSO-PARCIAL</t>
  </si>
  <si>
    <t>CFTV PARCIALMENTE OFF-LINE</t>
  </si>
  <si>
    <t>UFV RIO BONITO 1</t>
  </si>
  <si>
    <t>Foi feito inspeção em campo e fechado o religador/rearmado disjuntores</t>
  </si>
  <si>
    <t>UFV RIO BONITO 2</t>
  </si>
  <si>
    <t>FALHA NA COMUNICAÇÃO</t>
  </si>
  <si>
    <t>REINICIADO DATA LOGGER</t>
  </si>
  <si>
    <t>UFV RIO Monte 03</t>
  </si>
  <si>
    <t>queda de rede concessionária</t>
  </si>
  <si>
    <t>foi feito manobras para Energisa usina e fechado o religador</t>
  </si>
  <si>
    <t>10h41</t>
  </si>
  <si>
    <t>Aberta</t>
  </si>
  <si>
    <t>Foi identificado que um dos inversores (ES2170028664) entrou em estado de falha.</t>
  </si>
  <si>
    <t>Iniciados os procedimentos técnicos de garantia junto à fabricante HDT Energy.</t>
  </si>
  <si>
    <t>Araçu 5</t>
  </si>
  <si>
    <t>OFF-LINE</t>
  </si>
  <si>
    <t>camarão CFTV</t>
  </si>
  <si>
    <t>falha na comunicação do CFTV</t>
  </si>
  <si>
    <t>foi resetado o sistema do CFTV</t>
  </si>
  <si>
    <t>Câmeras Off-line</t>
  </si>
  <si>
    <t>devido ao tempo chuvoso as baterias não receberam carga o suficiente</t>
  </si>
  <si>
    <t>AUTO-RESTAR</t>
  </si>
  <si>
    <t>Rio Monte 03</t>
  </si>
  <si>
    <t>desequilíbrio de rede.</t>
  </si>
  <si>
    <t>foi feito manobras para Energisa usina, foi fechado o religador</t>
  </si>
  <si>
    <t>UFV Varjao 2.1</t>
  </si>
  <si>
    <t>Realizar o comissionamento dos transformadores de média tensão.</t>
  </si>
  <si>
    <t>Acompanhar e registrar as atividades.</t>
  </si>
  <si>
    <t>UFV Varjao 1.1</t>
  </si>
  <si>
    <t>Araguatins 2.2</t>
  </si>
  <si>
    <t>Inversor off-line .</t>
  </si>
  <si>
    <t>Aguardando avaliação .</t>
  </si>
  <si>
    <t>Encaminhado para Grupo O&amp;M / Mantenedor .</t>
  </si>
  <si>
    <t>UFV Varjao 1.2</t>
  </si>
  <si>
    <t>UFV Barra do Garças Complexo</t>
  </si>
  <si>
    <t>Inversores e Câmeras off-line .</t>
  </si>
  <si>
    <t>foi feito manobras para Energisa usina, e foi fechado o religador.</t>
  </si>
  <si>
    <t>Falha na rede. Chamado já aberto na concessionária: 462071852</t>
  </si>
  <si>
    <t>Encaminhado para grupo O&amp;M / Mantenedor.</t>
  </si>
  <si>
    <t>UFV Varjao 1.3</t>
  </si>
  <si>
    <t>UFV CORUMBÁ DE GOIAS - CFTV</t>
  </si>
  <si>
    <t>INVERSORES OFF-LINE / CFTV OFF-LINE</t>
  </si>
  <si>
    <t>Foi feito inspeção em todo complexo, checado os níveis de tensão, resetado relé e rearmado disjuntores</t>
  </si>
  <si>
    <t>UFV Varjao 2.3</t>
  </si>
  <si>
    <t>aberto</t>
  </si>
  <si>
    <t>Aguardando Avaliação</t>
  </si>
  <si>
    <t>Encaminhado para grupo O&amp;M</t>
  </si>
  <si>
    <t>UFV Varjao 2.2</t>
  </si>
  <si>
    <t>Tracker em posição de segurança - Alarme de rajada de vento na RSU</t>
  </si>
  <si>
    <t>Usina gerando, porém trackers em posição de segurança, por conta de alarme de rajada de vento na RSU.</t>
  </si>
  <si>
    <t>Acompanhado movimentação dos Trackers depois do alarme de rajadas de vento.</t>
  </si>
  <si>
    <t>UFV Rio Monte 03</t>
  </si>
  <si>
    <t>Realizar o comissionamento dos cabos de média tensão e testes nos barramentos.</t>
  </si>
  <si>
    <t>Testes e Megagem dos cabos de média tensão,muflas e componentes.</t>
  </si>
  <si>
    <t>Varjão 2 - CFTV</t>
  </si>
  <si>
    <t>Varjão 2 todo complexo</t>
  </si>
  <si>
    <t>inversores e cftv offline por causa de uma queda do provedor de internet.</t>
  </si>
  <si>
    <t>Contatar provedor de internet.</t>
  </si>
  <si>
    <t>Caiapônia ( Complexo )</t>
  </si>
  <si>
    <t>Queda de rede da concessionária atuando relés 27ABC e 59ABC</t>
  </si>
  <si>
    <t>foi feito inspeção em campo e reset nos relés, e foi fechado o disjuntor</t>
  </si>
  <si>
    <t>Rio Monte ( Complexo )</t>
  </si>
  <si>
    <t>foi feito inspeção em campo e fechado religador</t>
  </si>
  <si>
    <t>Panamá 1.1</t>
  </si>
  <si>
    <t>instabilidade de comunicação da internet local.</t>
  </si>
  <si>
    <t>foi feito inspeção local, reset da internet e normalizado a comunicação.</t>
  </si>
  <si>
    <t>UFV Rio Monte 01 e 02</t>
  </si>
  <si>
    <t>Paranoá - CFTV</t>
  </si>
  <si>
    <t>UFV Barra do Garças</t>
  </si>
  <si>
    <t>Varjão 1 todo complexo</t>
  </si>
  <si>
    <t>Problema no inversor off grid que alimenta a sala de controle.</t>
  </si>
  <si>
    <t>mudar ligações das tomadas para a quadro da rede da concessionária.</t>
  </si>
  <si>
    <t>UFV ARAGUATINS 1.1...</t>
  </si>
  <si>
    <t>INVERSORES OFF-LINE-CFTV OFF-LINE</t>
  </si>
  <si>
    <t>Relé atuando na função 27 e 47</t>
  </si>
  <si>
    <t>inspecionado todo complexo e resetado os relé e rearmado os disjuntores</t>
  </si>
  <si>
    <t>UFV FORMOSO 2.2</t>
  </si>
  <si>
    <t>Relé de proteção atuando na função 86</t>
  </si>
  <si>
    <t>Foi feita a inspeção em toda a UFV , foi resetado o relé e rearmado o disjuntor</t>
  </si>
  <si>
    <t>UFV ARAGUATINS COMPLEXO</t>
  </si>
  <si>
    <t>INVERSORES OFF-LINE/CFTV OFF-LINE</t>
  </si>
  <si>
    <t>Falta de energia na UFV Araguatins 01 e 02 relé atuando na função 27 AC, 50N, 51N e 86Q</t>
  </si>
  <si>
    <t>Inspeção visual em todo complexo resetado relé e rearmado disjutor</t>
  </si>
  <si>
    <t>UFV Turvania COMPLEXO</t>
  </si>
  <si>
    <t>Realizado o reset da internet. Após procedimento voltou a comunicar CFTV e UFV.</t>
  </si>
  <si>
    <t>UFV Caiapônia 01 e 02</t>
  </si>
  <si>
    <t>queda de rede concessionária atuando relé 27 ABC</t>
  </si>
  <si>
    <t>foi feito inspeção em campo, transformador e cubículos, foi fechado o disjuntor</t>
  </si>
  <si>
    <t>foi feito inspeção em campo, foi fechado o religador</t>
  </si>
  <si>
    <t>UFV Araçu 5 COMPLEXO</t>
  </si>
  <si>
    <t>relé atuado por 81.86</t>
  </si>
  <si>
    <t>relé atuando na função 47</t>
  </si>
  <si>
    <t>UFV Paranoá</t>
  </si>
  <si>
    <t>Desligamento de todos os ativos para, posteriormente, normalizar a UFV VII.</t>
  </si>
  <si>
    <t>UFV Formoso 2 COMPLEXO</t>
  </si>
  <si>
    <t>Queda na rede da concessionária</t>
  </si>
  <si>
    <t>Feita a inspeção em campo e fechamento dos disjuntores</t>
  </si>
  <si>
    <t>UFV Formoso 2, COMPLEXO</t>
  </si>
  <si>
    <t>Queda na rede da concessionária.</t>
  </si>
  <si>
    <t>Foi feita a inspeção e o fechamento dos disjuntores</t>
  </si>
  <si>
    <t>UFV Araguatins ( Complexo )</t>
  </si>
  <si>
    <t>foi resetado roteador da internet</t>
  </si>
  <si>
    <t>inversor Off-line</t>
  </si>
  <si>
    <t>relé atuando na função 50N e 86Q</t>
  </si>
  <si>
    <t>reset no relé e rearmado disjutor</t>
  </si>
  <si>
    <t>Encaminhado para o Grupo O&amp;M / Mantenedor .</t>
  </si>
  <si>
    <t>UFV Caiapônia 1</t>
  </si>
  <si>
    <t>foi feito inspeção no transformador e resetado o relé, foi fechado o disjuntor</t>
  </si>
  <si>
    <t>UFV Vazante ( Complexo )</t>
  </si>
  <si>
    <t>Durante inspeção realizada em campo juntamente com a equipe técnica da CEMIG, foi identificado que uma descarga atmosférica atingiu o alimentador da rede elétrica.</t>
  </si>
  <si>
    <t>Para restabelecimento emergencial do fornecimento, foi executada a construção de uma rede aérea provisória.</t>
  </si>
  <si>
    <t>UFV Araguatins 1.3</t>
  </si>
  <si>
    <t>Inversores OFF-LINE</t>
  </si>
  <si>
    <t>falta de comunicação</t>
  </si>
  <si>
    <t>foi reiniciado sistema de comunicação</t>
  </si>
  <si>
    <t>foi feito reset no relé, e fechado o disjuntor</t>
  </si>
  <si>
    <t>UFV FORMOSO1.2-1.3-2.2</t>
  </si>
  <si>
    <t>Feita a inspeção em campo e fechamento do disjuntor</t>
  </si>
  <si>
    <t>Turvania 1.1</t>
  </si>
  <si>
    <t>resetado relé, e rearmado disjuntor</t>
  </si>
  <si>
    <t>UFV CORUMBÁ I e II</t>
  </si>
  <si>
    <t>durante a verificação foi constatado que estava faltando uma fase na rede da concessionária.</t>
  </si>
  <si>
    <t>após a concessionária normalizar o fornecimento de energia, foi feito inspeção em todo complexo.</t>
  </si>
  <si>
    <t>Encaminhado para GRUPO O&amp;M/ Júlio Cesar</t>
  </si>
  <si>
    <t>Camarão 1.1</t>
  </si>
  <si>
    <t>Falha de comunicação entre o sistema de geração com a plataforma de monitoramento.</t>
  </si>
  <si>
    <t>Realizado o reset no roteador local, restabelecendo a comunicação da usina com sucesso.</t>
  </si>
  <si>
    <t>Camarão 1.3</t>
  </si>
  <si>
    <t>Falha de comunicação entre o sistema e a plataforma de monitoramento.</t>
  </si>
  <si>
    <t>Realizado reset no roteador, o que restabeleceu a comunicação da usina.</t>
  </si>
  <si>
    <t>BOM SUCESSO - CFTV / UFV</t>
  </si>
  <si>
    <t>CFTV /UFV</t>
  </si>
  <si>
    <t>SOMENTE COM DUAS CAMERAS ATIVAS NO MOMENTO/ INVERSORES OFF-LINE</t>
  </si>
  <si>
    <t>falha de comunicação.</t>
  </si>
  <si>
    <t>ARAÇU 1</t>
  </si>
  <si>
    <t>UFV Araguatins 01</t>
  </si>
  <si>
    <t>Relé atuando na função 50N e 86Q</t>
  </si>
  <si>
    <t>inspeção reset no relé e rearmado disjutor</t>
  </si>
  <si>
    <t>Rio Bonito 1</t>
  </si>
  <si>
    <t>Foi feito inspeção na subestação e fechado o religador .</t>
  </si>
  <si>
    <t>UFV Araguatins 01 UFV 03</t>
  </si>
  <si>
    <t>sem nenhum alarme no relé AGUARDANDO AVALIAÇÃO</t>
  </si>
  <si>
    <t>inspeção visual fechado disjuntor</t>
  </si>
  <si>
    <t>UFV Aracu 4</t>
  </si>
  <si>
    <t>UFV Formoso 2.1</t>
  </si>
  <si>
    <t>Manutenção - TP</t>
  </si>
  <si>
    <t>#########</t>
  </si>
  <si>
    <t>adequação de TP</t>
  </si>
  <si>
    <t>Foi feita a adequação de um TP auxiliar</t>
  </si>
  <si>
    <t>queda de internet</t>
  </si>
  <si>
    <t>foi feito a espeçao no CFTV e Foi desligado e religado novamente o roteador de internet</t>
  </si>
  <si>
    <t>Foi feito a espeçao no CFTV e foi desligado e religado o roteador novamente</t>
  </si>
  <si>
    <t>UFV Estrela de Aracu</t>
  </si>
  <si>
    <t>foi feito a espeçao no CFTV e foi desligado e religado o roteador novamente</t>
  </si>
  <si>
    <t>UFV BC CAMARÃO 1.1</t>
  </si>
  <si>
    <t>A usina apresentou desligamento dos inversores devido à atuação do relé de proteção com o código 59ABC.</t>
  </si>
  <si>
    <t>Foi realizada inspeção nos componentes do sistema de geração e procedeu-se com o reset do relé de proteção.</t>
  </si>
  <si>
    <t>Formoso 2 complexo</t>
  </si>
  <si>
    <t>Foi feita a inspeção no local e rearmado os disjuntores</t>
  </si>
  <si>
    <t>UFV Camarão (Complexo)</t>
  </si>
  <si>
    <t>A usina apresentou falha de operação devido à interrupção no fornecimento de energia, causada por rompimento de cabo na rede.</t>
  </si>
  <si>
    <t>Foi realizada a emenda do cabo danificado e, em seguida, efetuado o reset do relé de proteção.</t>
  </si>
  <si>
    <t>Formoso 2 ( complexo )</t>
  </si>
  <si>
    <t>Relé atuando na função ABC</t>
  </si>
  <si>
    <t>Feita a inspeção no local e rearmado os disjuntores</t>
  </si>
  <si>
    <t>UFV Formoso 1.1</t>
  </si>
  <si>
    <t>Manutenção - QGBT</t>
  </si>
  <si>
    <t>Manutenção no QGBT , resolução de pendências pós entrega de obra</t>
  </si>
  <si>
    <t>Foi feita manutenção nas canaletas do QGBT</t>
  </si>
  <si>
    <t>sem alarme no relé AGUARDANDO AVALIAÇÃO</t>
  </si>
  <si>
    <t>inspeção visual e rearmado disjutor</t>
  </si>
  <si>
    <t>UFV Formoso 2.2</t>
  </si>
  <si>
    <t>Corumbá 1.1</t>
  </si>
  <si>
    <t>manutenção</t>
  </si>
  <si>
    <t>devido ter que abrir o disjuntor geral para equipe da Power sys fazer a manutenção corretiva nos cubículos.</t>
  </si>
  <si>
    <t>Após ser feito inspeção e manutenção nos cubículos, UFV foi energizada.</t>
  </si>
  <si>
    <t>UFV Araguatins 1.1 .1.2 1.3 2.1 2.2</t>
  </si>
  <si>
    <t>relé atuando na 50N 86Q 51abc</t>
  </si>
  <si>
    <t>inspeção reset nos relés e rearmado disjutor</t>
  </si>
  <si>
    <t>UFV BC PARANOÁ</t>
  </si>
  <si>
    <t>CAMERAS FUNCIONANDO PARCIALMENTE</t>
  </si>
  <si>
    <t>UFV ARAGUATINS 1.3</t>
  </si>
  <si>
    <t>sem alarme no relé</t>
  </si>
  <si>
    <t>inspecionado todo o cubículo reset no relé e rearmado disjutor</t>
  </si>
  <si>
    <t>UFV CAMARÃO 1.1</t>
  </si>
  <si>
    <t>A usina apresentou desligamento dos inversores devido à atuação do relé que não apresentou nem um cód de segurança.</t>
  </si>
  <si>
    <t>procedeu-se com o religamento do disjuntor . Após a ação, a usina retornou à operação normal.</t>
  </si>
  <si>
    <t>UFV BOM SUCESSO</t>
  </si>
  <si>
    <t>CAMERAS OFF-LINE (PARCIAL)</t>
  </si>
  <si>
    <t>falha na comunicação do sistema do CFTV.</t>
  </si>
  <si>
    <t>O sistema o CFTV voltou por si só</t>
  </si>
  <si>
    <t>Ibiúna 1.2</t>
  </si>
  <si>
    <t>Araguatins 2.1</t>
  </si>
  <si>
    <t>Ibiúna 1.1</t>
  </si>
  <si>
    <t>Caiapônia 1.1</t>
  </si>
  <si>
    <t>foi feito inspeção em campo, e feito reset nos relés e fechado o disjuntor</t>
  </si>
  <si>
    <t>falta de energia na UFV sem nenhum alarme no relé</t>
  </si>
  <si>
    <t>inspeção e rearmado disjutor</t>
  </si>
  <si>
    <t>ESTADO OPERATIVO</t>
  </si>
  <si>
    <t>CONDIÇÃO OPERATIVA</t>
  </si>
  <si>
    <t>ORIGEM</t>
  </si>
  <si>
    <t>Definição - Origem</t>
  </si>
  <si>
    <t>Causa Padrão</t>
  </si>
  <si>
    <t>NOR</t>
  </si>
  <si>
    <t>Anomalia no arranjo FV</t>
  </si>
  <si>
    <t>RPR</t>
  </si>
  <si>
    <t>Anomalia OP. Sistema</t>
  </si>
  <si>
    <t>DUR</t>
  </si>
  <si>
    <t>B. Res. Isolamento</t>
  </si>
  <si>
    <t>DMT</t>
  </si>
  <si>
    <t>Disjuntor MT</t>
  </si>
  <si>
    <t>COD</t>
  </si>
  <si>
    <t>ESO</t>
  </si>
  <si>
    <t>Estação Solarimétrica</t>
  </si>
  <si>
    <t>Não Aplicável</t>
  </si>
  <si>
    <t>Relé de proteção</t>
  </si>
  <si>
    <t>EPC</t>
  </si>
  <si>
    <t>Falha SPDA</t>
  </si>
  <si>
    <t>CBP</t>
  </si>
  <si>
    <t>Cabine Primária</t>
  </si>
  <si>
    <t>Falha String</t>
  </si>
  <si>
    <t>STR</t>
  </si>
  <si>
    <t>String</t>
  </si>
  <si>
    <t>Furto</t>
  </si>
  <si>
    <t>Limitação</t>
  </si>
  <si>
    <t>UC BC</t>
  </si>
  <si>
    <t>UC Brasol</t>
  </si>
  <si>
    <t>Araçu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</si>
</sst>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[h]:mm:ss;@"/>
    <numFmt numFmtId="166" formatCode="[$-F400]h:mm:ss\ AM/PM"/>
  </numFmts>
  <fonts count="16">
    <font>
      <sz val="11"/>
      <color theme="1"/>
      <name val="Calibri"/>
      <family val="2"/>
      <scheme val="minor"/>
    </font>
    <font>
      <b/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8"/>
      <color theme="1"/>
      <name val="Verdana"/>
      <family val="2"/>
    </font>
    <font>
      <sz val="11"/>
      <name val="Calibri"/>
      <family val="2"/>
    </font>
    <font>
      <sz val="11"/>
      <color rgb="FFFFC000"/>
      <name val="Calibri"/>
    </font>
    <font>
      <sz val="1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7B7B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5" fillId="0" borderId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/>
    </xf>
    <xf numFmtId="165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top"/>
    </xf>
    <xf numFmtId="0" fontId="3" fillId="0" borderId="0" xfId="0" applyFont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4" fontId="5" fillId="0" borderId="0" xfId="0" applyNumberFormat="1" applyFont="1" applyAlignment="1">
      <alignment wrapText="1"/>
    </xf>
    <xf numFmtId="20" fontId="5" fillId="0" borderId="0" xfId="0" applyNumberFormat="1" applyFont="1" applyAlignment="1">
      <alignment wrapText="1"/>
    </xf>
    <xf numFmtId="0" fontId="4" fillId="3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14" fontId="5" fillId="3" borderId="0" xfId="0" applyNumberFormat="1" applyFont="1" applyFill="1" applyAlignment="1">
      <alignment wrapText="1"/>
    </xf>
    <xf numFmtId="20" fontId="5" fillId="3" borderId="0" xfId="0" applyNumberFormat="1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14" fontId="5" fillId="4" borderId="0" xfId="0" applyNumberFormat="1" applyFont="1" applyFill="1" applyAlignment="1">
      <alignment wrapText="1"/>
    </xf>
    <xf numFmtId="20" fontId="5" fillId="4" borderId="0" xfId="0" applyNumberFormat="1" applyFont="1" applyFill="1" applyAlignment="1">
      <alignment wrapText="1"/>
    </xf>
    <xf numFmtId="16" fontId="5" fillId="0" borderId="0" xfId="0" applyNumberFormat="1" applyFont="1" applyAlignment="1">
      <alignment wrapText="1"/>
    </xf>
    <xf numFmtId="0" fontId="6" fillId="5" borderId="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6" borderId="0" xfId="0" applyFill="1"/>
    <xf numFmtId="0" fontId="4" fillId="7" borderId="0" xfId="0" applyFont="1" applyFill="1" applyAlignment="1">
      <alignment wrapText="1"/>
    </xf>
    <xf numFmtId="14" fontId="5" fillId="7" borderId="0" xfId="0" applyNumberFormat="1" applyFont="1" applyFill="1" applyAlignment="1">
      <alignment wrapText="1"/>
    </xf>
    <xf numFmtId="20" fontId="5" fillId="7" borderId="0" xfId="0" applyNumberFormat="1" applyFont="1" applyFill="1" applyAlignment="1">
      <alignment wrapText="1"/>
    </xf>
    <xf numFmtId="0" fontId="5" fillId="7" borderId="0" xfId="0" applyFont="1" applyFill="1" applyAlignment="1">
      <alignment wrapText="1"/>
    </xf>
    <xf numFmtId="0" fontId="8" fillId="8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11" fillId="0" borderId="2" xfId="0" applyNumberFormat="1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5" fillId="0" borderId="0" xfId="0" applyFont="1"/>
    <xf numFmtId="22" fontId="5" fillId="0" borderId="0" xfId="0" applyNumberFormat="1" applyFont="1"/>
    <xf numFmtId="0" fontId="0" fillId="6" borderId="0" xfId="0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5" fontId="0" fillId="10" borderId="0" xfId="0" applyNumberFormat="1" applyFill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16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0" fontId="0" fillId="11" borderId="0" xfId="0" applyFill="1"/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2">
    <cellStyle name="Normal" xfId="0" builtinId="0"/>
    <cellStyle name="Normal 2" xfId="1" xr:uid="{1C7782C3-6076-4954-9211-E716C191A02D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CAF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4ACC7-6CF5-46A1-97FD-72B8E1BF8C56}">
  <sheetPr codeName="Planilha2"/>
  <dimension ref="A1:I92"/>
  <sheetViews>
    <sheetView topLeftCell="C1" zoomScale="110" zoomScaleNormal="110" workbookViewId="0">
      <selection activeCell="C2" sqref="C2"/>
    </sheetView>
  </sheetViews>
  <sheetFormatPr defaultRowHeight="15" customHeight="1"/>
  <cols>
    <col min="1" max="1" width="9.140625" style="1"/>
    <col min="2" max="2" width="18.42578125" style="1" customWidth="1"/>
    <col min="3" max="3" width="22.85546875" style="1" customWidth="1"/>
    <col min="4" max="4" width="41.5703125" style="1" bestFit="1" customWidth="1"/>
    <col min="5" max="5" width="32.5703125" style="1" bestFit="1" customWidth="1"/>
    <col min="6" max="6" width="24.140625" style="1" bestFit="1" customWidth="1"/>
    <col min="7" max="7" width="18.85546875" style="1" bestFit="1" customWidth="1"/>
    <col min="8" max="8" width="9.140625" style="1"/>
    <col min="9" max="9" width="14.140625" style="1" bestFit="1" customWidth="1"/>
  </cols>
  <sheetData>
    <row r="1" spans="1:9" s="10" customFormat="1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</row>
    <row r="2" spans="1:9">
      <c r="A2" s="36">
        <v>12</v>
      </c>
      <c r="B2" s="36">
        <v>10031214850</v>
      </c>
      <c r="C2" s="36" t="s">
        <v>9</v>
      </c>
      <c r="D2" s="36" t="s">
        <v>10</v>
      </c>
      <c r="E2" s="37" t="s">
        <v>11</v>
      </c>
      <c r="F2" s="36"/>
      <c r="G2" s="36">
        <f>(18301.5+18559+18704.1+18474.3+17544.2+16254.4+18781.5)/1000</f>
        <v>126.61899999999999</v>
      </c>
      <c r="H2" s="38">
        <v>135.1</v>
      </c>
      <c r="I2" s="39">
        <f>IF(G2&lt;&gt;0,G2/H2,F2/H2)</f>
        <v>0.9372242783123611</v>
      </c>
    </row>
    <row r="3" spans="1:9">
      <c r="A3" s="36">
        <v>12</v>
      </c>
      <c r="B3" s="36">
        <v>10031394475</v>
      </c>
      <c r="C3" s="36" t="s">
        <v>12</v>
      </c>
      <c r="D3" s="36" t="s">
        <v>13</v>
      </c>
      <c r="E3" s="37" t="s">
        <v>14</v>
      </c>
      <c r="F3" s="36">
        <v>42.58</v>
      </c>
      <c r="G3" s="36"/>
      <c r="H3" s="38">
        <v>36.619999999999997</v>
      </c>
      <c r="I3" s="39">
        <f>IF(G3&lt;&gt;0,G3/H3,F3/H3)</f>
        <v>1.1627525942108139</v>
      </c>
    </row>
    <row r="4" spans="1:9">
      <c r="A4" s="36">
        <v>12</v>
      </c>
      <c r="B4" s="36">
        <v>10031394572</v>
      </c>
      <c r="C4" s="36" t="s">
        <v>15</v>
      </c>
      <c r="D4" s="36" t="s">
        <v>16</v>
      </c>
      <c r="E4" s="37" t="s">
        <v>14</v>
      </c>
      <c r="F4" s="36">
        <v>38.21</v>
      </c>
      <c r="G4" s="36"/>
      <c r="H4" s="38">
        <v>43.16</v>
      </c>
      <c r="I4" s="39">
        <f>IF(G4&lt;&gt;0,G4/H4,F4/H4)</f>
        <v>0.88531047265987028</v>
      </c>
    </row>
    <row r="5" spans="1:9" s="4" customFormat="1">
      <c r="A5" s="36">
        <v>12</v>
      </c>
      <c r="B5" s="36">
        <v>10031394211</v>
      </c>
      <c r="C5" s="36" t="s">
        <v>17</v>
      </c>
      <c r="D5" s="36" t="s">
        <v>18</v>
      </c>
      <c r="E5" s="37" t="s">
        <v>14</v>
      </c>
      <c r="F5" s="36">
        <v>52.18</v>
      </c>
      <c r="G5" s="36"/>
      <c r="H5" s="38">
        <v>78.33</v>
      </c>
      <c r="I5" s="39">
        <f>IF(G5&lt;&gt;0,G5/H5,F5/H5)</f>
        <v>0.66615600663858032</v>
      </c>
    </row>
    <row r="6" spans="1:9">
      <c r="A6" s="36">
        <v>12</v>
      </c>
      <c r="B6" s="36">
        <v>10031394599</v>
      </c>
      <c r="C6" s="36" t="s">
        <v>19</v>
      </c>
      <c r="D6" s="36" t="s">
        <v>20</v>
      </c>
      <c r="E6" s="37" t="s">
        <v>14</v>
      </c>
      <c r="F6" s="36">
        <v>77.08</v>
      </c>
      <c r="G6" s="36"/>
      <c r="H6" s="38">
        <v>87.5</v>
      </c>
      <c r="I6" s="39">
        <f>IF(G6&lt;&gt;0,G6/H6,F6/H6)</f>
        <v>0.88091428571428565</v>
      </c>
    </row>
    <row r="7" spans="1:9">
      <c r="A7" s="36">
        <v>12</v>
      </c>
      <c r="B7" s="36">
        <v>10035044444</v>
      </c>
      <c r="C7" s="36" t="s">
        <v>21</v>
      </c>
      <c r="D7" s="36" t="s">
        <v>22</v>
      </c>
      <c r="E7" s="37" t="s">
        <v>23</v>
      </c>
      <c r="F7" s="36">
        <v>19.14</v>
      </c>
      <c r="G7" s="36"/>
      <c r="H7" s="38">
        <v>20.47</v>
      </c>
      <c r="I7" s="39">
        <f>IF(G7&lt;&gt;0,G7/H7,F7/H7)</f>
        <v>0.93502686858817785</v>
      </c>
    </row>
    <row r="8" spans="1:9">
      <c r="A8" s="36">
        <v>12</v>
      </c>
      <c r="B8" s="36">
        <v>10035044363</v>
      </c>
      <c r="C8" s="36" t="s">
        <v>24</v>
      </c>
      <c r="D8" s="36" t="s">
        <v>25</v>
      </c>
      <c r="E8" s="37" t="s">
        <v>23</v>
      </c>
      <c r="F8" s="36">
        <v>18.75</v>
      </c>
      <c r="G8" s="36"/>
      <c r="H8" s="38">
        <v>20.350000000000001</v>
      </c>
      <c r="I8" s="39">
        <f>IF(G8&lt;&gt;0,G8/H8,F8/H8)</f>
        <v>0.92137592137592128</v>
      </c>
    </row>
    <row r="9" spans="1:9">
      <c r="A9" s="36">
        <v>12</v>
      </c>
      <c r="B9" s="36">
        <v>10035302079</v>
      </c>
      <c r="C9" s="36" t="s">
        <v>26</v>
      </c>
      <c r="D9" s="36" t="s">
        <v>27</v>
      </c>
      <c r="E9" s="37" t="s">
        <v>28</v>
      </c>
      <c r="F9" s="36">
        <v>45.71</v>
      </c>
      <c r="G9" s="36"/>
      <c r="H9" s="38">
        <v>53.49</v>
      </c>
      <c r="I9" s="39">
        <f>IF(G9&lt;&gt;0,G9/H9,F9/H9)</f>
        <v>0.85455225275752478</v>
      </c>
    </row>
    <row r="10" spans="1:9">
      <c r="A10" s="36">
        <v>12</v>
      </c>
      <c r="B10" s="36" t="s">
        <v>29</v>
      </c>
      <c r="C10" s="36" t="s">
        <v>30</v>
      </c>
      <c r="D10" s="36" t="s">
        <v>31</v>
      </c>
      <c r="E10" s="37" t="s">
        <v>32</v>
      </c>
      <c r="F10" s="36">
        <v>12.03</v>
      </c>
      <c r="G10" s="36"/>
      <c r="H10" s="38">
        <v>11.94</v>
      </c>
      <c r="I10" s="39">
        <f>IF(G10&lt;&gt;0,G10/H10,F10/H10)</f>
        <v>1.0075376884422111</v>
      </c>
    </row>
    <row r="11" spans="1:9">
      <c r="A11" s="36">
        <v>12</v>
      </c>
      <c r="B11" s="36" t="s">
        <v>33</v>
      </c>
      <c r="C11" s="36" t="s">
        <v>34</v>
      </c>
      <c r="D11" s="36" t="s">
        <v>35</v>
      </c>
      <c r="E11" s="37" t="s">
        <v>32</v>
      </c>
      <c r="F11" s="36">
        <v>45.57</v>
      </c>
      <c r="G11" s="36"/>
      <c r="H11" s="38">
        <v>45.27</v>
      </c>
      <c r="I11" s="39">
        <f>IF(G11&lt;&gt;0,G11/H11,F11/H11)</f>
        <v>1.006626905235255</v>
      </c>
    </row>
    <row r="12" spans="1:9">
      <c r="A12" s="36">
        <v>12</v>
      </c>
      <c r="B12" s="36" t="s">
        <v>36</v>
      </c>
      <c r="C12" s="36" t="s">
        <v>37</v>
      </c>
      <c r="D12" s="36" t="s">
        <v>38</v>
      </c>
      <c r="E12" s="37" t="s">
        <v>32</v>
      </c>
      <c r="F12" s="36">
        <v>45.36</v>
      </c>
      <c r="G12" s="36"/>
      <c r="H12" s="38">
        <v>46.02</v>
      </c>
      <c r="I12" s="39">
        <f>IF(G12&lt;&gt;0,G12/H12,F12/H12)</f>
        <v>0.98565840938722282</v>
      </c>
    </row>
    <row r="13" spans="1:9">
      <c r="A13" s="36">
        <v>12</v>
      </c>
      <c r="B13" s="36">
        <v>10031246905</v>
      </c>
      <c r="C13" s="36" t="s">
        <v>39</v>
      </c>
      <c r="D13" s="36" t="s">
        <v>40</v>
      </c>
      <c r="E13" s="37" t="s">
        <v>41</v>
      </c>
      <c r="F13" s="36">
        <v>95.25</v>
      </c>
      <c r="G13" s="36">
        <v>96.64</v>
      </c>
      <c r="H13" s="38">
        <v>100.8</v>
      </c>
      <c r="I13" s="39">
        <f>IF(G13&lt;&gt;0,G13/H13,F13/H13)</f>
        <v>0.95873015873015877</v>
      </c>
    </row>
    <row r="14" spans="1:9">
      <c r="A14" s="36">
        <v>12</v>
      </c>
      <c r="B14" s="36">
        <v>10035461975</v>
      </c>
      <c r="C14" s="36" t="s">
        <v>42</v>
      </c>
      <c r="D14" s="36" t="s">
        <v>43</v>
      </c>
      <c r="E14" s="37" t="s">
        <v>44</v>
      </c>
      <c r="F14" s="36">
        <v>81.63</v>
      </c>
      <c r="G14" s="36"/>
      <c r="H14" s="38">
        <v>91.2</v>
      </c>
      <c r="I14" s="39">
        <f>IF(G14&lt;&gt;0,G14/H14,F14/H14)</f>
        <v>0.89506578947368409</v>
      </c>
    </row>
    <row r="15" spans="1:9">
      <c r="A15" s="36">
        <v>12</v>
      </c>
      <c r="B15" s="36">
        <v>10035461983</v>
      </c>
      <c r="C15" s="36" t="s">
        <v>45</v>
      </c>
      <c r="D15" s="36" t="s">
        <v>46</v>
      </c>
      <c r="E15" s="37" t="s">
        <v>44</v>
      </c>
      <c r="F15" s="36">
        <v>68.91</v>
      </c>
      <c r="G15" s="36"/>
      <c r="H15" s="38">
        <v>77.81</v>
      </c>
      <c r="I15" s="39">
        <f>IF(G15&lt;&gt;0,G15/H15,F15/H15)</f>
        <v>0.8856188150623312</v>
      </c>
    </row>
    <row r="16" spans="1:9">
      <c r="A16" s="36">
        <v>12</v>
      </c>
      <c r="B16" s="36">
        <v>10035505336</v>
      </c>
      <c r="C16" s="36" t="s">
        <v>47</v>
      </c>
      <c r="D16" s="36" t="s">
        <v>48</v>
      </c>
      <c r="E16" s="37" t="s">
        <v>44</v>
      </c>
      <c r="F16" s="36">
        <v>51.45</v>
      </c>
      <c r="G16" s="36"/>
      <c r="H16" s="38">
        <v>56.31</v>
      </c>
      <c r="I16" s="39">
        <f>IF(G16&lt;&gt;0,G16/H16,F16/H16)</f>
        <v>0.91369206180074591</v>
      </c>
    </row>
    <row r="17" spans="1:9">
      <c r="A17" s="36">
        <v>12</v>
      </c>
      <c r="B17" s="36">
        <v>10035462122</v>
      </c>
      <c r="C17" s="36" t="s">
        <v>49</v>
      </c>
      <c r="D17" s="36" t="s">
        <v>50</v>
      </c>
      <c r="E17" s="37" t="s">
        <v>44</v>
      </c>
      <c r="F17" s="36">
        <v>40.090000000000003</v>
      </c>
      <c r="G17" s="36"/>
      <c r="H17" s="38">
        <v>42.99</v>
      </c>
      <c r="I17" s="39">
        <f>IF(G17&lt;&gt;0,G17/H17,F17/H17)</f>
        <v>0.93254245173296124</v>
      </c>
    </row>
    <row r="18" spans="1:9">
      <c r="A18" s="36">
        <v>12</v>
      </c>
      <c r="B18" s="36">
        <v>10035462130</v>
      </c>
      <c r="C18" s="36" t="s">
        <v>51</v>
      </c>
      <c r="D18" s="36" t="s">
        <v>52</v>
      </c>
      <c r="E18" s="37" t="s">
        <v>44</v>
      </c>
      <c r="F18" s="36">
        <v>42.28</v>
      </c>
      <c r="G18" s="36"/>
      <c r="H18" s="38">
        <v>48.32</v>
      </c>
      <c r="I18" s="39">
        <f>IF(G18&lt;&gt;0,G18/H18,F18/H18)</f>
        <v>0.875</v>
      </c>
    </row>
    <row r="19" spans="1:9">
      <c r="A19" s="36">
        <v>12</v>
      </c>
      <c r="B19" s="36">
        <v>10035462084</v>
      </c>
      <c r="C19" s="36" t="s">
        <v>53</v>
      </c>
      <c r="D19" s="36" t="s">
        <v>54</v>
      </c>
      <c r="E19" s="37" t="s">
        <v>55</v>
      </c>
      <c r="F19" s="36">
        <v>182.71</v>
      </c>
      <c r="G19" s="36"/>
      <c r="H19" s="38">
        <v>232.78</v>
      </c>
      <c r="I19" s="39">
        <f>IF(G19&lt;&gt;0,G19/H19,F19/H19)</f>
        <v>0.78490420139187222</v>
      </c>
    </row>
    <row r="20" spans="1:9">
      <c r="A20" s="36">
        <v>12</v>
      </c>
      <c r="B20" s="36">
        <v>10035462114</v>
      </c>
      <c r="C20" s="36" t="s">
        <v>56</v>
      </c>
      <c r="D20" s="36" t="s">
        <v>57</v>
      </c>
      <c r="E20" s="37" t="s">
        <v>55</v>
      </c>
      <c r="F20" s="36">
        <v>177.1</v>
      </c>
      <c r="G20" s="36"/>
      <c r="H20" s="38">
        <v>222.66</v>
      </c>
      <c r="I20" s="39">
        <f>IF(G20&lt;&gt;0,G20/H20,F20/H20)</f>
        <v>0.79538309530225459</v>
      </c>
    </row>
    <row r="21" spans="1:9">
      <c r="A21" s="36">
        <v>12</v>
      </c>
      <c r="B21" s="36">
        <v>10035462262</v>
      </c>
      <c r="C21" s="36" t="s">
        <v>58</v>
      </c>
      <c r="D21" s="36" t="s">
        <v>59</v>
      </c>
      <c r="E21" s="37" t="s">
        <v>55</v>
      </c>
      <c r="F21" s="36">
        <v>179.44</v>
      </c>
      <c r="G21" s="36"/>
      <c r="H21" s="38">
        <v>230.76</v>
      </c>
      <c r="I21" s="39">
        <f>IF(G21&lt;&gt;0,G21/H21,F21/H21)</f>
        <v>0.77760443751083375</v>
      </c>
    </row>
    <row r="22" spans="1:9">
      <c r="A22" s="36">
        <v>12</v>
      </c>
      <c r="B22" s="36">
        <v>10035977122</v>
      </c>
      <c r="C22" s="36" t="s">
        <v>60</v>
      </c>
      <c r="D22" s="36" t="s">
        <v>61</v>
      </c>
      <c r="E22" s="37" t="s">
        <v>62</v>
      </c>
      <c r="F22" s="36">
        <v>195.04</v>
      </c>
      <c r="G22" s="36"/>
      <c r="H22" s="38">
        <v>252.1</v>
      </c>
      <c r="I22" s="39">
        <f>IF(G22&lt;&gt;0,G22/H22,F22/H22)</f>
        <v>0.77366124553748516</v>
      </c>
    </row>
    <row r="23" spans="1:9">
      <c r="A23" s="36">
        <v>12</v>
      </c>
      <c r="B23" s="36">
        <v>10035977130</v>
      </c>
      <c r="C23" s="36" t="s">
        <v>63</v>
      </c>
      <c r="D23" s="36" t="s">
        <v>64</v>
      </c>
      <c r="E23" s="37" t="s">
        <v>62</v>
      </c>
      <c r="F23" s="36">
        <v>200.42</v>
      </c>
      <c r="G23" s="36"/>
      <c r="H23" s="38">
        <v>251.3</v>
      </c>
      <c r="I23" s="39">
        <f>IF(G23&lt;&gt;0,G23/H23,F23/H23)</f>
        <v>0.79753282928770386</v>
      </c>
    </row>
    <row r="24" spans="1:9">
      <c r="A24" s="36">
        <v>12</v>
      </c>
      <c r="B24" s="36">
        <v>10035977149</v>
      </c>
      <c r="C24" s="36" t="s">
        <v>65</v>
      </c>
      <c r="D24" s="36" t="s">
        <v>66</v>
      </c>
      <c r="E24" s="37" t="s">
        <v>62</v>
      </c>
      <c r="F24" s="36">
        <v>200.02</v>
      </c>
      <c r="G24" s="36"/>
      <c r="H24" s="38">
        <v>251.2</v>
      </c>
      <c r="I24" s="39">
        <f>IF(G24&lt;&gt;0,G24/H24,F24/H24)</f>
        <v>0.79625796178343955</v>
      </c>
    </row>
    <row r="25" spans="1:9">
      <c r="A25" s="36">
        <v>12</v>
      </c>
      <c r="B25" s="36">
        <v>10035977157</v>
      </c>
      <c r="C25" s="36" t="s">
        <v>67</v>
      </c>
      <c r="D25" s="36" t="s">
        <v>68</v>
      </c>
      <c r="E25" s="37" t="s">
        <v>62</v>
      </c>
      <c r="F25" s="36">
        <v>200.34</v>
      </c>
      <c r="G25" s="36"/>
      <c r="H25" s="38">
        <v>250.8</v>
      </c>
      <c r="I25" s="39">
        <f>IF(G25&lt;&gt;0,G25/H25,F25/H25)</f>
        <v>0.79880382775119618</v>
      </c>
    </row>
    <row r="26" spans="1:9">
      <c r="A26" s="36">
        <v>12</v>
      </c>
      <c r="B26" s="36">
        <v>10035977203</v>
      </c>
      <c r="C26" s="36" t="s">
        <v>69</v>
      </c>
      <c r="D26" s="36" t="s">
        <v>70</v>
      </c>
      <c r="E26" s="37" t="s">
        <v>62</v>
      </c>
      <c r="F26" s="36">
        <v>200</v>
      </c>
      <c r="G26" s="36"/>
      <c r="H26" s="38">
        <v>250.2</v>
      </c>
      <c r="I26" s="39">
        <f>IF(G26&lt;&gt;0,G26/H26,F26/H26)</f>
        <v>0.79936051159072741</v>
      </c>
    </row>
    <row r="27" spans="1:9">
      <c r="A27" s="36">
        <v>12</v>
      </c>
      <c r="B27" s="36">
        <v>10035715969</v>
      </c>
      <c r="C27" s="36" t="s">
        <v>71</v>
      </c>
      <c r="D27" s="36" t="s">
        <v>72</v>
      </c>
      <c r="E27" s="37" t="s">
        <v>73</v>
      </c>
      <c r="F27" s="36">
        <v>184.41</v>
      </c>
      <c r="G27" s="36"/>
      <c r="H27" s="38">
        <v>218.73</v>
      </c>
      <c r="I27" s="39">
        <f>IF(G27&lt;&gt;0,G27/H27,F27/H27)</f>
        <v>0.84309422575778359</v>
      </c>
    </row>
    <row r="28" spans="1:9">
      <c r="A28" s="36">
        <v>12</v>
      </c>
      <c r="B28" s="36">
        <v>10035715993</v>
      </c>
      <c r="C28" s="36" t="s">
        <v>74</v>
      </c>
      <c r="D28" s="36" t="s">
        <v>75</v>
      </c>
      <c r="E28" s="37" t="s">
        <v>73</v>
      </c>
      <c r="F28" s="36">
        <v>88.41</v>
      </c>
      <c r="G28" s="36"/>
      <c r="H28" s="38">
        <v>109.37</v>
      </c>
      <c r="I28" s="39">
        <f>IF(G28&lt;&gt;0,G28/H28,F28/H28)</f>
        <v>0.80835695346072955</v>
      </c>
    </row>
    <row r="29" spans="1:9">
      <c r="A29" s="36">
        <v>12</v>
      </c>
      <c r="B29" s="36">
        <v>1003665285</v>
      </c>
      <c r="C29" s="36" t="s">
        <v>76</v>
      </c>
      <c r="D29" s="36" t="s">
        <v>77</v>
      </c>
      <c r="E29" s="37" t="s">
        <v>78</v>
      </c>
      <c r="F29" s="36">
        <v>167.42</v>
      </c>
      <c r="G29" s="36"/>
      <c r="H29" s="38">
        <v>244.42</v>
      </c>
      <c r="I29" s="39">
        <f>IF(G29&lt;&gt;0,G29/H29,F29/H29)</f>
        <v>0.68496849684968497</v>
      </c>
    </row>
    <row r="30" spans="1:9">
      <c r="A30" s="36">
        <v>12</v>
      </c>
      <c r="B30" s="36">
        <v>1003665286</v>
      </c>
      <c r="C30" s="36" t="s">
        <v>79</v>
      </c>
      <c r="D30" s="36" t="s">
        <v>80</v>
      </c>
      <c r="E30" s="37" t="s">
        <v>78</v>
      </c>
      <c r="F30" s="36">
        <v>149.81</v>
      </c>
      <c r="G30" s="36"/>
      <c r="H30" s="38">
        <v>237.23</v>
      </c>
      <c r="I30" s="39">
        <f>IF(G30&lt;&gt;0,G30/H30,F30/H30)</f>
        <v>0.63149685958774193</v>
      </c>
    </row>
    <row r="31" spans="1:9">
      <c r="A31" s="36">
        <v>12</v>
      </c>
      <c r="B31" s="36">
        <v>1003665288</v>
      </c>
      <c r="C31" s="36" t="s">
        <v>81</v>
      </c>
      <c r="D31" s="36" t="s">
        <v>82</v>
      </c>
      <c r="E31" s="37" t="s">
        <v>78</v>
      </c>
      <c r="F31" s="36">
        <v>35.450000000000003</v>
      </c>
      <c r="G31" s="36"/>
      <c r="H31" s="38">
        <v>122.21</v>
      </c>
      <c r="I31" s="39">
        <f>IF(G31&lt;&gt;0,G31/H31,F31/H31)</f>
        <v>0.29007446199165376</v>
      </c>
    </row>
    <row r="32" spans="1:9">
      <c r="A32" s="36">
        <v>12</v>
      </c>
      <c r="B32" s="36">
        <v>10035751906</v>
      </c>
      <c r="C32" s="36" t="s">
        <v>83</v>
      </c>
      <c r="D32" s="36" t="s">
        <v>84</v>
      </c>
      <c r="E32" s="37" t="s">
        <v>85</v>
      </c>
      <c r="F32" s="36">
        <v>170.35</v>
      </c>
      <c r="G32" s="36"/>
      <c r="H32" s="38">
        <v>246.14</v>
      </c>
      <c r="I32" s="39">
        <f>IF(G32&lt;&gt;0,G32/H32,F32/H32)</f>
        <v>0.69208580482652149</v>
      </c>
    </row>
    <row r="33" spans="1:9">
      <c r="A33" s="36">
        <v>12</v>
      </c>
      <c r="B33" s="36">
        <v>10035751914</v>
      </c>
      <c r="C33" s="36" t="s">
        <v>86</v>
      </c>
      <c r="D33" s="36" t="s">
        <v>87</v>
      </c>
      <c r="E33" s="37" t="s">
        <v>85</v>
      </c>
      <c r="F33" s="36">
        <v>167.95</v>
      </c>
      <c r="G33" s="36"/>
      <c r="H33" s="38">
        <v>238.9</v>
      </c>
      <c r="I33" s="39">
        <f>IF(G33&lt;&gt;0,G33/H33,F33/H33)</f>
        <v>0.70301381331100876</v>
      </c>
    </row>
    <row r="34" spans="1:9">
      <c r="A34" s="36">
        <v>12</v>
      </c>
      <c r="B34" s="36">
        <v>10035751922</v>
      </c>
      <c r="C34" s="36" t="s">
        <v>88</v>
      </c>
      <c r="D34" s="36" t="s">
        <v>89</v>
      </c>
      <c r="E34" s="37" t="s">
        <v>85</v>
      </c>
      <c r="F34" s="36">
        <v>85.13</v>
      </c>
      <c r="G34" s="36"/>
      <c r="H34" s="38">
        <v>123.07</v>
      </c>
      <c r="I34" s="39">
        <f>IF(G34&lt;&gt;0,G34/H34,F34/H34)</f>
        <v>0.69172015925895836</v>
      </c>
    </row>
    <row r="35" spans="1:9">
      <c r="A35" s="36">
        <v>12</v>
      </c>
      <c r="B35" s="36">
        <v>10035154517</v>
      </c>
      <c r="C35" s="36" t="s">
        <v>90</v>
      </c>
      <c r="D35" s="36" t="s">
        <v>91</v>
      </c>
      <c r="E35" s="37" t="s">
        <v>92</v>
      </c>
      <c r="F35" s="36">
        <v>9.4700000000000006</v>
      </c>
      <c r="G35" s="36"/>
      <c r="H35" s="38">
        <v>9.25</v>
      </c>
      <c r="I35" s="39">
        <f>IF(G35&lt;&gt;0,G35/H35,F35/H35)</f>
        <v>1.0237837837837838</v>
      </c>
    </row>
    <row r="36" spans="1:9">
      <c r="A36" s="36">
        <v>12</v>
      </c>
      <c r="B36" s="36">
        <v>10034908372</v>
      </c>
      <c r="C36" s="36" t="s">
        <v>93</v>
      </c>
      <c r="D36" s="36" t="s">
        <v>94</v>
      </c>
      <c r="E36" s="37" t="s">
        <v>92</v>
      </c>
      <c r="F36" s="36">
        <v>8.3000000000000007</v>
      </c>
      <c r="G36" s="36"/>
      <c r="H36" s="38">
        <v>9</v>
      </c>
      <c r="I36" s="39">
        <f>IF(G36&lt;&gt;0,G36/H36,F36/H36)</f>
        <v>0.92222222222222228</v>
      </c>
    </row>
    <row r="37" spans="1:9">
      <c r="A37" s="36">
        <v>12</v>
      </c>
      <c r="B37" s="36">
        <v>10035156587</v>
      </c>
      <c r="C37" s="36" t="s">
        <v>95</v>
      </c>
      <c r="D37" s="36" t="s">
        <v>96</v>
      </c>
      <c r="E37" s="37" t="s">
        <v>92</v>
      </c>
      <c r="F37" s="36">
        <v>9.5399999999999991</v>
      </c>
      <c r="G37" s="36"/>
      <c r="H37" s="38">
        <v>9.25</v>
      </c>
      <c r="I37" s="39">
        <f>IF(G37&lt;&gt;0,G37/H37,F37/H37)</f>
        <v>1.0313513513513513</v>
      </c>
    </row>
    <row r="38" spans="1:9">
      <c r="A38" s="36">
        <v>12</v>
      </c>
      <c r="B38" s="36">
        <v>10035106113</v>
      </c>
      <c r="C38" s="36" t="s">
        <v>97</v>
      </c>
      <c r="D38" s="36" t="s">
        <v>98</v>
      </c>
      <c r="E38" s="37" t="s">
        <v>92</v>
      </c>
      <c r="F38" s="36">
        <v>6.62</v>
      </c>
      <c r="G38" s="36"/>
      <c r="H38" s="38">
        <v>9.25</v>
      </c>
      <c r="I38" s="39">
        <f>IF(G38&lt;&gt;0,G38/H38,F38/H38)</f>
        <v>0.71567567567567569</v>
      </c>
    </row>
    <row r="39" spans="1:9">
      <c r="A39" s="36">
        <v>12</v>
      </c>
      <c r="B39" s="36">
        <v>10034913074</v>
      </c>
      <c r="C39" s="36" t="s">
        <v>99</v>
      </c>
      <c r="D39" s="36" t="s">
        <v>100</v>
      </c>
      <c r="E39" s="37" t="s">
        <v>92</v>
      </c>
      <c r="F39" s="36">
        <v>8.35</v>
      </c>
      <c r="G39" s="36"/>
      <c r="H39" s="38">
        <v>9</v>
      </c>
      <c r="I39" s="39">
        <f>IF(G39&lt;&gt;0,G39/H39,F39/H39)</f>
        <v>0.9277777777777777</v>
      </c>
    </row>
    <row r="40" spans="1:9">
      <c r="A40" s="36">
        <v>12</v>
      </c>
      <c r="B40" s="36">
        <v>10034908402</v>
      </c>
      <c r="C40" s="36" t="s">
        <v>101</v>
      </c>
      <c r="D40" s="36" t="s">
        <v>102</v>
      </c>
      <c r="E40" s="37" t="s">
        <v>92</v>
      </c>
      <c r="F40" s="36">
        <v>8.33</v>
      </c>
      <c r="G40" s="36"/>
      <c r="H40" s="38">
        <v>9</v>
      </c>
      <c r="I40" s="39">
        <f>IF(G40&lt;&gt;0,G40/H40,F40/H40)</f>
        <v>0.92555555555555558</v>
      </c>
    </row>
    <row r="41" spans="1:9">
      <c r="A41" s="36">
        <v>12</v>
      </c>
      <c r="B41" s="36">
        <v>10035156609</v>
      </c>
      <c r="C41" s="36" t="s">
        <v>103</v>
      </c>
      <c r="D41" s="36" t="s">
        <v>104</v>
      </c>
      <c r="E41" s="37" t="s">
        <v>92</v>
      </c>
      <c r="F41" s="36">
        <v>9.64</v>
      </c>
      <c r="G41" s="36"/>
      <c r="H41" s="38">
        <v>9.25</v>
      </c>
      <c r="I41" s="39">
        <f>IF(G41&lt;&gt;0,G41/H41,F41/H41)</f>
        <v>1.0421621621621622</v>
      </c>
    </row>
    <row r="42" spans="1:9">
      <c r="A42" s="36">
        <v>12</v>
      </c>
      <c r="B42" s="36" t="s">
        <v>105</v>
      </c>
      <c r="C42" s="36" t="s">
        <v>106</v>
      </c>
      <c r="D42" s="36" t="s">
        <v>107</v>
      </c>
      <c r="E42" s="37" t="s">
        <v>108</v>
      </c>
      <c r="F42" s="36">
        <v>85.92</v>
      </c>
      <c r="G42" s="36"/>
      <c r="H42" s="38">
        <v>88.8</v>
      </c>
      <c r="I42" s="39">
        <f>IF(G42&lt;&gt;0,G42/H42,F42/H42)</f>
        <v>0.96756756756756757</v>
      </c>
    </row>
    <row r="43" spans="1:9">
      <c r="A43" s="36">
        <v>12</v>
      </c>
      <c r="B43" s="36" t="s">
        <v>109</v>
      </c>
      <c r="C43" s="36" t="s">
        <v>110</v>
      </c>
      <c r="D43" s="36" t="s">
        <v>111</v>
      </c>
      <c r="E43" s="37" t="s">
        <v>108</v>
      </c>
      <c r="F43" s="36">
        <v>45</v>
      </c>
      <c r="G43" s="36"/>
      <c r="H43" s="38">
        <v>48.92</v>
      </c>
      <c r="I43" s="39">
        <f>IF(G43&lt;&gt;0,G43/H43,F43/H43)</f>
        <v>0.91986917416189695</v>
      </c>
    </row>
    <row r="44" spans="1:9">
      <c r="A44" s="36">
        <v>12</v>
      </c>
      <c r="B44" s="36" t="s">
        <v>112</v>
      </c>
      <c r="C44" s="36" t="s">
        <v>113</v>
      </c>
      <c r="D44" s="36" t="s">
        <v>114</v>
      </c>
      <c r="E44" s="37" t="s">
        <v>108</v>
      </c>
      <c r="F44" s="36">
        <v>19.02</v>
      </c>
      <c r="G44" s="36"/>
      <c r="H44" s="38">
        <v>53.63</v>
      </c>
      <c r="I44" s="39">
        <f>IF(G44&lt;&gt;0,G44/H44,F44/H44)</f>
        <v>0.35465224687674807</v>
      </c>
    </row>
    <row r="45" spans="1:9">
      <c r="A45" s="36">
        <v>12</v>
      </c>
      <c r="B45" s="36" t="s">
        <v>115</v>
      </c>
      <c r="C45" s="36" t="s">
        <v>116</v>
      </c>
      <c r="D45" s="36" t="s">
        <v>117</v>
      </c>
      <c r="E45" s="37" t="s">
        <v>108</v>
      </c>
      <c r="F45" s="36">
        <v>59.93</v>
      </c>
      <c r="G45" s="36"/>
      <c r="H45" s="38">
        <v>61.45</v>
      </c>
      <c r="I45" s="39">
        <f>IF(G45&lt;&gt;0,G45/H45,F45/H45)</f>
        <v>0.97526444263628964</v>
      </c>
    </row>
    <row r="46" spans="1:9">
      <c r="A46" s="36">
        <v>12</v>
      </c>
      <c r="B46" s="36" t="s">
        <v>118</v>
      </c>
      <c r="C46" s="36" t="s">
        <v>119</v>
      </c>
      <c r="D46" s="36" t="s">
        <v>120</v>
      </c>
      <c r="E46" s="37" t="s">
        <v>108</v>
      </c>
      <c r="F46" s="36">
        <v>26.65</v>
      </c>
      <c r="G46" s="36"/>
      <c r="H46" s="38">
        <v>27.47</v>
      </c>
      <c r="I46" s="39">
        <f>IF(G46&lt;&gt;0,G46/H46,F46/H46)</f>
        <v>0.97014925373134331</v>
      </c>
    </row>
    <row r="47" spans="1:9">
      <c r="A47" s="36">
        <v>12</v>
      </c>
      <c r="B47" s="36" t="s">
        <v>121</v>
      </c>
      <c r="C47" s="36" t="s">
        <v>122</v>
      </c>
      <c r="D47" s="36" t="s">
        <v>123</v>
      </c>
      <c r="E47" s="37" t="s">
        <v>108</v>
      </c>
      <c r="F47" s="36">
        <v>27.12</v>
      </c>
      <c r="G47" s="36"/>
      <c r="H47" s="38">
        <v>27.47</v>
      </c>
      <c r="I47" s="39">
        <f>IF(G47&lt;&gt;0,G47/H47,F47/H47)</f>
        <v>0.98725882781215879</v>
      </c>
    </row>
    <row r="48" spans="1:9">
      <c r="A48" s="36">
        <v>12</v>
      </c>
      <c r="B48" s="36" t="s">
        <v>124</v>
      </c>
      <c r="C48" s="36" t="s">
        <v>125</v>
      </c>
      <c r="D48" s="36" t="s">
        <v>126</v>
      </c>
      <c r="E48" s="37" t="s">
        <v>108</v>
      </c>
      <c r="F48" s="36">
        <v>32.6</v>
      </c>
      <c r="G48" s="36"/>
      <c r="H48" s="38">
        <v>62.33</v>
      </c>
      <c r="I48" s="39">
        <f>IF(G48&lt;&gt;0,G48/H48,F48/H48)</f>
        <v>0.52302262153056311</v>
      </c>
    </row>
    <row r="49" spans="1:9">
      <c r="A49" s="36">
        <v>12</v>
      </c>
      <c r="B49" s="36" t="s">
        <v>127</v>
      </c>
      <c r="C49" s="36" t="s">
        <v>128</v>
      </c>
      <c r="D49" s="36" t="s">
        <v>129</v>
      </c>
      <c r="E49" s="37" t="s">
        <v>108</v>
      </c>
      <c r="F49" s="36">
        <v>28.34</v>
      </c>
      <c r="G49" s="36"/>
      <c r="H49" s="38">
        <v>29.29</v>
      </c>
      <c r="I49" s="39">
        <f>IF(G49&lt;&gt;0,G49/H49,F49/H49)</f>
        <v>0.96756572208945035</v>
      </c>
    </row>
    <row r="50" spans="1:9">
      <c r="A50" s="36">
        <v>12</v>
      </c>
      <c r="B50" s="36">
        <v>10029355760</v>
      </c>
      <c r="C50" s="36" t="s">
        <v>130</v>
      </c>
      <c r="D50" s="36" t="s">
        <v>131</v>
      </c>
      <c r="E50" s="37" t="s">
        <v>132</v>
      </c>
      <c r="F50" s="36">
        <v>160.13</v>
      </c>
      <c r="G50" s="36"/>
      <c r="H50" s="38">
        <v>159.80000000000001</v>
      </c>
      <c r="I50" s="39">
        <f>IF(G50&lt;&gt;0,G50/H50,F50/H50)</f>
        <v>1.0020650813516896</v>
      </c>
    </row>
    <row r="51" spans="1:9">
      <c r="A51" s="36">
        <v>12</v>
      </c>
      <c r="B51" s="36">
        <v>10035716108</v>
      </c>
      <c r="C51" s="36" t="s">
        <v>133</v>
      </c>
      <c r="D51" s="36" t="s">
        <v>134</v>
      </c>
      <c r="E51" s="37" t="s">
        <v>135</v>
      </c>
      <c r="F51" s="36">
        <v>50.52</v>
      </c>
      <c r="G51" s="36"/>
      <c r="H51" s="38">
        <v>54.99</v>
      </c>
      <c r="I51" s="39">
        <f>IF(G51&lt;&gt;0,G51/H51,F51/H51)</f>
        <v>0.91871249318057835</v>
      </c>
    </row>
    <row r="52" spans="1:9">
      <c r="A52" s="36">
        <v>12</v>
      </c>
      <c r="B52" s="36">
        <v>10029848863</v>
      </c>
      <c r="C52" s="36" t="s">
        <v>136</v>
      </c>
      <c r="D52" s="36" t="s">
        <v>137</v>
      </c>
      <c r="E52" s="37" t="s">
        <v>138</v>
      </c>
      <c r="F52" s="36">
        <v>11.87</v>
      </c>
      <c r="G52" s="36"/>
      <c r="H52" s="38">
        <v>13.69</v>
      </c>
      <c r="I52" s="39">
        <f>IF(G52&lt;&gt;0,G52/H52,F52/H52)</f>
        <v>0.86705624543462378</v>
      </c>
    </row>
    <row r="53" spans="1:9">
      <c r="A53" s="36">
        <v>12</v>
      </c>
      <c r="B53" s="36">
        <v>10029848855</v>
      </c>
      <c r="C53" s="36" t="s">
        <v>139</v>
      </c>
      <c r="D53" s="36" t="s">
        <v>140</v>
      </c>
      <c r="E53" s="37" t="s">
        <v>138</v>
      </c>
      <c r="F53" s="36">
        <v>51.68</v>
      </c>
      <c r="G53" s="36"/>
      <c r="H53" s="38">
        <v>55.75</v>
      </c>
      <c r="I53" s="39">
        <f>IF(G53&lt;&gt;0,G53/H53,F53/H53)</f>
        <v>0.92699551569506722</v>
      </c>
    </row>
    <row r="54" spans="1:9">
      <c r="A54" s="36">
        <v>12</v>
      </c>
      <c r="B54" s="36">
        <v>10029848820</v>
      </c>
      <c r="C54" s="36" t="s">
        <v>141</v>
      </c>
      <c r="D54" s="36" t="s">
        <v>142</v>
      </c>
      <c r="E54" s="37" t="s">
        <v>138</v>
      </c>
      <c r="F54" s="36">
        <v>90.84</v>
      </c>
      <c r="G54" s="36"/>
      <c r="H54" s="38">
        <v>102.2</v>
      </c>
      <c r="I54" s="39">
        <f>IF(G54&lt;&gt;0,G54/H54,F54/H54)</f>
        <v>0.88884540117416833</v>
      </c>
    </row>
    <row r="55" spans="1:9">
      <c r="A55" s="36">
        <v>12</v>
      </c>
      <c r="B55" s="36">
        <v>3014365852</v>
      </c>
      <c r="C55" s="36" t="s">
        <v>143</v>
      </c>
      <c r="D55" s="36" t="s">
        <v>144</v>
      </c>
      <c r="E55" s="37" t="s">
        <v>145</v>
      </c>
      <c r="F55" s="36">
        <v>202.31</v>
      </c>
      <c r="G55" s="36"/>
      <c r="H55" s="38">
        <v>233.1</v>
      </c>
      <c r="I55" s="39">
        <f>IF(G55&lt;&gt;0,G55/H55,F55/H55)</f>
        <v>0.86791076791076793</v>
      </c>
    </row>
    <row r="56" spans="1:9">
      <c r="A56" s="36">
        <v>12</v>
      </c>
      <c r="B56" s="36">
        <v>3014365880</v>
      </c>
      <c r="C56" s="36" t="s">
        <v>146</v>
      </c>
      <c r="D56" s="36" t="s">
        <v>147</v>
      </c>
      <c r="E56" s="37" t="s">
        <v>145</v>
      </c>
      <c r="F56" s="36">
        <v>203.91</v>
      </c>
      <c r="G56" s="36"/>
      <c r="H56" s="38">
        <v>232.3</v>
      </c>
      <c r="I56" s="39">
        <f>IF(G56&lt;&gt;0,G56/H56,F56/H56)</f>
        <v>0.87778734395178648</v>
      </c>
    </row>
    <row r="57" spans="1:9">
      <c r="A57" s="36">
        <v>12</v>
      </c>
      <c r="B57" s="36">
        <v>3014365849</v>
      </c>
      <c r="C57" s="36" t="s">
        <v>148</v>
      </c>
      <c r="D57" s="36" t="s">
        <v>149</v>
      </c>
      <c r="E57" s="37" t="s">
        <v>145</v>
      </c>
      <c r="F57" s="36">
        <v>88.73</v>
      </c>
      <c r="G57" s="36"/>
      <c r="H57" s="38">
        <v>110.1</v>
      </c>
      <c r="I57" s="39">
        <f>IF(G57&lt;&gt;0,G57/H57,F57/H57)</f>
        <v>0.80590372388737519</v>
      </c>
    </row>
    <row r="58" spans="1:9">
      <c r="A58" s="36">
        <v>12</v>
      </c>
      <c r="B58" s="36">
        <v>3014367769</v>
      </c>
      <c r="C58" s="36" t="s">
        <v>150</v>
      </c>
      <c r="D58" s="36" t="s">
        <v>151</v>
      </c>
      <c r="E58" s="37" t="s">
        <v>152</v>
      </c>
      <c r="F58" s="36">
        <v>195.92</v>
      </c>
      <c r="G58" s="36"/>
      <c r="H58" s="38">
        <v>229.1</v>
      </c>
      <c r="I58" s="39">
        <f>IF(G58&lt;&gt;0,G58/H58,F58/H58)</f>
        <v>0.85517241379310338</v>
      </c>
    </row>
    <row r="59" spans="1:9">
      <c r="A59" s="36">
        <v>12</v>
      </c>
      <c r="B59" s="36">
        <v>3014367806</v>
      </c>
      <c r="C59" s="36" t="s">
        <v>153</v>
      </c>
      <c r="D59" s="36" t="s">
        <v>154</v>
      </c>
      <c r="E59" s="37" t="s">
        <v>152</v>
      </c>
      <c r="F59" s="36">
        <v>205.36</v>
      </c>
      <c r="G59" s="36"/>
      <c r="H59" s="38">
        <v>230.5</v>
      </c>
      <c r="I59" s="39">
        <f>IF(G59&lt;&gt;0,G59/H59,F59/H59)</f>
        <v>0.89093275488069423</v>
      </c>
    </row>
    <row r="60" spans="1:9">
      <c r="A60" s="36">
        <v>12</v>
      </c>
      <c r="B60" s="36">
        <v>3014367812</v>
      </c>
      <c r="C60" s="36" t="s">
        <v>155</v>
      </c>
      <c r="D60" s="36" t="s">
        <v>156</v>
      </c>
      <c r="E60" s="37" t="s">
        <v>152</v>
      </c>
      <c r="F60" s="36">
        <v>101.23</v>
      </c>
      <c r="G60" s="36"/>
      <c r="H60" s="38">
        <v>110.1</v>
      </c>
      <c r="I60" s="39">
        <f>IF(G60&lt;&gt;0,G60/H60,F60/H60)</f>
        <v>0.91943687556766585</v>
      </c>
    </row>
    <row r="61" spans="1:9">
      <c r="A61" s="36">
        <v>12</v>
      </c>
      <c r="B61" s="36">
        <v>3014367788</v>
      </c>
      <c r="C61" s="36" t="s">
        <v>157</v>
      </c>
      <c r="D61" s="36" t="s">
        <v>158</v>
      </c>
      <c r="E61" s="37" t="s">
        <v>159</v>
      </c>
      <c r="F61" s="36">
        <v>189.53</v>
      </c>
      <c r="G61" s="36"/>
      <c r="H61" s="38">
        <v>217.9</v>
      </c>
      <c r="I61" s="39">
        <f>IF(G61&lt;&gt;0,G61/H61,F61/H61)</f>
        <v>0.86980266177145482</v>
      </c>
    </row>
    <row r="62" spans="1:9">
      <c r="A62" s="36">
        <v>12</v>
      </c>
      <c r="B62" s="36">
        <v>3014367836</v>
      </c>
      <c r="C62" s="36" t="s">
        <v>160</v>
      </c>
      <c r="D62" s="36" t="s">
        <v>161</v>
      </c>
      <c r="E62" s="37" t="s">
        <v>159</v>
      </c>
      <c r="F62" s="36">
        <v>189.69</v>
      </c>
      <c r="G62" s="36"/>
      <c r="H62" s="38">
        <v>216.1</v>
      </c>
      <c r="I62" s="39">
        <f>IF(G62&lt;&gt;0,G62/H62,F62/H62)</f>
        <v>0.87778806108283203</v>
      </c>
    </row>
    <row r="63" spans="1:9">
      <c r="A63" s="36">
        <v>12</v>
      </c>
      <c r="B63" s="36">
        <v>3014367837</v>
      </c>
      <c r="C63" s="36" t="s">
        <v>162</v>
      </c>
      <c r="D63" s="36" t="s">
        <v>163</v>
      </c>
      <c r="E63" s="37" t="s">
        <v>159</v>
      </c>
      <c r="F63" s="36">
        <v>91.28</v>
      </c>
      <c r="G63" s="36"/>
      <c r="H63" s="38">
        <v>104.6</v>
      </c>
      <c r="I63" s="39">
        <f>IF(G63&lt;&gt;0,G63/H63,F63/H63)</f>
        <v>0.87265774378585093</v>
      </c>
    </row>
    <row r="64" spans="1:9">
      <c r="A64" s="36">
        <v>12</v>
      </c>
      <c r="B64" s="36">
        <v>3014367827</v>
      </c>
      <c r="C64" s="36" t="s">
        <v>164</v>
      </c>
      <c r="D64" s="36" t="s">
        <v>165</v>
      </c>
      <c r="E64" s="37" t="s">
        <v>166</v>
      </c>
      <c r="F64" s="36">
        <v>186.31</v>
      </c>
      <c r="G64" s="36"/>
      <c r="H64" s="38">
        <v>227.4</v>
      </c>
      <c r="I64" s="39">
        <f>IF(G64&lt;&gt;0,G64/H64,F64/H64)</f>
        <v>0.81930518909410732</v>
      </c>
    </row>
    <row r="65" spans="1:9">
      <c r="A65" s="36">
        <v>12</v>
      </c>
      <c r="B65" s="36">
        <v>3014367828</v>
      </c>
      <c r="C65" s="36" t="s">
        <v>167</v>
      </c>
      <c r="D65" s="36" t="s">
        <v>168</v>
      </c>
      <c r="E65" s="37" t="s">
        <v>166</v>
      </c>
      <c r="F65" s="36">
        <v>183.34</v>
      </c>
      <c r="G65" s="36"/>
      <c r="H65" s="38">
        <v>228</v>
      </c>
      <c r="I65" s="39">
        <f>IF(G65&lt;&gt;0,G65/H65,F65/H65)</f>
        <v>0.80412280701754391</v>
      </c>
    </row>
    <row r="66" spans="1:9">
      <c r="A66" s="36">
        <v>12</v>
      </c>
      <c r="B66" s="36">
        <v>3014367829</v>
      </c>
      <c r="C66" s="36" t="s">
        <v>169</v>
      </c>
      <c r="D66" s="36" t="s">
        <v>170</v>
      </c>
      <c r="E66" s="37" t="s">
        <v>166</v>
      </c>
      <c r="F66" s="36">
        <v>97.44</v>
      </c>
      <c r="G66" s="36"/>
      <c r="H66" s="38">
        <v>108.2</v>
      </c>
      <c r="I66" s="39">
        <f>IF(G66&lt;&gt;0,G66/H66,F66/H66)</f>
        <v>0.90055452865064689</v>
      </c>
    </row>
    <row r="67" spans="1:9">
      <c r="A67" s="36">
        <v>12</v>
      </c>
      <c r="B67" s="36">
        <v>4003703994</v>
      </c>
      <c r="C67" s="36" t="s">
        <v>171</v>
      </c>
      <c r="D67" s="36" t="s">
        <v>172</v>
      </c>
      <c r="E67" s="37" t="s">
        <v>172</v>
      </c>
      <c r="F67" s="36">
        <v>235.16</v>
      </c>
      <c r="G67" s="36"/>
      <c r="H67" s="38">
        <v>238.6</v>
      </c>
      <c r="I67" s="39">
        <f>IF(G67&lt;&gt;0,G67/H67,F67/H67)</f>
        <v>0.98558256496228003</v>
      </c>
    </row>
    <row r="68" spans="1:9">
      <c r="A68" s="36">
        <v>12</v>
      </c>
      <c r="B68" s="36">
        <v>10036981336</v>
      </c>
      <c r="C68" s="36" t="s">
        <v>173</v>
      </c>
      <c r="D68" s="36" t="s">
        <v>174</v>
      </c>
      <c r="E68" s="37" t="s">
        <v>175</v>
      </c>
      <c r="F68" s="36">
        <v>36.630000000000003</v>
      </c>
      <c r="G68" s="36"/>
      <c r="H68" s="38">
        <v>45.7</v>
      </c>
      <c r="I68" s="39">
        <f>IF(G68&lt;&gt;0,G68/H68,F68/H68)</f>
        <v>0.80153172866520783</v>
      </c>
    </row>
    <row r="69" spans="1:9">
      <c r="A69" s="36">
        <v>12</v>
      </c>
      <c r="B69" s="36">
        <v>10036981344</v>
      </c>
      <c r="C69" s="36" t="s">
        <v>176</v>
      </c>
      <c r="D69" s="36" t="s">
        <v>177</v>
      </c>
      <c r="E69" s="37" t="s">
        <v>175</v>
      </c>
      <c r="F69" s="36">
        <v>36.42</v>
      </c>
      <c r="G69" s="36"/>
      <c r="H69" s="38">
        <v>45.7</v>
      </c>
      <c r="I69" s="39">
        <f>IF(G69&lt;&gt;0,G69/H69,F69/H69)</f>
        <v>0.79693654266958425</v>
      </c>
    </row>
    <row r="70" spans="1:9">
      <c r="A70" s="36">
        <v>12</v>
      </c>
      <c r="B70" s="36">
        <v>10036981352</v>
      </c>
      <c r="C70" s="36" t="s">
        <v>178</v>
      </c>
      <c r="D70" s="36" t="s">
        <v>179</v>
      </c>
      <c r="E70" s="37" t="s">
        <v>175</v>
      </c>
      <c r="F70" s="36">
        <v>35.81</v>
      </c>
      <c r="G70" s="36"/>
      <c r="H70" s="38">
        <v>45.7</v>
      </c>
      <c r="I70" s="39">
        <f>IF(G70&lt;&gt;0,G70/H70,F70/H70)</f>
        <v>0.78358862144420127</v>
      </c>
    </row>
    <row r="71" spans="1:9">
      <c r="A71" s="36">
        <v>12</v>
      </c>
      <c r="B71" s="36">
        <v>10036981387</v>
      </c>
      <c r="C71" s="36" t="s">
        <v>180</v>
      </c>
      <c r="D71" s="36" t="s">
        <v>181</v>
      </c>
      <c r="E71" s="37" t="s">
        <v>175</v>
      </c>
      <c r="F71" s="36">
        <v>35.450000000000003</v>
      </c>
      <c r="G71" s="36"/>
      <c r="H71" s="38">
        <v>45.7</v>
      </c>
      <c r="I71" s="39">
        <f>IF(G71&lt;&gt;0,G71/H71,F71/H71)</f>
        <v>0.775711159737418</v>
      </c>
    </row>
    <row r="72" spans="1:9">
      <c r="A72" s="36">
        <v>12</v>
      </c>
      <c r="B72" s="36">
        <v>10036981573</v>
      </c>
      <c r="C72" s="36" t="s">
        <v>182</v>
      </c>
      <c r="D72" s="36" t="s">
        <v>183</v>
      </c>
      <c r="E72" s="37" t="s">
        <v>175</v>
      </c>
      <c r="F72" s="36">
        <v>36.130000000000003</v>
      </c>
      <c r="G72" s="36"/>
      <c r="H72" s="38">
        <v>45.7</v>
      </c>
      <c r="I72" s="39">
        <f>IF(G72&lt;&gt;0,G72/H72,F72/H72)</f>
        <v>0.79059080962800876</v>
      </c>
    </row>
    <row r="73" spans="1:9">
      <c r="A73" s="36">
        <v>12</v>
      </c>
      <c r="B73" s="36">
        <v>10036976782</v>
      </c>
      <c r="C73" s="36" t="s">
        <v>184</v>
      </c>
      <c r="D73" s="36" t="s">
        <v>185</v>
      </c>
      <c r="E73" s="37" t="s">
        <v>186</v>
      </c>
      <c r="F73" s="36">
        <v>221.42</v>
      </c>
      <c r="G73" s="36"/>
      <c r="H73" s="38">
        <v>247</v>
      </c>
      <c r="I73" s="39">
        <f>IF(G73&lt;&gt;0,G73/H73,F73/H73)</f>
        <v>0.89643724696356275</v>
      </c>
    </row>
    <row r="74" spans="1:9">
      <c r="A74" s="36">
        <v>12</v>
      </c>
      <c r="B74" s="36">
        <v>10036976790</v>
      </c>
      <c r="C74" s="36" t="s">
        <v>187</v>
      </c>
      <c r="D74" s="36" t="s">
        <v>188</v>
      </c>
      <c r="E74" s="37" t="s">
        <v>186</v>
      </c>
      <c r="F74" s="36">
        <v>216.93</v>
      </c>
      <c r="G74" s="36"/>
      <c r="H74" s="38">
        <v>247</v>
      </c>
      <c r="I74" s="39">
        <f>IF(G74&lt;&gt;0,G74/H74,F74/H74)</f>
        <v>0.87825910931174089</v>
      </c>
    </row>
    <row r="75" spans="1:9">
      <c r="A75" s="36">
        <v>12</v>
      </c>
      <c r="B75" s="36">
        <v>10036976804</v>
      </c>
      <c r="C75" s="36" t="s">
        <v>189</v>
      </c>
      <c r="D75" s="36" t="s">
        <v>190</v>
      </c>
      <c r="E75" s="37" t="s">
        <v>186</v>
      </c>
      <c r="F75" s="36">
        <v>278.92</v>
      </c>
      <c r="G75" s="36"/>
      <c r="H75" s="38">
        <v>247</v>
      </c>
      <c r="I75" s="39">
        <f>IF(G75&lt;&gt;0,G75/H75,F75/H75)</f>
        <v>1.1292307692307693</v>
      </c>
    </row>
    <row r="76" spans="1:9">
      <c r="A76" s="36">
        <v>12</v>
      </c>
      <c r="B76" s="36">
        <v>10036976812</v>
      </c>
      <c r="C76" s="36" t="s">
        <v>191</v>
      </c>
      <c r="D76" s="36" t="s">
        <v>192</v>
      </c>
      <c r="E76" s="37" t="s">
        <v>186</v>
      </c>
      <c r="F76" s="36">
        <v>223.25</v>
      </c>
      <c r="G76" s="36"/>
      <c r="H76" s="38">
        <v>247</v>
      </c>
      <c r="I76" s="39">
        <f>IF(G76&lt;&gt;0,G76/H76,F76/H76)</f>
        <v>0.90384615384615385</v>
      </c>
    </row>
    <row r="77" spans="1:9">
      <c r="A77" s="36">
        <v>12</v>
      </c>
      <c r="B77" s="36">
        <v>10036976839</v>
      </c>
      <c r="C77" s="36" t="s">
        <v>193</v>
      </c>
      <c r="D77" s="36" t="s">
        <v>194</v>
      </c>
      <c r="E77" s="37" t="s">
        <v>186</v>
      </c>
      <c r="F77" s="36">
        <v>221.65</v>
      </c>
      <c r="G77" s="36"/>
      <c r="H77" s="38">
        <v>247</v>
      </c>
      <c r="I77" s="39">
        <f>IF(G77&lt;&gt;0,G77/H77,F77/H77)</f>
        <v>0.89736842105263159</v>
      </c>
    </row>
    <row r="78" spans="1:9">
      <c r="A78" s="36">
        <v>12</v>
      </c>
      <c r="B78" s="36">
        <v>10036748080</v>
      </c>
      <c r="C78" s="36" t="s">
        <v>195</v>
      </c>
      <c r="D78" s="36" t="s">
        <v>196</v>
      </c>
      <c r="E78" s="37" t="s">
        <v>197</v>
      </c>
      <c r="F78" s="40">
        <v>198.24</v>
      </c>
      <c r="G78" s="36"/>
      <c r="H78" s="38">
        <v>227.52</v>
      </c>
      <c r="I78" s="39">
        <f>IF(G78&lt;&gt;0,G78/H78,F78/H78)</f>
        <v>0.87130801687763715</v>
      </c>
    </row>
    <row r="79" spans="1:9">
      <c r="A79" s="36">
        <v>12</v>
      </c>
      <c r="B79" s="36">
        <v>10036748090</v>
      </c>
      <c r="C79" s="36" t="s">
        <v>198</v>
      </c>
      <c r="D79" s="36" t="s">
        <v>199</v>
      </c>
      <c r="E79" s="37" t="s">
        <v>197</v>
      </c>
      <c r="F79" s="40">
        <v>83.02</v>
      </c>
      <c r="G79" s="36"/>
      <c r="H79" s="38">
        <v>227.52</v>
      </c>
      <c r="I79" s="39">
        <f>IF(G79&lt;&gt;0,G79/H79,F79/H79)</f>
        <v>0.36489099859353019</v>
      </c>
    </row>
    <row r="80" spans="1:9">
      <c r="A80" s="36">
        <v>12</v>
      </c>
      <c r="B80" s="36">
        <v>10036748130</v>
      </c>
      <c r="C80" s="36" t="s">
        <v>200</v>
      </c>
      <c r="D80" s="36" t="s">
        <v>201</v>
      </c>
      <c r="E80" s="37" t="s">
        <v>197</v>
      </c>
      <c r="F80" s="40">
        <v>10.199999999999999</v>
      </c>
      <c r="G80" s="36"/>
      <c r="H80" s="38">
        <v>113.76</v>
      </c>
      <c r="I80" s="39">
        <f>IF(G80&lt;&gt;0,G80/H80,F80/H80)</f>
        <v>8.9662447257383954E-2</v>
      </c>
    </row>
    <row r="81" spans="1:9">
      <c r="A81" s="36">
        <v>12</v>
      </c>
      <c r="B81" s="36">
        <v>10036750940</v>
      </c>
      <c r="C81" s="36" t="s">
        <v>202</v>
      </c>
      <c r="D81" s="36" t="s">
        <v>203</v>
      </c>
      <c r="E81" s="37" t="s">
        <v>204</v>
      </c>
      <c r="F81" s="40">
        <v>197.2</v>
      </c>
      <c r="G81" s="36"/>
      <c r="H81" s="38">
        <v>226.16</v>
      </c>
      <c r="I81" s="39">
        <f>IF(G81&lt;&gt;0,G81/H81,F81/H81)</f>
        <v>0.87194906261054117</v>
      </c>
    </row>
    <row r="82" spans="1:9">
      <c r="A82" s="36">
        <v>12</v>
      </c>
      <c r="B82" s="36">
        <v>10036750980</v>
      </c>
      <c r="C82" s="36" t="s">
        <v>205</v>
      </c>
      <c r="D82" s="36" t="s">
        <v>206</v>
      </c>
      <c r="E82" s="37" t="s">
        <v>204</v>
      </c>
      <c r="F82" s="40">
        <v>190.76</v>
      </c>
      <c r="G82" s="36"/>
      <c r="H82" s="38">
        <v>226.16</v>
      </c>
      <c r="I82" s="39">
        <f>IF(G82&lt;&gt;0,G82/H82,F82/H82)</f>
        <v>0.84347364697559246</v>
      </c>
    </row>
    <row r="83" spans="1:9">
      <c r="A83" s="36">
        <v>12</v>
      </c>
      <c r="B83" s="36">
        <v>10036751030</v>
      </c>
      <c r="C83" s="36" t="s">
        <v>207</v>
      </c>
      <c r="D83" s="36" t="s">
        <v>208</v>
      </c>
      <c r="E83" s="37" t="s">
        <v>204</v>
      </c>
      <c r="F83" s="40">
        <v>98.49</v>
      </c>
      <c r="G83" s="36"/>
      <c r="H83" s="38">
        <v>113.08</v>
      </c>
      <c r="I83" s="39">
        <f>IF(G83&lt;&gt;0,G83/H83,F83/H83)</f>
        <v>0.87097629996462678</v>
      </c>
    </row>
    <row r="84" spans="1:9">
      <c r="A84" s="36">
        <v>12</v>
      </c>
      <c r="B84" s="36">
        <v>834669283</v>
      </c>
      <c r="C84" s="36" t="s">
        <v>209</v>
      </c>
      <c r="D84" s="36" t="s">
        <v>210</v>
      </c>
      <c r="E84" s="37" t="s">
        <v>211</v>
      </c>
      <c r="F84" s="40">
        <v>168.37</v>
      </c>
      <c r="G84" s="36"/>
      <c r="H84" s="38">
        <v>197.8</v>
      </c>
      <c r="I84" s="39">
        <f>IF(G84&lt;&gt;0,G84/H84,F84/H84)</f>
        <v>0.85121334681496463</v>
      </c>
    </row>
    <row r="85" spans="1:9">
      <c r="A85" s="36">
        <v>12</v>
      </c>
      <c r="B85" s="36">
        <v>834669341</v>
      </c>
      <c r="C85" s="36" t="s">
        <v>212</v>
      </c>
      <c r="D85" s="36" t="s">
        <v>213</v>
      </c>
      <c r="E85" s="37" t="s">
        <v>211</v>
      </c>
      <c r="F85" s="40">
        <v>171.6</v>
      </c>
      <c r="G85" s="36"/>
      <c r="H85" s="38">
        <v>197.8</v>
      </c>
      <c r="I85" s="39">
        <f>IF(G85&lt;&gt;0,G85/H85,F85/H85)</f>
        <v>0.8675429726996966</v>
      </c>
    </row>
    <row r="86" spans="1:9">
      <c r="A86" s="36">
        <v>12</v>
      </c>
      <c r="B86" s="36">
        <v>834669366</v>
      </c>
      <c r="C86" s="36" t="s">
        <v>214</v>
      </c>
      <c r="D86" s="36" t="s">
        <v>215</v>
      </c>
      <c r="E86" s="37" t="s">
        <v>211</v>
      </c>
      <c r="F86" s="40">
        <v>84.75</v>
      </c>
      <c r="G86" s="36"/>
      <c r="H86" s="38">
        <v>98.9</v>
      </c>
      <c r="I86" s="39">
        <f>IF(G86&lt;&gt;0,G86/H86,F86/H86)</f>
        <v>0.85692618806875631</v>
      </c>
    </row>
    <row r="87" spans="1:9">
      <c r="A87" s="36">
        <v>12</v>
      </c>
      <c r="B87" s="36">
        <v>834669374</v>
      </c>
      <c r="C87" s="36" t="s">
        <v>216</v>
      </c>
      <c r="D87" s="36" t="s">
        <v>217</v>
      </c>
      <c r="E87" s="37" t="s">
        <v>218</v>
      </c>
      <c r="F87" s="40">
        <v>147.62</v>
      </c>
      <c r="G87" s="36"/>
      <c r="H87" s="38">
        <v>184.4</v>
      </c>
      <c r="I87" s="39">
        <f>IF(G87&lt;&gt;0,G87/H87,F87/H87)</f>
        <v>0.80054229934924082</v>
      </c>
    </row>
    <row r="88" spans="1:9">
      <c r="A88" s="36">
        <v>12</v>
      </c>
      <c r="B88" s="36">
        <v>834669390</v>
      </c>
      <c r="C88" s="36" t="s">
        <v>219</v>
      </c>
      <c r="D88" s="36" t="s">
        <v>220</v>
      </c>
      <c r="E88" s="37" t="s">
        <v>218</v>
      </c>
      <c r="F88" s="40">
        <v>142.68</v>
      </c>
      <c r="G88" s="36"/>
      <c r="H88" s="38">
        <v>184.4</v>
      </c>
      <c r="I88" s="39">
        <f>IF(G88&lt;&gt;0,G88/H88,F88/H88)</f>
        <v>0.77375271149674618</v>
      </c>
    </row>
    <row r="89" spans="1:9">
      <c r="A89" s="36">
        <v>12</v>
      </c>
      <c r="B89" s="36">
        <v>834669424</v>
      </c>
      <c r="C89" s="36" t="s">
        <v>221</v>
      </c>
      <c r="D89" s="36" t="s">
        <v>222</v>
      </c>
      <c r="E89" s="37" t="s">
        <v>218</v>
      </c>
      <c r="F89" s="40">
        <v>85.78</v>
      </c>
      <c r="G89" s="36"/>
      <c r="H89" s="38">
        <v>92.2</v>
      </c>
      <c r="I89" s="39">
        <f>IF(G89&lt;&gt;0,G89/H89,F89/H89)</f>
        <v>0.93036876355748377</v>
      </c>
    </row>
    <row r="90" spans="1:9">
      <c r="A90" s="36">
        <v>12</v>
      </c>
      <c r="B90" s="36"/>
      <c r="C90" s="36" t="s">
        <v>223</v>
      </c>
      <c r="D90" s="36" t="s">
        <v>224</v>
      </c>
      <c r="E90" s="37" t="s">
        <v>225</v>
      </c>
      <c r="F90" s="40">
        <v>44.4</v>
      </c>
      <c r="G90" s="36"/>
      <c r="H90" s="37">
        <v>125.68</v>
      </c>
      <c r="I90" s="39">
        <f>IF(G90&lt;&gt;0,G90/H90,F90/H90)</f>
        <v>0.3532781667727562</v>
      </c>
    </row>
    <row r="91" spans="1:9">
      <c r="A91" s="36">
        <v>12</v>
      </c>
      <c r="B91" s="36"/>
      <c r="C91" s="36" t="s">
        <v>226</v>
      </c>
      <c r="D91" s="36" t="s">
        <v>227</v>
      </c>
      <c r="E91" s="37" t="s">
        <v>228</v>
      </c>
      <c r="F91" s="40">
        <v>50.47</v>
      </c>
      <c r="G91" s="36"/>
      <c r="H91" s="37">
        <v>125.68</v>
      </c>
      <c r="I91" s="39">
        <f>IF(G91&lt;&gt;0,G91/H91,F91/H91)</f>
        <v>0.40157542966263521</v>
      </c>
    </row>
    <row r="92" spans="1:9" ht="15" customHeight="1">
      <c r="A92" s="74" t="s">
        <v>229</v>
      </c>
      <c r="B92" s="74"/>
      <c r="C92" s="74"/>
      <c r="D92" s="74"/>
      <c r="E92" s="74"/>
      <c r="F92" s="41">
        <f>SUM(F2:F91)</f>
        <v>9296.489999999998</v>
      </c>
      <c r="G92" s="41">
        <f>SUM(F14:F91,G13,F3:F12,G2)</f>
        <v>9424.4989999999962</v>
      </c>
      <c r="H92" s="41">
        <f>SUM(H2:H91)</f>
        <v>11617.9</v>
      </c>
      <c r="I92" s="42">
        <f>IF(G92&lt;&gt;0,G92/H92,F92/H92)</f>
        <v>0.81120503705488911</v>
      </c>
    </row>
  </sheetData>
  <mergeCells count="1">
    <mergeCell ref="A92:E92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888B3-0791-4637-B681-517321FB3D7B}">
  <dimension ref="A1:R1500"/>
  <sheetViews>
    <sheetView tabSelected="1" workbookViewId="0">
      <pane xSplit="2" topLeftCell="M1397" activePane="topRight" state="frozen"/>
      <selection pane="topRight" activeCell="O1414" sqref="O1414"/>
    </sheetView>
  </sheetViews>
  <sheetFormatPr defaultRowHeight="15"/>
  <cols>
    <col min="1" max="1" width="17.42578125" style="2" hidden="1" customWidth="1"/>
    <col min="2" max="2" width="32.140625" style="1" customWidth="1"/>
    <col min="3" max="3" width="29.42578125" style="1" customWidth="1"/>
    <col min="4" max="4" width="22.5703125" style="52" customWidth="1"/>
    <col min="5" max="6" width="19.5703125" style="52" bestFit="1" customWidth="1"/>
    <col min="7" max="7" width="23.42578125" style="53" customWidth="1"/>
    <col min="8" max="8" width="15.7109375" style="1" customWidth="1"/>
    <col min="9" max="9" width="17" style="1" customWidth="1"/>
    <col min="10" max="10" width="14" style="1" customWidth="1"/>
    <col min="11" max="11" width="15.7109375" style="1" bestFit="1" customWidth="1"/>
    <col min="12" max="12" width="142" style="1" customWidth="1"/>
    <col min="13" max="13" width="18.28515625" style="1" bestFit="1" customWidth="1"/>
    <col min="14" max="14" width="36.5703125" style="1" customWidth="1"/>
    <col min="15" max="15" width="184" style="1" customWidth="1"/>
    <col min="16" max="16" width="90.7109375" style="1" bestFit="1" customWidth="1"/>
    <col min="17" max="17" width="16" style="1" bestFit="1" customWidth="1"/>
  </cols>
  <sheetData>
    <row r="1" spans="1:17">
      <c r="A1" s="5" t="s">
        <v>1</v>
      </c>
      <c r="B1" s="50" t="s">
        <v>230</v>
      </c>
      <c r="C1" s="50" t="s">
        <v>231</v>
      </c>
      <c r="D1" s="6" t="s">
        <v>232</v>
      </c>
      <c r="E1" s="6" t="s">
        <v>233</v>
      </c>
      <c r="F1" s="6" t="s">
        <v>234</v>
      </c>
      <c r="G1" s="51" t="s">
        <v>235</v>
      </c>
      <c r="H1" s="50" t="s">
        <v>236</v>
      </c>
      <c r="I1" s="50" t="s">
        <v>237</v>
      </c>
      <c r="J1" s="50" t="s">
        <v>238</v>
      </c>
      <c r="K1" s="50" t="s">
        <v>239</v>
      </c>
      <c r="L1" s="50" t="s">
        <v>240</v>
      </c>
      <c r="M1" s="50" t="s">
        <v>241</v>
      </c>
      <c r="N1" s="50" t="s">
        <v>242</v>
      </c>
      <c r="O1" s="50" t="s">
        <v>243</v>
      </c>
      <c r="P1" s="50" t="s">
        <v>244</v>
      </c>
      <c r="Q1" s="50" t="s">
        <v>245</v>
      </c>
    </row>
    <row r="2" spans="1:17">
      <c r="B2" s="1" t="s">
        <v>246</v>
      </c>
      <c r="C2" s="1" t="s">
        <v>247</v>
      </c>
      <c r="D2" s="52">
        <v>46023.087500000001</v>
      </c>
      <c r="E2" s="52">
        <v>46023.087500000001</v>
      </c>
      <c r="F2" s="52">
        <v>46023.901388888888</v>
      </c>
      <c r="G2" s="53">
        <f>F2-E2</f>
        <v>0.81388888888614019</v>
      </c>
      <c r="H2" s="1" t="s">
        <v>248</v>
      </c>
      <c r="J2" s="1" t="s">
        <v>249</v>
      </c>
      <c r="K2" s="1" t="str">
        <f>_xlfn.XLOOKUP(J2,REF!$D$2:$D$12,REF!$E$2:$E$12)</f>
        <v>Rede</v>
      </c>
      <c r="L2" s="1" t="s">
        <v>250</v>
      </c>
      <c r="M2" s="1" t="s">
        <v>251</v>
      </c>
      <c r="N2" s="1" t="s">
        <v>252</v>
      </c>
      <c r="O2" s="1" t="s">
        <v>253</v>
      </c>
      <c r="P2" s="1" t="str">
        <f t="shared" ref="P2" si="0">_xlfn.CONCAT(B2,C2,D2,E2,F2)</f>
        <v>BC Caiaponia2.1215KTL-H3(MBUS-12)46023,087546023,087546023,9013888889</v>
      </c>
      <c r="Q2" s="1" t="str">
        <f t="shared" ref="Q2" si="1">_xlfn.CONCAT(H2,I2,J2)</f>
        <v>DAURDE</v>
      </c>
    </row>
    <row r="3" spans="1:17">
      <c r="B3" s="1" t="s">
        <v>246</v>
      </c>
      <c r="C3" s="1" t="s">
        <v>254</v>
      </c>
      <c r="D3" s="52">
        <v>46023.087500000001</v>
      </c>
      <c r="E3" s="52">
        <v>46023.087500000001</v>
      </c>
      <c r="F3" s="52">
        <v>46023.901388888888</v>
      </c>
      <c r="G3" s="53">
        <f t="shared" ref="G3:G66" si="2">F3-E3</f>
        <v>0.81388888888614019</v>
      </c>
      <c r="H3" s="1" t="s">
        <v>248</v>
      </c>
      <c r="J3" s="1" t="s">
        <v>249</v>
      </c>
      <c r="K3" s="1" t="str">
        <f>_xlfn.XLOOKUP(J3,REF!$D$2:$D$12,REF!$E$2:$E$12)</f>
        <v>Rede</v>
      </c>
      <c r="L3" s="1" t="s">
        <v>250</v>
      </c>
      <c r="M3" s="1" t="s">
        <v>251</v>
      </c>
      <c r="N3" s="1" t="s">
        <v>252</v>
      </c>
      <c r="O3" s="1" t="s">
        <v>253</v>
      </c>
      <c r="P3" s="1" t="str">
        <f t="shared" ref="P3:P66" si="3">_xlfn.CONCAT(B3,C3,D3,E3,F3)</f>
        <v>BC Caiaponia2.1215KTL-H3(MBUS-13)46023,087546023,087546023,9013888889</v>
      </c>
      <c r="Q3" s="1" t="str">
        <f t="shared" ref="Q3:Q66" si="4">_xlfn.CONCAT(H3,I3,J3)</f>
        <v>DAURDE</v>
      </c>
    </row>
    <row r="4" spans="1:17">
      <c r="B4" s="1" t="s">
        <v>246</v>
      </c>
      <c r="C4" s="1" t="s">
        <v>255</v>
      </c>
      <c r="D4" s="52">
        <v>46023.087500000001</v>
      </c>
      <c r="E4" s="52">
        <v>46023.087500000001</v>
      </c>
      <c r="F4" s="52">
        <v>46023.901388888888</v>
      </c>
      <c r="G4" s="53">
        <f t="shared" si="2"/>
        <v>0.81388888888614019</v>
      </c>
      <c r="H4" s="1" t="s">
        <v>248</v>
      </c>
      <c r="J4" s="1" t="s">
        <v>249</v>
      </c>
      <c r="K4" s="1" t="str">
        <f>_xlfn.XLOOKUP(J4,REF!$D$2:$D$12,REF!$E$2:$E$12)</f>
        <v>Rede</v>
      </c>
      <c r="L4" s="1" t="s">
        <v>250</v>
      </c>
      <c r="M4" s="1" t="s">
        <v>251</v>
      </c>
      <c r="N4" s="1" t="s">
        <v>252</v>
      </c>
      <c r="O4" s="1" t="s">
        <v>253</v>
      </c>
      <c r="P4" s="1" t="str">
        <f t="shared" si="3"/>
        <v>BC Caiaponia2.1215KTL-H3(MBUS-14)46023,087546023,087546023,9013888889</v>
      </c>
      <c r="Q4" s="1" t="str">
        <f t="shared" si="4"/>
        <v>DAURDE</v>
      </c>
    </row>
    <row r="5" spans="1:17">
      <c r="B5" s="1" t="s">
        <v>246</v>
      </c>
      <c r="C5" s="1" t="s">
        <v>256</v>
      </c>
      <c r="D5" s="52">
        <v>46023.087500000001</v>
      </c>
      <c r="E5" s="52">
        <v>46023.087500000001</v>
      </c>
      <c r="F5" s="52">
        <v>46023.901388888888</v>
      </c>
      <c r="G5" s="53">
        <f t="shared" si="2"/>
        <v>0.81388888888614019</v>
      </c>
      <c r="H5" s="1" t="s">
        <v>248</v>
      </c>
      <c r="J5" s="1" t="s">
        <v>249</v>
      </c>
      <c r="K5" s="1" t="str">
        <f>_xlfn.XLOOKUP(J5,REF!$D$2:$D$12,REF!$E$2:$E$12)</f>
        <v>Rede</v>
      </c>
      <c r="L5" s="1" t="s">
        <v>250</v>
      </c>
      <c r="M5" s="1" t="s">
        <v>251</v>
      </c>
      <c r="N5" s="1" t="s">
        <v>252</v>
      </c>
      <c r="O5" s="1" t="s">
        <v>253</v>
      </c>
      <c r="P5" s="1" t="str">
        <f t="shared" si="3"/>
        <v>BC Caiaponia2.1215KTL-H3(MBUS-15)46023,087546023,087546023,9013888889</v>
      </c>
      <c r="Q5" s="1" t="str">
        <f t="shared" si="4"/>
        <v>DAURDE</v>
      </c>
    </row>
    <row r="6" spans="1:17">
      <c r="B6" s="1" t="s">
        <v>246</v>
      </c>
      <c r="C6" s="1" t="s">
        <v>257</v>
      </c>
      <c r="D6" s="52">
        <v>46023.087500000001</v>
      </c>
      <c r="E6" s="52">
        <v>46023.087500000001</v>
      </c>
      <c r="F6" s="52">
        <v>46023.901388888888</v>
      </c>
      <c r="G6" s="53">
        <f t="shared" si="2"/>
        <v>0.81388888888614019</v>
      </c>
      <c r="H6" s="1" t="s">
        <v>248</v>
      </c>
      <c r="J6" s="1" t="s">
        <v>249</v>
      </c>
      <c r="K6" s="1" t="str">
        <f>_xlfn.XLOOKUP(J6,REF!$D$2:$D$12,REF!$E$2:$E$12)</f>
        <v>Rede</v>
      </c>
      <c r="L6" s="1" t="s">
        <v>250</v>
      </c>
      <c r="M6" s="1" t="s">
        <v>251</v>
      </c>
      <c r="N6" s="1" t="s">
        <v>252</v>
      </c>
      <c r="O6" s="1" t="s">
        <v>253</v>
      </c>
      <c r="P6" s="1" t="str">
        <f t="shared" si="3"/>
        <v>BC Caiaponia2.1215KTL-H3(MBUS-16)46023,087546023,087546023,9013888889</v>
      </c>
      <c r="Q6" s="1" t="str">
        <f t="shared" si="4"/>
        <v>DAURDE</v>
      </c>
    </row>
    <row r="7" spans="1:17">
      <c r="B7" s="1" t="s">
        <v>258</v>
      </c>
      <c r="C7" s="1" t="s">
        <v>247</v>
      </c>
      <c r="D7" s="52">
        <v>46023.087500000001</v>
      </c>
      <c r="E7" s="52">
        <v>46023.087500000001</v>
      </c>
      <c r="F7" s="52">
        <v>46023.901388888888</v>
      </c>
      <c r="G7" s="53">
        <f t="shared" si="2"/>
        <v>0.81388888888614019</v>
      </c>
      <c r="H7" s="1" t="s">
        <v>248</v>
      </c>
      <c r="J7" s="1" t="s">
        <v>249</v>
      </c>
      <c r="K7" s="1" t="str">
        <f>_xlfn.XLOOKUP(J7,REF!$D$2:$D$12,REF!$E$2:$E$12)</f>
        <v>Rede</v>
      </c>
      <c r="L7" s="1" t="s">
        <v>250</v>
      </c>
      <c r="M7" s="1" t="s">
        <v>251</v>
      </c>
      <c r="N7" s="1" t="s">
        <v>252</v>
      </c>
      <c r="O7" s="1" t="s">
        <v>253</v>
      </c>
      <c r="P7" s="1" t="str">
        <f t="shared" si="3"/>
        <v>BC Caiaponia2.2215KTL-H3(MBUS-12)46023,087546023,087546023,9013888889</v>
      </c>
      <c r="Q7" s="1" t="str">
        <f t="shared" si="4"/>
        <v>DAURDE</v>
      </c>
    </row>
    <row r="8" spans="1:17">
      <c r="B8" s="1" t="s">
        <v>258</v>
      </c>
      <c r="C8" s="1" t="s">
        <v>254</v>
      </c>
      <c r="D8" s="52">
        <v>46023.087500000001</v>
      </c>
      <c r="E8" s="52">
        <v>46023.087500000001</v>
      </c>
      <c r="F8" s="52">
        <v>46023.901388888888</v>
      </c>
      <c r="G8" s="53">
        <f t="shared" si="2"/>
        <v>0.81388888888614019</v>
      </c>
      <c r="H8" s="1" t="s">
        <v>248</v>
      </c>
      <c r="J8" s="1" t="s">
        <v>249</v>
      </c>
      <c r="K8" s="1" t="str">
        <f>_xlfn.XLOOKUP(J8,REF!$D$2:$D$12,REF!$E$2:$E$12)</f>
        <v>Rede</v>
      </c>
      <c r="L8" s="1" t="s">
        <v>250</v>
      </c>
      <c r="M8" s="1" t="s">
        <v>251</v>
      </c>
      <c r="N8" s="1" t="s">
        <v>252</v>
      </c>
      <c r="O8" s="1" t="s">
        <v>253</v>
      </c>
      <c r="P8" s="1" t="str">
        <f t="shared" si="3"/>
        <v>BC Caiaponia2.2215KTL-H3(MBUS-13)46023,087546023,087546023,9013888889</v>
      </c>
      <c r="Q8" s="1" t="str">
        <f t="shared" si="4"/>
        <v>DAURDE</v>
      </c>
    </row>
    <row r="9" spans="1:17">
      <c r="B9" s="1" t="s">
        <v>258</v>
      </c>
      <c r="C9" s="1" t="s">
        <v>255</v>
      </c>
      <c r="D9" s="52">
        <v>46023.087500000001</v>
      </c>
      <c r="E9" s="52">
        <v>46023.087500000001</v>
      </c>
      <c r="F9" s="52">
        <v>46023.901388888888</v>
      </c>
      <c r="G9" s="53">
        <f t="shared" si="2"/>
        <v>0.81388888888614019</v>
      </c>
      <c r="H9" s="1" t="s">
        <v>248</v>
      </c>
      <c r="J9" s="1" t="s">
        <v>249</v>
      </c>
      <c r="K9" s="1" t="str">
        <f>_xlfn.XLOOKUP(J9,REF!$D$2:$D$12,REF!$E$2:$E$12)</f>
        <v>Rede</v>
      </c>
      <c r="L9" s="1" t="s">
        <v>250</v>
      </c>
      <c r="M9" s="1" t="s">
        <v>251</v>
      </c>
      <c r="N9" s="1" t="s">
        <v>252</v>
      </c>
      <c r="O9" s="1" t="s">
        <v>253</v>
      </c>
      <c r="P9" s="1" t="str">
        <f t="shared" si="3"/>
        <v>BC Caiaponia2.2215KTL-H3(MBUS-14)46023,087546023,087546023,9013888889</v>
      </c>
      <c r="Q9" s="1" t="str">
        <f t="shared" si="4"/>
        <v>DAURDE</v>
      </c>
    </row>
    <row r="10" spans="1:17">
      <c r="B10" s="1" t="s">
        <v>258</v>
      </c>
      <c r="C10" s="1" t="s">
        <v>256</v>
      </c>
      <c r="D10" s="52">
        <v>46023.087500000001</v>
      </c>
      <c r="E10" s="52">
        <v>46023.087500000001</v>
      </c>
      <c r="F10" s="52">
        <v>46023.901388888888</v>
      </c>
      <c r="G10" s="53">
        <f t="shared" si="2"/>
        <v>0.81388888888614019</v>
      </c>
      <c r="H10" s="1" t="s">
        <v>248</v>
      </c>
      <c r="J10" s="1" t="s">
        <v>249</v>
      </c>
      <c r="K10" s="1" t="str">
        <f>_xlfn.XLOOKUP(J10,REF!$D$2:$D$12,REF!$E$2:$E$12)</f>
        <v>Rede</v>
      </c>
      <c r="L10" s="1" t="s">
        <v>250</v>
      </c>
      <c r="M10" s="1" t="s">
        <v>251</v>
      </c>
      <c r="N10" s="1" t="s">
        <v>252</v>
      </c>
      <c r="O10" s="1" t="s">
        <v>253</v>
      </c>
      <c r="P10" s="1" t="str">
        <f t="shared" si="3"/>
        <v>BC Caiaponia2.2215KTL-H3(MBUS-15)46023,087546023,087546023,9013888889</v>
      </c>
      <c r="Q10" s="1" t="str">
        <f t="shared" si="4"/>
        <v>DAURDE</v>
      </c>
    </row>
    <row r="11" spans="1:17">
      <c r="B11" s="1" t="s">
        <v>258</v>
      </c>
      <c r="C11" s="1" t="s">
        <v>257</v>
      </c>
      <c r="D11" s="52">
        <v>46023.087500000001</v>
      </c>
      <c r="E11" s="52">
        <v>46023.087500000001</v>
      </c>
      <c r="F11" s="52">
        <v>46023.901388888888</v>
      </c>
      <c r="G11" s="53">
        <f t="shared" si="2"/>
        <v>0.81388888888614019</v>
      </c>
      <c r="H11" s="1" t="s">
        <v>248</v>
      </c>
      <c r="J11" s="1" t="s">
        <v>249</v>
      </c>
      <c r="K11" s="1" t="str">
        <f>_xlfn.XLOOKUP(J11,REF!$D$2:$D$12,REF!$E$2:$E$12)</f>
        <v>Rede</v>
      </c>
      <c r="L11" s="1" t="s">
        <v>250</v>
      </c>
      <c r="M11" s="1" t="s">
        <v>251</v>
      </c>
      <c r="N11" s="1" t="s">
        <v>252</v>
      </c>
      <c r="O11" s="1" t="s">
        <v>253</v>
      </c>
      <c r="P11" s="1" t="str">
        <f t="shared" si="3"/>
        <v>BC Caiaponia2.2215KTL-H3(MBUS-16)46023,087546023,087546023,9013888889</v>
      </c>
      <c r="Q11" s="1" t="str">
        <f t="shared" si="4"/>
        <v>DAURDE</v>
      </c>
    </row>
    <row r="12" spans="1:17">
      <c r="B12" s="1" t="s">
        <v>259</v>
      </c>
      <c r="C12" s="1" t="s">
        <v>247</v>
      </c>
      <c r="D12" s="52">
        <v>46023.087500000001</v>
      </c>
      <c r="E12" s="52">
        <v>46023.087500000001</v>
      </c>
      <c r="F12" s="52">
        <v>46023.901388888888</v>
      </c>
      <c r="G12" s="53">
        <f t="shared" si="2"/>
        <v>0.81388888888614019</v>
      </c>
      <c r="H12" s="1" t="s">
        <v>248</v>
      </c>
      <c r="J12" s="1" t="s">
        <v>249</v>
      </c>
      <c r="K12" s="1" t="str">
        <f>_xlfn.XLOOKUP(J12,REF!$D$2:$D$12,REF!$E$2:$E$12)</f>
        <v>Rede</v>
      </c>
      <c r="L12" s="1" t="s">
        <v>250</v>
      </c>
      <c r="M12" s="1" t="s">
        <v>251</v>
      </c>
      <c r="N12" s="1" t="s">
        <v>252</v>
      </c>
      <c r="O12" s="1" t="s">
        <v>253</v>
      </c>
      <c r="P12" s="1" t="str">
        <f t="shared" si="3"/>
        <v>BC Caiaponia2.3215KTL-H3(MBUS-12)46023,087546023,087546023,9013888889</v>
      </c>
      <c r="Q12" s="1" t="str">
        <f t="shared" si="4"/>
        <v>DAURDE</v>
      </c>
    </row>
    <row r="13" spans="1:17">
      <c r="B13" s="1" t="s">
        <v>259</v>
      </c>
      <c r="C13" s="1" t="s">
        <v>254</v>
      </c>
      <c r="D13" s="52">
        <v>46023.087500000001</v>
      </c>
      <c r="E13" s="52">
        <v>46023.087500000001</v>
      </c>
      <c r="F13" s="52">
        <v>46023.901388888888</v>
      </c>
      <c r="G13" s="53">
        <f t="shared" si="2"/>
        <v>0.81388888888614019</v>
      </c>
      <c r="H13" s="1" t="s">
        <v>248</v>
      </c>
      <c r="J13" s="1" t="s">
        <v>249</v>
      </c>
      <c r="K13" s="1" t="str">
        <f>_xlfn.XLOOKUP(J13,REF!$D$2:$D$12,REF!$E$2:$E$12)</f>
        <v>Rede</v>
      </c>
      <c r="L13" s="1" t="s">
        <v>250</v>
      </c>
      <c r="M13" s="1" t="s">
        <v>251</v>
      </c>
      <c r="N13" s="1" t="s">
        <v>252</v>
      </c>
      <c r="O13" s="1" t="s">
        <v>253</v>
      </c>
      <c r="P13" s="1" t="str">
        <f t="shared" si="3"/>
        <v>BC Caiaponia2.3215KTL-H3(MBUS-13)46023,087546023,087546023,9013888889</v>
      </c>
      <c r="Q13" s="1" t="str">
        <f t="shared" si="4"/>
        <v>DAURDE</v>
      </c>
    </row>
    <row r="14" spans="1:17">
      <c r="B14" s="1" t="s">
        <v>259</v>
      </c>
      <c r="C14" s="1" t="s">
        <v>255</v>
      </c>
      <c r="D14" s="52">
        <v>46023.087500000001</v>
      </c>
      <c r="E14" s="52">
        <v>46023.087500000001</v>
      </c>
      <c r="F14" s="52">
        <v>46023.901388888888</v>
      </c>
      <c r="G14" s="53">
        <f t="shared" si="2"/>
        <v>0.81388888888614019</v>
      </c>
      <c r="H14" s="1" t="s">
        <v>248</v>
      </c>
      <c r="J14" s="1" t="s">
        <v>249</v>
      </c>
      <c r="K14" s="1" t="str">
        <f>_xlfn.XLOOKUP(J14,REF!$D$2:$D$12,REF!$E$2:$E$12)</f>
        <v>Rede</v>
      </c>
      <c r="L14" s="1" t="s">
        <v>250</v>
      </c>
      <c r="M14" s="1" t="s">
        <v>251</v>
      </c>
      <c r="N14" s="1" t="s">
        <v>252</v>
      </c>
      <c r="O14" s="1" t="s">
        <v>253</v>
      </c>
      <c r="P14" s="1" t="str">
        <f t="shared" si="3"/>
        <v>BC Caiaponia2.3215KTL-H3(MBUS-14)46023,087546023,087546023,9013888889</v>
      </c>
      <c r="Q14" s="1" t="str">
        <f t="shared" si="4"/>
        <v>DAURDE</v>
      </c>
    </row>
    <row r="15" spans="1:17">
      <c r="B15" s="1" t="s">
        <v>259</v>
      </c>
      <c r="C15" s="1" t="s">
        <v>256</v>
      </c>
      <c r="D15" s="52">
        <v>46023.087500000001</v>
      </c>
      <c r="E15" s="52">
        <v>46023.087500000001</v>
      </c>
      <c r="F15" s="52">
        <v>46023.901388888888</v>
      </c>
      <c r="G15" s="53">
        <f t="shared" si="2"/>
        <v>0.81388888888614019</v>
      </c>
      <c r="H15" s="1" t="s">
        <v>248</v>
      </c>
      <c r="J15" s="1" t="s">
        <v>249</v>
      </c>
      <c r="K15" s="1" t="str">
        <f>_xlfn.XLOOKUP(J15,REF!$D$2:$D$12,REF!$E$2:$E$12)</f>
        <v>Rede</v>
      </c>
      <c r="L15" s="1" t="s">
        <v>250</v>
      </c>
      <c r="M15" s="1" t="s">
        <v>251</v>
      </c>
      <c r="N15" s="1" t="s">
        <v>252</v>
      </c>
      <c r="O15" s="1" t="s">
        <v>253</v>
      </c>
      <c r="P15" s="1" t="str">
        <f t="shared" si="3"/>
        <v>BC Caiaponia2.3215KTL-H3(MBUS-15)46023,087546023,087546023,9013888889</v>
      </c>
      <c r="Q15" s="1" t="str">
        <f t="shared" si="4"/>
        <v>DAURDE</v>
      </c>
    </row>
    <row r="16" spans="1:17">
      <c r="B16" s="1" t="s">
        <v>259</v>
      </c>
      <c r="C16" s="1" t="s">
        <v>257</v>
      </c>
      <c r="D16" s="52">
        <v>46023.087500000001</v>
      </c>
      <c r="E16" s="52">
        <v>46023.087500000001</v>
      </c>
      <c r="F16" s="52">
        <v>46023.901388888888</v>
      </c>
      <c r="G16" s="53">
        <f t="shared" si="2"/>
        <v>0.81388888888614019</v>
      </c>
      <c r="H16" s="1" t="s">
        <v>248</v>
      </c>
      <c r="J16" s="1" t="s">
        <v>249</v>
      </c>
      <c r="K16" s="1" t="str">
        <f>_xlfn.XLOOKUP(J16,REF!$D$2:$D$12,REF!$E$2:$E$12)</f>
        <v>Rede</v>
      </c>
      <c r="L16" s="1" t="s">
        <v>250</v>
      </c>
      <c r="M16" s="1" t="s">
        <v>251</v>
      </c>
      <c r="N16" s="1" t="s">
        <v>252</v>
      </c>
      <c r="O16" s="1" t="s">
        <v>253</v>
      </c>
      <c r="P16" s="1" t="str">
        <f t="shared" si="3"/>
        <v>BC Caiaponia2.3215KTL-H3(MBUS-16)46023,087546023,087546023,9013888889</v>
      </c>
      <c r="Q16" s="1" t="str">
        <f t="shared" si="4"/>
        <v>DAURDE</v>
      </c>
    </row>
    <row r="17" spans="2:17">
      <c r="B17" s="1" t="s">
        <v>246</v>
      </c>
      <c r="C17" s="1" t="s">
        <v>247</v>
      </c>
      <c r="D17" s="52">
        <v>46024.256944444445</v>
      </c>
      <c r="E17" s="52">
        <v>46024.256944444445</v>
      </c>
      <c r="F17" s="52">
        <v>46024.316666666666</v>
      </c>
      <c r="G17" s="53">
        <f>+F17-E17</f>
        <v>5.9722222220443655E-2</v>
      </c>
      <c r="H17" s="1" t="s">
        <v>260</v>
      </c>
      <c r="I17" s="1" t="s">
        <v>261</v>
      </c>
      <c r="J17" s="1" t="s">
        <v>262</v>
      </c>
      <c r="K17" s="1" t="s">
        <v>263</v>
      </c>
      <c r="L17" s="1" t="s">
        <v>264</v>
      </c>
      <c r="M17" s="1" t="s">
        <v>265</v>
      </c>
      <c r="N17" s="1" t="s">
        <v>266</v>
      </c>
      <c r="O17" s="1" t="s">
        <v>267</v>
      </c>
      <c r="P17" s="1" t="str">
        <f t="shared" si="3"/>
        <v>BC Caiaponia2.1215KTL-H3(MBUS-12)46024,256944444446024,256944444446024,3166666667</v>
      </c>
      <c r="Q17" s="1" t="str">
        <f t="shared" si="4"/>
        <v>LIGRFOCOM</v>
      </c>
    </row>
    <row r="18" spans="2:17">
      <c r="B18" s="1" t="s">
        <v>246</v>
      </c>
      <c r="C18" s="1" t="s">
        <v>254</v>
      </c>
      <c r="D18" s="52">
        <v>46024.256944444445</v>
      </c>
      <c r="E18" s="52">
        <v>46024.256944444445</v>
      </c>
      <c r="F18" s="52">
        <v>46024.316666666666</v>
      </c>
      <c r="G18" s="53">
        <f t="shared" si="2"/>
        <v>5.9722222220443655E-2</v>
      </c>
      <c r="H18" s="1" t="s">
        <v>260</v>
      </c>
      <c r="I18" s="1" t="s">
        <v>261</v>
      </c>
      <c r="J18" s="1" t="s">
        <v>262</v>
      </c>
      <c r="K18" s="1" t="s">
        <v>263</v>
      </c>
      <c r="L18" s="1" t="s">
        <v>264</v>
      </c>
      <c r="M18" s="1" t="s">
        <v>265</v>
      </c>
      <c r="N18" s="1" t="s">
        <v>266</v>
      </c>
      <c r="O18" s="1" t="s">
        <v>267</v>
      </c>
      <c r="P18" s="1" t="str">
        <f t="shared" si="3"/>
        <v>BC Caiaponia2.1215KTL-H3(MBUS-13)46024,256944444446024,256944444446024,3166666667</v>
      </c>
      <c r="Q18" s="1" t="str">
        <f t="shared" si="4"/>
        <v>LIGRFOCOM</v>
      </c>
    </row>
    <row r="19" spans="2:17">
      <c r="B19" s="1" t="s">
        <v>246</v>
      </c>
      <c r="C19" s="1" t="s">
        <v>255</v>
      </c>
      <c r="D19" s="52">
        <v>46024.256944444445</v>
      </c>
      <c r="E19" s="52">
        <v>46024.256944444445</v>
      </c>
      <c r="F19" s="52">
        <v>46024.316666666666</v>
      </c>
      <c r="G19" s="53">
        <f>F17-E17</f>
        <v>5.9722222220443655E-2</v>
      </c>
      <c r="H19" s="1" t="s">
        <v>260</v>
      </c>
      <c r="I19" s="1" t="s">
        <v>261</v>
      </c>
      <c r="J19" s="1" t="s">
        <v>262</v>
      </c>
      <c r="K19" s="1" t="s">
        <v>263</v>
      </c>
      <c r="L19" s="1" t="s">
        <v>264</v>
      </c>
      <c r="M19" s="1" t="s">
        <v>265</v>
      </c>
      <c r="N19" s="1" t="s">
        <v>266</v>
      </c>
      <c r="O19" s="1" t="s">
        <v>267</v>
      </c>
      <c r="P19" s="1" t="str">
        <f t="shared" si="3"/>
        <v>BC Caiaponia2.1215KTL-H3(MBUS-14)46024,256944444446024,256944444446024,3166666667</v>
      </c>
      <c r="Q19" s="1" t="str">
        <f t="shared" si="4"/>
        <v>LIGRFOCOM</v>
      </c>
    </row>
    <row r="20" spans="2:17">
      <c r="B20" s="1" t="s">
        <v>246</v>
      </c>
      <c r="C20" s="1" t="s">
        <v>256</v>
      </c>
      <c r="D20" s="52">
        <v>46024.256944444445</v>
      </c>
      <c r="E20" s="52">
        <v>46024.256944444445</v>
      </c>
      <c r="F20" s="52">
        <v>46024.316666666666</v>
      </c>
      <c r="G20" s="53">
        <f t="shared" si="2"/>
        <v>5.9722222220443655E-2</v>
      </c>
      <c r="H20" s="1" t="s">
        <v>260</v>
      </c>
      <c r="I20" s="1" t="s">
        <v>261</v>
      </c>
      <c r="J20" s="1" t="s">
        <v>262</v>
      </c>
      <c r="K20" s="1" t="s">
        <v>263</v>
      </c>
      <c r="L20" s="1" t="s">
        <v>264</v>
      </c>
      <c r="M20" s="1" t="s">
        <v>265</v>
      </c>
      <c r="N20" s="1" t="s">
        <v>266</v>
      </c>
      <c r="O20" s="1" t="s">
        <v>267</v>
      </c>
      <c r="P20" s="1" t="str">
        <f t="shared" si="3"/>
        <v>BC Caiaponia2.1215KTL-H3(MBUS-15)46024,256944444446024,256944444446024,3166666667</v>
      </c>
      <c r="Q20" s="1" t="str">
        <f t="shared" si="4"/>
        <v>LIGRFOCOM</v>
      </c>
    </row>
    <row r="21" spans="2:17">
      <c r="B21" s="1" t="s">
        <v>246</v>
      </c>
      <c r="C21" s="1" t="s">
        <v>257</v>
      </c>
      <c r="D21" s="52">
        <v>46024.256944444445</v>
      </c>
      <c r="E21" s="52">
        <v>46024.256944444445</v>
      </c>
      <c r="F21" s="52">
        <v>46024.316666666666</v>
      </c>
      <c r="G21" s="53">
        <f t="shared" si="2"/>
        <v>5.9722222220443655E-2</v>
      </c>
      <c r="H21" s="1" t="s">
        <v>260</v>
      </c>
      <c r="I21" s="1" t="s">
        <v>261</v>
      </c>
      <c r="J21" s="1" t="s">
        <v>262</v>
      </c>
      <c r="K21" s="1" t="s">
        <v>263</v>
      </c>
      <c r="L21" s="1" t="s">
        <v>264</v>
      </c>
      <c r="M21" s="1" t="s">
        <v>265</v>
      </c>
      <c r="N21" s="1" t="s">
        <v>266</v>
      </c>
      <c r="O21" s="1" t="s">
        <v>267</v>
      </c>
      <c r="P21" s="1" t="str">
        <f t="shared" si="3"/>
        <v>BC Caiaponia2.1215KTL-H3(MBUS-16)46024,256944444446024,256944444446024,3166666667</v>
      </c>
      <c r="Q21" s="1" t="str">
        <f t="shared" si="4"/>
        <v>LIGRFOCOM</v>
      </c>
    </row>
    <row r="22" spans="2:17">
      <c r="B22" s="1" t="s">
        <v>258</v>
      </c>
      <c r="C22" s="1" t="s">
        <v>247</v>
      </c>
      <c r="D22" s="52">
        <v>46024.256944444445</v>
      </c>
      <c r="E22" s="52">
        <v>46024.256944444445</v>
      </c>
      <c r="F22" s="52">
        <v>46024.316666666666</v>
      </c>
      <c r="G22" s="53">
        <f t="shared" si="2"/>
        <v>5.9722222220443655E-2</v>
      </c>
      <c r="H22" s="1" t="s">
        <v>260</v>
      </c>
      <c r="I22" s="1" t="s">
        <v>261</v>
      </c>
      <c r="J22" s="1" t="s">
        <v>262</v>
      </c>
      <c r="K22" s="1" t="s">
        <v>263</v>
      </c>
      <c r="L22" s="1" t="s">
        <v>264</v>
      </c>
      <c r="M22" s="1" t="s">
        <v>265</v>
      </c>
      <c r="N22" s="1" t="s">
        <v>266</v>
      </c>
      <c r="O22" s="1" t="s">
        <v>267</v>
      </c>
      <c r="P22" s="1" t="str">
        <f t="shared" si="3"/>
        <v>BC Caiaponia2.2215KTL-H3(MBUS-12)46024,256944444446024,256944444446024,3166666667</v>
      </c>
      <c r="Q22" s="1" t="str">
        <f t="shared" si="4"/>
        <v>LIGRFOCOM</v>
      </c>
    </row>
    <row r="23" spans="2:17">
      <c r="B23" s="1" t="s">
        <v>258</v>
      </c>
      <c r="C23" s="1" t="s">
        <v>254</v>
      </c>
      <c r="D23" s="52">
        <v>46024.256944444445</v>
      </c>
      <c r="E23" s="52">
        <v>46024.256944444445</v>
      </c>
      <c r="F23" s="52">
        <v>46024.316666666666</v>
      </c>
      <c r="G23" s="53">
        <f t="shared" si="2"/>
        <v>5.9722222220443655E-2</v>
      </c>
      <c r="H23" s="1" t="s">
        <v>260</v>
      </c>
      <c r="I23" s="1" t="s">
        <v>261</v>
      </c>
      <c r="J23" s="1" t="s">
        <v>262</v>
      </c>
      <c r="K23" s="1" t="s">
        <v>263</v>
      </c>
      <c r="L23" s="1" t="s">
        <v>264</v>
      </c>
      <c r="M23" s="1" t="s">
        <v>265</v>
      </c>
      <c r="N23" s="1" t="s">
        <v>266</v>
      </c>
      <c r="O23" s="1" t="s">
        <v>267</v>
      </c>
      <c r="P23" s="1" t="str">
        <f t="shared" si="3"/>
        <v>BC Caiaponia2.2215KTL-H3(MBUS-13)46024,256944444446024,256944444446024,3166666667</v>
      </c>
      <c r="Q23" s="1" t="str">
        <f t="shared" si="4"/>
        <v>LIGRFOCOM</v>
      </c>
    </row>
    <row r="24" spans="2:17">
      <c r="B24" s="1" t="s">
        <v>258</v>
      </c>
      <c r="C24" s="1" t="s">
        <v>255</v>
      </c>
      <c r="D24" s="52">
        <v>46024.256944444445</v>
      </c>
      <c r="E24" s="52">
        <v>46024.256944444445</v>
      </c>
      <c r="F24" s="52">
        <v>46024.316666666666</v>
      </c>
      <c r="G24" s="53">
        <f t="shared" si="2"/>
        <v>5.9722222220443655E-2</v>
      </c>
      <c r="H24" s="1" t="s">
        <v>260</v>
      </c>
      <c r="I24" s="1" t="s">
        <v>261</v>
      </c>
      <c r="J24" s="1" t="s">
        <v>262</v>
      </c>
      <c r="K24" s="1" t="s">
        <v>263</v>
      </c>
      <c r="L24" s="1" t="s">
        <v>264</v>
      </c>
      <c r="M24" s="1" t="s">
        <v>265</v>
      </c>
      <c r="N24" s="1" t="s">
        <v>266</v>
      </c>
      <c r="O24" s="1" t="s">
        <v>267</v>
      </c>
      <c r="P24" s="1" t="str">
        <f t="shared" si="3"/>
        <v>BC Caiaponia2.2215KTL-H3(MBUS-14)46024,256944444446024,256944444446024,3166666667</v>
      </c>
      <c r="Q24" s="1" t="str">
        <f t="shared" si="4"/>
        <v>LIGRFOCOM</v>
      </c>
    </row>
    <row r="25" spans="2:17">
      <c r="B25" s="1" t="s">
        <v>258</v>
      </c>
      <c r="C25" s="1" t="s">
        <v>256</v>
      </c>
      <c r="D25" s="52">
        <v>46024.256944444445</v>
      </c>
      <c r="E25" s="52">
        <v>46024.256944444445</v>
      </c>
      <c r="F25" s="52">
        <v>46024.316666666666</v>
      </c>
      <c r="G25" s="53">
        <f t="shared" si="2"/>
        <v>5.9722222220443655E-2</v>
      </c>
      <c r="H25" s="1" t="s">
        <v>260</v>
      </c>
      <c r="I25" s="1" t="s">
        <v>261</v>
      </c>
      <c r="J25" s="1" t="s">
        <v>262</v>
      </c>
      <c r="K25" s="1" t="s">
        <v>263</v>
      </c>
      <c r="L25" s="1" t="s">
        <v>264</v>
      </c>
      <c r="M25" s="1" t="s">
        <v>265</v>
      </c>
      <c r="N25" s="1" t="s">
        <v>266</v>
      </c>
      <c r="O25" s="1" t="s">
        <v>267</v>
      </c>
      <c r="P25" s="1" t="str">
        <f t="shared" si="3"/>
        <v>BC Caiaponia2.2215KTL-H3(MBUS-15)46024,256944444446024,256944444446024,3166666667</v>
      </c>
      <c r="Q25" s="1" t="str">
        <f t="shared" si="4"/>
        <v>LIGRFOCOM</v>
      </c>
    </row>
    <row r="26" spans="2:17">
      <c r="B26" s="1" t="s">
        <v>258</v>
      </c>
      <c r="C26" s="1" t="s">
        <v>257</v>
      </c>
      <c r="D26" s="52">
        <v>46024.256944444445</v>
      </c>
      <c r="E26" s="52">
        <v>46024.256944444445</v>
      </c>
      <c r="F26" s="52">
        <v>46024.316666666666</v>
      </c>
      <c r="G26" s="53">
        <f t="shared" si="2"/>
        <v>5.9722222220443655E-2</v>
      </c>
      <c r="H26" s="1" t="s">
        <v>260</v>
      </c>
      <c r="I26" s="1" t="s">
        <v>261</v>
      </c>
      <c r="J26" s="1" t="s">
        <v>262</v>
      </c>
      <c r="K26" s="1" t="s">
        <v>263</v>
      </c>
      <c r="L26" s="1" t="s">
        <v>264</v>
      </c>
      <c r="M26" s="1" t="s">
        <v>265</v>
      </c>
      <c r="N26" s="1" t="s">
        <v>266</v>
      </c>
      <c r="O26" s="1" t="s">
        <v>267</v>
      </c>
      <c r="P26" s="1" t="str">
        <f t="shared" si="3"/>
        <v>BC Caiaponia2.2215KTL-H3(MBUS-16)46024,256944444446024,256944444446024,3166666667</v>
      </c>
      <c r="Q26" s="1" t="str">
        <f t="shared" si="4"/>
        <v>LIGRFOCOM</v>
      </c>
    </row>
    <row r="27" spans="2:17">
      <c r="B27" s="1" t="s">
        <v>259</v>
      </c>
      <c r="C27" s="1" t="s">
        <v>247</v>
      </c>
      <c r="D27" s="52">
        <v>46024.256944444445</v>
      </c>
      <c r="E27" s="52">
        <v>46024.256944444445</v>
      </c>
      <c r="F27" s="52">
        <v>46024.316666666666</v>
      </c>
      <c r="G27" s="53">
        <f t="shared" si="2"/>
        <v>5.9722222220443655E-2</v>
      </c>
      <c r="H27" s="1" t="s">
        <v>260</v>
      </c>
      <c r="I27" s="1" t="s">
        <v>261</v>
      </c>
      <c r="J27" s="1" t="s">
        <v>262</v>
      </c>
      <c r="K27" s="1" t="s">
        <v>263</v>
      </c>
      <c r="L27" s="1" t="s">
        <v>264</v>
      </c>
      <c r="M27" s="1" t="s">
        <v>265</v>
      </c>
      <c r="N27" s="1" t="s">
        <v>266</v>
      </c>
      <c r="O27" s="1" t="s">
        <v>267</v>
      </c>
      <c r="P27" s="1" t="str">
        <f t="shared" si="3"/>
        <v>BC Caiaponia2.3215KTL-H3(MBUS-12)46024,256944444446024,256944444446024,3166666667</v>
      </c>
      <c r="Q27" s="1" t="str">
        <f t="shared" si="4"/>
        <v>LIGRFOCOM</v>
      </c>
    </row>
    <row r="28" spans="2:17">
      <c r="B28" s="1" t="s">
        <v>259</v>
      </c>
      <c r="C28" s="1" t="s">
        <v>254</v>
      </c>
      <c r="D28" s="52">
        <v>46024.256944444445</v>
      </c>
      <c r="E28" s="52">
        <v>46024.256944444445</v>
      </c>
      <c r="F28" s="52">
        <v>46024.316666666666</v>
      </c>
      <c r="G28" s="53">
        <f t="shared" si="2"/>
        <v>5.9722222220443655E-2</v>
      </c>
      <c r="H28" s="1" t="s">
        <v>260</v>
      </c>
      <c r="I28" s="1" t="s">
        <v>261</v>
      </c>
      <c r="J28" s="1" t="s">
        <v>262</v>
      </c>
      <c r="K28" s="1" t="s">
        <v>263</v>
      </c>
      <c r="L28" s="1" t="s">
        <v>264</v>
      </c>
      <c r="M28" s="1" t="s">
        <v>265</v>
      </c>
      <c r="N28" s="1" t="s">
        <v>266</v>
      </c>
      <c r="O28" s="1" t="s">
        <v>267</v>
      </c>
      <c r="P28" s="1" t="str">
        <f t="shared" si="3"/>
        <v>BC Caiaponia2.3215KTL-H3(MBUS-13)46024,256944444446024,256944444446024,3166666667</v>
      </c>
      <c r="Q28" s="1" t="str">
        <f t="shared" si="4"/>
        <v>LIGRFOCOM</v>
      </c>
    </row>
    <row r="29" spans="2:17">
      <c r="B29" s="1" t="s">
        <v>259</v>
      </c>
      <c r="C29" s="1" t="s">
        <v>255</v>
      </c>
      <c r="D29" s="52">
        <v>46024.256944444445</v>
      </c>
      <c r="E29" s="52">
        <v>46024.256944444445</v>
      </c>
      <c r="F29" s="52">
        <v>46024.316666666666</v>
      </c>
      <c r="G29" s="53">
        <f t="shared" si="2"/>
        <v>5.9722222220443655E-2</v>
      </c>
      <c r="H29" s="1" t="s">
        <v>260</v>
      </c>
      <c r="I29" s="1" t="s">
        <v>261</v>
      </c>
      <c r="J29" s="1" t="s">
        <v>262</v>
      </c>
      <c r="K29" s="1" t="s">
        <v>263</v>
      </c>
      <c r="L29" s="1" t="s">
        <v>264</v>
      </c>
      <c r="M29" s="1" t="s">
        <v>265</v>
      </c>
      <c r="N29" s="1" t="s">
        <v>266</v>
      </c>
      <c r="O29" s="1" t="s">
        <v>267</v>
      </c>
      <c r="P29" s="1" t="str">
        <f t="shared" si="3"/>
        <v>BC Caiaponia2.3215KTL-H3(MBUS-14)46024,256944444446024,256944444446024,3166666667</v>
      </c>
      <c r="Q29" s="1" t="str">
        <f t="shared" si="4"/>
        <v>LIGRFOCOM</v>
      </c>
    </row>
    <row r="30" spans="2:17">
      <c r="B30" s="1" t="s">
        <v>259</v>
      </c>
      <c r="C30" s="1" t="s">
        <v>256</v>
      </c>
      <c r="D30" s="52">
        <v>46024.256944444445</v>
      </c>
      <c r="E30" s="52">
        <v>46024.256944444445</v>
      </c>
      <c r="F30" s="52">
        <v>46024.316666666666</v>
      </c>
      <c r="G30" s="53">
        <f t="shared" si="2"/>
        <v>5.9722222220443655E-2</v>
      </c>
      <c r="H30" s="1" t="s">
        <v>260</v>
      </c>
      <c r="I30" s="1" t="s">
        <v>261</v>
      </c>
      <c r="J30" s="1" t="s">
        <v>262</v>
      </c>
      <c r="K30" s="1" t="s">
        <v>263</v>
      </c>
      <c r="L30" s="1" t="s">
        <v>264</v>
      </c>
      <c r="M30" s="1" t="s">
        <v>265</v>
      </c>
      <c r="N30" s="1" t="s">
        <v>266</v>
      </c>
      <c r="O30" s="1" t="s">
        <v>267</v>
      </c>
      <c r="P30" s="1" t="str">
        <f t="shared" si="3"/>
        <v>BC Caiaponia2.3215KTL-H3(MBUS-15)46024,256944444446024,256944444446024,3166666667</v>
      </c>
      <c r="Q30" s="1" t="str">
        <f t="shared" si="4"/>
        <v>LIGRFOCOM</v>
      </c>
    </row>
    <row r="31" spans="2:17">
      <c r="B31" s="1" t="s">
        <v>259</v>
      </c>
      <c r="C31" s="1" t="s">
        <v>257</v>
      </c>
      <c r="D31" s="52">
        <v>46024.256944444445</v>
      </c>
      <c r="E31" s="52">
        <v>46024.256944444445</v>
      </c>
      <c r="F31" s="52">
        <v>46024.316666666666</v>
      </c>
      <c r="G31" s="53">
        <f t="shared" si="2"/>
        <v>5.9722222220443655E-2</v>
      </c>
      <c r="H31" s="1" t="s">
        <v>260</v>
      </c>
      <c r="I31" s="1" t="s">
        <v>261</v>
      </c>
      <c r="J31" s="1" t="s">
        <v>262</v>
      </c>
      <c r="K31" s="1" t="s">
        <v>263</v>
      </c>
      <c r="L31" s="1" t="s">
        <v>264</v>
      </c>
      <c r="M31" s="1" t="s">
        <v>265</v>
      </c>
      <c r="N31" s="1" t="s">
        <v>266</v>
      </c>
      <c r="O31" s="1" t="s">
        <v>267</v>
      </c>
      <c r="P31" s="1" t="str">
        <f t="shared" si="3"/>
        <v>BC Caiaponia2.3215KTL-H3(MBUS-16)46024,256944444446024,256944444446024,3166666667</v>
      </c>
      <c r="Q31" s="1" t="str">
        <f t="shared" si="4"/>
        <v>LIGRFOCOM</v>
      </c>
    </row>
    <row r="32" spans="2:17">
      <c r="B32" s="1" t="s">
        <v>268</v>
      </c>
      <c r="C32" s="1" t="s">
        <v>269</v>
      </c>
      <c r="D32" s="52">
        <v>46023.287499999999</v>
      </c>
      <c r="E32" s="52">
        <v>46023.287499999999</v>
      </c>
      <c r="F32" s="52">
        <v>46023.901388888888</v>
      </c>
      <c r="G32" s="53">
        <f t="shared" si="2"/>
        <v>0.61388888888905058</v>
      </c>
      <c r="H32" s="1" t="s">
        <v>248</v>
      </c>
      <c r="J32" s="1" t="s">
        <v>249</v>
      </c>
      <c r="K32" s="1" t="str">
        <f>_xlfn.XLOOKUP(J32,REF!$D$2:$D$12,REF!$E$2:$E$12)</f>
        <v>Rede</v>
      </c>
      <c r="L32" s="1" t="s">
        <v>250</v>
      </c>
      <c r="M32" s="1" t="s">
        <v>251</v>
      </c>
      <c r="N32" s="1" t="s">
        <v>252</v>
      </c>
      <c r="O32" s="1" t="s">
        <v>253</v>
      </c>
      <c r="P32" s="1" t="str">
        <f t="shared" si="3"/>
        <v>BC Caiaponia1SG60KTL(COM1-001)_001_00746023,287546023,287546023,9013888889</v>
      </c>
      <c r="Q32" s="1" t="str">
        <f t="shared" si="4"/>
        <v>DAURDE</v>
      </c>
    </row>
    <row r="33" spans="2:17">
      <c r="B33" s="1" t="s">
        <v>268</v>
      </c>
      <c r="C33" s="1" t="s">
        <v>270</v>
      </c>
      <c r="D33" s="52">
        <v>46023.287499999999</v>
      </c>
      <c r="E33" s="52">
        <v>46023.287499999999</v>
      </c>
      <c r="F33" s="52">
        <v>46023.901388888888</v>
      </c>
      <c r="G33" s="53">
        <f t="shared" si="2"/>
        <v>0.61388888888905058</v>
      </c>
      <c r="H33" s="1" t="s">
        <v>248</v>
      </c>
      <c r="J33" s="1" t="s">
        <v>249</v>
      </c>
      <c r="K33" s="1" t="str">
        <f>_xlfn.XLOOKUP(J33,REF!$D$2:$D$12,REF!$E$2:$E$12)</f>
        <v>Rede</v>
      </c>
      <c r="L33" s="1" t="s">
        <v>250</v>
      </c>
      <c r="M33" s="1" t="s">
        <v>251</v>
      </c>
      <c r="N33" s="1" t="s">
        <v>252</v>
      </c>
      <c r="O33" s="1" t="s">
        <v>253</v>
      </c>
      <c r="P33" s="1" t="str">
        <f t="shared" si="3"/>
        <v>BC Caiaponia1SG60KTL(COM1-002)_001_01046023,287546023,287546023,9013888889</v>
      </c>
      <c r="Q33" s="1" t="str">
        <f t="shared" si="4"/>
        <v>DAURDE</v>
      </c>
    </row>
    <row r="34" spans="2:17">
      <c r="B34" s="1" t="s">
        <v>268</v>
      </c>
      <c r="C34" s="1" t="s">
        <v>271</v>
      </c>
      <c r="D34" s="52">
        <v>46023.287499999999</v>
      </c>
      <c r="E34" s="52">
        <v>46023.287499999999</v>
      </c>
      <c r="F34" s="52">
        <v>46023.901388888888</v>
      </c>
      <c r="G34" s="53">
        <f t="shared" si="2"/>
        <v>0.61388888888905058</v>
      </c>
      <c r="H34" s="1" t="s">
        <v>248</v>
      </c>
      <c r="J34" s="1" t="s">
        <v>249</v>
      </c>
      <c r="K34" s="1" t="str">
        <f>_xlfn.XLOOKUP(J34,REF!$D$2:$D$12,REF!$E$2:$E$12)</f>
        <v>Rede</v>
      </c>
      <c r="L34" s="1" t="s">
        <v>250</v>
      </c>
      <c r="M34" s="1" t="s">
        <v>251</v>
      </c>
      <c r="N34" s="1" t="s">
        <v>252</v>
      </c>
      <c r="O34" s="1" t="s">
        <v>253</v>
      </c>
      <c r="P34" s="1" t="str">
        <f t="shared" si="3"/>
        <v>BC Caiaponia1SG60KTL(COM1-003)_001_01146023,287546023,287546023,9013888889</v>
      </c>
      <c r="Q34" s="1" t="str">
        <f t="shared" si="4"/>
        <v>DAURDE</v>
      </c>
    </row>
    <row r="35" spans="2:17">
      <c r="B35" s="1" t="s">
        <v>268</v>
      </c>
      <c r="C35" s="1" t="s">
        <v>272</v>
      </c>
      <c r="D35" s="52">
        <v>46023.287499999999</v>
      </c>
      <c r="E35" s="52">
        <v>46023.287499999999</v>
      </c>
      <c r="F35" s="52">
        <v>46023.901388888888</v>
      </c>
      <c r="G35" s="53">
        <f t="shared" si="2"/>
        <v>0.61388888888905058</v>
      </c>
      <c r="H35" s="1" t="s">
        <v>248</v>
      </c>
      <c r="J35" s="1" t="s">
        <v>249</v>
      </c>
      <c r="K35" s="1" t="str">
        <f>_xlfn.XLOOKUP(J35,REF!$D$2:$D$12,REF!$E$2:$E$12)</f>
        <v>Rede</v>
      </c>
      <c r="L35" s="1" t="s">
        <v>250</v>
      </c>
      <c r="M35" s="1" t="s">
        <v>251</v>
      </c>
      <c r="N35" s="1" t="s">
        <v>252</v>
      </c>
      <c r="O35" s="1" t="s">
        <v>253</v>
      </c>
      <c r="P35" s="1" t="str">
        <f t="shared" si="3"/>
        <v>BC Caiaponia1SG60KTL(COM1-004)_001_01446023,287546023,287546023,9013888889</v>
      </c>
      <c r="Q35" s="1" t="str">
        <f t="shared" si="4"/>
        <v>DAURDE</v>
      </c>
    </row>
    <row r="36" spans="2:17">
      <c r="B36" s="1" t="s">
        <v>268</v>
      </c>
      <c r="C36" s="1" t="s">
        <v>273</v>
      </c>
      <c r="D36" s="52">
        <v>46023.287499999999</v>
      </c>
      <c r="E36" s="52">
        <v>46023.287499999999</v>
      </c>
      <c r="F36" s="52">
        <v>46023.901388888888</v>
      </c>
      <c r="G36" s="53">
        <f t="shared" si="2"/>
        <v>0.61388888888905058</v>
      </c>
      <c r="H36" s="1" t="s">
        <v>248</v>
      </c>
      <c r="J36" s="1" t="s">
        <v>249</v>
      </c>
      <c r="K36" s="1" t="str">
        <f>_xlfn.XLOOKUP(J36,REF!$D$2:$D$12,REF!$E$2:$E$12)</f>
        <v>Rede</v>
      </c>
      <c r="L36" s="1" t="s">
        <v>250</v>
      </c>
      <c r="M36" s="1" t="s">
        <v>251</v>
      </c>
      <c r="N36" s="1" t="s">
        <v>252</v>
      </c>
      <c r="O36" s="1" t="s">
        <v>253</v>
      </c>
      <c r="P36" s="1" t="str">
        <f t="shared" si="3"/>
        <v>BC Caiaponia1SG60KTL(COM1-005)_001_01746023,287546023,287546023,9013888889</v>
      </c>
      <c r="Q36" s="1" t="str">
        <f t="shared" si="4"/>
        <v>DAURDE</v>
      </c>
    </row>
    <row r="37" spans="2:17">
      <c r="B37" s="1" t="s">
        <v>268</v>
      </c>
      <c r="C37" s="1" t="s">
        <v>274</v>
      </c>
      <c r="D37" s="52">
        <v>46023.287499999999</v>
      </c>
      <c r="E37" s="52">
        <v>46023.287499999999</v>
      </c>
      <c r="F37" s="52">
        <v>46023.901388888888</v>
      </c>
      <c r="G37" s="53">
        <f t="shared" si="2"/>
        <v>0.61388888888905058</v>
      </c>
      <c r="H37" s="1" t="s">
        <v>248</v>
      </c>
      <c r="J37" s="1" t="s">
        <v>249</v>
      </c>
      <c r="K37" s="1" t="str">
        <f>_xlfn.XLOOKUP(J37,REF!$D$2:$D$12,REF!$E$2:$E$12)</f>
        <v>Rede</v>
      </c>
      <c r="L37" s="1" t="s">
        <v>250</v>
      </c>
      <c r="M37" s="1" t="s">
        <v>251</v>
      </c>
      <c r="N37" s="1" t="s">
        <v>252</v>
      </c>
      <c r="O37" s="1" t="s">
        <v>253</v>
      </c>
      <c r="P37" s="1" t="str">
        <f t="shared" si="3"/>
        <v>BC Caiaponia1SG60KTL(COM1-006)_001_01646023,287546023,287546023,9013888889</v>
      </c>
      <c r="Q37" s="1" t="str">
        <f t="shared" si="4"/>
        <v>DAURDE</v>
      </c>
    </row>
    <row r="38" spans="2:17">
      <c r="B38" s="1" t="s">
        <v>268</v>
      </c>
      <c r="C38" s="1" t="s">
        <v>275</v>
      </c>
      <c r="D38" s="52">
        <v>46023.287499999999</v>
      </c>
      <c r="E38" s="52">
        <v>46023.287499999999</v>
      </c>
      <c r="F38" s="52">
        <v>46023.901388888888</v>
      </c>
      <c r="G38" s="53">
        <f t="shared" si="2"/>
        <v>0.61388888888905058</v>
      </c>
      <c r="H38" s="1" t="s">
        <v>248</v>
      </c>
      <c r="J38" s="1" t="s">
        <v>249</v>
      </c>
      <c r="K38" s="1" t="str">
        <f>_xlfn.XLOOKUP(J38,REF!$D$2:$D$12,REF!$E$2:$E$12)</f>
        <v>Rede</v>
      </c>
      <c r="L38" s="1" t="s">
        <v>250</v>
      </c>
      <c r="M38" s="1" t="s">
        <v>251</v>
      </c>
      <c r="N38" s="1" t="s">
        <v>252</v>
      </c>
      <c r="O38" s="1" t="s">
        <v>253</v>
      </c>
      <c r="P38" s="1" t="str">
        <f t="shared" si="3"/>
        <v>BC Caiaponia1SG60KTL(COM1-007)_001_01346023,287546023,287546023,9013888889</v>
      </c>
      <c r="Q38" s="1" t="str">
        <f t="shared" si="4"/>
        <v>DAURDE</v>
      </c>
    </row>
    <row r="39" spans="2:17">
      <c r="B39" s="1" t="s">
        <v>268</v>
      </c>
      <c r="C39" s="1" t="s">
        <v>276</v>
      </c>
      <c r="D39" s="52">
        <v>46023.287499999999</v>
      </c>
      <c r="E39" s="52">
        <v>46023.287499999999</v>
      </c>
      <c r="F39" s="52">
        <v>46023.901388888888</v>
      </c>
      <c r="G39" s="53">
        <f t="shared" si="2"/>
        <v>0.61388888888905058</v>
      </c>
      <c r="H39" s="1" t="s">
        <v>248</v>
      </c>
      <c r="J39" s="1" t="s">
        <v>249</v>
      </c>
      <c r="K39" s="1" t="str">
        <f>_xlfn.XLOOKUP(J39,REF!$D$2:$D$12,REF!$E$2:$E$12)</f>
        <v>Rede</v>
      </c>
      <c r="L39" s="1" t="s">
        <v>250</v>
      </c>
      <c r="M39" s="1" t="s">
        <v>251</v>
      </c>
      <c r="N39" s="1" t="s">
        <v>252</v>
      </c>
      <c r="O39" s="1" t="s">
        <v>253</v>
      </c>
      <c r="P39" s="1" t="str">
        <f t="shared" si="3"/>
        <v>BC Caiaponia1SG60KTL(COM1-008)_001_00146023,287546023,287546023,9013888889</v>
      </c>
      <c r="Q39" s="1" t="str">
        <f t="shared" si="4"/>
        <v>DAURDE</v>
      </c>
    </row>
    <row r="40" spans="2:17">
      <c r="B40" s="1" t="s">
        <v>268</v>
      </c>
      <c r="C40" s="1" t="s">
        <v>277</v>
      </c>
      <c r="D40" s="52">
        <v>46023.287499999999</v>
      </c>
      <c r="E40" s="52">
        <v>46023.287499999999</v>
      </c>
      <c r="F40" s="52">
        <v>46023.901388888888</v>
      </c>
      <c r="G40" s="53">
        <f t="shared" si="2"/>
        <v>0.61388888888905058</v>
      </c>
      <c r="H40" s="1" t="s">
        <v>248</v>
      </c>
      <c r="J40" s="1" t="s">
        <v>249</v>
      </c>
      <c r="K40" s="1" t="str">
        <f>_xlfn.XLOOKUP(J40,REF!$D$2:$D$12,REF!$E$2:$E$12)</f>
        <v>Rede</v>
      </c>
      <c r="L40" s="1" t="s">
        <v>250</v>
      </c>
      <c r="M40" s="1" t="s">
        <v>251</v>
      </c>
      <c r="N40" s="1" t="s">
        <v>252</v>
      </c>
      <c r="O40" s="1" t="s">
        <v>253</v>
      </c>
      <c r="P40" s="1" t="str">
        <f t="shared" si="3"/>
        <v>BC Caiaponia1SG60KTL(COM1-009)46023,287546023,287546023,9013888889</v>
      </c>
      <c r="Q40" s="1" t="str">
        <f t="shared" si="4"/>
        <v>DAURDE</v>
      </c>
    </row>
    <row r="41" spans="2:17">
      <c r="B41" s="1" t="s">
        <v>268</v>
      </c>
      <c r="C41" s="1" t="s">
        <v>278</v>
      </c>
      <c r="D41" s="52">
        <v>46023.287499999999</v>
      </c>
      <c r="E41" s="52">
        <v>46023.287499999999</v>
      </c>
      <c r="F41" s="52">
        <v>46023.901388888888</v>
      </c>
      <c r="G41" s="53">
        <f t="shared" si="2"/>
        <v>0.61388888888905058</v>
      </c>
      <c r="H41" s="1" t="s">
        <v>248</v>
      </c>
      <c r="J41" s="1" t="s">
        <v>249</v>
      </c>
      <c r="K41" s="1" t="str">
        <f>_xlfn.XLOOKUP(J41,REF!$D$2:$D$12,REF!$E$2:$E$12)</f>
        <v>Rede</v>
      </c>
      <c r="L41" s="1" t="s">
        <v>250</v>
      </c>
      <c r="M41" s="1" t="s">
        <v>251</v>
      </c>
      <c r="N41" s="1" t="s">
        <v>252</v>
      </c>
      <c r="O41" s="1" t="s">
        <v>253</v>
      </c>
      <c r="P41" s="1" t="str">
        <f t="shared" si="3"/>
        <v>BC Caiaponia1SG60KTL(COM1-010)46023,287546023,287546023,9013888889</v>
      </c>
      <c r="Q41" s="1" t="str">
        <f t="shared" si="4"/>
        <v>DAURDE</v>
      </c>
    </row>
    <row r="42" spans="2:17">
      <c r="B42" s="1" t="s">
        <v>268</v>
      </c>
      <c r="C42" s="1" t="s">
        <v>279</v>
      </c>
      <c r="D42" s="52">
        <v>46023.287499999999</v>
      </c>
      <c r="E42" s="52">
        <v>46023.287499999999</v>
      </c>
      <c r="F42" s="52">
        <v>46023.901388888888</v>
      </c>
      <c r="G42" s="53">
        <f t="shared" si="2"/>
        <v>0.61388888888905058</v>
      </c>
      <c r="H42" s="1" t="s">
        <v>248</v>
      </c>
      <c r="J42" s="1" t="s">
        <v>249</v>
      </c>
      <c r="K42" s="1" t="str">
        <f>_xlfn.XLOOKUP(J42,REF!$D$2:$D$12,REF!$E$2:$E$12)</f>
        <v>Rede</v>
      </c>
      <c r="L42" s="1" t="s">
        <v>250</v>
      </c>
      <c r="M42" s="1" t="s">
        <v>251</v>
      </c>
      <c r="N42" s="1" t="s">
        <v>252</v>
      </c>
      <c r="O42" s="1" t="s">
        <v>253</v>
      </c>
      <c r="P42" s="1" t="str">
        <f t="shared" si="3"/>
        <v>BC Caiaponia1SG60KTL(COM1-011)46023,287546023,287546023,9013888889</v>
      </c>
      <c r="Q42" s="1" t="str">
        <f t="shared" si="4"/>
        <v>DAURDE</v>
      </c>
    </row>
    <row r="43" spans="2:17">
      <c r="B43" s="1" t="s">
        <v>268</v>
      </c>
      <c r="C43" s="1" t="s">
        <v>280</v>
      </c>
      <c r="D43" s="52">
        <v>46023.287499999999</v>
      </c>
      <c r="E43" s="52">
        <v>46023.287499999999</v>
      </c>
      <c r="F43" s="52">
        <v>46023.901388888888</v>
      </c>
      <c r="G43" s="53">
        <f t="shared" si="2"/>
        <v>0.61388888888905058</v>
      </c>
      <c r="H43" s="1" t="s">
        <v>248</v>
      </c>
      <c r="J43" s="1" t="s">
        <v>249</v>
      </c>
      <c r="K43" s="1" t="str">
        <f>_xlfn.XLOOKUP(J43,REF!$D$2:$D$12,REF!$E$2:$E$12)</f>
        <v>Rede</v>
      </c>
      <c r="L43" s="1" t="s">
        <v>250</v>
      </c>
      <c r="M43" s="1" t="s">
        <v>251</v>
      </c>
      <c r="N43" s="1" t="s">
        <v>252</v>
      </c>
      <c r="O43" s="1" t="s">
        <v>253</v>
      </c>
      <c r="P43" s="1" t="str">
        <f t="shared" si="3"/>
        <v>BC Caiaponia1SG60KTL(COM1-012)46023,287546023,287546023,9013888889</v>
      </c>
      <c r="Q43" s="1" t="str">
        <f t="shared" si="4"/>
        <v>DAURDE</v>
      </c>
    </row>
    <row r="44" spans="2:17">
      <c r="B44" s="1" t="s">
        <v>268</v>
      </c>
      <c r="C44" s="1" t="s">
        <v>281</v>
      </c>
      <c r="D44" s="52">
        <v>46023.287499999999</v>
      </c>
      <c r="E44" s="52">
        <v>46023.287499999999</v>
      </c>
      <c r="F44" s="52">
        <v>46023.901388888888</v>
      </c>
      <c r="G44" s="53">
        <f t="shared" si="2"/>
        <v>0.61388888888905058</v>
      </c>
      <c r="H44" s="1" t="s">
        <v>248</v>
      </c>
      <c r="J44" s="1" t="s">
        <v>249</v>
      </c>
      <c r="K44" s="1" t="str">
        <f>_xlfn.XLOOKUP(J44,REF!$D$2:$D$12,REF!$E$2:$E$12)</f>
        <v>Rede</v>
      </c>
      <c r="L44" s="1" t="s">
        <v>250</v>
      </c>
      <c r="M44" s="1" t="s">
        <v>251</v>
      </c>
      <c r="N44" s="1" t="s">
        <v>252</v>
      </c>
      <c r="O44" s="1" t="s">
        <v>253</v>
      </c>
      <c r="P44" s="1" t="str">
        <f t="shared" si="3"/>
        <v>BC Caiaponia1SG60KTL(COM1-013)46023,287546023,287546023,9013888889</v>
      </c>
      <c r="Q44" s="1" t="str">
        <f t="shared" si="4"/>
        <v>DAURDE</v>
      </c>
    </row>
    <row r="45" spans="2:17">
      <c r="B45" s="1" t="s">
        <v>268</v>
      </c>
      <c r="C45" s="1" t="s">
        <v>282</v>
      </c>
      <c r="D45" s="52">
        <v>46023.287499999999</v>
      </c>
      <c r="E45" s="52">
        <v>46023.287499999999</v>
      </c>
      <c r="F45" s="52">
        <v>46023.901388888888</v>
      </c>
      <c r="G45" s="53">
        <f t="shared" si="2"/>
        <v>0.61388888888905058</v>
      </c>
      <c r="H45" s="1" t="s">
        <v>248</v>
      </c>
      <c r="J45" s="1" t="s">
        <v>249</v>
      </c>
      <c r="K45" s="1" t="str">
        <f>_xlfn.XLOOKUP(J45,REF!$D$2:$D$12,REF!$E$2:$E$12)</f>
        <v>Rede</v>
      </c>
      <c r="L45" s="1" t="s">
        <v>250</v>
      </c>
      <c r="M45" s="1" t="s">
        <v>251</v>
      </c>
      <c r="N45" s="1" t="s">
        <v>252</v>
      </c>
      <c r="O45" s="1" t="s">
        <v>253</v>
      </c>
      <c r="P45" s="1" t="str">
        <f t="shared" si="3"/>
        <v>BC Caiaponia1SG60KTL(COM1-014)46023,287546023,287546023,9013888889</v>
      </c>
      <c r="Q45" s="1" t="str">
        <f t="shared" si="4"/>
        <v>DAURDE</v>
      </c>
    </row>
    <row r="46" spans="2:17">
      <c r="B46" s="1" t="s">
        <v>268</v>
      </c>
      <c r="C46" s="1" t="s">
        <v>283</v>
      </c>
      <c r="D46" s="52">
        <v>46023.287499999999</v>
      </c>
      <c r="E46" s="52">
        <v>46023.287499999999</v>
      </c>
      <c r="F46" s="52">
        <v>46023.901388888888</v>
      </c>
      <c r="G46" s="53">
        <f t="shared" si="2"/>
        <v>0.61388888888905058</v>
      </c>
      <c r="H46" s="1" t="s">
        <v>248</v>
      </c>
      <c r="J46" s="1" t="s">
        <v>249</v>
      </c>
      <c r="K46" s="1" t="str">
        <f>_xlfn.XLOOKUP(J46,REF!$D$2:$D$12,REF!$E$2:$E$12)</f>
        <v>Rede</v>
      </c>
      <c r="L46" s="1" t="s">
        <v>250</v>
      </c>
      <c r="M46" s="1" t="s">
        <v>251</v>
      </c>
      <c r="N46" s="1" t="s">
        <v>252</v>
      </c>
      <c r="O46" s="1" t="s">
        <v>253</v>
      </c>
      <c r="P46" s="1" t="str">
        <f t="shared" si="3"/>
        <v>BC Caiaponia1SG60KTL(COM1-015)46023,287546023,287546023,9013888889</v>
      </c>
      <c r="Q46" s="1" t="str">
        <f t="shared" si="4"/>
        <v>DAURDE</v>
      </c>
    </row>
    <row r="47" spans="2:17">
      <c r="B47" s="1" t="s">
        <v>268</v>
      </c>
      <c r="C47" s="1" t="s">
        <v>284</v>
      </c>
      <c r="D47" s="52">
        <v>46023.287499999999</v>
      </c>
      <c r="E47" s="52">
        <v>46023.287499999999</v>
      </c>
      <c r="F47" s="52">
        <v>46023.901388888888</v>
      </c>
      <c r="G47" s="53">
        <f t="shared" si="2"/>
        <v>0.61388888888905058</v>
      </c>
      <c r="H47" s="1" t="s">
        <v>248</v>
      </c>
      <c r="J47" s="1" t="s">
        <v>249</v>
      </c>
      <c r="K47" s="1" t="str">
        <f>_xlfn.XLOOKUP(J47,REF!$D$2:$D$12,REF!$E$2:$E$12)</f>
        <v>Rede</v>
      </c>
      <c r="L47" s="1" t="s">
        <v>250</v>
      </c>
      <c r="M47" s="1" t="s">
        <v>251</v>
      </c>
      <c r="N47" s="1" t="s">
        <v>252</v>
      </c>
      <c r="O47" s="1" t="s">
        <v>253</v>
      </c>
      <c r="P47" s="1" t="str">
        <f t="shared" si="3"/>
        <v>BC Caiaponia1SG60KTL(COM3-016)_001_00946023,287546023,287546023,9013888889</v>
      </c>
      <c r="Q47" s="1" t="str">
        <f t="shared" si="4"/>
        <v>DAURDE</v>
      </c>
    </row>
    <row r="48" spans="2:17">
      <c r="B48" s="1" t="s">
        <v>268</v>
      </c>
      <c r="C48" s="1" t="s">
        <v>285</v>
      </c>
      <c r="D48" s="52">
        <v>46023.287499999999</v>
      </c>
      <c r="E48" s="52">
        <v>46023.287499999999</v>
      </c>
      <c r="F48" s="52">
        <v>46023.901388888888</v>
      </c>
      <c r="G48" s="53">
        <f t="shared" si="2"/>
        <v>0.61388888888905058</v>
      </c>
      <c r="H48" s="1" t="s">
        <v>248</v>
      </c>
      <c r="J48" s="1" t="s">
        <v>249</v>
      </c>
      <c r="K48" s="1" t="str">
        <f>_xlfn.XLOOKUP(J48,REF!$D$2:$D$12,REF!$E$2:$E$12)</f>
        <v>Rede</v>
      </c>
      <c r="L48" s="1" t="s">
        <v>250</v>
      </c>
      <c r="M48" s="1" t="s">
        <v>251</v>
      </c>
      <c r="N48" s="1" t="s">
        <v>252</v>
      </c>
      <c r="O48" s="1" t="s">
        <v>253</v>
      </c>
      <c r="P48" s="1" t="str">
        <f t="shared" si="3"/>
        <v>BC Caiaponia1SG60KTL(COM3-017)_001_01246023,287546023,287546023,9013888889</v>
      </c>
      <c r="Q48" s="1" t="str">
        <f t="shared" si="4"/>
        <v>DAURDE</v>
      </c>
    </row>
    <row r="49" spans="2:17">
      <c r="B49" s="1" t="s">
        <v>268</v>
      </c>
      <c r="C49" s="1" t="s">
        <v>286</v>
      </c>
      <c r="D49" s="52">
        <v>46023.287499999999</v>
      </c>
      <c r="E49" s="52">
        <v>46023.287499999999</v>
      </c>
      <c r="F49" s="52">
        <v>46023.901388888888</v>
      </c>
      <c r="G49" s="53">
        <f t="shared" si="2"/>
        <v>0.61388888888905058</v>
      </c>
      <c r="H49" s="1" t="s">
        <v>248</v>
      </c>
      <c r="J49" s="1" t="s">
        <v>249</v>
      </c>
      <c r="K49" s="1" t="str">
        <f>_xlfn.XLOOKUP(J49,REF!$D$2:$D$12,REF!$E$2:$E$12)</f>
        <v>Rede</v>
      </c>
      <c r="L49" s="1" t="s">
        <v>250</v>
      </c>
      <c r="M49" s="1" t="s">
        <v>251</v>
      </c>
      <c r="N49" s="1" t="s">
        <v>252</v>
      </c>
      <c r="O49" s="1" t="s">
        <v>253</v>
      </c>
      <c r="P49" s="1" t="str">
        <f t="shared" si="3"/>
        <v>BC Caiaponia1SG60KTL(COM3-018)_001_00846023,287546023,287546023,9013888889</v>
      </c>
      <c r="Q49" s="1" t="str">
        <f t="shared" si="4"/>
        <v>DAURDE</v>
      </c>
    </row>
    <row r="50" spans="2:17">
      <c r="B50" s="1" t="s">
        <v>268</v>
      </c>
      <c r="C50" s="1" t="s">
        <v>287</v>
      </c>
      <c r="D50" s="52">
        <v>46023.287499999999</v>
      </c>
      <c r="E50" s="52">
        <v>46023.287499999999</v>
      </c>
      <c r="F50" s="52">
        <v>46023.901388888888</v>
      </c>
      <c r="G50" s="53">
        <f t="shared" si="2"/>
        <v>0.61388888888905058</v>
      </c>
      <c r="H50" s="1" t="s">
        <v>248</v>
      </c>
      <c r="J50" s="1" t="s">
        <v>249</v>
      </c>
      <c r="K50" s="1" t="str">
        <f>_xlfn.XLOOKUP(J50,REF!$D$2:$D$12,REF!$E$2:$E$12)</f>
        <v>Rede</v>
      </c>
      <c r="L50" s="1" t="s">
        <v>250</v>
      </c>
      <c r="M50" s="1" t="s">
        <v>251</v>
      </c>
      <c r="N50" s="1" t="s">
        <v>252</v>
      </c>
      <c r="O50" s="1" t="s">
        <v>253</v>
      </c>
      <c r="P50" s="1" t="str">
        <f t="shared" si="3"/>
        <v>BC Caiaponia1SG60KTL(COM3-019)_001_01946023,287546023,287546023,9013888889</v>
      </c>
      <c r="Q50" s="1" t="str">
        <f t="shared" si="4"/>
        <v>DAURDE</v>
      </c>
    </row>
    <row r="51" spans="2:17">
      <c r="B51" s="1" t="s">
        <v>268</v>
      </c>
      <c r="C51" s="1" t="s">
        <v>288</v>
      </c>
      <c r="D51" s="52">
        <v>46023.287499999999</v>
      </c>
      <c r="E51" s="52">
        <v>46023.287499999999</v>
      </c>
      <c r="F51" s="52">
        <v>46023.901388888888</v>
      </c>
      <c r="G51" s="53">
        <f t="shared" si="2"/>
        <v>0.61388888888905058</v>
      </c>
      <c r="H51" s="1" t="s">
        <v>248</v>
      </c>
      <c r="J51" s="1" t="s">
        <v>249</v>
      </c>
      <c r="K51" s="1" t="str">
        <f>_xlfn.XLOOKUP(J51,REF!$D$2:$D$12,REF!$E$2:$E$12)</f>
        <v>Rede</v>
      </c>
      <c r="L51" s="1" t="s">
        <v>250</v>
      </c>
      <c r="M51" s="1" t="s">
        <v>251</v>
      </c>
      <c r="N51" s="1" t="s">
        <v>252</v>
      </c>
      <c r="O51" s="1" t="s">
        <v>253</v>
      </c>
      <c r="P51" s="1" t="str">
        <f t="shared" si="3"/>
        <v>BC Caiaponia1SG60KTL(COM3-020)_001_02046023,287546023,287546023,9013888889</v>
      </c>
      <c r="Q51" s="1" t="str">
        <f t="shared" si="4"/>
        <v>DAURDE</v>
      </c>
    </row>
    <row r="52" spans="2:17">
      <c r="B52" s="1" t="s">
        <v>268</v>
      </c>
      <c r="C52" s="1" t="s">
        <v>289</v>
      </c>
      <c r="D52" s="52">
        <v>46023.287499999999</v>
      </c>
      <c r="E52" s="52">
        <v>46023.287499999999</v>
      </c>
      <c r="F52" s="52">
        <v>46023.901388888888</v>
      </c>
      <c r="G52" s="53">
        <f t="shared" si="2"/>
        <v>0.61388888888905058</v>
      </c>
      <c r="H52" s="1" t="s">
        <v>248</v>
      </c>
      <c r="J52" s="1" t="s">
        <v>249</v>
      </c>
      <c r="K52" s="1" t="str">
        <f>_xlfn.XLOOKUP(J52,REF!$D$2:$D$12,REF!$E$2:$E$12)</f>
        <v>Rede</v>
      </c>
      <c r="L52" s="1" t="s">
        <v>250</v>
      </c>
      <c r="M52" s="1" t="s">
        <v>251</v>
      </c>
      <c r="N52" s="1" t="s">
        <v>252</v>
      </c>
      <c r="O52" s="1" t="s">
        <v>253</v>
      </c>
      <c r="P52" s="1" t="str">
        <f t="shared" si="3"/>
        <v>BC Caiaponia1SG60KTL(COM2-026)46023,287546023,287546023,9013888889</v>
      </c>
      <c r="Q52" s="1" t="str">
        <f t="shared" si="4"/>
        <v>DAURDE</v>
      </c>
    </row>
    <row r="53" spans="2:17">
      <c r="B53" s="1" t="s">
        <v>268</v>
      </c>
      <c r="C53" s="1" t="s">
        <v>290</v>
      </c>
      <c r="D53" s="52">
        <v>46023.287499999999</v>
      </c>
      <c r="E53" s="52">
        <v>46023.287499999999</v>
      </c>
      <c r="F53" s="52">
        <v>46023.901388888888</v>
      </c>
      <c r="G53" s="53">
        <f t="shared" si="2"/>
        <v>0.61388888888905058</v>
      </c>
      <c r="H53" s="1" t="s">
        <v>248</v>
      </c>
      <c r="J53" s="1" t="s">
        <v>249</v>
      </c>
      <c r="K53" s="1" t="str">
        <f>_xlfn.XLOOKUP(J53,REF!$D$2:$D$12,REF!$E$2:$E$12)</f>
        <v>Rede</v>
      </c>
      <c r="L53" s="1" t="s">
        <v>250</v>
      </c>
      <c r="M53" s="1" t="s">
        <v>251</v>
      </c>
      <c r="N53" s="1" t="s">
        <v>252</v>
      </c>
      <c r="O53" s="1" t="s">
        <v>253</v>
      </c>
      <c r="P53" s="1" t="str">
        <f t="shared" si="3"/>
        <v>BC Caiaponia1SG60KTL(COM2-027)46023,287546023,287546023,9013888889</v>
      </c>
      <c r="Q53" s="1" t="str">
        <f t="shared" si="4"/>
        <v>DAURDE</v>
      </c>
    </row>
    <row r="54" spans="2:17">
      <c r="B54" s="1" t="s">
        <v>268</v>
      </c>
      <c r="C54" s="1" t="s">
        <v>291</v>
      </c>
      <c r="D54" s="52">
        <v>46023.287499999999</v>
      </c>
      <c r="E54" s="52">
        <v>46023.287499999999</v>
      </c>
      <c r="F54" s="52">
        <v>46023.901388888888</v>
      </c>
      <c r="G54" s="53">
        <f t="shared" si="2"/>
        <v>0.61388888888905058</v>
      </c>
      <c r="H54" s="1" t="s">
        <v>248</v>
      </c>
      <c r="J54" s="1" t="s">
        <v>249</v>
      </c>
      <c r="K54" s="1" t="str">
        <f>_xlfn.XLOOKUP(J54,REF!$D$2:$D$12,REF!$E$2:$E$12)</f>
        <v>Rede</v>
      </c>
      <c r="L54" s="1" t="s">
        <v>250</v>
      </c>
      <c r="M54" s="1" t="s">
        <v>251</v>
      </c>
      <c r="N54" s="1" t="s">
        <v>252</v>
      </c>
      <c r="O54" s="1" t="s">
        <v>253</v>
      </c>
      <c r="P54" s="1" t="str">
        <f t="shared" si="3"/>
        <v>BC Caiaponia1SG60KTL(COM2-028)46023,287546023,287546023,9013888889</v>
      </c>
      <c r="Q54" s="1" t="str">
        <f t="shared" si="4"/>
        <v>DAURDE</v>
      </c>
    </row>
    <row r="55" spans="2:17">
      <c r="B55" s="1" t="s">
        <v>268</v>
      </c>
      <c r="C55" s="1" t="s">
        <v>292</v>
      </c>
      <c r="D55" s="52">
        <v>46023.287499999999</v>
      </c>
      <c r="E55" s="52">
        <v>46023.287499999999</v>
      </c>
      <c r="F55" s="52">
        <v>46023.901388888888</v>
      </c>
      <c r="G55" s="53">
        <f t="shared" si="2"/>
        <v>0.61388888888905058</v>
      </c>
      <c r="H55" s="1" t="s">
        <v>248</v>
      </c>
      <c r="J55" s="1" t="s">
        <v>249</v>
      </c>
      <c r="K55" s="1" t="str">
        <f>_xlfn.XLOOKUP(J55,REF!$D$2:$D$12,REF!$E$2:$E$12)</f>
        <v>Rede</v>
      </c>
      <c r="L55" s="1" t="s">
        <v>250</v>
      </c>
      <c r="M55" s="1" t="s">
        <v>251</v>
      </c>
      <c r="N55" s="1" t="s">
        <v>252</v>
      </c>
      <c r="O55" s="1" t="s">
        <v>253</v>
      </c>
      <c r="P55" s="1" t="str">
        <f t="shared" si="3"/>
        <v>BC Caiaponia1SG60KTL(COM2-029)46023,287546023,287546023,9013888889</v>
      </c>
      <c r="Q55" s="1" t="str">
        <f t="shared" si="4"/>
        <v>DAURDE</v>
      </c>
    </row>
    <row r="56" spans="2:17">
      <c r="B56" s="1" t="s">
        <v>268</v>
      </c>
      <c r="C56" s="1" t="s">
        <v>293</v>
      </c>
      <c r="D56" s="52">
        <v>46023.287499999999</v>
      </c>
      <c r="E56" s="52">
        <v>46023.287499999999</v>
      </c>
      <c r="F56" s="52">
        <v>46023.901388888888</v>
      </c>
      <c r="G56" s="53">
        <f t="shared" si="2"/>
        <v>0.61388888888905058</v>
      </c>
      <c r="H56" s="1" t="s">
        <v>248</v>
      </c>
      <c r="J56" s="1" t="s">
        <v>249</v>
      </c>
      <c r="K56" s="1" t="str">
        <f>_xlfn.XLOOKUP(J56,REF!$D$2:$D$12,REF!$E$2:$E$12)</f>
        <v>Rede</v>
      </c>
      <c r="L56" s="1" t="s">
        <v>250</v>
      </c>
      <c r="M56" s="1" t="s">
        <v>251</v>
      </c>
      <c r="N56" s="1" t="s">
        <v>252</v>
      </c>
      <c r="O56" s="1" t="s">
        <v>253</v>
      </c>
      <c r="P56" s="1" t="str">
        <f t="shared" si="3"/>
        <v>BC Caiaponia1SG50CX(COM1-021)46023,287546023,287546023,9013888889</v>
      </c>
      <c r="Q56" s="1" t="str">
        <f t="shared" si="4"/>
        <v>DAURDE</v>
      </c>
    </row>
    <row r="57" spans="2:17">
      <c r="B57" s="1" t="s">
        <v>268</v>
      </c>
      <c r="C57" s="1" t="s">
        <v>294</v>
      </c>
      <c r="D57" s="52">
        <v>46023.287499999999</v>
      </c>
      <c r="E57" s="52">
        <v>46023.287499999999</v>
      </c>
      <c r="F57" s="52">
        <v>46023.901388888888</v>
      </c>
      <c r="G57" s="53">
        <f t="shared" si="2"/>
        <v>0.61388888888905058</v>
      </c>
      <c r="H57" s="1" t="s">
        <v>248</v>
      </c>
      <c r="J57" s="1" t="s">
        <v>249</v>
      </c>
      <c r="K57" s="1" t="str">
        <f>_xlfn.XLOOKUP(J57,REF!$D$2:$D$12,REF!$E$2:$E$12)</f>
        <v>Rede</v>
      </c>
      <c r="L57" s="1" t="s">
        <v>250</v>
      </c>
      <c r="M57" s="1" t="s">
        <v>251</v>
      </c>
      <c r="N57" s="1" t="s">
        <v>252</v>
      </c>
      <c r="O57" s="1" t="s">
        <v>253</v>
      </c>
      <c r="P57" s="1" t="str">
        <f t="shared" si="3"/>
        <v>BC Caiaponia1SG50CX(COM1-022)46023,287546023,287546023,9013888889</v>
      </c>
      <c r="Q57" s="1" t="str">
        <f t="shared" si="4"/>
        <v>DAURDE</v>
      </c>
    </row>
    <row r="58" spans="2:17">
      <c r="B58" s="1" t="s">
        <v>268</v>
      </c>
      <c r="C58" s="1" t="s">
        <v>295</v>
      </c>
      <c r="D58" s="52">
        <v>46023.287499999999</v>
      </c>
      <c r="E58" s="52">
        <v>46023.287499999999</v>
      </c>
      <c r="F58" s="52">
        <v>46023.901388888888</v>
      </c>
      <c r="G58" s="53">
        <f t="shared" si="2"/>
        <v>0.61388888888905058</v>
      </c>
      <c r="H58" s="1" t="s">
        <v>248</v>
      </c>
      <c r="J58" s="1" t="s">
        <v>249</v>
      </c>
      <c r="K58" s="1" t="str">
        <f>_xlfn.XLOOKUP(J58,REF!$D$2:$D$12,REF!$E$2:$E$12)</f>
        <v>Rede</v>
      </c>
      <c r="L58" s="1" t="s">
        <v>250</v>
      </c>
      <c r="M58" s="1" t="s">
        <v>251</v>
      </c>
      <c r="N58" s="1" t="s">
        <v>252</v>
      </c>
      <c r="O58" s="1" t="s">
        <v>253</v>
      </c>
      <c r="P58" s="1" t="str">
        <f t="shared" si="3"/>
        <v>BC Caiaponia1SG50CX(COM1-023)46023,287546023,287546023,9013888889</v>
      </c>
      <c r="Q58" s="1" t="str">
        <f t="shared" si="4"/>
        <v>DAURDE</v>
      </c>
    </row>
    <row r="59" spans="2:17">
      <c r="B59" s="1" t="s">
        <v>268</v>
      </c>
      <c r="C59" s="1" t="s">
        <v>296</v>
      </c>
      <c r="D59" s="52">
        <v>46023.287499999999</v>
      </c>
      <c r="E59" s="52">
        <v>46023.287499999999</v>
      </c>
      <c r="F59" s="52">
        <v>46023.901388888888</v>
      </c>
      <c r="G59" s="53">
        <f t="shared" si="2"/>
        <v>0.61388888888905058</v>
      </c>
      <c r="H59" s="1" t="s">
        <v>248</v>
      </c>
      <c r="J59" s="1" t="s">
        <v>249</v>
      </c>
      <c r="K59" s="1" t="str">
        <f>_xlfn.XLOOKUP(J59,REF!$D$2:$D$12,REF!$E$2:$E$12)</f>
        <v>Rede</v>
      </c>
      <c r="L59" s="1" t="s">
        <v>250</v>
      </c>
      <c r="M59" s="1" t="s">
        <v>251</v>
      </c>
      <c r="N59" s="1" t="s">
        <v>252</v>
      </c>
      <c r="O59" s="1" t="s">
        <v>253</v>
      </c>
      <c r="P59" s="1" t="str">
        <f t="shared" si="3"/>
        <v>BC Caiaponia1SG50CX(COM1-024)46023,287546023,287546023,9013888889</v>
      </c>
      <c r="Q59" s="1" t="str">
        <f t="shared" si="4"/>
        <v>DAURDE</v>
      </c>
    </row>
    <row r="60" spans="2:17">
      <c r="B60" s="1" t="s">
        <v>268</v>
      </c>
      <c r="C60" s="1" t="s">
        <v>297</v>
      </c>
      <c r="D60" s="52">
        <v>46023.287499999999</v>
      </c>
      <c r="E60" s="52">
        <v>46023.287499999999</v>
      </c>
      <c r="F60" s="52">
        <v>46023.901388888888</v>
      </c>
      <c r="G60" s="53">
        <f t="shared" si="2"/>
        <v>0.61388888888905058</v>
      </c>
      <c r="H60" s="1" t="s">
        <v>248</v>
      </c>
      <c r="J60" s="1" t="s">
        <v>249</v>
      </c>
      <c r="K60" s="1" t="str">
        <f>_xlfn.XLOOKUP(J60,REF!$D$2:$D$12,REF!$E$2:$E$12)</f>
        <v>Rede</v>
      </c>
      <c r="L60" s="1" t="s">
        <v>250</v>
      </c>
      <c r="M60" s="1" t="s">
        <v>251</v>
      </c>
      <c r="N60" s="1" t="s">
        <v>252</v>
      </c>
      <c r="O60" s="1" t="s">
        <v>253</v>
      </c>
      <c r="P60" s="1" t="str">
        <f t="shared" si="3"/>
        <v>BC Caiaponia1SG50CX(COM1-025)46023,287546023,287546023,9013888889</v>
      </c>
      <c r="Q60" s="1" t="str">
        <f t="shared" si="4"/>
        <v>DAURDE</v>
      </c>
    </row>
    <row r="61" spans="2:17">
      <c r="B61" s="1" t="s">
        <v>268</v>
      </c>
      <c r="C61" s="1" t="s">
        <v>277</v>
      </c>
      <c r="D61" s="52">
        <v>46032.611111111109</v>
      </c>
      <c r="E61" s="52">
        <v>46032.611111111109</v>
      </c>
      <c r="F61" s="52">
        <v>46033</v>
      </c>
      <c r="G61" s="53">
        <f t="shared" si="2"/>
        <v>0.38888888889050577</v>
      </c>
      <c r="H61" s="1" t="s">
        <v>248</v>
      </c>
      <c r="J61" s="1" t="s">
        <v>249</v>
      </c>
      <c r="K61" s="1" t="str">
        <f>_xlfn.XLOOKUP(J61,REF!$D$2:$D$12,REF!$E$2:$E$12)</f>
        <v>Rede</v>
      </c>
      <c r="L61" s="1" t="s">
        <v>250</v>
      </c>
      <c r="M61" s="1" t="s">
        <v>251</v>
      </c>
      <c r="N61" s="1" t="s">
        <v>252</v>
      </c>
      <c r="O61" s="1" t="s">
        <v>253</v>
      </c>
      <c r="P61" s="1" t="str">
        <f t="shared" si="3"/>
        <v>BC Caiaponia1SG60KTL(COM1-009)46032,611111111146032,611111111146033</v>
      </c>
      <c r="Q61" s="1" t="str">
        <f t="shared" si="4"/>
        <v>DAURDE</v>
      </c>
    </row>
    <row r="62" spans="2:17">
      <c r="B62" s="1" t="s">
        <v>268</v>
      </c>
      <c r="C62" s="1" t="s">
        <v>278</v>
      </c>
      <c r="D62" s="52">
        <v>46032.611111111109</v>
      </c>
      <c r="E62" s="52">
        <v>46032.611111111109</v>
      </c>
      <c r="F62" s="52">
        <v>46033</v>
      </c>
      <c r="G62" s="53">
        <f t="shared" si="2"/>
        <v>0.38888888889050577</v>
      </c>
      <c r="H62" s="1" t="s">
        <v>248</v>
      </c>
      <c r="J62" s="1" t="s">
        <v>249</v>
      </c>
      <c r="K62" s="1" t="str">
        <f>_xlfn.XLOOKUP(J62,REF!$D$2:$D$12,REF!$E$2:$E$12)</f>
        <v>Rede</v>
      </c>
      <c r="L62" s="1" t="s">
        <v>250</v>
      </c>
      <c r="M62" s="1" t="s">
        <v>251</v>
      </c>
      <c r="N62" s="1" t="s">
        <v>252</v>
      </c>
      <c r="O62" s="1" t="s">
        <v>253</v>
      </c>
      <c r="P62" s="1" t="str">
        <f t="shared" si="3"/>
        <v>BC Caiaponia1SG60KTL(COM1-010)46032,611111111146032,611111111146033</v>
      </c>
      <c r="Q62" s="1" t="str">
        <f t="shared" si="4"/>
        <v>DAURDE</v>
      </c>
    </row>
    <row r="63" spans="2:17">
      <c r="B63" s="1" t="s">
        <v>268</v>
      </c>
      <c r="C63" s="1" t="s">
        <v>279</v>
      </c>
      <c r="D63" s="52">
        <v>46032.611111111109</v>
      </c>
      <c r="E63" s="52">
        <v>46032.611111111109</v>
      </c>
      <c r="F63" s="52">
        <v>46033</v>
      </c>
      <c r="G63" s="53">
        <f t="shared" si="2"/>
        <v>0.38888888889050577</v>
      </c>
      <c r="H63" s="1" t="s">
        <v>248</v>
      </c>
      <c r="J63" s="1" t="s">
        <v>249</v>
      </c>
      <c r="K63" s="1" t="str">
        <f>_xlfn.XLOOKUP(J63,REF!$D$2:$D$12,REF!$E$2:$E$12)</f>
        <v>Rede</v>
      </c>
      <c r="L63" s="1" t="s">
        <v>250</v>
      </c>
      <c r="M63" s="1" t="s">
        <v>251</v>
      </c>
      <c r="N63" s="1" t="s">
        <v>252</v>
      </c>
      <c r="O63" s="1" t="s">
        <v>253</v>
      </c>
      <c r="P63" s="1" t="str">
        <f t="shared" si="3"/>
        <v>BC Caiaponia1SG60KTL(COM1-011)46032,611111111146032,611111111146033</v>
      </c>
      <c r="Q63" s="1" t="str">
        <f t="shared" si="4"/>
        <v>DAURDE</v>
      </c>
    </row>
    <row r="64" spans="2:17">
      <c r="B64" s="1" t="s">
        <v>268</v>
      </c>
      <c r="C64" s="1" t="s">
        <v>280</v>
      </c>
      <c r="D64" s="52">
        <v>46032.611111111109</v>
      </c>
      <c r="E64" s="52">
        <v>46032.611111111109</v>
      </c>
      <c r="F64" s="52">
        <v>46033</v>
      </c>
      <c r="G64" s="53">
        <f t="shared" si="2"/>
        <v>0.38888888889050577</v>
      </c>
      <c r="H64" s="1" t="s">
        <v>248</v>
      </c>
      <c r="J64" s="1" t="s">
        <v>249</v>
      </c>
      <c r="K64" s="1" t="str">
        <f>_xlfn.XLOOKUP(J64,REF!$D$2:$D$12,REF!$E$2:$E$12)</f>
        <v>Rede</v>
      </c>
      <c r="L64" s="1" t="s">
        <v>250</v>
      </c>
      <c r="M64" s="1" t="s">
        <v>251</v>
      </c>
      <c r="N64" s="1" t="s">
        <v>252</v>
      </c>
      <c r="O64" s="1" t="s">
        <v>253</v>
      </c>
      <c r="P64" s="1" t="str">
        <f t="shared" si="3"/>
        <v>BC Caiaponia1SG60KTL(COM1-012)46032,611111111146032,611111111146033</v>
      </c>
      <c r="Q64" s="1" t="str">
        <f t="shared" si="4"/>
        <v>DAURDE</v>
      </c>
    </row>
    <row r="65" spans="2:17">
      <c r="B65" s="1" t="s">
        <v>268</v>
      </c>
      <c r="C65" s="1" t="s">
        <v>281</v>
      </c>
      <c r="D65" s="52">
        <v>46032.611111111109</v>
      </c>
      <c r="E65" s="52">
        <v>46032.611111111109</v>
      </c>
      <c r="F65" s="52">
        <v>46033</v>
      </c>
      <c r="G65" s="53">
        <f t="shared" si="2"/>
        <v>0.38888888889050577</v>
      </c>
      <c r="H65" s="1" t="s">
        <v>248</v>
      </c>
      <c r="J65" s="1" t="s">
        <v>249</v>
      </c>
      <c r="K65" s="1" t="str">
        <f>_xlfn.XLOOKUP(J65,REF!$D$2:$D$12,REF!$E$2:$E$12)</f>
        <v>Rede</v>
      </c>
      <c r="L65" s="1" t="s">
        <v>250</v>
      </c>
      <c r="M65" s="1" t="s">
        <v>251</v>
      </c>
      <c r="N65" s="1" t="s">
        <v>252</v>
      </c>
      <c r="O65" s="1" t="s">
        <v>253</v>
      </c>
      <c r="P65" s="1" t="str">
        <f t="shared" si="3"/>
        <v>BC Caiaponia1SG60KTL(COM1-013)46032,611111111146032,611111111146033</v>
      </c>
      <c r="Q65" s="1" t="str">
        <f t="shared" si="4"/>
        <v>DAURDE</v>
      </c>
    </row>
    <row r="66" spans="2:17">
      <c r="B66" s="1" t="s">
        <v>268</v>
      </c>
      <c r="C66" s="1" t="s">
        <v>282</v>
      </c>
      <c r="D66" s="52">
        <v>46032.611111111109</v>
      </c>
      <c r="E66" s="52">
        <v>46032.611111111109</v>
      </c>
      <c r="F66" s="52">
        <v>46033</v>
      </c>
      <c r="G66" s="53">
        <f t="shared" si="2"/>
        <v>0.38888888889050577</v>
      </c>
      <c r="H66" s="1" t="s">
        <v>248</v>
      </c>
      <c r="J66" s="1" t="s">
        <v>249</v>
      </c>
      <c r="K66" s="1" t="str">
        <f>_xlfn.XLOOKUP(J66,REF!$D$2:$D$12,REF!$E$2:$E$12)</f>
        <v>Rede</v>
      </c>
      <c r="L66" s="1" t="s">
        <v>250</v>
      </c>
      <c r="M66" s="1" t="s">
        <v>251</v>
      </c>
      <c r="N66" s="1" t="s">
        <v>252</v>
      </c>
      <c r="O66" s="1" t="s">
        <v>253</v>
      </c>
      <c r="P66" s="1" t="str">
        <f t="shared" si="3"/>
        <v>BC Caiaponia1SG60KTL(COM1-014)46032,611111111146032,611111111146033</v>
      </c>
      <c r="Q66" s="1" t="str">
        <f t="shared" si="4"/>
        <v>DAURDE</v>
      </c>
    </row>
    <row r="67" spans="2:17">
      <c r="B67" s="1" t="s">
        <v>268</v>
      </c>
      <c r="C67" s="1" t="s">
        <v>283</v>
      </c>
      <c r="D67" s="52">
        <v>46032.611111111109</v>
      </c>
      <c r="E67" s="52">
        <v>46032.611111111109</v>
      </c>
      <c r="F67" s="52">
        <v>46033</v>
      </c>
      <c r="G67" s="53">
        <f t="shared" ref="G67:G130" si="5">F67-E67</f>
        <v>0.38888888889050577</v>
      </c>
      <c r="H67" s="1" t="s">
        <v>248</v>
      </c>
      <c r="J67" s="1" t="s">
        <v>249</v>
      </c>
      <c r="K67" s="1" t="str">
        <f>_xlfn.XLOOKUP(J67,REF!$D$2:$D$12,REF!$E$2:$E$12)</f>
        <v>Rede</v>
      </c>
      <c r="L67" s="1" t="s">
        <v>250</v>
      </c>
      <c r="M67" s="1" t="s">
        <v>251</v>
      </c>
      <c r="N67" s="1" t="s">
        <v>252</v>
      </c>
      <c r="O67" s="1" t="s">
        <v>253</v>
      </c>
      <c r="P67" s="1" t="str">
        <f t="shared" ref="P67:P106" si="6">_xlfn.CONCAT(B67,C67,D67,E67,F67)</f>
        <v>BC Caiaponia1SG60KTL(COM1-015)46032,611111111146032,611111111146033</v>
      </c>
      <c r="Q67" s="1" t="str">
        <f t="shared" ref="Q67:Q130" si="7">_xlfn.CONCAT(H67,I67,J67)</f>
        <v>DAURDE</v>
      </c>
    </row>
    <row r="68" spans="2:17">
      <c r="B68" s="1" t="s">
        <v>298</v>
      </c>
      <c r="C68" s="1" t="s">
        <v>299</v>
      </c>
      <c r="D68" s="52">
        <v>46033.582638888889</v>
      </c>
      <c r="E68" s="52">
        <v>46033.582638888889</v>
      </c>
      <c r="F68" s="52">
        <v>46035.79583333333</v>
      </c>
      <c r="G68" s="53">
        <f t="shared" si="5"/>
        <v>2.2131944444408873</v>
      </c>
      <c r="H68" s="1" t="s">
        <v>248</v>
      </c>
      <c r="J68" s="1" t="s">
        <v>300</v>
      </c>
      <c r="K68" s="1" t="str">
        <f>_xlfn.XLOOKUP(J68,REF!$D$2:$D$12,REF!$E$2:$E$12)</f>
        <v>Inversor</v>
      </c>
      <c r="L68" s="1" t="s">
        <v>301</v>
      </c>
      <c r="M68" s="1" t="s">
        <v>302</v>
      </c>
      <c r="N68" s="1" t="s">
        <v>303</v>
      </c>
      <c r="O68" s="1" t="s">
        <v>304</v>
      </c>
      <c r="P68" s="1" t="str">
        <f t="shared" si="6"/>
        <v>BC Aracu2SG60KTL46033,582638888946033,582638888946035,7958333333</v>
      </c>
      <c r="Q68" s="1" t="str">
        <f t="shared" si="7"/>
        <v>DAUINV</v>
      </c>
    </row>
    <row r="69" spans="2:17">
      <c r="B69" s="1" t="s">
        <v>298</v>
      </c>
      <c r="C69" s="1" t="s">
        <v>305</v>
      </c>
      <c r="D69" s="52">
        <v>46034.603472222225</v>
      </c>
      <c r="E69" s="52">
        <v>46034.603472222225</v>
      </c>
      <c r="F69" s="52">
        <v>46036.670138888891</v>
      </c>
      <c r="G69" s="53">
        <f t="shared" si="5"/>
        <v>2.0666666666656965</v>
      </c>
      <c r="H69" s="1" t="s">
        <v>260</v>
      </c>
      <c r="I69" s="1" t="s">
        <v>261</v>
      </c>
      <c r="J69" s="1" t="s">
        <v>262</v>
      </c>
      <c r="K69" s="1" t="str">
        <f>_xlfn.XLOOKUP(J69,REF!$D$2:$D$12,REF!$E$2:$E$12)</f>
        <v>Comunicação</v>
      </c>
      <c r="L69" s="1" t="s">
        <v>306</v>
      </c>
      <c r="M69" s="1" t="s">
        <v>265</v>
      </c>
      <c r="N69" s="1" t="s">
        <v>266</v>
      </c>
      <c r="O69" s="1" t="s">
        <v>307</v>
      </c>
      <c r="P69" s="1" t="str">
        <f t="shared" si="6"/>
        <v>BC Aracu2araçu 2.1 inversor 146034,603472222246034,603472222246036,6701388889</v>
      </c>
      <c r="Q69" s="1" t="str">
        <f t="shared" si="7"/>
        <v>LIGRFOCOM</v>
      </c>
    </row>
    <row r="70" spans="2:17">
      <c r="B70" s="1" t="s">
        <v>298</v>
      </c>
      <c r="C70" s="1" t="s">
        <v>308</v>
      </c>
      <c r="D70" s="52">
        <v>46034.603472222225</v>
      </c>
      <c r="E70" s="52">
        <v>46034.603472222225</v>
      </c>
      <c r="F70" s="52">
        <v>46036.670138888891</v>
      </c>
      <c r="G70" s="53">
        <f t="shared" si="5"/>
        <v>2.0666666666656965</v>
      </c>
      <c r="H70" s="1" t="s">
        <v>260</v>
      </c>
      <c r="I70" s="1" t="s">
        <v>261</v>
      </c>
      <c r="J70" s="1" t="s">
        <v>262</v>
      </c>
      <c r="K70" s="1" t="str">
        <f>_xlfn.XLOOKUP(J70,REF!$D$2:$D$12,REF!$E$2:$E$12)</f>
        <v>Comunicação</v>
      </c>
      <c r="L70" s="1" t="s">
        <v>306</v>
      </c>
      <c r="M70" s="1" t="s">
        <v>265</v>
      </c>
      <c r="N70" s="1" t="s">
        <v>266</v>
      </c>
      <c r="O70" s="1" t="s">
        <v>307</v>
      </c>
      <c r="P70" s="1" t="str">
        <f t="shared" si="6"/>
        <v>BC Aracu2araçu 2.1 inversor 246034,603472222246034,603472222246036,6701388889</v>
      </c>
      <c r="Q70" s="1" t="str">
        <f t="shared" si="7"/>
        <v>LIGRFOCOM</v>
      </c>
    </row>
    <row r="71" spans="2:17">
      <c r="B71" s="1" t="s">
        <v>298</v>
      </c>
      <c r="C71" s="1" t="s">
        <v>309</v>
      </c>
      <c r="D71" s="52">
        <v>46034.603472222225</v>
      </c>
      <c r="E71" s="52">
        <v>46034.603472222225</v>
      </c>
      <c r="F71" s="52">
        <v>46036.670138888891</v>
      </c>
      <c r="G71" s="53">
        <f t="shared" si="5"/>
        <v>2.0666666666656965</v>
      </c>
      <c r="H71" s="1" t="s">
        <v>260</v>
      </c>
      <c r="I71" s="1" t="s">
        <v>261</v>
      </c>
      <c r="J71" s="1" t="s">
        <v>262</v>
      </c>
      <c r="K71" s="1" t="str">
        <f>_xlfn.XLOOKUP(J71,REF!$D$2:$D$12,REF!$E$2:$E$12)</f>
        <v>Comunicação</v>
      </c>
      <c r="L71" s="1" t="s">
        <v>306</v>
      </c>
      <c r="M71" s="1" t="s">
        <v>265</v>
      </c>
      <c r="N71" s="1" t="s">
        <v>266</v>
      </c>
      <c r="O71" s="1" t="s">
        <v>307</v>
      </c>
      <c r="P71" s="1" t="str">
        <f t="shared" si="6"/>
        <v>BC Aracu2araçu 2.1 inversor 346034,603472222246034,603472222246036,6701388889</v>
      </c>
      <c r="Q71" s="1" t="str">
        <f t="shared" si="7"/>
        <v>LIGRFOCOM</v>
      </c>
    </row>
    <row r="72" spans="2:17">
      <c r="B72" s="1" t="s">
        <v>298</v>
      </c>
      <c r="C72" s="1" t="s">
        <v>310</v>
      </c>
      <c r="D72" s="52">
        <v>46034.603472222225</v>
      </c>
      <c r="E72" s="52">
        <v>46034.603472222225</v>
      </c>
      <c r="F72" s="52">
        <v>46036.670138888891</v>
      </c>
      <c r="G72" s="53">
        <f t="shared" si="5"/>
        <v>2.0666666666656965</v>
      </c>
      <c r="H72" s="1" t="s">
        <v>260</v>
      </c>
      <c r="I72" s="1" t="s">
        <v>261</v>
      </c>
      <c r="J72" s="1" t="s">
        <v>262</v>
      </c>
      <c r="K72" s="1" t="str">
        <f>_xlfn.XLOOKUP(J72,REF!$D$2:$D$12,REF!$E$2:$E$12)</f>
        <v>Comunicação</v>
      </c>
      <c r="L72" s="1" t="s">
        <v>306</v>
      </c>
      <c r="M72" s="1" t="s">
        <v>265</v>
      </c>
      <c r="N72" s="1" t="s">
        <v>266</v>
      </c>
      <c r="O72" s="1" t="s">
        <v>307</v>
      </c>
      <c r="P72" s="1" t="str">
        <f t="shared" si="6"/>
        <v>BC Aracu2araçu 2.2 inversor 146034,603472222246034,603472222246036,6701388889</v>
      </c>
      <c r="Q72" s="1" t="str">
        <f t="shared" si="7"/>
        <v>LIGRFOCOM</v>
      </c>
    </row>
    <row r="73" spans="2:17">
      <c r="B73" s="1" t="s">
        <v>298</v>
      </c>
      <c r="C73" s="1" t="s">
        <v>311</v>
      </c>
      <c r="D73" s="52">
        <v>46034.603472222225</v>
      </c>
      <c r="E73" s="52">
        <v>46034.603472222225</v>
      </c>
      <c r="F73" s="52">
        <v>46036.670138888891</v>
      </c>
      <c r="G73" s="53">
        <f t="shared" si="5"/>
        <v>2.0666666666656965</v>
      </c>
      <c r="H73" s="1" t="s">
        <v>260</v>
      </c>
      <c r="I73" s="1" t="s">
        <v>261</v>
      </c>
      <c r="J73" s="1" t="s">
        <v>262</v>
      </c>
      <c r="K73" s="1" t="str">
        <f>_xlfn.XLOOKUP(J73,REF!$D$2:$D$12,REF!$E$2:$E$12)</f>
        <v>Comunicação</v>
      </c>
      <c r="L73" s="1" t="s">
        <v>306</v>
      </c>
      <c r="M73" s="1" t="s">
        <v>265</v>
      </c>
      <c r="N73" s="1" t="s">
        <v>266</v>
      </c>
      <c r="O73" s="1" t="s">
        <v>307</v>
      </c>
      <c r="P73" s="1" t="str">
        <f t="shared" si="6"/>
        <v>BC Aracu2araçu 2.2 inversor 246034,603472222246034,603472222246036,6701388889</v>
      </c>
      <c r="Q73" s="1" t="str">
        <f t="shared" si="7"/>
        <v>LIGRFOCOM</v>
      </c>
    </row>
    <row r="74" spans="2:17">
      <c r="B74" s="1" t="s">
        <v>298</v>
      </c>
      <c r="C74" s="1" t="s">
        <v>312</v>
      </c>
      <c r="D74" s="52">
        <v>46034.603472222225</v>
      </c>
      <c r="E74" s="52">
        <v>46034.603472222225</v>
      </c>
      <c r="F74" s="52">
        <v>46036.670138888891</v>
      </c>
      <c r="G74" s="53">
        <f t="shared" si="5"/>
        <v>2.0666666666656965</v>
      </c>
      <c r="H74" s="1" t="s">
        <v>260</v>
      </c>
      <c r="I74" s="1" t="s">
        <v>261</v>
      </c>
      <c r="J74" s="1" t="s">
        <v>262</v>
      </c>
      <c r="K74" s="1" t="str">
        <f>_xlfn.XLOOKUP(J74,REF!$D$2:$D$12,REF!$E$2:$E$12)</f>
        <v>Comunicação</v>
      </c>
      <c r="L74" s="1" t="s">
        <v>306</v>
      </c>
      <c r="M74" s="1" t="s">
        <v>265</v>
      </c>
      <c r="N74" s="1" t="s">
        <v>266</v>
      </c>
      <c r="O74" s="1" t="s">
        <v>307</v>
      </c>
      <c r="P74" s="1" t="str">
        <f t="shared" si="6"/>
        <v>BC Aracu2araçu 2.2 inversor 346034,603472222246034,603472222246036,6701388889</v>
      </c>
      <c r="Q74" s="1" t="str">
        <f t="shared" si="7"/>
        <v>LIGRFOCOM</v>
      </c>
    </row>
    <row r="75" spans="2:17">
      <c r="B75" s="1" t="s">
        <v>298</v>
      </c>
      <c r="C75" s="1" t="s">
        <v>313</v>
      </c>
      <c r="D75" s="52">
        <v>46034.603472222225</v>
      </c>
      <c r="E75" s="52">
        <v>46034.603472222225</v>
      </c>
      <c r="F75" s="52">
        <v>46036.670138888891</v>
      </c>
      <c r="G75" s="53">
        <f t="shared" si="5"/>
        <v>2.0666666666656965</v>
      </c>
      <c r="H75" s="1" t="s">
        <v>260</v>
      </c>
      <c r="I75" s="1" t="s">
        <v>261</v>
      </c>
      <c r="J75" s="1" t="s">
        <v>262</v>
      </c>
      <c r="K75" s="1" t="str">
        <f>_xlfn.XLOOKUP(J75,REF!$D$2:$D$12,REF!$E$2:$E$12)</f>
        <v>Comunicação</v>
      </c>
      <c r="L75" s="1" t="s">
        <v>306</v>
      </c>
      <c r="M75" s="1" t="s">
        <v>265</v>
      </c>
      <c r="N75" s="1" t="s">
        <v>266</v>
      </c>
      <c r="O75" s="1" t="s">
        <v>307</v>
      </c>
      <c r="P75" s="1" t="str">
        <f t="shared" si="6"/>
        <v>BC Aracu2Inverter8346034,603472222246034,603472222246036,6701388889</v>
      </c>
      <c r="Q75" s="1" t="str">
        <f t="shared" si="7"/>
        <v>LIGRFOCOM</v>
      </c>
    </row>
    <row r="76" spans="2:17">
      <c r="B76" s="1" t="s">
        <v>298</v>
      </c>
      <c r="C76" s="1" t="s">
        <v>314</v>
      </c>
      <c r="D76" s="52">
        <v>46034.603472222225</v>
      </c>
      <c r="E76" s="52">
        <v>46034.603472222225</v>
      </c>
      <c r="F76" s="52">
        <v>46036.670138888891</v>
      </c>
      <c r="G76" s="53">
        <f t="shared" si="5"/>
        <v>2.0666666666656965</v>
      </c>
      <c r="H76" s="1" t="s">
        <v>260</v>
      </c>
      <c r="I76" s="1" t="s">
        <v>261</v>
      </c>
      <c r="J76" s="1" t="s">
        <v>262</v>
      </c>
      <c r="K76" s="1" t="str">
        <f>_xlfn.XLOOKUP(J76,REF!$D$2:$D$12,REF!$E$2:$E$12)</f>
        <v>Comunicação</v>
      </c>
      <c r="L76" s="1" t="s">
        <v>306</v>
      </c>
      <c r="M76" s="1" t="s">
        <v>265</v>
      </c>
      <c r="N76" s="1" t="s">
        <v>266</v>
      </c>
      <c r="O76" s="1" t="s">
        <v>307</v>
      </c>
      <c r="P76" s="1" t="str">
        <f t="shared" si="6"/>
        <v>BC Aracu2araçu 2.3 inversor 546034,603472222246034,603472222246036,6701388889</v>
      </c>
      <c r="Q76" s="1" t="str">
        <f t="shared" si="7"/>
        <v>LIGRFOCOM</v>
      </c>
    </row>
    <row r="77" spans="2:17">
      <c r="B77" s="1" t="s">
        <v>298</v>
      </c>
      <c r="C77" s="1" t="s">
        <v>315</v>
      </c>
      <c r="D77" s="52">
        <v>46034.603472222225</v>
      </c>
      <c r="E77" s="52">
        <v>46034.603472222225</v>
      </c>
      <c r="F77" s="52">
        <v>46036.670138888891</v>
      </c>
      <c r="G77" s="53">
        <f t="shared" si="5"/>
        <v>2.0666666666656965</v>
      </c>
      <c r="H77" s="1" t="s">
        <v>260</v>
      </c>
      <c r="I77" s="1" t="s">
        <v>261</v>
      </c>
      <c r="J77" s="1" t="s">
        <v>262</v>
      </c>
      <c r="K77" s="1" t="str">
        <f>_xlfn.XLOOKUP(J77,REF!$D$2:$D$12,REF!$E$2:$E$12)</f>
        <v>Comunicação</v>
      </c>
      <c r="L77" s="1" t="s">
        <v>306</v>
      </c>
      <c r="M77" s="1" t="s">
        <v>265</v>
      </c>
      <c r="N77" s="1" t="s">
        <v>266</v>
      </c>
      <c r="O77" s="1" t="s">
        <v>307</v>
      </c>
      <c r="P77" s="1" t="str">
        <f t="shared" si="6"/>
        <v>BC Aracu2araçu 2.3 inversor 146034,603472222246034,603472222246036,6701388889</v>
      </c>
      <c r="Q77" s="1" t="str">
        <f t="shared" si="7"/>
        <v>LIGRFOCOM</v>
      </c>
    </row>
    <row r="78" spans="2:17">
      <c r="B78" s="1" t="s">
        <v>298</v>
      </c>
      <c r="C78" s="1" t="s">
        <v>316</v>
      </c>
      <c r="D78" s="52">
        <v>46034.603472222225</v>
      </c>
      <c r="E78" s="52">
        <v>46034.603472222225</v>
      </c>
      <c r="F78" s="52">
        <v>46036.670138888891</v>
      </c>
      <c r="G78" s="53">
        <f t="shared" si="5"/>
        <v>2.0666666666656965</v>
      </c>
      <c r="H78" s="1" t="s">
        <v>260</v>
      </c>
      <c r="I78" s="1" t="s">
        <v>261</v>
      </c>
      <c r="J78" s="1" t="s">
        <v>262</v>
      </c>
      <c r="K78" s="1" t="str">
        <f>_xlfn.XLOOKUP(J78,REF!$D$2:$D$12,REF!$E$2:$E$12)</f>
        <v>Comunicação</v>
      </c>
      <c r="L78" s="1" t="s">
        <v>306</v>
      </c>
      <c r="M78" s="1" t="s">
        <v>265</v>
      </c>
      <c r="N78" s="1" t="s">
        <v>266</v>
      </c>
      <c r="O78" s="1" t="s">
        <v>307</v>
      </c>
      <c r="P78" s="1" t="str">
        <f t="shared" si="6"/>
        <v>BC Aracu2araçu 2.3 inversor 246034,603472222246034,603472222246036,6701388889</v>
      </c>
      <c r="Q78" s="1" t="str">
        <f t="shared" si="7"/>
        <v>LIGRFOCOM</v>
      </c>
    </row>
    <row r="79" spans="2:17">
      <c r="B79" s="1" t="s">
        <v>298</v>
      </c>
      <c r="C79" s="1" t="s">
        <v>317</v>
      </c>
      <c r="D79" s="52">
        <v>46034.603472222225</v>
      </c>
      <c r="E79" s="52">
        <v>46034.603472222225</v>
      </c>
      <c r="F79" s="52">
        <v>46036.670138888891</v>
      </c>
      <c r="G79" s="53">
        <f t="shared" si="5"/>
        <v>2.0666666666656965</v>
      </c>
      <c r="H79" s="1" t="s">
        <v>260</v>
      </c>
      <c r="I79" s="1" t="s">
        <v>261</v>
      </c>
      <c r="J79" s="1" t="s">
        <v>262</v>
      </c>
      <c r="K79" s="1" t="str">
        <f>_xlfn.XLOOKUP(J79,REF!$D$2:$D$12,REF!$E$2:$E$12)</f>
        <v>Comunicação</v>
      </c>
      <c r="L79" s="1" t="s">
        <v>306</v>
      </c>
      <c r="M79" s="1" t="s">
        <v>265</v>
      </c>
      <c r="N79" s="1" t="s">
        <v>266</v>
      </c>
      <c r="O79" s="1" t="s">
        <v>307</v>
      </c>
      <c r="P79" s="1" t="str">
        <f t="shared" si="6"/>
        <v>BC Aracu2araçu 2.3 inversor 446034,603472222246034,603472222246036,6701388889</v>
      </c>
      <c r="Q79" s="1" t="str">
        <f t="shared" si="7"/>
        <v>LIGRFOCOM</v>
      </c>
    </row>
    <row r="80" spans="2:17">
      <c r="B80" s="1" t="s">
        <v>298</v>
      </c>
      <c r="C80" s="1" t="s">
        <v>318</v>
      </c>
      <c r="D80" s="52">
        <v>46034.603472222225</v>
      </c>
      <c r="E80" s="52">
        <v>46034.603472222225</v>
      </c>
      <c r="F80" s="52">
        <v>46036.670138888891</v>
      </c>
      <c r="G80" s="53">
        <f t="shared" si="5"/>
        <v>2.0666666666656965</v>
      </c>
      <c r="H80" s="1" t="s">
        <v>260</v>
      </c>
      <c r="I80" s="1" t="s">
        <v>261</v>
      </c>
      <c r="J80" s="1" t="s">
        <v>262</v>
      </c>
      <c r="K80" s="1" t="str">
        <f>_xlfn.XLOOKUP(J80,REF!$D$2:$D$12,REF!$E$2:$E$12)</f>
        <v>Comunicação</v>
      </c>
      <c r="L80" s="1" t="s">
        <v>306</v>
      </c>
      <c r="M80" s="1" t="s">
        <v>265</v>
      </c>
      <c r="N80" s="1" t="s">
        <v>266</v>
      </c>
      <c r="O80" s="1" t="s">
        <v>307</v>
      </c>
      <c r="P80" s="1" t="str">
        <f t="shared" si="6"/>
        <v>BC Aracu2araçu 2.3 inversor 346034,603472222246034,603472222246036,6701388889</v>
      </c>
      <c r="Q80" s="1" t="str">
        <f t="shared" si="7"/>
        <v>LIGRFOCOM</v>
      </c>
    </row>
    <row r="81" spans="2:17">
      <c r="B81" s="1" t="s">
        <v>298</v>
      </c>
      <c r="C81" s="1" t="s">
        <v>319</v>
      </c>
      <c r="D81" s="52">
        <v>46034.603472222225</v>
      </c>
      <c r="E81" s="52">
        <v>46034.603472222225</v>
      </c>
      <c r="F81" s="52">
        <v>46036.670138888891</v>
      </c>
      <c r="G81" s="53">
        <f t="shared" si="5"/>
        <v>2.0666666666656965</v>
      </c>
      <c r="H81" s="1" t="s">
        <v>260</v>
      </c>
      <c r="I81" s="1" t="s">
        <v>261</v>
      </c>
      <c r="J81" s="1" t="s">
        <v>262</v>
      </c>
      <c r="K81" s="1" t="str">
        <f>_xlfn.XLOOKUP(J81,REF!$D$2:$D$12,REF!$E$2:$E$12)</f>
        <v>Comunicação</v>
      </c>
      <c r="L81" s="1" t="s">
        <v>306</v>
      </c>
      <c r="M81" s="1" t="s">
        <v>265</v>
      </c>
      <c r="N81" s="1" t="s">
        <v>266</v>
      </c>
      <c r="O81" s="1" t="s">
        <v>307</v>
      </c>
      <c r="P81" s="1" t="str">
        <f t="shared" si="6"/>
        <v>BC Aracu2araçu 2.4 inversor 346034,603472222246034,603472222246036,6701388889</v>
      </c>
      <c r="Q81" s="1" t="str">
        <f t="shared" si="7"/>
        <v>LIGRFOCOM</v>
      </c>
    </row>
    <row r="82" spans="2:17">
      <c r="B82" s="1" t="s">
        <v>298</v>
      </c>
      <c r="C82" s="1" t="s">
        <v>320</v>
      </c>
      <c r="D82" s="52">
        <v>46034.603472222225</v>
      </c>
      <c r="E82" s="52">
        <v>46034.603472222225</v>
      </c>
      <c r="F82" s="52">
        <v>46036.670138888891</v>
      </c>
      <c r="G82" s="53">
        <f t="shared" si="5"/>
        <v>2.0666666666656965</v>
      </c>
      <c r="H82" s="1" t="s">
        <v>260</v>
      </c>
      <c r="I82" s="1" t="s">
        <v>261</v>
      </c>
      <c r="J82" s="1" t="s">
        <v>262</v>
      </c>
      <c r="K82" s="1" t="str">
        <f>_xlfn.XLOOKUP(J82,REF!$D$2:$D$12,REF!$E$2:$E$12)</f>
        <v>Comunicação</v>
      </c>
      <c r="L82" s="1" t="s">
        <v>306</v>
      </c>
      <c r="M82" s="1" t="s">
        <v>265</v>
      </c>
      <c r="N82" s="1" t="s">
        <v>266</v>
      </c>
      <c r="O82" s="1" t="s">
        <v>307</v>
      </c>
      <c r="P82" s="1" t="str">
        <f t="shared" si="6"/>
        <v>BC Aracu2araçu 2.4 inversor 146034,603472222246034,603472222246036,6701388889</v>
      </c>
      <c r="Q82" s="1" t="str">
        <f t="shared" si="7"/>
        <v>LIGRFOCOM</v>
      </c>
    </row>
    <row r="83" spans="2:17">
      <c r="B83" s="1" t="s">
        <v>298</v>
      </c>
      <c r="C83" s="1" t="s">
        <v>321</v>
      </c>
      <c r="D83" s="52">
        <v>46034.603472222225</v>
      </c>
      <c r="E83" s="52">
        <v>46034.603472222225</v>
      </c>
      <c r="F83" s="52">
        <v>46036.670138888891</v>
      </c>
      <c r="G83" s="53">
        <f t="shared" si="5"/>
        <v>2.0666666666656965</v>
      </c>
      <c r="H83" s="1" t="s">
        <v>260</v>
      </c>
      <c r="I83" s="1" t="s">
        <v>261</v>
      </c>
      <c r="J83" s="1" t="s">
        <v>262</v>
      </c>
      <c r="K83" s="1" t="str">
        <f>_xlfn.XLOOKUP(J83,REF!$D$2:$D$12,REF!$E$2:$E$12)</f>
        <v>Comunicação</v>
      </c>
      <c r="L83" s="1" t="s">
        <v>306</v>
      </c>
      <c r="M83" s="1" t="s">
        <v>265</v>
      </c>
      <c r="N83" s="1" t="s">
        <v>266</v>
      </c>
      <c r="O83" s="1" t="s">
        <v>307</v>
      </c>
      <c r="P83" s="1" t="str">
        <f t="shared" si="6"/>
        <v>BC Aracu2araçu 2.4 inversor 646034,603472222246034,603472222246036,6701388889</v>
      </c>
      <c r="Q83" s="1" t="str">
        <f t="shared" si="7"/>
        <v>LIGRFOCOM</v>
      </c>
    </row>
    <row r="84" spans="2:17">
      <c r="B84" s="1" t="s">
        <v>298</v>
      </c>
      <c r="C84" s="1" t="s">
        <v>322</v>
      </c>
      <c r="D84" s="52">
        <v>46034.603472222225</v>
      </c>
      <c r="E84" s="52">
        <v>46034.603472222225</v>
      </c>
      <c r="F84" s="52">
        <v>46036.670138888891</v>
      </c>
      <c r="G84" s="53">
        <f t="shared" si="5"/>
        <v>2.0666666666656965</v>
      </c>
      <c r="H84" s="1" t="s">
        <v>260</v>
      </c>
      <c r="I84" s="1" t="s">
        <v>261</v>
      </c>
      <c r="J84" s="1" t="s">
        <v>262</v>
      </c>
      <c r="K84" s="1" t="str">
        <f>_xlfn.XLOOKUP(J84,REF!$D$2:$D$12,REF!$E$2:$E$12)</f>
        <v>Comunicação</v>
      </c>
      <c r="L84" s="1" t="s">
        <v>306</v>
      </c>
      <c r="M84" s="1" t="s">
        <v>265</v>
      </c>
      <c r="N84" s="1" t="s">
        <v>266</v>
      </c>
      <c r="O84" s="1" t="s">
        <v>307</v>
      </c>
      <c r="P84" s="1" t="str">
        <f t="shared" si="6"/>
        <v>BC Aracu2araçu 2.4 inversor 446034,603472222246034,603472222246036,6701388889</v>
      </c>
      <c r="Q84" s="1" t="str">
        <f t="shared" si="7"/>
        <v>LIGRFOCOM</v>
      </c>
    </row>
    <row r="85" spans="2:17">
      <c r="B85" s="1" t="s">
        <v>298</v>
      </c>
      <c r="C85" s="1" t="s">
        <v>323</v>
      </c>
      <c r="D85" s="52">
        <v>46034.603472222225</v>
      </c>
      <c r="E85" s="52">
        <v>46034.603472222225</v>
      </c>
      <c r="F85" s="52">
        <v>46036.670138888891</v>
      </c>
      <c r="G85" s="53">
        <f t="shared" si="5"/>
        <v>2.0666666666656965</v>
      </c>
      <c r="H85" s="1" t="s">
        <v>260</v>
      </c>
      <c r="I85" s="1" t="s">
        <v>261</v>
      </c>
      <c r="J85" s="1" t="s">
        <v>262</v>
      </c>
      <c r="K85" s="1" t="str">
        <f>_xlfn.XLOOKUP(J85,REF!$D$2:$D$12,REF!$E$2:$E$12)</f>
        <v>Comunicação</v>
      </c>
      <c r="L85" s="1" t="s">
        <v>306</v>
      </c>
      <c r="M85" s="1" t="s">
        <v>265</v>
      </c>
      <c r="N85" s="1" t="s">
        <v>266</v>
      </c>
      <c r="O85" s="1" t="s">
        <v>307</v>
      </c>
      <c r="P85" s="1" t="str">
        <f t="shared" si="6"/>
        <v>BC Aracu2araçu 2.4 inversor 246034,603472222246034,603472222246036,6701388889</v>
      </c>
      <c r="Q85" s="1" t="str">
        <f t="shared" si="7"/>
        <v>LIGRFOCOM</v>
      </c>
    </row>
    <row r="86" spans="2:17">
      <c r="B86" s="1" t="s">
        <v>298</v>
      </c>
      <c r="C86" s="1" t="s">
        <v>324</v>
      </c>
      <c r="D86" s="52">
        <v>46034.603472222225</v>
      </c>
      <c r="E86" s="52">
        <v>46034.603472222225</v>
      </c>
      <c r="F86" s="52">
        <v>46036.670138888891</v>
      </c>
      <c r="G86" s="53">
        <f t="shared" si="5"/>
        <v>2.0666666666656965</v>
      </c>
      <c r="H86" s="1" t="s">
        <v>260</v>
      </c>
      <c r="I86" s="1" t="s">
        <v>261</v>
      </c>
      <c r="J86" s="1" t="s">
        <v>262</v>
      </c>
      <c r="K86" s="1" t="str">
        <f>_xlfn.XLOOKUP(J86,REF!$D$2:$D$12,REF!$E$2:$E$12)</f>
        <v>Comunicação</v>
      </c>
      <c r="L86" s="1" t="s">
        <v>306</v>
      </c>
      <c r="M86" s="1" t="s">
        <v>265</v>
      </c>
      <c r="N86" s="1" t="s">
        <v>266</v>
      </c>
      <c r="O86" s="1" t="s">
        <v>307</v>
      </c>
      <c r="P86" s="1" t="str">
        <f t="shared" si="6"/>
        <v>BC Aracu2araçu 2.4 inversor 546034,603472222246034,603472222246036,6701388889</v>
      </c>
      <c r="Q86" s="1" t="str">
        <f t="shared" si="7"/>
        <v>LIGRFOCOM</v>
      </c>
    </row>
    <row r="87" spans="2:17">
      <c r="B87" s="1" t="s">
        <v>298</v>
      </c>
      <c r="C87" s="1" t="s">
        <v>299</v>
      </c>
      <c r="D87" s="52">
        <v>46031.497916666667</v>
      </c>
      <c r="E87" s="52">
        <v>46031.497916666667</v>
      </c>
      <c r="F87" s="52">
        <v>46031.506944444445</v>
      </c>
      <c r="G87" s="53">
        <f t="shared" si="5"/>
        <v>9.0277777781011537E-3</v>
      </c>
      <c r="H87" s="1" t="s">
        <v>248</v>
      </c>
      <c r="J87" s="1" t="s">
        <v>300</v>
      </c>
      <c r="K87" s="1" t="str">
        <f>_xlfn.XLOOKUP(J87,REF!$D$2:$D$12,REF!$E$2:$E$12)</f>
        <v>Inversor</v>
      </c>
      <c r="L87" s="1" t="s">
        <v>325</v>
      </c>
      <c r="M87" s="1" t="s">
        <v>251</v>
      </c>
      <c r="N87" s="1" t="s">
        <v>252</v>
      </c>
      <c r="O87" s="1" t="s">
        <v>326</v>
      </c>
      <c r="P87" s="1" t="str">
        <f t="shared" si="6"/>
        <v>BC Aracu2SG60KTL46031,497916666746031,497916666746031,5069444444</v>
      </c>
      <c r="Q87" s="1" t="str">
        <f t="shared" si="7"/>
        <v>DAUINV</v>
      </c>
    </row>
    <row r="88" spans="2:17">
      <c r="B88" s="1" t="s">
        <v>298</v>
      </c>
      <c r="C88" s="1" t="s">
        <v>299</v>
      </c>
      <c r="D88" s="52">
        <v>46031.548611111109</v>
      </c>
      <c r="E88" s="52">
        <v>46031.548611111109</v>
      </c>
      <c r="F88" s="52">
        <v>46031.579861111109</v>
      </c>
      <c r="G88" s="53">
        <f t="shared" si="5"/>
        <v>3.125E-2</v>
      </c>
      <c r="H88" s="1" t="s">
        <v>248</v>
      </c>
      <c r="J88" s="1" t="s">
        <v>300</v>
      </c>
      <c r="K88" s="1" t="str">
        <f>_xlfn.XLOOKUP(J88,REF!$D$2:$D$12,REF!$E$2:$E$12)</f>
        <v>Inversor</v>
      </c>
      <c r="L88" s="1" t="s">
        <v>325</v>
      </c>
      <c r="M88" s="1" t="s">
        <v>251</v>
      </c>
      <c r="N88" s="1" t="s">
        <v>252</v>
      </c>
      <c r="O88" s="1" t="s">
        <v>326</v>
      </c>
      <c r="P88" s="1" t="str">
        <f t="shared" si="6"/>
        <v>BC Aracu2SG60KTL46031,548611111146031,548611111146031,5798611111</v>
      </c>
      <c r="Q88" s="1" t="str">
        <f t="shared" si="7"/>
        <v>DAUINV</v>
      </c>
    </row>
    <row r="89" spans="2:17">
      <c r="B89" s="1" t="s">
        <v>327</v>
      </c>
      <c r="C89" s="1" t="s">
        <v>328</v>
      </c>
      <c r="D89" s="52">
        <v>46027.355555555558</v>
      </c>
      <c r="E89" s="52">
        <v>46027.355555555558</v>
      </c>
      <c r="F89" s="52">
        <v>46027.363888888889</v>
      </c>
      <c r="G89" s="53">
        <f t="shared" si="5"/>
        <v>8.333333331393078E-3</v>
      </c>
      <c r="H89" s="1" t="s">
        <v>248</v>
      </c>
      <c r="J89" s="1" t="s">
        <v>249</v>
      </c>
      <c r="K89" s="1" t="str">
        <f>_xlfn.XLOOKUP(J89,REF!$D$2:$D$12,REF!$E$2:$E$12)</f>
        <v>Rede</v>
      </c>
      <c r="L89" s="1" t="s">
        <v>329</v>
      </c>
      <c r="M89" s="1" t="s">
        <v>251</v>
      </c>
      <c r="N89" s="1" t="s">
        <v>330</v>
      </c>
      <c r="O89" s="1" t="s">
        <v>331</v>
      </c>
      <c r="P89" s="1" t="str">
        <f t="shared" si="6"/>
        <v>BC Aracu5.1Inverter(MBUS-1)46027,355555555646027,355555555646027,3638888889</v>
      </c>
      <c r="Q89" s="1" t="str">
        <f t="shared" si="7"/>
        <v>DAURDE</v>
      </c>
    </row>
    <row r="90" spans="2:17">
      <c r="B90" s="1" t="s">
        <v>332</v>
      </c>
      <c r="C90" s="1" t="s">
        <v>328</v>
      </c>
      <c r="D90" s="52">
        <v>46027.355555555558</v>
      </c>
      <c r="E90" s="52">
        <v>46027.355555555558</v>
      </c>
      <c r="F90" s="52">
        <v>46027.363888888889</v>
      </c>
      <c r="G90" s="53">
        <f t="shared" si="5"/>
        <v>8.333333331393078E-3</v>
      </c>
      <c r="H90" s="1" t="s">
        <v>248</v>
      </c>
      <c r="J90" s="1" t="s">
        <v>249</v>
      </c>
      <c r="K90" s="1" t="str">
        <f>_xlfn.XLOOKUP(J90,REF!$D$2:$D$12,REF!$E$2:$E$12)</f>
        <v>Rede</v>
      </c>
      <c r="L90" s="1" t="s">
        <v>329</v>
      </c>
      <c r="M90" s="1" t="s">
        <v>251</v>
      </c>
      <c r="N90" s="1" t="s">
        <v>330</v>
      </c>
      <c r="O90" s="1" t="s">
        <v>331</v>
      </c>
      <c r="P90" s="1" t="str">
        <f t="shared" si="6"/>
        <v>BC Aracu5.2Inverter(MBUS-1)46027,355555555646027,355555555646027,3638888889</v>
      </c>
      <c r="Q90" s="1" t="str">
        <f t="shared" si="7"/>
        <v>DAURDE</v>
      </c>
    </row>
    <row r="91" spans="2:17">
      <c r="B91" s="1" t="s">
        <v>333</v>
      </c>
      <c r="C91" s="1" t="s">
        <v>328</v>
      </c>
      <c r="D91" s="52">
        <v>46027.355555555558</v>
      </c>
      <c r="E91" s="52">
        <v>46027.355555555558</v>
      </c>
      <c r="F91" s="52">
        <v>46027.363888888889</v>
      </c>
      <c r="G91" s="53">
        <f t="shared" si="5"/>
        <v>8.333333331393078E-3</v>
      </c>
      <c r="H91" s="1" t="s">
        <v>248</v>
      </c>
      <c r="J91" s="1" t="s">
        <v>249</v>
      </c>
      <c r="K91" s="1" t="str">
        <f>_xlfn.XLOOKUP(J91,REF!$D$2:$D$12,REF!$E$2:$E$12)</f>
        <v>Rede</v>
      </c>
      <c r="L91" s="1" t="s">
        <v>329</v>
      </c>
      <c r="M91" s="1" t="s">
        <v>251</v>
      </c>
      <c r="N91" s="1" t="s">
        <v>330</v>
      </c>
      <c r="O91" s="1" t="s">
        <v>331</v>
      </c>
      <c r="P91" s="1" t="str">
        <f t="shared" si="6"/>
        <v>BC Aracu5.3Inverter(MBUS-1)46027,355555555646027,355555555646027,3638888889</v>
      </c>
      <c r="Q91" s="1" t="str">
        <f t="shared" si="7"/>
        <v>DAURDE</v>
      </c>
    </row>
    <row r="92" spans="2:17">
      <c r="B92" s="1" t="s">
        <v>334</v>
      </c>
      <c r="C92" s="1" t="s">
        <v>328</v>
      </c>
      <c r="D92" s="52">
        <v>46027.355555555558</v>
      </c>
      <c r="E92" s="52">
        <v>46027.355555555558</v>
      </c>
      <c r="F92" s="52">
        <v>46027.363888888889</v>
      </c>
      <c r="G92" s="53">
        <f t="shared" si="5"/>
        <v>8.333333331393078E-3</v>
      </c>
      <c r="H92" s="1" t="s">
        <v>248</v>
      </c>
      <c r="J92" s="1" t="s">
        <v>249</v>
      </c>
      <c r="K92" s="1" t="str">
        <f>_xlfn.XLOOKUP(J92,REF!$D$2:$D$12,REF!$E$2:$E$12)</f>
        <v>Rede</v>
      </c>
      <c r="L92" s="1" t="s">
        <v>329</v>
      </c>
      <c r="M92" s="1" t="s">
        <v>251</v>
      </c>
      <c r="N92" s="1" t="s">
        <v>330</v>
      </c>
      <c r="O92" s="1" t="s">
        <v>331</v>
      </c>
      <c r="P92" s="1" t="str">
        <f t="shared" si="6"/>
        <v>BC Aracu5.4Inverter(MBUS-1)46027,355555555646027,355555555646027,3638888889</v>
      </c>
      <c r="Q92" s="1" t="str">
        <f t="shared" si="7"/>
        <v>DAURDE</v>
      </c>
    </row>
    <row r="93" spans="2:17">
      <c r="B93" s="1" t="s">
        <v>335</v>
      </c>
      <c r="C93" s="1" t="s">
        <v>328</v>
      </c>
      <c r="D93" s="52">
        <v>46027.355555555558</v>
      </c>
      <c r="E93" s="52">
        <v>46027.355555555558</v>
      </c>
      <c r="F93" s="52">
        <v>46027.363888888889</v>
      </c>
      <c r="G93" s="53">
        <f t="shared" si="5"/>
        <v>8.333333331393078E-3</v>
      </c>
      <c r="H93" s="1" t="s">
        <v>248</v>
      </c>
      <c r="J93" s="1" t="s">
        <v>249</v>
      </c>
      <c r="K93" s="1" t="str">
        <f>_xlfn.XLOOKUP(J93,REF!$D$2:$D$12,REF!$E$2:$E$12)</f>
        <v>Rede</v>
      </c>
      <c r="L93" s="1" t="s">
        <v>329</v>
      </c>
      <c r="M93" s="1" t="s">
        <v>251</v>
      </c>
      <c r="N93" s="1" t="s">
        <v>330</v>
      </c>
      <c r="O93" s="1" t="s">
        <v>331</v>
      </c>
      <c r="P93" s="1" t="str">
        <f t="shared" si="6"/>
        <v>BC Aracu5.5Inverter(MBUS-1)46027,355555555646027,355555555646027,3638888889</v>
      </c>
      <c r="Q93" s="1" t="str">
        <f t="shared" si="7"/>
        <v>DAURDE</v>
      </c>
    </row>
    <row r="94" spans="2:17">
      <c r="B94" s="1" t="s">
        <v>327</v>
      </c>
      <c r="C94" s="1" t="s">
        <v>328</v>
      </c>
      <c r="D94" s="52">
        <v>46029.427083333336</v>
      </c>
      <c r="E94" s="52">
        <v>46029.427083333336</v>
      </c>
      <c r="F94" s="52">
        <v>46029.436111111114</v>
      </c>
      <c r="G94" s="53">
        <f t="shared" si="5"/>
        <v>9.0277777781011537E-3</v>
      </c>
      <c r="H94" s="1" t="s">
        <v>248</v>
      </c>
      <c r="J94" s="1" t="s">
        <v>249</v>
      </c>
      <c r="K94" s="1" t="str">
        <f>_xlfn.XLOOKUP(J94,REF!$D$2:$D$12,REF!$E$2:$E$12)</f>
        <v>Rede</v>
      </c>
      <c r="L94" s="1" t="s">
        <v>329</v>
      </c>
      <c r="M94" s="1" t="s">
        <v>251</v>
      </c>
      <c r="N94" s="1" t="s">
        <v>330</v>
      </c>
      <c r="O94" s="1" t="s">
        <v>331</v>
      </c>
      <c r="P94" s="1" t="str">
        <f t="shared" si="6"/>
        <v>BC Aracu5.1Inverter(MBUS-1)46029,427083333346029,427083333346029,4361111111</v>
      </c>
      <c r="Q94" s="1" t="str">
        <f t="shared" si="7"/>
        <v>DAURDE</v>
      </c>
    </row>
    <row r="95" spans="2:17">
      <c r="B95" s="1" t="s">
        <v>332</v>
      </c>
      <c r="C95" s="1" t="s">
        <v>328</v>
      </c>
      <c r="D95" s="52">
        <v>46029.427083333336</v>
      </c>
      <c r="E95" s="52">
        <v>46029.427083333336</v>
      </c>
      <c r="F95" s="52">
        <v>46029.436111111114</v>
      </c>
      <c r="G95" s="53">
        <f t="shared" si="5"/>
        <v>9.0277777781011537E-3</v>
      </c>
      <c r="H95" s="1" t="s">
        <v>248</v>
      </c>
      <c r="J95" s="1" t="s">
        <v>249</v>
      </c>
      <c r="K95" s="1" t="str">
        <f>_xlfn.XLOOKUP(J95,REF!$D$2:$D$12,REF!$E$2:$E$12)</f>
        <v>Rede</v>
      </c>
      <c r="L95" s="1" t="s">
        <v>329</v>
      </c>
      <c r="M95" s="1" t="s">
        <v>251</v>
      </c>
      <c r="N95" s="1" t="s">
        <v>330</v>
      </c>
      <c r="O95" s="1" t="s">
        <v>331</v>
      </c>
      <c r="P95" s="1" t="str">
        <f t="shared" si="6"/>
        <v>BC Aracu5.2Inverter(MBUS-1)46029,427083333346029,427083333346029,4361111111</v>
      </c>
      <c r="Q95" s="1" t="str">
        <f t="shared" si="7"/>
        <v>DAURDE</v>
      </c>
    </row>
    <row r="96" spans="2:17">
      <c r="B96" s="1" t="s">
        <v>333</v>
      </c>
      <c r="C96" s="1" t="s">
        <v>328</v>
      </c>
      <c r="D96" s="52">
        <v>46029.427083333336</v>
      </c>
      <c r="E96" s="52">
        <v>46029.427083333336</v>
      </c>
      <c r="F96" s="52">
        <v>46029.436111111114</v>
      </c>
      <c r="G96" s="53">
        <f t="shared" si="5"/>
        <v>9.0277777781011537E-3</v>
      </c>
      <c r="H96" s="1" t="s">
        <v>248</v>
      </c>
      <c r="J96" s="1" t="s">
        <v>249</v>
      </c>
      <c r="K96" s="1" t="str">
        <f>_xlfn.XLOOKUP(J96,REF!$D$2:$D$12,REF!$E$2:$E$12)</f>
        <v>Rede</v>
      </c>
      <c r="L96" s="1" t="s">
        <v>329</v>
      </c>
      <c r="M96" s="1" t="s">
        <v>251</v>
      </c>
      <c r="N96" s="1" t="s">
        <v>330</v>
      </c>
      <c r="O96" s="1" t="s">
        <v>331</v>
      </c>
      <c r="P96" s="1" t="str">
        <f t="shared" si="6"/>
        <v>BC Aracu5.3Inverter(MBUS-1)46029,427083333346029,427083333346029,4361111111</v>
      </c>
      <c r="Q96" s="1" t="str">
        <f t="shared" si="7"/>
        <v>DAURDE</v>
      </c>
    </row>
    <row r="97" spans="2:17">
      <c r="B97" s="1" t="s">
        <v>334</v>
      </c>
      <c r="C97" s="1" t="s">
        <v>328</v>
      </c>
      <c r="D97" s="52">
        <v>46029.427083333336</v>
      </c>
      <c r="E97" s="52">
        <v>46029.427083333336</v>
      </c>
      <c r="F97" s="52">
        <v>46029.436111111114</v>
      </c>
      <c r="G97" s="53">
        <f t="shared" si="5"/>
        <v>9.0277777781011537E-3</v>
      </c>
      <c r="H97" s="1" t="s">
        <v>248</v>
      </c>
      <c r="J97" s="1" t="s">
        <v>249</v>
      </c>
      <c r="K97" s="1" t="str">
        <f>_xlfn.XLOOKUP(J97,REF!$D$2:$D$12,REF!$E$2:$E$12)</f>
        <v>Rede</v>
      </c>
      <c r="L97" s="1" t="s">
        <v>329</v>
      </c>
      <c r="M97" s="1" t="s">
        <v>251</v>
      </c>
      <c r="N97" s="1" t="s">
        <v>330</v>
      </c>
      <c r="O97" s="1" t="s">
        <v>331</v>
      </c>
      <c r="P97" s="1" t="str">
        <f t="shared" si="6"/>
        <v>BC Aracu5.4Inverter(MBUS-1)46029,427083333346029,427083333346029,4361111111</v>
      </c>
      <c r="Q97" s="1" t="str">
        <f t="shared" si="7"/>
        <v>DAURDE</v>
      </c>
    </row>
    <row r="98" spans="2:17">
      <c r="B98" s="1" t="s">
        <v>335</v>
      </c>
      <c r="C98" s="1" t="s">
        <v>328</v>
      </c>
      <c r="D98" s="52">
        <v>46029.427083333336</v>
      </c>
      <c r="E98" s="52">
        <v>46029.427083333336</v>
      </c>
      <c r="F98" s="52">
        <v>46029.436111111114</v>
      </c>
      <c r="G98" s="53">
        <f t="shared" si="5"/>
        <v>9.0277777781011537E-3</v>
      </c>
      <c r="H98" s="1" t="s">
        <v>248</v>
      </c>
      <c r="J98" s="1" t="s">
        <v>249</v>
      </c>
      <c r="K98" s="1" t="str">
        <f>_xlfn.XLOOKUP(J98,REF!$D$2:$D$12,REF!$E$2:$E$12)</f>
        <v>Rede</v>
      </c>
      <c r="L98" s="1" t="s">
        <v>329</v>
      </c>
      <c r="M98" s="1" t="s">
        <v>251</v>
      </c>
      <c r="N98" s="1" t="s">
        <v>330</v>
      </c>
      <c r="O98" s="1" t="s">
        <v>331</v>
      </c>
      <c r="P98" s="1" t="str">
        <f t="shared" si="6"/>
        <v>BC Aracu5.5Inverter(MBUS-1)46029,427083333346029,427083333346029,4361111111</v>
      </c>
      <c r="Q98" s="1" t="str">
        <f t="shared" si="7"/>
        <v>DAURDE</v>
      </c>
    </row>
    <row r="99" spans="2:17">
      <c r="B99" s="1" t="s">
        <v>332</v>
      </c>
      <c r="C99" s="1" t="s">
        <v>328</v>
      </c>
      <c r="D99" s="52">
        <v>46027.385416666664</v>
      </c>
      <c r="E99" s="52">
        <v>46027.385416666664</v>
      </c>
      <c r="G99" s="53">
        <f t="shared" si="5"/>
        <v>-46027.385416666664</v>
      </c>
      <c r="H99" s="1" t="s">
        <v>336</v>
      </c>
      <c r="J99" s="1" t="s">
        <v>337</v>
      </c>
      <c r="K99" s="1" t="s">
        <v>338</v>
      </c>
      <c r="L99" s="1" t="s">
        <v>339</v>
      </c>
      <c r="M99" s="1" t="s">
        <v>340</v>
      </c>
      <c r="N99" s="1" t="s">
        <v>341</v>
      </c>
      <c r="O99" s="1" t="s">
        <v>342</v>
      </c>
      <c r="P99" s="1" t="str">
        <f t="shared" si="6"/>
        <v>BC Aracu5.2Inverter(MBUS-1)46027,385416666746027,3854166667</v>
      </c>
      <c r="Q99" s="1" t="str">
        <f t="shared" si="7"/>
        <v>DEMTRF</v>
      </c>
    </row>
    <row r="100" spans="2:17">
      <c r="B100" s="1" t="s">
        <v>298</v>
      </c>
      <c r="C100" s="1" t="s">
        <v>305</v>
      </c>
      <c r="D100" s="52">
        <v>46028.552083333336</v>
      </c>
      <c r="E100" s="52">
        <v>46028.552083333336</v>
      </c>
      <c r="F100" s="52">
        <v>46028.680555555555</v>
      </c>
      <c r="G100" s="53">
        <f>+F100-E100</f>
        <v>0.12847222221898846</v>
      </c>
      <c r="H100" s="1" t="s">
        <v>343</v>
      </c>
      <c r="J100" s="1" t="s">
        <v>300</v>
      </c>
      <c r="K100" s="1" t="str">
        <f>_xlfn.XLOOKUP(J100,REF!$D$2:$D$12,REF!$E$2:$E$12)</f>
        <v>Inversor</v>
      </c>
      <c r="L100" s="1" t="s">
        <v>344</v>
      </c>
      <c r="M100" s="1" t="s">
        <v>302</v>
      </c>
      <c r="N100" s="1" t="s">
        <v>345</v>
      </c>
      <c r="O100" s="1" t="s">
        <v>346</v>
      </c>
      <c r="P100" s="1" t="str">
        <f t="shared" si="6"/>
        <v>BC Aracu2araçu 2.1 inversor 146028,552083333346028,552083333346028,6805555556</v>
      </c>
      <c r="Q100" s="1" t="str">
        <f t="shared" si="7"/>
        <v>DPRINV</v>
      </c>
    </row>
    <row r="101" spans="2:17">
      <c r="B101" s="1" t="s">
        <v>298</v>
      </c>
      <c r="C101" s="1" t="s">
        <v>316</v>
      </c>
      <c r="D101" s="52">
        <v>46028.576388888891</v>
      </c>
      <c r="E101" s="52">
        <v>46028.576388888891</v>
      </c>
      <c r="F101" s="52">
        <v>46028.597222222219</v>
      </c>
      <c r="G101" s="53">
        <f t="shared" si="5"/>
        <v>2.0833333328482695E-2</v>
      </c>
      <c r="H101" s="1" t="s">
        <v>343</v>
      </c>
      <c r="J101" s="1" t="s">
        <v>300</v>
      </c>
      <c r="K101" s="1" t="str">
        <f>_xlfn.XLOOKUP(J101,REF!$D$2:$D$12,REF!$E$2:$E$12)</f>
        <v>Inversor</v>
      </c>
      <c r="L101" s="1" t="s">
        <v>344</v>
      </c>
      <c r="M101" s="1" t="s">
        <v>302</v>
      </c>
      <c r="N101" s="1" t="s">
        <v>345</v>
      </c>
      <c r="O101" s="1" t="s">
        <v>346</v>
      </c>
      <c r="P101" s="1" t="str">
        <f t="shared" si="6"/>
        <v>BC Aracu2araçu 2.3 inversor 246028,576388888946028,576388888946028,5972222222</v>
      </c>
      <c r="Q101" s="1" t="str">
        <f t="shared" si="7"/>
        <v>DPRINV</v>
      </c>
    </row>
    <row r="102" spans="2:17" ht="30.75">
      <c r="B102" s="1" t="s">
        <v>298</v>
      </c>
      <c r="C102" s="1" t="s">
        <v>305</v>
      </c>
      <c r="D102" s="52">
        <v>46028.625</v>
      </c>
      <c r="E102" s="52">
        <v>46028.625</v>
      </c>
      <c r="F102" s="52">
        <v>46028.667361111111</v>
      </c>
      <c r="G102" s="53">
        <f t="shared" si="5"/>
        <v>4.2361111110949423E-2</v>
      </c>
      <c r="H102" s="1" t="s">
        <v>343</v>
      </c>
      <c r="J102" s="1" t="s">
        <v>300</v>
      </c>
      <c r="K102" s="1" t="str">
        <f>_xlfn.XLOOKUP(J102,REF!$D$2:$D$12,REF!$E$2:$E$12)</f>
        <v>Inversor</v>
      </c>
      <c r="L102" s="1" t="s">
        <v>347</v>
      </c>
      <c r="M102" s="1" t="s">
        <v>302</v>
      </c>
      <c r="N102" s="1" t="s">
        <v>345</v>
      </c>
      <c r="O102" s="72" t="s">
        <v>348</v>
      </c>
      <c r="P102" s="1" t="str">
        <f t="shared" si="6"/>
        <v>BC Aracu2araçu 2.1 inversor 146028,62546028,62546028,6673611111</v>
      </c>
      <c r="Q102" s="1" t="str">
        <f t="shared" si="7"/>
        <v>DPRINV</v>
      </c>
    </row>
    <row r="103" spans="2:17" ht="30.75">
      <c r="B103" s="1" t="s">
        <v>298</v>
      </c>
      <c r="C103" s="1" t="s">
        <v>308</v>
      </c>
      <c r="D103" s="52">
        <v>46028.625</v>
      </c>
      <c r="E103" s="52">
        <v>46028.625</v>
      </c>
      <c r="F103" s="52">
        <v>46028.667361111111</v>
      </c>
      <c r="G103" s="53">
        <f t="shared" ref="G103:G119" si="8">F103-E103</f>
        <v>4.2361111110949423E-2</v>
      </c>
      <c r="H103" s="1" t="s">
        <v>343</v>
      </c>
      <c r="J103" s="1" t="s">
        <v>300</v>
      </c>
      <c r="K103" s="1" t="str">
        <f>_xlfn.XLOOKUP(J103,REF!$D$2:$D$12,REF!$E$2:$E$12)</f>
        <v>Inversor</v>
      </c>
      <c r="L103" s="1" t="s">
        <v>347</v>
      </c>
      <c r="M103" s="1" t="s">
        <v>302</v>
      </c>
      <c r="N103" s="1" t="s">
        <v>345</v>
      </c>
      <c r="O103" s="72" t="s">
        <v>348</v>
      </c>
      <c r="P103" s="1" t="str">
        <f t="shared" si="6"/>
        <v>BC Aracu2araçu 2.1 inversor 246028,62546028,62546028,6673611111</v>
      </c>
      <c r="Q103" s="1" t="str">
        <f t="shared" si="7"/>
        <v>DPRINV</v>
      </c>
    </row>
    <row r="104" spans="2:17" ht="30.75">
      <c r="B104" s="1" t="s">
        <v>298</v>
      </c>
      <c r="C104" s="1" t="s">
        <v>309</v>
      </c>
      <c r="D104" s="52">
        <v>46028.625</v>
      </c>
      <c r="E104" s="52">
        <v>46028.625</v>
      </c>
      <c r="F104" s="52">
        <v>46028.667361111111</v>
      </c>
      <c r="G104" s="53">
        <f t="shared" si="8"/>
        <v>4.2361111110949423E-2</v>
      </c>
      <c r="H104" s="1" t="s">
        <v>343</v>
      </c>
      <c r="J104" s="1" t="s">
        <v>300</v>
      </c>
      <c r="K104" s="1" t="str">
        <f>_xlfn.XLOOKUP(J104,REF!$D$2:$D$12,REF!$E$2:$E$12)</f>
        <v>Inversor</v>
      </c>
      <c r="L104" s="1" t="s">
        <v>347</v>
      </c>
      <c r="M104" s="1" t="s">
        <v>302</v>
      </c>
      <c r="N104" s="1" t="s">
        <v>345</v>
      </c>
      <c r="O104" s="72" t="s">
        <v>348</v>
      </c>
      <c r="P104" s="1" t="str">
        <f t="shared" si="6"/>
        <v>BC Aracu2araçu 2.1 inversor 346028,62546028,62546028,6673611111</v>
      </c>
      <c r="Q104" s="1" t="str">
        <f t="shared" si="7"/>
        <v>DPRINV</v>
      </c>
    </row>
    <row r="105" spans="2:17" ht="30.75">
      <c r="B105" s="1" t="s">
        <v>298</v>
      </c>
      <c r="C105" s="1" t="s">
        <v>310</v>
      </c>
      <c r="D105" s="52">
        <v>46028.625</v>
      </c>
      <c r="E105" s="52">
        <v>46028.625</v>
      </c>
      <c r="F105" s="52">
        <v>46028.667361111111</v>
      </c>
      <c r="G105" s="53">
        <f t="shared" si="8"/>
        <v>4.2361111110949423E-2</v>
      </c>
      <c r="H105" s="1" t="s">
        <v>343</v>
      </c>
      <c r="J105" s="1" t="s">
        <v>300</v>
      </c>
      <c r="K105" s="1" t="str">
        <f>_xlfn.XLOOKUP(J105,REF!$D$2:$D$12,REF!$E$2:$E$12)</f>
        <v>Inversor</v>
      </c>
      <c r="L105" s="1" t="s">
        <v>347</v>
      </c>
      <c r="M105" s="1" t="s">
        <v>302</v>
      </c>
      <c r="N105" s="1" t="s">
        <v>345</v>
      </c>
      <c r="O105" s="72" t="s">
        <v>348</v>
      </c>
      <c r="P105" s="1" t="str">
        <f t="shared" si="6"/>
        <v>BC Aracu2araçu 2.2 inversor 146028,62546028,62546028,6673611111</v>
      </c>
      <c r="Q105" s="1" t="str">
        <f t="shared" si="7"/>
        <v>DPRINV</v>
      </c>
    </row>
    <row r="106" spans="2:17" ht="30.75">
      <c r="B106" s="1" t="s">
        <v>298</v>
      </c>
      <c r="C106" s="1" t="s">
        <v>311</v>
      </c>
      <c r="D106" s="52">
        <v>46028.625</v>
      </c>
      <c r="E106" s="52">
        <v>46028.625</v>
      </c>
      <c r="F106" s="52">
        <v>46028.667361111111</v>
      </c>
      <c r="G106" s="53">
        <f t="shared" si="8"/>
        <v>4.2361111110949423E-2</v>
      </c>
      <c r="H106" s="1" t="s">
        <v>343</v>
      </c>
      <c r="J106" s="1" t="s">
        <v>300</v>
      </c>
      <c r="K106" s="1" t="str">
        <f>_xlfn.XLOOKUP(J106,REF!$D$2:$D$12,REF!$E$2:$E$12)</f>
        <v>Inversor</v>
      </c>
      <c r="L106" s="1" t="s">
        <v>347</v>
      </c>
      <c r="M106" s="1" t="s">
        <v>302</v>
      </c>
      <c r="N106" s="1" t="s">
        <v>345</v>
      </c>
      <c r="O106" s="72" t="s">
        <v>348</v>
      </c>
      <c r="P106" s="1" t="str">
        <f t="shared" si="6"/>
        <v>BC Aracu2araçu 2.2 inversor 246028,62546028,62546028,6673611111</v>
      </c>
      <c r="Q106" s="1" t="str">
        <f t="shared" si="7"/>
        <v>DPRINV</v>
      </c>
    </row>
    <row r="107" spans="2:17" ht="30.75">
      <c r="B107" s="1" t="s">
        <v>298</v>
      </c>
      <c r="C107" s="1" t="s">
        <v>312</v>
      </c>
      <c r="D107" s="52">
        <v>46028.625</v>
      </c>
      <c r="E107" s="52">
        <v>46028.625</v>
      </c>
      <c r="F107" s="52">
        <v>46028.667361111111</v>
      </c>
      <c r="G107" s="53">
        <f t="shared" si="8"/>
        <v>4.2361111110949423E-2</v>
      </c>
      <c r="H107" s="1" t="s">
        <v>343</v>
      </c>
      <c r="J107" s="1" t="s">
        <v>300</v>
      </c>
      <c r="K107" s="1" t="str">
        <f>_xlfn.XLOOKUP(J107,REF!$D$2:$D$12,REF!$E$2:$E$12)</f>
        <v>Inversor</v>
      </c>
      <c r="L107" s="1" t="s">
        <v>347</v>
      </c>
      <c r="M107" s="1" t="s">
        <v>302</v>
      </c>
      <c r="N107" s="1" t="s">
        <v>345</v>
      </c>
      <c r="O107" s="72" t="s">
        <v>348</v>
      </c>
      <c r="P107" s="1" t="str">
        <f t="shared" ref="P107:P130" si="9">_xlfn.CONCAT(B107,C107,D107,E107,F107)</f>
        <v>BC Aracu2araçu 2.2 inversor 346028,62546028,62546028,6673611111</v>
      </c>
      <c r="Q107" s="1" t="str">
        <f t="shared" si="7"/>
        <v>DPRINV</v>
      </c>
    </row>
    <row r="108" spans="2:17" ht="30.75">
      <c r="B108" s="1" t="s">
        <v>298</v>
      </c>
      <c r="C108" s="1" t="s">
        <v>313</v>
      </c>
      <c r="D108" s="52">
        <v>46028.625</v>
      </c>
      <c r="E108" s="52">
        <v>46028.625</v>
      </c>
      <c r="F108" s="52">
        <v>46028.667361111111</v>
      </c>
      <c r="G108" s="53">
        <f t="shared" si="8"/>
        <v>4.2361111110949423E-2</v>
      </c>
      <c r="H108" s="1" t="s">
        <v>343</v>
      </c>
      <c r="J108" s="1" t="s">
        <v>300</v>
      </c>
      <c r="K108" s="1" t="str">
        <f>_xlfn.XLOOKUP(J108,REF!$D$2:$D$12,REF!$E$2:$E$12)</f>
        <v>Inversor</v>
      </c>
      <c r="L108" s="1" t="s">
        <v>347</v>
      </c>
      <c r="M108" s="1" t="s">
        <v>302</v>
      </c>
      <c r="N108" s="1" t="s">
        <v>345</v>
      </c>
      <c r="O108" s="72" t="s">
        <v>348</v>
      </c>
      <c r="P108" s="1" t="str">
        <f t="shared" si="9"/>
        <v>BC Aracu2Inverter8346028,62546028,62546028,6673611111</v>
      </c>
      <c r="Q108" s="1" t="str">
        <f t="shared" si="7"/>
        <v>DPRINV</v>
      </c>
    </row>
    <row r="109" spans="2:17" ht="30.75">
      <c r="B109" s="1" t="s">
        <v>298</v>
      </c>
      <c r="C109" s="1" t="s">
        <v>314</v>
      </c>
      <c r="D109" s="52">
        <v>46028.625</v>
      </c>
      <c r="E109" s="52">
        <v>46028.625</v>
      </c>
      <c r="F109" s="52">
        <v>46028.667361111111</v>
      </c>
      <c r="G109" s="53">
        <f t="shared" si="8"/>
        <v>4.2361111110949423E-2</v>
      </c>
      <c r="H109" s="1" t="s">
        <v>343</v>
      </c>
      <c r="J109" s="1" t="s">
        <v>300</v>
      </c>
      <c r="K109" s="1" t="str">
        <f>_xlfn.XLOOKUP(J109,REF!$D$2:$D$12,REF!$E$2:$E$12)</f>
        <v>Inversor</v>
      </c>
      <c r="L109" s="1" t="s">
        <v>347</v>
      </c>
      <c r="M109" s="1" t="s">
        <v>302</v>
      </c>
      <c r="N109" s="1" t="s">
        <v>345</v>
      </c>
      <c r="O109" s="72" t="s">
        <v>348</v>
      </c>
      <c r="P109" s="1" t="str">
        <f t="shared" si="9"/>
        <v>BC Aracu2araçu 2.3 inversor 546028,62546028,62546028,6673611111</v>
      </c>
      <c r="Q109" s="1" t="str">
        <f t="shared" si="7"/>
        <v>DPRINV</v>
      </c>
    </row>
    <row r="110" spans="2:17" ht="30.75">
      <c r="B110" s="1" t="s">
        <v>298</v>
      </c>
      <c r="C110" s="1" t="s">
        <v>315</v>
      </c>
      <c r="D110" s="52">
        <v>46028.625</v>
      </c>
      <c r="E110" s="52">
        <v>46028.625</v>
      </c>
      <c r="F110" s="52">
        <v>46028.667361111111</v>
      </c>
      <c r="G110" s="53">
        <f t="shared" si="8"/>
        <v>4.2361111110949423E-2</v>
      </c>
      <c r="H110" s="1" t="s">
        <v>343</v>
      </c>
      <c r="J110" s="1" t="s">
        <v>300</v>
      </c>
      <c r="K110" s="1" t="str">
        <f>_xlfn.XLOOKUP(J110,REF!$D$2:$D$12,REF!$E$2:$E$12)</f>
        <v>Inversor</v>
      </c>
      <c r="L110" s="1" t="s">
        <v>347</v>
      </c>
      <c r="M110" s="1" t="s">
        <v>302</v>
      </c>
      <c r="N110" s="1" t="s">
        <v>345</v>
      </c>
      <c r="O110" s="72" t="s">
        <v>348</v>
      </c>
      <c r="P110" s="1" t="str">
        <f t="shared" si="9"/>
        <v>BC Aracu2araçu 2.3 inversor 146028,62546028,62546028,6673611111</v>
      </c>
      <c r="Q110" s="1" t="str">
        <f t="shared" si="7"/>
        <v>DPRINV</v>
      </c>
    </row>
    <row r="111" spans="2:17" ht="30.75">
      <c r="B111" s="1" t="s">
        <v>298</v>
      </c>
      <c r="C111" s="1" t="s">
        <v>316</v>
      </c>
      <c r="D111" s="52">
        <v>46028.625</v>
      </c>
      <c r="E111" s="52">
        <v>46028.625</v>
      </c>
      <c r="F111" s="52">
        <v>46028.667361111111</v>
      </c>
      <c r="G111" s="53">
        <f t="shared" si="8"/>
        <v>4.2361111110949423E-2</v>
      </c>
      <c r="H111" s="1" t="s">
        <v>343</v>
      </c>
      <c r="J111" s="1" t="s">
        <v>300</v>
      </c>
      <c r="K111" s="1" t="str">
        <f>_xlfn.XLOOKUP(J111,REF!$D$2:$D$12,REF!$E$2:$E$12)</f>
        <v>Inversor</v>
      </c>
      <c r="L111" s="1" t="s">
        <v>347</v>
      </c>
      <c r="M111" s="1" t="s">
        <v>302</v>
      </c>
      <c r="N111" s="1" t="s">
        <v>345</v>
      </c>
      <c r="O111" s="72" t="s">
        <v>348</v>
      </c>
      <c r="P111" s="1" t="str">
        <f t="shared" si="9"/>
        <v>BC Aracu2araçu 2.3 inversor 246028,62546028,62546028,6673611111</v>
      </c>
      <c r="Q111" s="1" t="str">
        <f t="shared" si="7"/>
        <v>DPRINV</v>
      </c>
    </row>
    <row r="112" spans="2:17" ht="30.75">
      <c r="B112" s="1" t="s">
        <v>298</v>
      </c>
      <c r="C112" s="1" t="s">
        <v>317</v>
      </c>
      <c r="D112" s="52">
        <v>46028.625</v>
      </c>
      <c r="E112" s="52">
        <v>46028.625</v>
      </c>
      <c r="F112" s="52">
        <v>46028.667361111111</v>
      </c>
      <c r="G112" s="53">
        <f t="shared" si="8"/>
        <v>4.2361111110949423E-2</v>
      </c>
      <c r="H112" s="1" t="s">
        <v>343</v>
      </c>
      <c r="J112" s="1" t="s">
        <v>300</v>
      </c>
      <c r="K112" s="1" t="str">
        <f>_xlfn.XLOOKUP(J112,REF!$D$2:$D$12,REF!$E$2:$E$12)</f>
        <v>Inversor</v>
      </c>
      <c r="L112" s="1" t="s">
        <v>347</v>
      </c>
      <c r="M112" s="1" t="s">
        <v>302</v>
      </c>
      <c r="N112" s="1" t="s">
        <v>345</v>
      </c>
      <c r="O112" s="72" t="s">
        <v>348</v>
      </c>
      <c r="P112" s="1" t="str">
        <f t="shared" si="9"/>
        <v>BC Aracu2araçu 2.3 inversor 446028,62546028,62546028,6673611111</v>
      </c>
      <c r="Q112" s="1" t="str">
        <f t="shared" si="7"/>
        <v>DPRINV</v>
      </c>
    </row>
    <row r="113" spans="2:17" ht="30.75">
      <c r="B113" s="1" t="s">
        <v>298</v>
      </c>
      <c r="C113" s="1" t="s">
        <v>318</v>
      </c>
      <c r="D113" s="52">
        <v>46028.625</v>
      </c>
      <c r="E113" s="52">
        <v>46028.625</v>
      </c>
      <c r="F113" s="52">
        <v>46028.667361111111</v>
      </c>
      <c r="G113" s="53">
        <f t="shared" si="8"/>
        <v>4.2361111110949423E-2</v>
      </c>
      <c r="H113" s="1" t="s">
        <v>343</v>
      </c>
      <c r="J113" s="1" t="s">
        <v>300</v>
      </c>
      <c r="K113" s="1" t="str">
        <f>_xlfn.XLOOKUP(J113,REF!$D$2:$D$12,REF!$E$2:$E$12)</f>
        <v>Inversor</v>
      </c>
      <c r="L113" s="1" t="s">
        <v>347</v>
      </c>
      <c r="M113" s="1" t="s">
        <v>302</v>
      </c>
      <c r="N113" s="1" t="s">
        <v>345</v>
      </c>
      <c r="O113" s="72" t="s">
        <v>348</v>
      </c>
      <c r="P113" s="1" t="str">
        <f t="shared" si="9"/>
        <v>BC Aracu2araçu 2.3 inversor 346028,62546028,62546028,6673611111</v>
      </c>
      <c r="Q113" s="1" t="str">
        <f t="shared" si="7"/>
        <v>DPRINV</v>
      </c>
    </row>
    <row r="114" spans="2:17" ht="30.75">
      <c r="B114" s="1" t="s">
        <v>298</v>
      </c>
      <c r="C114" s="1" t="s">
        <v>319</v>
      </c>
      <c r="D114" s="52">
        <v>46028.625</v>
      </c>
      <c r="E114" s="52">
        <v>46028.625</v>
      </c>
      <c r="F114" s="52">
        <v>46028.667361111111</v>
      </c>
      <c r="G114" s="53">
        <f t="shared" si="8"/>
        <v>4.2361111110949423E-2</v>
      </c>
      <c r="H114" s="1" t="s">
        <v>343</v>
      </c>
      <c r="J114" s="1" t="s">
        <v>300</v>
      </c>
      <c r="K114" s="1" t="str">
        <f>_xlfn.XLOOKUP(J114,REF!$D$2:$D$12,REF!$E$2:$E$12)</f>
        <v>Inversor</v>
      </c>
      <c r="L114" s="1" t="s">
        <v>347</v>
      </c>
      <c r="M114" s="1" t="s">
        <v>302</v>
      </c>
      <c r="N114" s="1" t="s">
        <v>345</v>
      </c>
      <c r="O114" s="72" t="s">
        <v>348</v>
      </c>
      <c r="P114" s="1" t="str">
        <f t="shared" si="9"/>
        <v>BC Aracu2araçu 2.4 inversor 346028,62546028,62546028,6673611111</v>
      </c>
      <c r="Q114" s="1" t="str">
        <f t="shared" si="7"/>
        <v>DPRINV</v>
      </c>
    </row>
    <row r="115" spans="2:17" ht="30.75">
      <c r="B115" s="1" t="s">
        <v>298</v>
      </c>
      <c r="C115" s="1" t="s">
        <v>320</v>
      </c>
      <c r="D115" s="52">
        <v>46028.625</v>
      </c>
      <c r="E115" s="52">
        <v>46028.625</v>
      </c>
      <c r="F115" s="52">
        <v>46028.667361111111</v>
      </c>
      <c r="G115" s="53">
        <f t="shared" si="8"/>
        <v>4.2361111110949423E-2</v>
      </c>
      <c r="H115" s="1" t="s">
        <v>343</v>
      </c>
      <c r="J115" s="1" t="s">
        <v>300</v>
      </c>
      <c r="K115" s="1" t="str">
        <f>_xlfn.XLOOKUP(J115,REF!$D$2:$D$12,REF!$E$2:$E$12)</f>
        <v>Inversor</v>
      </c>
      <c r="L115" s="1" t="s">
        <v>347</v>
      </c>
      <c r="M115" s="1" t="s">
        <v>302</v>
      </c>
      <c r="N115" s="1" t="s">
        <v>345</v>
      </c>
      <c r="O115" s="72" t="s">
        <v>348</v>
      </c>
      <c r="P115" s="1" t="str">
        <f t="shared" si="9"/>
        <v>BC Aracu2araçu 2.4 inversor 146028,62546028,62546028,6673611111</v>
      </c>
      <c r="Q115" s="1" t="str">
        <f t="shared" si="7"/>
        <v>DPRINV</v>
      </c>
    </row>
    <row r="116" spans="2:17" ht="30.75">
      <c r="B116" s="1" t="s">
        <v>298</v>
      </c>
      <c r="C116" s="1" t="s">
        <v>321</v>
      </c>
      <c r="D116" s="52">
        <v>46028.625</v>
      </c>
      <c r="E116" s="52">
        <v>46028.625</v>
      </c>
      <c r="F116" s="52">
        <v>46028.667361111111</v>
      </c>
      <c r="G116" s="53">
        <f t="shared" si="8"/>
        <v>4.2361111110949423E-2</v>
      </c>
      <c r="H116" s="1" t="s">
        <v>343</v>
      </c>
      <c r="J116" s="1" t="s">
        <v>300</v>
      </c>
      <c r="K116" s="1" t="str">
        <f>_xlfn.XLOOKUP(J116,REF!$D$2:$D$12,REF!$E$2:$E$12)</f>
        <v>Inversor</v>
      </c>
      <c r="L116" s="1" t="s">
        <v>347</v>
      </c>
      <c r="M116" s="1" t="s">
        <v>302</v>
      </c>
      <c r="N116" s="1" t="s">
        <v>345</v>
      </c>
      <c r="O116" s="72" t="s">
        <v>348</v>
      </c>
      <c r="P116" s="1" t="str">
        <f t="shared" si="9"/>
        <v>BC Aracu2araçu 2.4 inversor 646028,62546028,62546028,6673611111</v>
      </c>
      <c r="Q116" s="1" t="str">
        <f t="shared" si="7"/>
        <v>DPRINV</v>
      </c>
    </row>
    <row r="117" spans="2:17" ht="30.75">
      <c r="B117" s="1" t="s">
        <v>298</v>
      </c>
      <c r="C117" s="1" t="s">
        <v>322</v>
      </c>
      <c r="D117" s="52">
        <v>46028.625</v>
      </c>
      <c r="E117" s="52">
        <v>46028.625</v>
      </c>
      <c r="F117" s="52">
        <v>46028.667361111111</v>
      </c>
      <c r="G117" s="53">
        <f t="shared" si="8"/>
        <v>4.2361111110949423E-2</v>
      </c>
      <c r="H117" s="1" t="s">
        <v>343</v>
      </c>
      <c r="J117" s="1" t="s">
        <v>300</v>
      </c>
      <c r="K117" s="1" t="str">
        <f>_xlfn.XLOOKUP(J117,REF!$D$2:$D$12,REF!$E$2:$E$12)</f>
        <v>Inversor</v>
      </c>
      <c r="L117" s="1" t="s">
        <v>347</v>
      </c>
      <c r="M117" s="1" t="s">
        <v>302</v>
      </c>
      <c r="N117" s="1" t="s">
        <v>345</v>
      </c>
      <c r="O117" s="72" t="s">
        <v>348</v>
      </c>
      <c r="P117" s="1" t="str">
        <f t="shared" si="9"/>
        <v>BC Aracu2araçu 2.4 inversor 446028,62546028,62546028,6673611111</v>
      </c>
      <c r="Q117" s="1" t="str">
        <f t="shared" si="7"/>
        <v>DPRINV</v>
      </c>
    </row>
    <row r="118" spans="2:17" ht="30.75">
      <c r="B118" s="1" t="s">
        <v>298</v>
      </c>
      <c r="C118" s="1" t="s">
        <v>323</v>
      </c>
      <c r="D118" s="52">
        <v>46028.625</v>
      </c>
      <c r="E118" s="52">
        <v>46028.625</v>
      </c>
      <c r="F118" s="52">
        <v>46028.667361111111</v>
      </c>
      <c r="G118" s="53">
        <f t="shared" si="8"/>
        <v>4.2361111110949423E-2</v>
      </c>
      <c r="H118" s="1" t="s">
        <v>343</v>
      </c>
      <c r="J118" s="1" t="s">
        <v>300</v>
      </c>
      <c r="K118" s="1" t="str">
        <f>_xlfn.XLOOKUP(J118,REF!$D$2:$D$12,REF!$E$2:$E$12)</f>
        <v>Inversor</v>
      </c>
      <c r="L118" s="1" t="s">
        <v>347</v>
      </c>
      <c r="M118" s="1" t="s">
        <v>302</v>
      </c>
      <c r="N118" s="1" t="s">
        <v>345</v>
      </c>
      <c r="O118" s="72" t="s">
        <v>348</v>
      </c>
      <c r="P118" s="1" t="str">
        <f t="shared" si="9"/>
        <v>BC Aracu2araçu 2.4 inversor 246028,62546028,62546028,6673611111</v>
      </c>
      <c r="Q118" s="1" t="str">
        <f t="shared" si="7"/>
        <v>DPRINV</v>
      </c>
    </row>
    <row r="119" spans="2:17" ht="30.75">
      <c r="B119" s="1" t="s">
        <v>298</v>
      </c>
      <c r="C119" s="1" t="s">
        <v>324</v>
      </c>
      <c r="D119" s="52">
        <v>46028.625</v>
      </c>
      <c r="E119" s="52">
        <v>46028.625</v>
      </c>
      <c r="F119" s="52">
        <v>46028.667361111111</v>
      </c>
      <c r="G119" s="53">
        <f t="shared" si="8"/>
        <v>4.2361111110949423E-2</v>
      </c>
      <c r="H119" s="1" t="s">
        <v>343</v>
      </c>
      <c r="J119" s="1" t="s">
        <v>300</v>
      </c>
      <c r="K119" s="1" t="str">
        <f>_xlfn.XLOOKUP(J119,REF!$D$2:$D$12,REF!$E$2:$E$12)</f>
        <v>Inversor</v>
      </c>
      <c r="L119" s="1" t="s">
        <v>347</v>
      </c>
      <c r="M119" s="1" t="s">
        <v>302</v>
      </c>
      <c r="N119" s="1" t="s">
        <v>345</v>
      </c>
      <c r="O119" s="72" t="s">
        <v>348</v>
      </c>
      <c r="P119" s="1" t="str">
        <f t="shared" si="9"/>
        <v>BC Aracu2araçu 2.4 inversor 546028,62546028,62546028,6673611111</v>
      </c>
      <c r="Q119" s="1" t="str">
        <f t="shared" si="7"/>
        <v>DPRINV</v>
      </c>
    </row>
    <row r="120" spans="2:17">
      <c r="B120" s="1" t="s">
        <v>327</v>
      </c>
      <c r="C120" s="1" t="s">
        <v>328</v>
      </c>
      <c r="D120" s="52">
        <v>46031.741666666669</v>
      </c>
      <c r="E120" s="52">
        <v>46031.741666666669</v>
      </c>
      <c r="F120" s="52">
        <v>46031.75277777778</v>
      </c>
      <c r="G120" s="53">
        <f t="shared" si="5"/>
        <v>1.1111111110949423E-2</v>
      </c>
      <c r="H120" s="1" t="s">
        <v>248</v>
      </c>
      <c r="J120" s="1" t="s">
        <v>249</v>
      </c>
      <c r="K120" s="1" t="str">
        <f>_xlfn.XLOOKUP(J120,REF!$D$2:$D$12,REF!$E$2:$E$12)</f>
        <v>Rede</v>
      </c>
      <c r="L120" s="1" t="s">
        <v>329</v>
      </c>
      <c r="M120" s="1" t="s">
        <v>251</v>
      </c>
      <c r="N120" s="1" t="s">
        <v>330</v>
      </c>
      <c r="O120" s="1" t="s">
        <v>331</v>
      </c>
      <c r="P120" s="1" t="str">
        <f t="shared" si="9"/>
        <v>BC Aracu5.1Inverter(MBUS-1)46031,741666666746031,741666666746031,7527777778</v>
      </c>
      <c r="Q120" s="1" t="str">
        <f t="shared" si="7"/>
        <v>DAURDE</v>
      </c>
    </row>
    <row r="121" spans="2:17">
      <c r="B121" s="1" t="s">
        <v>332</v>
      </c>
      <c r="C121" s="1" t="s">
        <v>328</v>
      </c>
      <c r="D121" s="52">
        <v>46031.741666666669</v>
      </c>
      <c r="E121" s="52">
        <v>46031.741666666669</v>
      </c>
      <c r="F121" s="52">
        <v>46031.75277777778</v>
      </c>
      <c r="G121" s="53">
        <f t="shared" si="5"/>
        <v>1.1111111110949423E-2</v>
      </c>
      <c r="H121" s="1" t="s">
        <v>248</v>
      </c>
      <c r="J121" s="1" t="s">
        <v>249</v>
      </c>
      <c r="K121" s="1" t="str">
        <f>_xlfn.XLOOKUP(J121,REF!$D$2:$D$12,REF!$E$2:$E$12)</f>
        <v>Rede</v>
      </c>
      <c r="L121" s="1" t="s">
        <v>329</v>
      </c>
      <c r="M121" s="1" t="s">
        <v>251</v>
      </c>
      <c r="N121" s="1" t="s">
        <v>330</v>
      </c>
      <c r="O121" s="1" t="s">
        <v>331</v>
      </c>
      <c r="P121" s="1" t="str">
        <f t="shared" si="9"/>
        <v>BC Aracu5.2Inverter(MBUS-1)46031,741666666746031,741666666746031,7527777778</v>
      </c>
      <c r="Q121" s="1" t="str">
        <f t="shared" si="7"/>
        <v>DAURDE</v>
      </c>
    </row>
    <row r="122" spans="2:17">
      <c r="B122" s="1" t="s">
        <v>333</v>
      </c>
      <c r="C122" s="1" t="s">
        <v>328</v>
      </c>
      <c r="D122" s="52">
        <v>46031.741666666669</v>
      </c>
      <c r="E122" s="52">
        <v>46031.741666666669</v>
      </c>
      <c r="F122" s="52">
        <v>46031.75277777778</v>
      </c>
      <c r="G122" s="53">
        <f t="shared" si="5"/>
        <v>1.1111111110949423E-2</v>
      </c>
      <c r="H122" s="1" t="s">
        <v>248</v>
      </c>
      <c r="J122" s="1" t="s">
        <v>249</v>
      </c>
      <c r="K122" s="1" t="str">
        <f>_xlfn.XLOOKUP(J122,REF!$D$2:$D$12,REF!$E$2:$E$12)</f>
        <v>Rede</v>
      </c>
      <c r="L122" s="1" t="s">
        <v>329</v>
      </c>
      <c r="M122" s="1" t="s">
        <v>251</v>
      </c>
      <c r="N122" s="1" t="s">
        <v>330</v>
      </c>
      <c r="O122" s="1" t="s">
        <v>331</v>
      </c>
      <c r="P122" s="1" t="str">
        <f t="shared" si="9"/>
        <v>BC Aracu5.3Inverter(MBUS-1)46031,741666666746031,741666666746031,7527777778</v>
      </c>
      <c r="Q122" s="1" t="str">
        <f t="shared" si="7"/>
        <v>DAURDE</v>
      </c>
    </row>
    <row r="123" spans="2:17">
      <c r="B123" s="1" t="s">
        <v>334</v>
      </c>
      <c r="C123" s="1" t="s">
        <v>328</v>
      </c>
      <c r="D123" s="52">
        <v>46031.741666666669</v>
      </c>
      <c r="E123" s="52">
        <v>46031.741666666669</v>
      </c>
      <c r="F123" s="52">
        <v>46031.75277777778</v>
      </c>
      <c r="G123" s="53">
        <f t="shared" si="5"/>
        <v>1.1111111110949423E-2</v>
      </c>
      <c r="H123" s="1" t="s">
        <v>248</v>
      </c>
      <c r="J123" s="1" t="s">
        <v>249</v>
      </c>
      <c r="K123" s="1" t="str">
        <f>_xlfn.XLOOKUP(J123,REF!$D$2:$D$12,REF!$E$2:$E$12)</f>
        <v>Rede</v>
      </c>
      <c r="L123" s="1" t="s">
        <v>329</v>
      </c>
      <c r="M123" s="1" t="s">
        <v>251</v>
      </c>
      <c r="N123" s="1" t="s">
        <v>330</v>
      </c>
      <c r="O123" s="1" t="s">
        <v>331</v>
      </c>
      <c r="P123" s="1" t="str">
        <f t="shared" si="9"/>
        <v>BC Aracu5.4Inverter(MBUS-1)46031,741666666746031,741666666746031,7527777778</v>
      </c>
      <c r="Q123" s="1" t="str">
        <f t="shared" si="7"/>
        <v>DAURDE</v>
      </c>
    </row>
    <row r="124" spans="2:17">
      <c r="B124" s="1" t="s">
        <v>335</v>
      </c>
      <c r="C124" s="1" t="s">
        <v>328</v>
      </c>
      <c r="D124" s="52">
        <v>46031.741666666669</v>
      </c>
      <c r="E124" s="52">
        <v>46031.741666666669</v>
      </c>
      <c r="F124" s="52">
        <v>46031.75277777778</v>
      </c>
      <c r="G124" s="53">
        <f t="shared" si="5"/>
        <v>1.1111111110949423E-2</v>
      </c>
      <c r="H124" s="1" t="s">
        <v>248</v>
      </c>
      <c r="J124" s="1" t="s">
        <v>249</v>
      </c>
      <c r="K124" s="1" t="str">
        <f>_xlfn.XLOOKUP(J124,REF!$D$2:$D$12,REF!$E$2:$E$12)</f>
        <v>Rede</v>
      </c>
      <c r="L124" s="1" t="s">
        <v>329</v>
      </c>
      <c r="M124" s="1" t="s">
        <v>251</v>
      </c>
      <c r="N124" s="1" t="s">
        <v>330</v>
      </c>
      <c r="O124" s="1" t="s">
        <v>331</v>
      </c>
      <c r="P124" s="1" t="str">
        <f t="shared" si="9"/>
        <v>BC Aracu5.5Inverter(MBUS-1)46031,741666666746031,741666666746031,7527777778</v>
      </c>
      <c r="Q124" s="1" t="str">
        <f t="shared" si="7"/>
        <v>DAURDE</v>
      </c>
    </row>
    <row r="125" spans="2:17">
      <c r="B125" s="1" t="s">
        <v>327</v>
      </c>
      <c r="C125" s="1" t="s">
        <v>328</v>
      </c>
      <c r="D125" s="52">
        <v>46032.408333333333</v>
      </c>
      <c r="E125" s="52">
        <v>46032.408333333333</v>
      </c>
      <c r="F125" s="52">
        <v>46032.518750000003</v>
      </c>
      <c r="G125" s="53">
        <f t="shared" si="5"/>
        <v>0.11041666667006211</v>
      </c>
      <c r="H125" s="1" t="s">
        <v>248</v>
      </c>
      <c r="J125" s="1" t="s">
        <v>249</v>
      </c>
      <c r="K125" s="1" t="str">
        <f>_xlfn.XLOOKUP(J125,REF!$D$2:$D$12,REF!$E$2:$E$12)</f>
        <v>Rede</v>
      </c>
      <c r="L125" s="1" t="s">
        <v>329</v>
      </c>
      <c r="M125" s="1" t="s">
        <v>251</v>
      </c>
      <c r="N125" s="1" t="s">
        <v>330</v>
      </c>
      <c r="O125" s="1" t="s">
        <v>331</v>
      </c>
      <c r="P125" s="1" t="str">
        <f t="shared" si="9"/>
        <v>BC Aracu5.1Inverter(MBUS-1)46032,408333333346032,408333333346032,51875</v>
      </c>
      <c r="Q125" s="1" t="str">
        <f t="shared" si="7"/>
        <v>DAURDE</v>
      </c>
    </row>
    <row r="126" spans="2:17">
      <c r="B126" s="1" t="s">
        <v>332</v>
      </c>
      <c r="C126" s="1" t="s">
        <v>328</v>
      </c>
      <c r="D126" s="52">
        <v>46032.408333333333</v>
      </c>
      <c r="E126" s="52">
        <v>46032.408333333333</v>
      </c>
      <c r="F126" s="52">
        <v>46032.518750000003</v>
      </c>
      <c r="G126" s="53">
        <f>F126-E126</f>
        <v>0.11041666667006211</v>
      </c>
      <c r="H126" s="1" t="s">
        <v>248</v>
      </c>
      <c r="J126" s="1" t="s">
        <v>249</v>
      </c>
      <c r="K126" s="1" t="str">
        <f>_xlfn.XLOOKUP(J126,REF!$D$2:$D$12,REF!$E$2:$E$12)</f>
        <v>Rede</v>
      </c>
      <c r="L126" s="1" t="s">
        <v>329</v>
      </c>
      <c r="M126" s="1" t="s">
        <v>251</v>
      </c>
      <c r="N126" s="1" t="s">
        <v>330</v>
      </c>
      <c r="O126" s="1" t="s">
        <v>331</v>
      </c>
      <c r="P126" s="1" t="str">
        <f>_xlfn.CONCAT(B126,C126,D126,E126,F126)</f>
        <v>BC Aracu5.2Inverter(MBUS-1)46032,408333333346032,408333333346032,51875</v>
      </c>
      <c r="Q126" s="1" t="str">
        <f>_xlfn.CONCAT(H126,I126,J126)</f>
        <v>DAURDE</v>
      </c>
    </row>
    <row r="127" spans="2:17">
      <c r="B127" s="1" t="s">
        <v>333</v>
      </c>
      <c r="C127" s="1" t="s">
        <v>328</v>
      </c>
      <c r="D127" s="52">
        <v>46032.408333333333</v>
      </c>
      <c r="E127" s="52">
        <v>46032.408333333333</v>
      </c>
      <c r="F127" s="52">
        <v>46032.518750000003</v>
      </c>
      <c r="G127" s="53">
        <f t="shared" si="5"/>
        <v>0.11041666667006211</v>
      </c>
      <c r="H127" s="1" t="s">
        <v>248</v>
      </c>
      <c r="J127" s="1" t="s">
        <v>249</v>
      </c>
      <c r="K127" s="1" t="str">
        <f>_xlfn.XLOOKUP(J127,REF!$D$2:$D$12,REF!$E$2:$E$12)</f>
        <v>Rede</v>
      </c>
      <c r="L127" s="1" t="s">
        <v>329</v>
      </c>
      <c r="M127" s="1" t="s">
        <v>251</v>
      </c>
      <c r="N127" s="1" t="s">
        <v>330</v>
      </c>
      <c r="O127" s="1" t="s">
        <v>331</v>
      </c>
      <c r="P127" s="1" t="str">
        <f t="shared" si="9"/>
        <v>BC Aracu5.3Inverter(MBUS-1)46032,408333333346032,408333333346032,51875</v>
      </c>
      <c r="Q127" s="1" t="str">
        <f t="shared" si="7"/>
        <v>DAURDE</v>
      </c>
    </row>
    <row r="128" spans="2:17">
      <c r="B128" s="1" t="s">
        <v>334</v>
      </c>
      <c r="C128" s="1" t="s">
        <v>328</v>
      </c>
      <c r="D128" s="52">
        <v>46032.408333333333</v>
      </c>
      <c r="E128" s="52">
        <v>46032.408333333333</v>
      </c>
      <c r="F128" s="52">
        <v>46032.518750000003</v>
      </c>
      <c r="G128" s="53">
        <f t="shared" si="5"/>
        <v>0.11041666667006211</v>
      </c>
      <c r="H128" s="1" t="s">
        <v>248</v>
      </c>
      <c r="J128" s="1" t="s">
        <v>249</v>
      </c>
      <c r="K128" s="1" t="str">
        <f>_xlfn.XLOOKUP(J128,REF!$D$2:$D$12,REF!$E$2:$E$12)</f>
        <v>Rede</v>
      </c>
      <c r="L128" s="1" t="s">
        <v>329</v>
      </c>
      <c r="M128" s="1" t="s">
        <v>251</v>
      </c>
      <c r="N128" s="1" t="s">
        <v>330</v>
      </c>
      <c r="O128" s="1" t="s">
        <v>331</v>
      </c>
      <c r="P128" s="1" t="str">
        <f t="shared" si="9"/>
        <v>BC Aracu5.4Inverter(MBUS-1)46032,408333333346032,408333333346032,51875</v>
      </c>
      <c r="Q128" s="1" t="str">
        <f t="shared" si="7"/>
        <v>DAURDE</v>
      </c>
    </row>
    <row r="129" spans="2:17">
      <c r="B129" s="1" t="s">
        <v>335</v>
      </c>
      <c r="C129" s="1" t="s">
        <v>328</v>
      </c>
      <c r="D129" s="52">
        <v>46032.408333333333</v>
      </c>
      <c r="E129" s="52">
        <v>46032.408333333333</v>
      </c>
      <c r="F129" s="52">
        <v>46032.518750000003</v>
      </c>
      <c r="G129" s="53">
        <f t="shared" si="5"/>
        <v>0.11041666667006211</v>
      </c>
      <c r="H129" s="1" t="s">
        <v>248</v>
      </c>
      <c r="J129" s="1" t="s">
        <v>249</v>
      </c>
      <c r="K129" s="1" t="str">
        <f>_xlfn.XLOOKUP(J129,REF!$D$2:$D$12,REF!$E$2:$E$12)</f>
        <v>Rede</v>
      </c>
      <c r="L129" s="1" t="s">
        <v>329</v>
      </c>
      <c r="M129" s="1" t="s">
        <v>251</v>
      </c>
      <c r="N129" s="1" t="s">
        <v>330</v>
      </c>
      <c r="O129" s="1" t="s">
        <v>331</v>
      </c>
      <c r="P129" s="1" t="str">
        <f t="shared" si="9"/>
        <v>BC Aracu5.5Inverter(MBUS-1)46032,408333333346032,408333333346032,51875</v>
      </c>
      <c r="Q129" s="1" t="str">
        <f t="shared" si="7"/>
        <v>DAURDE</v>
      </c>
    </row>
    <row r="130" spans="2:17">
      <c r="B130" s="1" t="s">
        <v>327</v>
      </c>
      <c r="C130" s="1" t="s">
        <v>328</v>
      </c>
      <c r="D130" s="52">
        <v>46035.720138888886</v>
      </c>
      <c r="E130" s="52">
        <v>46035.720138888886</v>
      </c>
      <c r="F130" s="52">
        <v>46035.754861111112</v>
      </c>
      <c r="G130" s="53">
        <f t="shared" si="5"/>
        <v>3.4722222226264421E-2</v>
      </c>
      <c r="H130" s="1" t="s">
        <v>248</v>
      </c>
      <c r="J130" s="1" t="s">
        <v>249</v>
      </c>
      <c r="K130" s="1" t="s">
        <v>349</v>
      </c>
      <c r="L130" s="1" t="s">
        <v>329</v>
      </c>
      <c r="M130" s="1" t="s">
        <v>251</v>
      </c>
      <c r="N130" s="1" t="s">
        <v>330</v>
      </c>
      <c r="O130" s="1" t="s">
        <v>331</v>
      </c>
      <c r="P130" s="1" t="str">
        <f t="shared" si="9"/>
        <v>BC Aracu5.1Inverter(MBUS-1)46035,720138888946035,720138888946035,7548611111</v>
      </c>
      <c r="Q130" s="1" t="str">
        <f t="shared" si="7"/>
        <v>DAURDE</v>
      </c>
    </row>
    <row r="131" spans="2:17">
      <c r="B131" s="1" t="s">
        <v>332</v>
      </c>
      <c r="C131" s="1" t="s">
        <v>328</v>
      </c>
      <c r="D131" s="52">
        <v>46035.720138888886</v>
      </c>
      <c r="E131" s="52">
        <v>46035.720138888886</v>
      </c>
      <c r="F131" s="52">
        <v>46035.754861111112</v>
      </c>
      <c r="G131" s="53">
        <f t="shared" ref="G131:G189" si="10">F131-E131</f>
        <v>3.4722222226264421E-2</v>
      </c>
      <c r="H131" s="1" t="s">
        <v>248</v>
      </c>
      <c r="J131" s="1" t="s">
        <v>249</v>
      </c>
      <c r="K131" s="1" t="s">
        <v>349</v>
      </c>
      <c r="L131" s="1" t="s">
        <v>329</v>
      </c>
      <c r="M131" s="1" t="s">
        <v>251</v>
      </c>
      <c r="N131" s="1" t="s">
        <v>330</v>
      </c>
      <c r="O131" s="1" t="s">
        <v>331</v>
      </c>
      <c r="P131" s="1" t="str">
        <f t="shared" ref="P131:P189" si="11">_xlfn.CONCAT(B131,C131,D131,E131,F131)</f>
        <v>BC Aracu5.2Inverter(MBUS-1)46035,720138888946035,720138888946035,7548611111</v>
      </c>
      <c r="Q131" s="1" t="str">
        <f t="shared" ref="Q131:Q189" si="12">_xlfn.CONCAT(H131,I131,J131)</f>
        <v>DAURDE</v>
      </c>
    </row>
    <row r="132" spans="2:17">
      <c r="B132" s="1" t="s">
        <v>333</v>
      </c>
      <c r="C132" s="1" t="s">
        <v>328</v>
      </c>
      <c r="D132" s="52">
        <v>46035.720138888886</v>
      </c>
      <c r="E132" s="52">
        <v>46035.720138888886</v>
      </c>
      <c r="F132" s="52">
        <v>46035.754861111112</v>
      </c>
      <c r="G132" s="53">
        <f t="shared" si="10"/>
        <v>3.4722222226264421E-2</v>
      </c>
      <c r="H132" s="1" t="s">
        <v>248</v>
      </c>
      <c r="J132" s="1" t="s">
        <v>249</v>
      </c>
      <c r="K132" s="1" t="s">
        <v>349</v>
      </c>
      <c r="L132" s="1" t="s">
        <v>329</v>
      </c>
      <c r="M132" s="1" t="s">
        <v>251</v>
      </c>
      <c r="N132" s="1" t="s">
        <v>330</v>
      </c>
      <c r="O132" s="1" t="s">
        <v>331</v>
      </c>
      <c r="P132" s="1" t="str">
        <f t="shared" si="11"/>
        <v>BC Aracu5.3Inverter(MBUS-1)46035,720138888946035,720138888946035,7548611111</v>
      </c>
      <c r="Q132" s="1" t="str">
        <f t="shared" si="12"/>
        <v>DAURDE</v>
      </c>
    </row>
    <row r="133" spans="2:17">
      <c r="B133" s="1" t="s">
        <v>334</v>
      </c>
      <c r="C133" s="1" t="s">
        <v>328</v>
      </c>
      <c r="D133" s="52">
        <v>46035.720138888886</v>
      </c>
      <c r="E133" s="52">
        <v>46035.720138888886</v>
      </c>
      <c r="F133" s="52">
        <v>46035.754861111112</v>
      </c>
      <c r="G133" s="53">
        <f t="shared" si="10"/>
        <v>3.4722222226264421E-2</v>
      </c>
      <c r="H133" s="1" t="s">
        <v>248</v>
      </c>
      <c r="J133" s="1" t="s">
        <v>249</v>
      </c>
      <c r="K133" s="1" t="s">
        <v>349</v>
      </c>
      <c r="L133" s="1" t="s">
        <v>329</v>
      </c>
      <c r="M133" s="1" t="s">
        <v>251</v>
      </c>
      <c r="N133" s="1" t="s">
        <v>330</v>
      </c>
      <c r="O133" s="1" t="s">
        <v>331</v>
      </c>
      <c r="P133" s="1" t="str">
        <f t="shared" si="11"/>
        <v>BC Aracu5.4Inverter(MBUS-1)46035,720138888946035,720138888946035,7548611111</v>
      </c>
      <c r="Q133" s="1" t="str">
        <f t="shared" si="12"/>
        <v>DAURDE</v>
      </c>
    </row>
    <row r="134" spans="2:17">
      <c r="B134" s="1" t="s">
        <v>335</v>
      </c>
      <c r="C134" s="1" t="s">
        <v>328</v>
      </c>
      <c r="D134" s="52">
        <v>46035.720138888886</v>
      </c>
      <c r="E134" s="52">
        <v>46035.720138888886</v>
      </c>
      <c r="F134" s="52">
        <v>46035.754861111112</v>
      </c>
      <c r="G134" s="53">
        <f t="shared" si="10"/>
        <v>3.4722222226264421E-2</v>
      </c>
      <c r="H134" s="1" t="s">
        <v>248</v>
      </c>
      <c r="J134" s="1" t="s">
        <v>249</v>
      </c>
      <c r="K134" s="1" t="s">
        <v>349</v>
      </c>
      <c r="L134" s="1" t="s">
        <v>329</v>
      </c>
      <c r="M134" s="1" t="s">
        <v>251</v>
      </c>
      <c r="N134" s="1" t="s">
        <v>330</v>
      </c>
      <c r="O134" s="1" t="s">
        <v>331</v>
      </c>
      <c r="P134" s="1" t="str">
        <f t="shared" si="11"/>
        <v>BC Aracu5.5Inverter(MBUS-1)46035,720138888946035,720138888946035,7548611111</v>
      </c>
      <c r="Q134" s="1" t="str">
        <f t="shared" si="12"/>
        <v>DAURDE</v>
      </c>
    </row>
    <row r="135" spans="2:17">
      <c r="B135" s="1" t="s">
        <v>327</v>
      </c>
      <c r="C135" s="1" t="s">
        <v>328</v>
      </c>
      <c r="D135" s="52">
        <v>46023.26458333333</v>
      </c>
      <c r="E135" s="52">
        <v>46023.26458333333</v>
      </c>
      <c r="F135" s="52">
        <v>46023.368055555555</v>
      </c>
      <c r="G135" s="53">
        <f t="shared" si="10"/>
        <v>0.10347222222480923</v>
      </c>
      <c r="H135" s="1" t="s">
        <v>248</v>
      </c>
      <c r="J135" s="1" t="s">
        <v>249</v>
      </c>
      <c r="K135" s="1" t="s">
        <v>349</v>
      </c>
      <c r="L135" s="1" t="s">
        <v>329</v>
      </c>
      <c r="M135" s="1" t="s">
        <v>251</v>
      </c>
      <c r="N135" s="1" t="s">
        <v>330</v>
      </c>
      <c r="O135" s="1" t="s">
        <v>331</v>
      </c>
      <c r="P135" s="1" t="str">
        <f t="shared" si="11"/>
        <v>BC Aracu5.1Inverter(MBUS-1)46023,264583333346023,264583333346023,3680555556</v>
      </c>
      <c r="Q135" s="1" t="str">
        <f t="shared" si="12"/>
        <v>DAURDE</v>
      </c>
    </row>
    <row r="136" spans="2:17">
      <c r="B136" s="1" t="s">
        <v>332</v>
      </c>
      <c r="C136" s="1" t="s">
        <v>328</v>
      </c>
      <c r="D136" s="52">
        <v>46023.26458333333</v>
      </c>
      <c r="E136" s="52">
        <v>46023.26458333333</v>
      </c>
      <c r="F136" s="52">
        <v>46023.368055555555</v>
      </c>
      <c r="G136" s="53">
        <f t="shared" si="10"/>
        <v>0.10347222222480923</v>
      </c>
      <c r="H136" s="1" t="s">
        <v>248</v>
      </c>
      <c r="J136" s="1" t="s">
        <v>249</v>
      </c>
      <c r="K136" s="1" t="s">
        <v>349</v>
      </c>
      <c r="L136" s="1" t="s">
        <v>329</v>
      </c>
      <c r="M136" s="1" t="s">
        <v>251</v>
      </c>
      <c r="N136" s="1" t="s">
        <v>330</v>
      </c>
      <c r="O136" s="1" t="s">
        <v>331</v>
      </c>
      <c r="P136" s="1" t="str">
        <f t="shared" si="11"/>
        <v>BC Aracu5.2Inverter(MBUS-1)46023,264583333346023,264583333346023,3680555556</v>
      </c>
      <c r="Q136" s="1" t="str">
        <f t="shared" si="12"/>
        <v>DAURDE</v>
      </c>
    </row>
    <row r="137" spans="2:17">
      <c r="B137" s="1" t="s">
        <v>333</v>
      </c>
      <c r="C137" s="1" t="s">
        <v>328</v>
      </c>
      <c r="D137" s="52">
        <v>46023.26458333333</v>
      </c>
      <c r="E137" s="52">
        <v>46023.26458333333</v>
      </c>
      <c r="F137" s="52">
        <v>46023.368055555555</v>
      </c>
      <c r="G137" s="53">
        <f t="shared" si="10"/>
        <v>0.10347222222480923</v>
      </c>
      <c r="H137" s="1" t="s">
        <v>248</v>
      </c>
      <c r="J137" s="1" t="s">
        <v>249</v>
      </c>
      <c r="K137" s="1" t="s">
        <v>349</v>
      </c>
      <c r="L137" s="1" t="s">
        <v>329</v>
      </c>
      <c r="M137" s="1" t="s">
        <v>251</v>
      </c>
      <c r="N137" s="1" t="s">
        <v>330</v>
      </c>
      <c r="O137" s="1" t="s">
        <v>331</v>
      </c>
      <c r="P137" s="1" t="str">
        <f t="shared" si="11"/>
        <v>BC Aracu5.3Inverter(MBUS-1)46023,264583333346023,264583333346023,3680555556</v>
      </c>
      <c r="Q137" s="1" t="str">
        <f t="shared" si="12"/>
        <v>DAURDE</v>
      </c>
    </row>
    <row r="138" spans="2:17">
      <c r="B138" s="1" t="s">
        <v>334</v>
      </c>
      <c r="C138" s="1" t="s">
        <v>328</v>
      </c>
      <c r="D138" s="52">
        <v>46023.26458333333</v>
      </c>
      <c r="E138" s="52">
        <v>46023.26458333333</v>
      </c>
      <c r="F138" s="52">
        <v>46023.368055555555</v>
      </c>
      <c r="G138" s="53">
        <f t="shared" si="10"/>
        <v>0.10347222222480923</v>
      </c>
      <c r="H138" s="1" t="s">
        <v>248</v>
      </c>
      <c r="J138" s="1" t="s">
        <v>249</v>
      </c>
      <c r="K138" s="1" t="s">
        <v>349</v>
      </c>
      <c r="L138" s="1" t="s">
        <v>329</v>
      </c>
      <c r="M138" s="1" t="s">
        <v>251</v>
      </c>
      <c r="N138" s="1" t="s">
        <v>330</v>
      </c>
      <c r="O138" s="1" t="s">
        <v>331</v>
      </c>
      <c r="P138" s="1" t="str">
        <f t="shared" si="11"/>
        <v>BC Aracu5.4Inverter(MBUS-1)46023,264583333346023,264583333346023,3680555556</v>
      </c>
      <c r="Q138" s="1" t="str">
        <f t="shared" si="12"/>
        <v>DAURDE</v>
      </c>
    </row>
    <row r="139" spans="2:17">
      <c r="B139" s="1" t="s">
        <v>335</v>
      </c>
      <c r="C139" s="1" t="s">
        <v>328</v>
      </c>
      <c r="D139" s="52">
        <v>46023.26458333333</v>
      </c>
      <c r="E139" s="52">
        <v>46023.26458333333</v>
      </c>
      <c r="F139" s="52">
        <v>46023.368055555555</v>
      </c>
      <c r="G139" s="53">
        <f t="shared" si="10"/>
        <v>0.10347222222480923</v>
      </c>
      <c r="H139" s="1" t="s">
        <v>248</v>
      </c>
      <c r="J139" s="1" t="s">
        <v>249</v>
      </c>
      <c r="K139" s="1" t="s">
        <v>349</v>
      </c>
      <c r="L139" s="1" t="s">
        <v>329</v>
      </c>
      <c r="M139" s="1" t="s">
        <v>251</v>
      </c>
      <c r="N139" s="1" t="s">
        <v>330</v>
      </c>
      <c r="O139" s="1" t="s">
        <v>331</v>
      </c>
      <c r="P139" s="1" t="str">
        <f t="shared" si="11"/>
        <v>BC Aracu5.5Inverter(MBUS-1)46023,264583333346023,264583333346023,3680555556</v>
      </c>
      <c r="Q139" s="1" t="str">
        <f t="shared" si="12"/>
        <v>DAURDE</v>
      </c>
    </row>
    <row r="140" spans="2:17">
      <c r="B140" s="1" t="s">
        <v>327</v>
      </c>
      <c r="C140" s="1" t="s">
        <v>328</v>
      </c>
      <c r="D140" s="52">
        <v>46026.260416666664</v>
      </c>
      <c r="E140" s="52">
        <v>46026.260416666664</v>
      </c>
      <c r="F140" s="52">
        <v>46026.271527777775</v>
      </c>
      <c r="G140" s="53">
        <f t="shared" si="10"/>
        <v>1.1111111110949423E-2</v>
      </c>
      <c r="H140" s="1" t="s">
        <v>248</v>
      </c>
      <c r="J140" s="1" t="s">
        <v>249</v>
      </c>
      <c r="K140" s="1" t="s">
        <v>349</v>
      </c>
      <c r="L140" s="1" t="s">
        <v>329</v>
      </c>
      <c r="M140" s="1" t="s">
        <v>251</v>
      </c>
      <c r="N140" s="1" t="s">
        <v>330</v>
      </c>
      <c r="O140" s="1" t="s">
        <v>331</v>
      </c>
      <c r="P140" s="1" t="str">
        <f t="shared" si="11"/>
        <v>BC Aracu5.1Inverter(MBUS-1)46026,260416666746026,260416666746026,2715277778</v>
      </c>
      <c r="Q140" s="1" t="str">
        <f t="shared" si="12"/>
        <v>DAURDE</v>
      </c>
    </row>
    <row r="141" spans="2:17">
      <c r="B141" s="1" t="s">
        <v>332</v>
      </c>
      <c r="C141" s="1" t="s">
        <v>328</v>
      </c>
      <c r="D141" s="52">
        <v>46026.260416666664</v>
      </c>
      <c r="E141" s="52">
        <v>46026.260416666664</v>
      </c>
      <c r="F141" s="52">
        <v>46026.271527777775</v>
      </c>
      <c r="G141" s="53">
        <f t="shared" si="10"/>
        <v>1.1111111110949423E-2</v>
      </c>
      <c r="H141" s="1" t="s">
        <v>248</v>
      </c>
      <c r="J141" s="1" t="s">
        <v>249</v>
      </c>
      <c r="K141" s="1" t="s">
        <v>349</v>
      </c>
      <c r="L141" s="1" t="s">
        <v>329</v>
      </c>
      <c r="M141" s="1" t="s">
        <v>251</v>
      </c>
      <c r="N141" s="1" t="s">
        <v>330</v>
      </c>
      <c r="O141" s="1" t="s">
        <v>331</v>
      </c>
      <c r="P141" s="1" t="str">
        <f t="shared" si="11"/>
        <v>BC Aracu5.2Inverter(MBUS-1)46026,260416666746026,260416666746026,2715277778</v>
      </c>
      <c r="Q141" s="1" t="str">
        <f t="shared" si="12"/>
        <v>DAURDE</v>
      </c>
    </row>
    <row r="142" spans="2:17">
      <c r="B142" s="1" t="s">
        <v>333</v>
      </c>
      <c r="C142" s="1" t="s">
        <v>328</v>
      </c>
      <c r="D142" s="52">
        <v>46026.260416666664</v>
      </c>
      <c r="E142" s="52">
        <v>46026.260416666664</v>
      </c>
      <c r="F142" s="52">
        <v>46026.271527777775</v>
      </c>
      <c r="G142" s="53">
        <f t="shared" si="10"/>
        <v>1.1111111110949423E-2</v>
      </c>
      <c r="H142" s="1" t="s">
        <v>248</v>
      </c>
      <c r="J142" s="1" t="s">
        <v>249</v>
      </c>
      <c r="K142" s="1" t="s">
        <v>349</v>
      </c>
      <c r="L142" s="1" t="s">
        <v>329</v>
      </c>
      <c r="M142" s="1" t="s">
        <v>251</v>
      </c>
      <c r="N142" s="1" t="s">
        <v>330</v>
      </c>
      <c r="O142" s="1" t="s">
        <v>331</v>
      </c>
      <c r="P142" s="1" t="str">
        <f t="shared" si="11"/>
        <v>BC Aracu5.3Inverter(MBUS-1)46026,260416666746026,260416666746026,2715277778</v>
      </c>
      <c r="Q142" s="1" t="str">
        <f t="shared" si="12"/>
        <v>DAURDE</v>
      </c>
    </row>
    <row r="143" spans="2:17">
      <c r="B143" s="1" t="s">
        <v>334</v>
      </c>
      <c r="C143" s="1" t="s">
        <v>328</v>
      </c>
      <c r="D143" s="52">
        <v>46026.260416666664</v>
      </c>
      <c r="E143" s="52">
        <v>46026.260416666664</v>
      </c>
      <c r="F143" s="52">
        <v>46026.271527777775</v>
      </c>
      <c r="G143" s="53">
        <f t="shared" si="10"/>
        <v>1.1111111110949423E-2</v>
      </c>
      <c r="H143" s="1" t="s">
        <v>248</v>
      </c>
      <c r="J143" s="1" t="s">
        <v>249</v>
      </c>
      <c r="K143" s="1" t="s">
        <v>349</v>
      </c>
      <c r="L143" s="1" t="s">
        <v>329</v>
      </c>
      <c r="M143" s="1" t="s">
        <v>251</v>
      </c>
      <c r="N143" s="1" t="s">
        <v>330</v>
      </c>
      <c r="O143" s="1" t="s">
        <v>331</v>
      </c>
      <c r="P143" s="1" t="str">
        <f t="shared" si="11"/>
        <v>BC Aracu5.4Inverter(MBUS-1)46026,260416666746026,260416666746026,2715277778</v>
      </c>
      <c r="Q143" s="1" t="str">
        <f t="shared" si="12"/>
        <v>DAURDE</v>
      </c>
    </row>
    <row r="144" spans="2:17">
      <c r="B144" s="1" t="s">
        <v>335</v>
      </c>
      <c r="C144" s="1" t="s">
        <v>328</v>
      </c>
      <c r="D144" s="52">
        <v>46026.260416666664</v>
      </c>
      <c r="E144" s="52">
        <v>46026.260416666664</v>
      </c>
      <c r="F144" s="52">
        <v>46026.271527777775</v>
      </c>
      <c r="G144" s="53">
        <f t="shared" si="10"/>
        <v>1.1111111110949423E-2</v>
      </c>
      <c r="H144" s="1" t="s">
        <v>248</v>
      </c>
      <c r="J144" s="1" t="s">
        <v>249</v>
      </c>
      <c r="K144" s="1" t="s">
        <v>349</v>
      </c>
      <c r="L144" s="1" t="s">
        <v>329</v>
      </c>
      <c r="M144" s="1" t="s">
        <v>251</v>
      </c>
      <c r="N144" s="1" t="s">
        <v>330</v>
      </c>
      <c r="O144" s="1" t="s">
        <v>331</v>
      </c>
      <c r="P144" s="1" t="str">
        <f t="shared" si="11"/>
        <v>BC Aracu5.5Inverter(MBUS-1)46026,260416666746026,260416666746026,2715277778</v>
      </c>
      <c r="Q144" s="1" t="str">
        <f t="shared" si="12"/>
        <v>DAURDE</v>
      </c>
    </row>
    <row r="145" spans="2:17">
      <c r="B145" s="1" t="s">
        <v>298</v>
      </c>
      <c r="C145" s="1" t="s">
        <v>305</v>
      </c>
      <c r="D145" s="52">
        <v>46026.576388888891</v>
      </c>
      <c r="E145" s="52">
        <v>46026.576388888891</v>
      </c>
      <c r="F145" s="52">
        <v>46026.71875</v>
      </c>
      <c r="G145" s="53">
        <f t="shared" si="10"/>
        <v>0.14236111110949423</v>
      </c>
      <c r="H145" s="1" t="s">
        <v>248</v>
      </c>
      <c r="J145" s="1" t="s">
        <v>300</v>
      </c>
      <c r="K145" s="1" t="s">
        <v>350</v>
      </c>
      <c r="L145" s="1" t="s">
        <v>325</v>
      </c>
      <c r="M145" s="1" t="s">
        <v>251</v>
      </c>
      <c r="N145" s="1" t="s">
        <v>252</v>
      </c>
      <c r="O145" s="1" t="s">
        <v>326</v>
      </c>
      <c r="P145" s="1" t="str">
        <f t="shared" si="11"/>
        <v>BC Aracu2araçu 2.1 inversor 146026,576388888946026,576388888946026,71875</v>
      </c>
      <c r="Q145" s="1" t="str">
        <f t="shared" si="12"/>
        <v>DAUINV</v>
      </c>
    </row>
    <row r="146" spans="2:17">
      <c r="B146" s="1" t="s">
        <v>298</v>
      </c>
      <c r="C146" s="1" t="s">
        <v>313</v>
      </c>
      <c r="D146" s="52">
        <v>46030.458333333336</v>
      </c>
      <c r="E146" s="52">
        <v>46030.458333333336</v>
      </c>
      <c r="F146" s="52">
        <v>46030.472222222219</v>
      </c>
      <c r="G146" s="53">
        <f t="shared" si="10"/>
        <v>1.3888888883229811E-2</v>
      </c>
      <c r="H146" s="1" t="s">
        <v>248</v>
      </c>
      <c r="J146" s="1" t="s">
        <v>300</v>
      </c>
      <c r="K146" s="1" t="s">
        <v>350</v>
      </c>
      <c r="L146" s="1" t="s">
        <v>351</v>
      </c>
      <c r="M146" s="1" t="s">
        <v>251</v>
      </c>
      <c r="N146" s="1" t="s">
        <v>252</v>
      </c>
      <c r="O146" s="1" t="s">
        <v>326</v>
      </c>
      <c r="P146" s="1" t="str">
        <f t="shared" si="11"/>
        <v>BC Aracu2Inverter8346030,458333333346030,458333333346030,4722222222</v>
      </c>
      <c r="Q146" s="1" t="str">
        <f t="shared" si="12"/>
        <v>DAUINV</v>
      </c>
    </row>
    <row r="147" spans="2:17">
      <c r="B147" s="1" t="s">
        <v>333</v>
      </c>
      <c r="C147" s="1" t="s">
        <v>328</v>
      </c>
      <c r="D147" s="52">
        <v>46033.506944444445</v>
      </c>
      <c r="E147" s="52">
        <v>46033.506944444445</v>
      </c>
      <c r="F147" s="52">
        <v>46035.496527777781</v>
      </c>
      <c r="G147" s="53">
        <f t="shared" si="10"/>
        <v>1.9895833333357587</v>
      </c>
      <c r="H147" s="1" t="s">
        <v>260</v>
      </c>
      <c r="I147" s="1" t="s">
        <v>261</v>
      </c>
      <c r="J147" s="1" t="s">
        <v>262</v>
      </c>
      <c r="K147" s="1" t="str">
        <f>_xlfn.XLOOKUP(J147,REF!$D$2:$D$12,REF!$E$2:$E$12)</f>
        <v>Comunicação</v>
      </c>
      <c r="L147" s="1" t="s">
        <v>306</v>
      </c>
      <c r="M147" s="1" t="s">
        <v>265</v>
      </c>
      <c r="N147" s="1" t="s">
        <v>266</v>
      </c>
      <c r="O147" s="1" t="s">
        <v>352</v>
      </c>
      <c r="P147" s="1" t="str">
        <f t="shared" si="11"/>
        <v>BC Aracu5.3Inverter(MBUS-1)46033,506944444446033,506944444446035,4965277778</v>
      </c>
      <c r="Q147" s="1" t="str">
        <f t="shared" si="12"/>
        <v>LIGRFOCOM</v>
      </c>
    </row>
    <row r="148" spans="2:17">
      <c r="B148" s="1" t="s">
        <v>327</v>
      </c>
      <c r="C148" s="1" t="s">
        <v>328</v>
      </c>
      <c r="D148" s="52">
        <v>46034.118055555555</v>
      </c>
      <c r="E148" s="52">
        <v>46034.118055555555</v>
      </c>
      <c r="F148" s="52">
        <v>46034.293749999997</v>
      </c>
      <c r="G148" s="53">
        <f t="shared" si="10"/>
        <v>0.1756944444423425</v>
      </c>
      <c r="H148" s="1" t="s">
        <v>248</v>
      </c>
      <c r="J148" s="1" t="s">
        <v>249</v>
      </c>
      <c r="K148" s="1" t="s">
        <v>349</v>
      </c>
      <c r="L148" s="1" t="s">
        <v>329</v>
      </c>
      <c r="M148" s="1" t="s">
        <v>251</v>
      </c>
      <c r="N148" s="1" t="s">
        <v>330</v>
      </c>
      <c r="O148" s="1" t="s">
        <v>331</v>
      </c>
      <c r="P148" s="1" t="str">
        <f t="shared" si="11"/>
        <v>BC Aracu5.1Inverter(MBUS-1)46034,118055555646034,118055555646034,29375</v>
      </c>
      <c r="Q148" s="1" t="str">
        <f t="shared" si="12"/>
        <v>DAURDE</v>
      </c>
    </row>
    <row r="149" spans="2:17">
      <c r="B149" s="1" t="s">
        <v>332</v>
      </c>
      <c r="C149" s="1" t="s">
        <v>328</v>
      </c>
      <c r="D149" s="52">
        <v>46034.118055555555</v>
      </c>
      <c r="E149" s="52">
        <v>46034.118055555555</v>
      </c>
      <c r="F149" s="52">
        <v>46034.293749999997</v>
      </c>
      <c r="G149" s="53">
        <f t="shared" si="10"/>
        <v>0.1756944444423425</v>
      </c>
      <c r="H149" s="1" t="s">
        <v>248</v>
      </c>
      <c r="J149" s="1" t="s">
        <v>249</v>
      </c>
      <c r="K149" s="1" t="s">
        <v>349</v>
      </c>
      <c r="L149" s="1" t="s">
        <v>329</v>
      </c>
      <c r="M149" s="1" t="s">
        <v>251</v>
      </c>
      <c r="N149" s="1" t="s">
        <v>330</v>
      </c>
      <c r="O149" s="1" t="s">
        <v>331</v>
      </c>
      <c r="P149" s="1" t="str">
        <f t="shared" si="11"/>
        <v>BC Aracu5.2Inverter(MBUS-1)46034,118055555646034,118055555646034,29375</v>
      </c>
      <c r="Q149" s="1" t="str">
        <f t="shared" si="12"/>
        <v>DAURDE</v>
      </c>
    </row>
    <row r="150" spans="2:17">
      <c r="B150" s="1" t="s">
        <v>333</v>
      </c>
      <c r="C150" s="1" t="s">
        <v>328</v>
      </c>
      <c r="D150" s="52">
        <v>46034.118055555555</v>
      </c>
      <c r="E150" s="52">
        <v>46034.118055555555</v>
      </c>
      <c r="F150" s="52">
        <v>46034.293749999997</v>
      </c>
      <c r="G150" s="53">
        <f t="shared" si="10"/>
        <v>0.1756944444423425</v>
      </c>
      <c r="H150" s="1" t="s">
        <v>248</v>
      </c>
      <c r="J150" s="1" t="s">
        <v>249</v>
      </c>
      <c r="K150" s="1" t="s">
        <v>349</v>
      </c>
      <c r="L150" s="1" t="s">
        <v>329</v>
      </c>
      <c r="M150" s="1" t="s">
        <v>251</v>
      </c>
      <c r="N150" s="1" t="s">
        <v>330</v>
      </c>
      <c r="O150" s="1" t="s">
        <v>331</v>
      </c>
      <c r="P150" s="1" t="str">
        <f t="shared" si="11"/>
        <v>BC Aracu5.3Inverter(MBUS-1)46034,118055555646034,118055555646034,29375</v>
      </c>
      <c r="Q150" s="1" t="str">
        <f t="shared" si="12"/>
        <v>DAURDE</v>
      </c>
    </row>
    <row r="151" spans="2:17">
      <c r="B151" s="1" t="s">
        <v>334</v>
      </c>
      <c r="C151" s="1" t="s">
        <v>328</v>
      </c>
      <c r="D151" s="52">
        <v>46034.118055555555</v>
      </c>
      <c r="E151" s="52">
        <v>46034.118055555555</v>
      </c>
      <c r="F151" s="52">
        <v>46034.293749999997</v>
      </c>
      <c r="G151" s="53">
        <f t="shared" si="10"/>
        <v>0.1756944444423425</v>
      </c>
      <c r="H151" s="1" t="s">
        <v>248</v>
      </c>
      <c r="J151" s="1" t="s">
        <v>249</v>
      </c>
      <c r="K151" s="1" t="s">
        <v>349</v>
      </c>
      <c r="L151" s="1" t="s">
        <v>329</v>
      </c>
      <c r="M151" s="1" t="s">
        <v>251</v>
      </c>
      <c r="N151" s="1" t="s">
        <v>330</v>
      </c>
      <c r="O151" s="1" t="s">
        <v>331</v>
      </c>
      <c r="P151" s="1" t="str">
        <f t="shared" si="11"/>
        <v>BC Aracu5.4Inverter(MBUS-1)46034,118055555646034,118055555646034,29375</v>
      </c>
      <c r="Q151" s="1" t="str">
        <f t="shared" si="12"/>
        <v>DAURDE</v>
      </c>
    </row>
    <row r="152" spans="2:17">
      <c r="B152" s="1" t="s">
        <v>335</v>
      </c>
      <c r="C152" s="1" t="s">
        <v>328</v>
      </c>
      <c r="D152" s="52">
        <v>46034.118055555555</v>
      </c>
      <c r="E152" s="52">
        <v>46034.118055555555</v>
      </c>
      <c r="F152" s="52">
        <v>46034.293749999997</v>
      </c>
      <c r="G152" s="53">
        <f t="shared" si="10"/>
        <v>0.1756944444423425</v>
      </c>
      <c r="H152" s="1" t="s">
        <v>248</v>
      </c>
      <c r="J152" s="1" t="s">
        <v>249</v>
      </c>
      <c r="K152" s="1" t="s">
        <v>349</v>
      </c>
      <c r="L152" s="1" t="s">
        <v>329</v>
      </c>
      <c r="M152" s="1" t="s">
        <v>251</v>
      </c>
      <c r="N152" s="1" t="s">
        <v>330</v>
      </c>
      <c r="O152" s="1" t="s">
        <v>331</v>
      </c>
      <c r="P152" s="1" t="str">
        <f t="shared" si="11"/>
        <v>BC Aracu5.5Inverter(MBUS-1)46034,118055555646034,118055555646034,29375</v>
      </c>
      <c r="Q152" s="1" t="str">
        <f t="shared" si="12"/>
        <v>DAURDE</v>
      </c>
    </row>
    <row r="153" spans="2:17">
      <c r="B153" s="1" t="s">
        <v>353</v>
      </c>
      <c r="C153" s="1" t="s">
        <v>354</v>
      </c>
      <c r="D153" s="52">
        <v>46024.673611111109</v>
      </c>
      <c r="E153" s="52">
        <v>46024.673611111109</v>
      </c>
      <c r="F153" s="52">
        <v>46024.706944444442</v>
      </c>
      <c r="G153" s="53">
        <f t="shared" si="10"/>
        <v>3.3333333332848269E-2</v>
      </c>
      <c r="H153" s="1" t="s">
        <v>248</v>
      </c>
      <c r="J153" s="1" t="s">
        <v>249</v>
      </c>
      <c r="K153" s="1" t="s">
        <v>349</v>
      </c>
      <c r="L153" s="65" t="s">
        <v>355</v>
      </c>
      <c r="M153" s="1" t="s">
        <v>251</v>
      </c>
      <c r="N153" s="1" t="s">
        <v>330</v>
      </c>
      <c r="O153" s="1" t="s">
        <v>356</v>
      </c>
      <c r="P153" s="1" t="str">
        <f t="shared" si="11"/>
        <v>ARAGUATINS 1.1Inverter(MBUS-12)46024,673611111146024,673611111146024,7069444444</v>
      </c>
      <c r="Q153" s="1" t="str">
        <f t="shared" si="12"/>
        <v>DAURDE</v>
      </c>
    </row>
    <row r="154" spans="2:17">
      <c r="B154" s="1" t="s">
        <v>353</v>
      </c>
      <c r="C154" s="1" t="s">
        <v>357</v>
      </c>
      <c r="D154" s="52">
        <v>46024.673611111109</v>
      </c>
      <c r="E154" s="52">
        <v>46024.673611111109</v>
      </c>
      <c r="F154" s="52">
        <v>46024.706944444442</v>
      </c>
      <c r="G154" s="53">
        <f t="shared" si="10"/>
        <v>3.3333333332848269E-2</v>
      </c>
      <c r="H154" s="1" t="s">
        <v>248</v>
      </c>
      <c r="J154" s="1" t="s">
        <v>249</v>
      </c>
      <c r="K154" s="1" t="s">
        <v>349</v>
      </c>
      <c r="L154" s="65" t="s">
        <v>355</v>
      </c>
      <c r="M154" s="1" t="s">
        <v>251</v>
      </c>
      <c r="N154" s="1" t="s">
        <v>330</v>
      </c>
      <c r="O154" s="1" t="s">
        <v>356</v>
      </c>
      <c r="P154" s="1" t="str">
        <f t="shared" si="11"/>
        <v>ARAGUATINS 1.1Inverter(MBUS-13)46024,673611111146024,673611111146024,7069444444</v>
      </c>
      <c r="Q154" s="1" t="str">
        <f t="shared" si="12"/>
        <v>DAURDE</v>
      </c>
    </row>
    <row r="155" spans="2:17">
      <c r="B155" s="1" t="s">
        <v>353</v>
      </c>
      <c r="C155" s="1" t="s">
        <v>358</v>
      </c>
      <c r="D155" s="52">
        <v>46024.673611111109</v>
      </c>
      <c r="E155" s="52">
        <v>46024.673611111109</v>
      </c>
      <c r="F155" s="52">
        <v>46024.706944444442</v>
      </c>
      <c r="G155" s="53">
        <f t="shared" si="10"/>
        <v>3.3333333332848269E-2</v>
      </c>
      <c r="H155" s="1" t="s">
        <v>248</v>
      </c>
      <c r="J155" s="1" t="s">
        <v>249</v>
      </c>
      <c r="K155" s="1" t="s">
        <v>349</v>
      </c>
      <c r="L155" s="65" t="s">
        <v>355</v>
      </c>
      <c r="M155" s="1" t="s">
        <v>251</v>
      </c>
      <c r="N155" s="1" t="s">
        <v>330</v>
      </c>
      <c r="O155" s="1" t="s">
        <v>356</v>
      </c>
      <c r="P155" s="1" t="str">
        <f t="shared" si="11"/>
        <v>ARAGUATINS 1.1Inverter(MBUS-14)46024,673611111146024,673611111146024,7069444444</v>
      </c>
      <c r="Q155" s="1" t="str">
        <f t="shared" si="12"/>
        <v>DAURDE</v>
      </c>
    </row>
    <row r="156" spans="2:17">
      <c r="B156" s="1" t="s">
        <v>353</v>
      </c>
      <c r="C156" s="1" t="s">
        <v>359</v>
      </c>
      <c r="D156" s="52">
        <v>46024.673611111109</v>
      </c>
      <c r="E156" s="52">
        <v>46024.673611111109</v>
      </c>
      <c r="F156" s="52">
        <v>46024.706944444442</v>
      </c>
      <c r="G156" s="53">
        <f t="shared" si="10"/>
        <v>3.3333333332848269E-2</v>
      </c>
      <c r="H156" s="1" t="s">
        <v>248</v>
      </c>
      <c r="J156" s="1" t="s">
        <v>249</v>
      </c>
      <c r="K156" s="1" t="s">
        <v>349</v>
      </c>
      <c r="L156" s="65" t="s">
        <v>355</v>
      </c>
      <c r="M156" s="1" t="s">
        <v>251</v>
      </c>
      <c r="N156" s="1" t="s">
        <v>330</v>
      </c>
      <c r="O156" s="1" t="s">
        <v>356</v>
      </c>
      <c r="P156" s="1" t="str">
        <f t="shared" si="11"/>
        <v>ARAGUATINS 1.1Inverter(MBUS-15)46024,673611111146024,673611111146024,7069444444</v>
      </c>
      <c r="Q156" s="1" t="str">
        <f t="shared" si="12"/>
        <v>DAURDE</v>
      </c>
    </row>
    <row r="157" spans="2:17">
      <c r="B157" s="1" t="s">
        <v>360</v>
      </c>
      <c r="C157" s="1" t="s">
        <v>354</v>
      </c>
      <c r="D157" s="52">
        <v>46024.673611111109</v>
      </c>
      <c r="E157" s="52">
        <v>46024.673611111109</v>
      </c>
      <c r="F157" s="52">
        <v>46024.706944444442</v>
      </c>
      <c r="G157" s="53">
        <f t="shared" si="10"/>
        <v>3.3333333332848269E-2</v>
      </c>
      <c r="H157" s="1" t="s">
        <v>248</v>
      </c>
      <c r="J157" s="1" t="s">
        <v>249</v>
      </c>
      <c r="K157" s="1" t="s">
        <v>349</v>
      </c>
      <c r="L157" s="65" t="s">
        <v>355</v>
      </c>
      <c r="M157" s="1" t="s">
        <v>251</v>
      </c>
      <c r="N157" s="1" t="s">
        <v>330</v>
      </c>
      <c r="O157" s="1" t="s">
        <v>356</v>
      </c>
      <c r="P157" s="1" t="str">
        <f t="shared" si="11"/>
        <v>ARAGUATINS 1.2Inverter(MBUS-12)46024,673611111146024,673611111146024,7069444444</v>
      </c>
      <c r="Q157" s="1" t="str">
        <f t="shared" si="12"/>
        <v>DAURDE</v>
      </c>
    </row>
    <row r="158" spans="2:17">
      <c r="B158" s="1" t="s">
        <v>360</v>
      </c>
      <c r="C158" s="1" t="s">
        <v>357</v>
      </c>
      <c r="D158" s="52">
        <v>46024.673611111109</v>
      </c>
      <c r="E158" s="52">
        <v>46024.673611111109</v>
      </c>
      <c r="F158" s="52">
        <v>46024.706944444442</v>
      </c>
      <c r="G158" s="53">
        <f t="shared" si="10"/>
        <v>3.3333333332848269E-2</v>
      </c>
      <c r="H158" s="1" t="s">
        <v>248</v>
      </c>
      <c r="J158" s="1" t="s">
        <v>249</v>
      </c>
      <c r="K158" s="1" t="s">
        <v>349</v>
      </c>
      <c r="L158" s="65" t="s">
        <v>355</v>
      </c>
      <c r="M158" s="1" t="s">
        <v>251</v>
      </c>
      <c r="N158" s="1" t="s">
        <v>330</v>
      </c>
      <c r="O158" s="1" t="s">
        <v>356</v>
      </c>
      <c r="P158" s="1" t="str">
        <f t="shared" si="11"/>
        <v>ARAGUATINS 1.2Inverter(MBUS-13)46024,673611111146024,673611111146024,7069444444</v>
      </c>
      <c r="Q158" s="1" t="str">
        <f t="shared" si="12"/>
        <v>DAURDE</v>
      </c>
    </row>
    <row r="159" spans="2:17">
      <c r="B159" s="1" t="s">
        <v>360</v>
      </c>
      <c r="C159" s="1" t="s">
        <v>358</v>
      </c>
      <c r="D159" s="52">
        <v>46024.673611111109</v>
      </c>
      <c r="E159" s="52">
        <v>46024.673611111109</v>
      </c>
      <c r="F159" s="52">
        <v>46024.706944444442</v>
      </c>
      <c r="G159" s="53">
        <f t="shared" si="10"/>
        <v>3.3333333332848269E-2</v>
      </c>
      <c r="H159" s="1" t="s">
        <v>248</v>
      </c>
      <c r="J159" s="1" t="s">
        <v>249</v>
      </c>
      <c r="K159" s="1" t="s">
        <v>349</v>
      </c>
      <c r="L159" s="65" t="s">
        <v>355</v>
      </c>
      <c r="M159" s="1" t="s">
        <v>251</v>
      </c>
      <c r="N159" s="1" t="s">
        <v>330</v>
      </c>
      <c r="O159" s="1" t="s">
        <v>356</v>
      </c>
      <c r="P159" s="1" t="str">
        <f t="shared" si="11"/>
        <v>ARAGUATINS 1.2Inverter(MBUS-14)46024,673611111146024,673611111146024,7069444444</v>
      </c>
      <c r="Q159" s="1" t="str">
        <f t="shared" si="12"/>
        <v>DAURDE</v>
      </c>
    </row>
    <row r="160" spans="2:17">
      <c r="B160" s="1" t="s">
        <v>360</v>
      </c>
      <c r="C160" s="1" t="s">
        <v>359</v>
      </c>
      <c r="D160" s="52">
        <v>46024.673611111109</v>
      </c>
      <c r="E160" s="52">
        <v>46024.673611111109</v>
      </c>
      <c r="F160" s="52">
        <v>46024.706944444442</v>
      </c>
      <c r="G160" s="53">
        <f t="shared" si="10"/>
        <v>3.3333333332848269E-2</v>
      </c>
      <c r="H160" s="1" t="s">
        <v>248</v>
      </c>
      <c r="J160" s="1" t="s">
        <v>249</v>
      </c>
      <c r="K160" s="1" t="s">
        <v>349</v>
      </c>
      <c r="L160" s="65" t="s">
        <v>355</v>
      </c>
      <c r="M160" s="1" t="s">
        <v>251</v>
      </c>
      <c r="N160" s="1" t="s">
        <v>330</v>
      </c>
      <c r="O160" s="1" t="s">
        <v>356</v>
      </c>
      <c r="P160" s="1" t="str">
        <f t="shared" si="11"/>
        <v>ARAGUATINS 1.2Inverter(MBUS-15)46024,673611111146024,673611111146024,7069444444</v>
      </c>
      <c r="Q160" s="1" t="str">
        <f t="shared" si="12"/>
        <v>DAURDE</v>
      </c>
    </row>
    <row r="161" spans="2:17">
      <c r="B161" s="1" t="s">
        <v>361</v>
      </c>
      <c r="C161" s="1" t="s">
        <v>362</v>
      </c>
      <c r="D161" s="52">
        <v>46024.673611111109</v>
      </c>
      <c r="E161" s="52">
        <v>46024.673611111109</v>
      </c>
      <c r="F161" s="52">
        <v>46024.706944444442</v>
      </c>
      <c r="G161" s="53">
        <f t="shared" si="10"/>
        <v>3.3333333332848269E-2</v>
      </c>
      <c r="H161" s="1" t="s">
        <v>248</v>
      </c>
      <c r="J161" s="1" t="s">
        <v>249</v>
      </c>
      <c r="K161" s="1" t="s">
        <v>349</v>
      </c>
      <c r="L161" s="65" t="s">
        <v>355</v>
      </c>
      <c r="M161" s="1" t="s">
        <v>251</v>
      </c>
      <c r="N161" s="1" t="s">
        <v>330</v>
      </c>
      <c r="O161" s="1" t="s">
        <v>356</v>
      </c>
      <c r="P161" s="1" t="str">
        <f t="shared" si="11"/>
        <v>ARAGUATINS 1.3Inverter(MBUS-20)46024,673611111146024,673611111146024,7069444444</v>
      </c>
      <c r="Q161" s="1" t="str">
        <f t="shared" si="12"/>
        <v>DAURDE</v>
      </c>
    </row>
    <row r="162" spans="2:17">
      <c r="B162" s="1" t="s">
        <v>361</v>
      </c>
      <c r="C162" s="1" t="s">
        <v>328</v>
      </c>
      <c r="D162" s="52">
        <v>46024.673611111109</v>
      </c>
      <c r="E162" s="52">
        <v>46024.673611111109</v>
      </c>
      <c r="F162" s="52">
        <v>46024.706944444442</v>
      </c>
      <c r="G162" s="53">
        <f t="shared" si="10"/>
        <v>3.3333333332848269E-2</v>
      </c>
      <c r="H162" s="1" t="s">
        <v>248</v>
      </c>
      <c r="J162" s="1" t="s">
        <v>249</v>
      </c>
      <c r="K162" s="1" t="s">
        <v>349</v>
      </c>
      <c r="L162" s="65" t="s">
        <v>355</v>
      </c>
      <c r="M162" s="1" t="s">
        <v>251</v>
      </c>
      <c r="N162" s="1" t="s">
        <v>330</v>
      </c>
      <c r="O162" s="1" t="s">
        <v>356</v>
      </c>
      <c r="P162" s="1" t="str">
        <f t="shared" si="11"/>
        <v>ARAGUATINS 1.3Inverter(MBUS-1)46024,673611111146024,673611111146024,7069444444</v>
      </c>
      <c r="Q162" s="1" t="str">
        <f t="shared" si="12"/>
        <v>DAURDE</v>
      </c>
    </row>
    <row r="163" spans="2:17">
      <c r="B163" s="1" t="s">
        <v>363</v>
      </c>
      <c r="C163" s="1" t="s">
        <v>354</v>
      </c>
      <c r="D163" s="52">
        <v>46025.556250000001</v>
      </c>
      <c r="E163" s="52">
        <v>46025.556250000001</v>
      </c>
      <c r="F163" s="52">
        <v>46025.601388888892</v>
      </c>
      <c r="G163" s="53">
        <f t="shared" si="10"/>
        <v>4.5138888890505768E-2</v>
      </c>
      <c r="H163" s="1" t="s">
        <v>248</v>
      </c>
      <c r="J163" s="1" t="s">
        <v>249</v>
      </c>
      <c r="K163" s="1" t="s">
        <v>349</v>
      </c>
      <c r="L163" s="1" t="s">
        <v>364</v>
      </c>
      <c r="M163" s="1" t="s">
        <v>251</v>
      </c>
      <c r="N163" s="1" t="s">
        <v>330</v>
      </c>
      <c r="O163" s="1" t="s">
        <v>331</v>
      </c>
      <c r="P163" s="1" t="str">
        <f t="shared" si="11"/>
        <v>ARAGUATINS 2.1Inverter(MBUS-12)46025,5562546025,5562546025,6013888889</v>
      </c>
      <c r="Q163" s="1" t="str">
        <f t="shared" si="12"/>
        <v>DAURDE</v>
      </c>
    </row>
    <row r="164" spans="2:17">
      <c r="B164" s="1" t="s">
        <v>363</v>
      </c>
      <c r="C164" s="1" t="s">
        <v>359</v>
      </c>
      <c r="D164" s="52">
        <v>46025.556250000001</v>
      </c>
      <c r="E164" s="52">
        <v>46025.556250000001</v>
      </c>
      <c r="F164" s="52">
        <v>46025.601388888892</v>
      </c>
      <c r="G164" s="53">
        <f t="shared" si="10"/>
        <v>4.5138888890505768E-2</v>
      </c>
      <c r="H164" s="1" t="s">
        <v>248</v>
      </c>
      <c r="J164" s="1" t="s">
        <v>249</v>
      </c>
      <c r="K164" s="1" t="s">
        <v>349</v>
      </c>
      <c r="L164" s="1" t="s">
        <v>364</v>
      </c>
      <c r="M164" s="1" t="s">
        <v>251</v>
      </c>
      <c r="N164" s="1" t="s">
        <v>330</v>
      </c>
      <c r="O164" s="1" t="s">
        <v>331</v>
      </c>
      <c r="P164" s="1" t="str">
        <f t="shared" si="11"/>
        <v>ARAGUATINS 2.1Inverter(MBUS-15)46025,5562546025,5562546025,6013888889</v>
      </c>
      <c r="Q164" s="1" t="str">
        <f t="shared" si="12"/>
        <v>DAURDE</v>
      </c>
    </row>
    <row r="165" spans="2:17">
      <c r="B165" s="1" t="s">
        <v>363</v>
      </c>
      <c r="C165" s="1" t="s">
        <v>358</v>
      </c>
      <c r="D165" s="52">
        <v>46025.556250000001</v>
      </c>
      <c r="E165" s="52">
        <v>46025.556250000001</v>
      </c>
      <c r="F165" s="52">
        <v>46025.601388888892</v>
      </c>
      <c r="G165" s="53">
        <f t="shared" si="10"/>
        <v>4.5138888890505768E-2</v>
      </c>
      <c r="H165" s="1" t="s">
        <v>248</v>
      </c>
      <c r="J165" s="1" t="s">
        <v>249</v>
      </c>
      <c r="K165" s="1" t="s">
        <v>349</v>
      </c>
      <c r="L165" s="1" t="s">
        <v>364</v>
      </c>
      <c r="M165" s="1" t="s">
        <v>251</v>
      </c>
      <c r="N165" s="1" t="s">
        <v>330</v>
      </c>
      <c r="O165" s="1" t="s">
        <v>331</v>
      </c>
      <c r="P165" s="1" t="str">
        <f t="shared" si="11"/>
        <v>ARAGUATINS 2.1Inverter(MBUS-14)46025,5562546025,5562546025,6013888889</v>
      </c>
      <c r="Q165" s="1" t="str">
        <f t="shared" si="12"/>
        <v>DAURDE</v>
      </c>
    </row>
    <row r="166" spans="2:17">
      <c r="B166" s="1" t="s">
        <v>363</v>
      </c>
      <c r="C166" s="1" t="s">
        <v>328</v>
      </c>
      <c r="D166" s="52">
        <v>46025.556250000001</v>
      </c>
      <c r="E166" s="52">
        <v>46025.556250000001</v>
      </c>
      <c r="F166" s="52">
        <v>46025.601388888892</v>
      </c>
      <c r="G166" s="53">
        <f t="shared" si="10"/>
        <v>4.5138888890505768E-2</v>
      </c>
      <c r="H166" s="1" t="s">
        <v>248</v>
      </c>
      <c r="J166" s="1" t="s">
        <v>249</v>
      </c>
      <c r="K166" s="1" t="s">
        <v>349</v>
      </c>
      <c r="L166" s="1" t="s">
        <v>364</v>
      </c>
      <c r="M166" s="1" t="s">
        <v>251</v>
      </c>
      <c r="N166" s="1" t="s">
        <v>330</v>
      </c>
      <c r="O166" s="1" t="s">
        <v>331</v>
      </c>
      <c r="P166" s="1" t="str">
        <f t="shared" si="11"/>
        <v>ARAGUATINS 2.1Inverter(MBUS-1)46025,5562546025,5562546025,6013888889</v>
      </c>
      <c r="Q166" s="1" t="str">
        <f t="shared" si="12"/>
        <v>DAURDE</v>
      </c>
    </row>
    <row r="167" spans="2:17">
      <c r="B167" s="1" t="s">
        <v>363</v>
      </c>
      <c r="C167" s="1" t="s">
        <v>354</v>
      </c>
      <c r="D167" s="52">
        <v>46026.4375</v>
      </c>
      <c r="E167" s="52">
        <v>46026.4375</v>
      </c>
      <c r="F167" s="52">
        <v>46026.472916666666</v>
      </c>
      <c r="G167" s="53">
        <f t="shared" si="10"/>
        <v>3.5416666665696539E-2</v>
      </c>
      <c r="H167" s="1" t="s">
        <v>248</v>
      </c>
      <c r="J167" s="1" t="s">
        <v>249</v>
      </c>
      <c r="K167" s="1" t="s">
        <v>349</v>
      </c>
      <c r="L167" s="1" t="s">
        <v>364</v>
      </c>
      <c r="M167" s="1" t="s">
        <v>251</v>
      </c>
      <c r="N167" s="1" t="s">
        <v>330</v>
      </c>
      <c r="O167" s="1" t="s">
        <v>331</v>
      </c>
      <c r="P167" s="1" t="str">
        <f t="shared" si="11"/>
        <v>ARAGUATINS 2.1Inverter(MBUS-12)46026,437546026,437546026,4729166667</v>
      </c>
      <c r="Q167" s="1" t="str">
        <f t="shared" si="12"/>
        <v>DAURDE</v>
      </c>
    </row>
    <row r="168" spans="2:17">
      <c r="B168" s="1" t="s">
        <v>363</v>
      </c>
      <c r="C168" s="1" t="s">
        <v>359</v>
      </c>
      <c r="D168" s="52">
        <v>46026.4375</v>
      </c>
      <c r="E168" s="52">
        <v>46026.4375</v>
      </c>
      <c r="F168" s="52">
        <v>46026.472916666666</v>
      </c>
      <c r="G168" s="53">
        <f t="shared" si="10"/>
        <v>3.5416666665696539E-2</v>
      </c>
      <c r="H168" s="1" t="s">
        <v>248</v>
      </c>
      <c r="J168" s="1" t="s">
        <v>249</v>
      </c>
      <c r="K168" s="1" t="s">
        <v>349</v>
      </c>
      <c r="L168" s="1" t="s">
        <v>364</v>
      </c>
      <c r="M168" s="1" t="s">
        <v>251</v>
      </c>
      <c r="N168" s="1" t="s">
        <v>330</v>
      </c>
      <c r="O168" s="1" t="s">
        <v>331</v>
      </c>
      <c r="P168" s="1" t="str">
        <f t="shared" si="11"/>
        <v>ARAGUATINS 2.1Inverter(MBUS-15)46026,437546026,437546026,4729166667</v>
      </c>
      <c r="Q168" s="1" t="str">
        <f t="shared" si="12"/>
        <v>DAURDE</v>
      </c>
    </row>
    <row r="169" spans="2:17">
      <c r="B169" s="1" t="s">
        <v>363</v>
      </c>
      <c r="C169" s="1" t="s">
        <v>358</v>
      </c>
      <c r="D169" s="52">
        <v>46026.4375</v>
      </c>
      <c r="E169" s="52">
        <v>46026.4375</v>
      </c>
      <c r="F169" s="52">
        <v>46026.472916666666</v>
      </c>
      <c r="G169" s="53">
        <f t="shared" si="10"/>
        <v>3.5416666665696539E-2</v>
      </c>
      <c r="H169" s="1" t="s">
        <v>248</v>
      </c>
      <c r="J169" s="1" t="s">
        <v>249</v>
      </c>
      <c r="K169" s="1" t="s">
        <v>349</v>
      </c>
      <c r="L169" s="1" t="s">
        <v>364</v>
      </c>
      <c r="M169" s="1" t="s">
        <v>251</v>
      </c>
      <c r="N169" s="1" t="s">
        <v>330</v>
      </c>
      <c r="O169" s="1" t="s">
        <v>331</v>
      </c>
      <c r="P169" s="1" t="str">
        <f t="shared" si="11"/>
        <v>ARAGUATINS 2.1Inverter(MBUS-14)46026,437546026,437546026,4729166667</v>
      </c>
      <c r="Q169" s="1" t="str">
        <f t="shared" si="12"/>
        <v>DAURDE</v>
      </c>
    </row>
    <row r="170" spans="2:17">
      <c r="B170" s="1" t="s">
        <v>363</v>
      </c>
      <c r="C170" s="1" t="s">
        <v>328</v>
      </c>
      <c r="D170" s="52">
        <v>46026.4375</v>
      </c>
      <c r="E170" s="52">
        <v>46026.4375</v>
      </c>
      <c r="F170" s="52">
        <v>46026.472916666666</v>
      </c>
      <c r="G170" s="53">
        <f t="shared" si="10"/>
        <v>3.5416666665696539E-2</v>
      </c>
      <c r="H170" s="1" t="s">
        <v>248</v>
      </c>
      <c r="J170" s="1" t="s">
        <v>249</v>
      </c>
      <c r="K170" s="1" t="s">
        <v>349</v>
      </c>
      <c r="L170" s="1" t="s">
        <v>364</v>
      </c>
      <c r="M170" s="1" t="s">
        <v>251</v>
      </c>
      <c r="N170" s="1" t="s">
        <v>330</v>
      </c>
      <c r="O170" s="1" t="s">
        <v>331</v>
      </c>
      <c r="P170" s="1" t="str">
        <f t="shared" si="11"/>
        <v>ARAGUATINS 2.1Inverter(MBUS-1)46026,437546026,437546026,4729166667</v>
      </c>
      <c r="Q170" s="1" t="str">
        <f t="shared" si="12"/>
        <v>DAURDE</v>
      </c>
    </row>
    <row r="171" spans="2:17">
      <c r="B171" s="1" t="s">
        <v>363</v>
      </c>
      <c r="C171" s="1" t="s">
        <v>354</v>
      </c>
      <c r="D171" s="52">
        <v>46028.118055555555</v>
      </c>
      <c r="E171" s="52">
        <v>46028.118055555555</v>
      </c>
      <c r="F171" s="52">
        <v>46028.320138888892</v>
      </c>
      <c r="G171" s="53">
        <f t="shared" si="10"/>
        <v>0.20208333333721384</v>
      </c>
      <c r="H171" s="1" t="s">
        <v>248</v>
      </c>
      <c r="J171" s="1" t="s">
        <v>249</v>
      </c>
      <c r="K171" s="1" t="s">
        <v>349</v>
      </c>
      <c r="L171" s="1" t="s">
        <v>365</v>
      </c>
      <c r="M171" s="1" t="s">
        <v>251</v>
      </c>
      <c r="N171" s="1" t="s">
        <v>330</v>
      </c>
      <c r="O171" s="1" t="s">
        <v>331</v>
      </c>
      <c r="P171" s="1" t="str">
        <f t="shared" si="11"/>
        <v>ARAGUATINS 2.1Inverter(MBUS-12)46028,118055555646028,118055555646028,3201388889</v>
      </c>
      <c r="Q171" s="1" t="str">
        <f t="shared" si="12"/>
        <v>DAURDE</v>
      </c>
    </row>
    <row r="172" spans="2:17">
      <c r="B172" s="1" t="s">
        <v>363</v>
      </c>
      <c r="C172" s="1" t="s">
        <v>359</v>
      </c>
      <c r="D172" s="52">
        <v>46028.118055555555</v>
      </c>
      <c r="E172" s="52">
        <v>46028.118055555555</v>
      </c>
      <c r="F172" s="52">
        <v>46028.320138888892</v>
      </c>
      <c r="G172" s="53">
        <f t="shared" si="10"/>
        <v>0.20208333333721384</v>
      </c>
      <c r="H172" s="1" t="s">
        <v>248</v>
      </c>
      <c r="J172" s="1" t="s">
        <v>249</v>
      </c>
      <c r="K172" s="1" t="s">
        <v>349</v>
      </c>
      <c r="L172" s="1" t="s">
        <v>365</v>
      </c>
      <c r="M172" s="1" t="s">
        <v>251</v>
      </c>
      <c r="N172" s="1" t="s">
        <v>330</v>
      </c>
      <c r="O172" s="1" t="s">
        <v>331</v>
      </c>
      <c r="P172" s="1" t="str">
        <f t="shared" si="11"/>
        <v>ARAGUATINS 2.1Inverter(MBUS-15)46028,118055555646028,118055555646028,3201388889</v>
      </c>
      <c r="Q172" s="1" t="str">
        <f t="shared" si="12"/>
        <v>DAURDE</v>
      </c>
    </row>
    <row r="173" spans="2:17">
      <c r="B173" s="1" t="s">
        <v>363</v>
      </c>
      <c r="C173" s="1" t="s">
        <v>358</v>
      </c>
      <c r="D173" s="52">
        <v>46028.118055555555</v>
      </c>
      <c r="E173" s="52">
        <v>46028.118055555555</v>
      </c>
      <c r="F173" s="52">
        <v>46028.320138888892</v>
      </c>
      <c r="G173" s="53">
        <f t="shared" si="10"/>
        <v>0.20208333333721384</v>
      </c>
      <c r="H173" s="1" t="s">
        <v>248</v>
      </c>
      <c r="J173" s="1" t="s">
        <v>249</v>
      </c>
      <c r="K173" s="1" t="s">
        <v>349</v>
      </c>
      <c r="L173" s="1" t="s">
        <v>365</v>
      </c>
      <c r="M173" s="1" t="s">
        <v>251</v>
      </c>
      <c r="N173" s="1" t="s">
        <v>330</v>
      </c>
      <c r="O173" s="1" t="s">
        <v>331</v>
      </c>
      <c r="P173" s="1" t="str">
        <f t="shared" si="11"/>
        <v>ARAGUATINS 2.1Inverter(MBUS-14)46028,118055555646028,118055555646028,3201388889</v>
      </c>
      <c r="Q173" s="1" t="str">
        <f t="shared" si="12"/>
        <v>DAURDE</v>
      </c>
    </row>
    <row r="174" spans="2:17">
      <c r="B174" s="1" t="s">
        <v>363</v>
      </c>
      <c r="C174" s="1" t="s">
        <v>328</v>
      </c>
      <c r="D174" s="52">
        <v>46028.118055555555</v>
      </c>
      <c r="E174" s="52">
        <v>46028.118055555555</v>
      </c>
      <c r="F174" s="52">
        <v>46028.320138888892</v>
      </c>
      <c r="G174" s="53">
        <f t="shared" si="10"/>
        <v>0.20208333333721384</v>
      </c>
      <c r="H174" s="1" t="s">
        <v>248</v>
      </c>
      <c r="J174" s="1" t="s">
        <v>249</v>
      </c>
      <c r="K174" s="1" t="s">
        <v>349</v>
      </c>
      <c r="L174" s="1" t="s">
        <v>365</v>
      </c>
      <c r="M174" s="1" t="s">
        <v>251</v>
      </c>
      <c r="N174" s="1" t="s">
        <v>330</v>
      </c>
      <c r="O174" s="1" t="s">
        <v>331</v>
      </c>
      <c r="P174" s="1" t="str">
        <f t="shared" si="11"/>
        <v>ARAGUATINS 2.1Inverter(MBUS-1)46028,118055555646028,118055555646028,3201388889</v>
      </c>
      <c r="Q174" s="1" t="str">
        <f t="shared" si="12"/>
        <v>DAURDE</v>
      </c>
    </row>
    <row r="175" spans="2:17">
      <c r="B175" s="1" t="s">
        <v>363</v>
      </c>
      <c r="C175" s="1" t="s">
        <v>354</v>
      </c>
      <c r="D175" s="52">
        <v>46030.017361111109</v>
      </c>
      <c r="E175" s="52">
        <v>46030.017361111109</v>
      </c>
      <c r="F175" s="52">
        <v>46030.316666666666</v>
      </c>
      <c r="G175" s="53">
        <f t="shared" si="10"/>
        <v>0.29930555555620231</v>
      </c>
      <c r="H175" s="1" t="s">
        <v>248</v>
      </c>
      <c r="J175" s="1" t="s">
        <v>249</v>
      </c>
      <c r="K175" s="1" t="s">
        <v>349</v>
      </c>
      <c r="L175" s="1" t="s">
        <v>366</v>
      </c>
      <c r="M175" s="1" t="s">
        <v>251</v>
      </c>
      <c r="N175" s="1" t="s">
        <v>330</v>
      </c>
      <c r="O175" s="1" t="s">
        <v>331</v>
      </c>
      <c r="P175" s="1" t="str">
        <f t="shared" si="11"/>
        <v>ARAGUATINS 2.1Inverter(MBUS-12)46030,017361111146030,017361111146030,3166666667</v>
      </c>
      <c r="Q175" s="1" t="str">
        <f t="shared" si="12"/>
        <v>DAURDE</v>
      </c>
    </row>
    <row r="176" spans="2:17">
      <c r="B176" s="1" t="s">
        <v>363</v>
      </c>
      <c r="C176" s="1" t="s">
        <v>359</v>
      </c>
      <c r="D176" s="52">
        <v>46030.017361111109</v>
      </c>
      <c r="E176" s="52">
        <v>46030.017361111109</v>
      </c>
      <c r="F176" s="52">
        <v>46030.316666666666</v>
      </c>
      <c r="G176" s="53">
        <f t="shared" si="10"/>
        <v>0.29930555555620231</v>
      </c>
      <c r="H176" s="1" t="s">
        <v>248</v>
      </c>
      <c r="J176" s="1" t="s">
        <v>249</v>
      </c>
      <c r="K176" s="1" t="s">
        <v>349</v>
      </c>
      <c r="L176" s="1" t="s">
        <v>366</v>
      </c>
      <c r="M176" s="1" t="s">
        <v>251</v>
      </c>
      <c r="N176" s="1" t="s">
        <v>330</v>
      </c>
      <c r="O176" s="1" t="s">
        <v>331</v>
      </c>
      <c r="P176" s="1" t="str">
        <f t="shared" si="11"/>
        <v>ARAGUATINS 2.1Inverter(MBUS-15)46030,017361111146030,017361111146030,3166666667</v>
      </c>
      <c r="Q176" s="1" t="str">
        <f t="shared" si="12"/>
        <v>DAURDE</v>
      </c>
    </row>
    <row r="177" spans="2:17">
      <c r="B177" s="1" t="s">
        <v>363</v>
      </c>
      <c r="C177" s="1" t="s">
        <v>358</v>
      </c>
      <c r="D177" s="52">
        <v>46030.017361111109</v>
      </c>
      <c r="E177" s="52">
        <v>46030.017361111109</v>
      </c>
      <c r="F177" s="52">
        <v>46030.316666666666</v>
      </c>
      <c r="G177" s="53">
        <f t="shared" si="10"/>
        <v>0.29930555555620231</v>
      </c>
      <c r="H177" s="1" t="s">
        <v>248</v>
      </c>
      <c r="J177" s="1" t="s">
        <v>249</v>
      </c>
      <c r="K177" s="1" t="s">
        <v>349</v>
      </c>
      <c r="L177" s="1" t="s">
        <v>366</v>
      </c>
      <c r="M177" s="1" t="s">
        <v>251</v>
      </c>
      <c r="N177" s="1" t="s">
        <v>330</v>
      </c>
      <c r="O177" s="1" t="s">
        <v>331</v>
      </c>
      <c r="P177" s="1" t="str">
        <f t="shared" si="11"/>
        <v>ARAGUATINS 2.1Inverter(MBUS-14)46030,017361111146030,017361111146030,3166666667</v>
      </c>
      <c r="Q177" s="1" t="str">
        <f t="shared" si="12"/>
        <v>DAURDE</v>
      </c>
    </row>
    <row r="178" spans="2:17">
      <c r="B178" s="1" t="s">
        <v>363</v>
      </c>
      <c r="C178" s="1" t="s">
        <v>328</v>
      </c>
      <c r="D178" s="52">
        <v>46030.017361111109</v>
      </c>
      <c r="E178" s="52">
        <v>46030.017361111109</v>
      </c>
      <c r="F178" s="52">
        <v>46030.316666666666</v>
      </c>
      <c r="G178" s="53">
        <f t="shared" si="10"/>
        <v>0.29930555555620231</v>
      </c>
      <c r="H178" s="1" t="s">
        <v>248</v>
      </c>
      <c r="J178" s="1" t="s">
        <v>249</v>
      </c>
      <c r="K178" s="1" t="s">
        <v>349</v>
      </c>
      <c r="L178" s="1" t="s">
        <v>366</v>
      </c>
      <c r="M178" s="1" t="s">
        <v>251</v>
      </c>
      <c r="N178" s="1" t="s">
        <v>330</v>
      </c>
      <c r="O178" s="1" t="s">
        <v>331</v>
      </c>
      <c r="P178" s="1" t="str">
        <f t="shared" si="11"/>
        <v>ARAGUATINS 2.1Inverter(MBUS-1)46030,017361111146030,017361111146030,3166666667</v>
      </c>
      <c r="Q178" s="1" t="str">
        <f t="shared" si="12"/>
        <v>DAURDE</v>
      </c>
    </row>
    <row r="179" spans="2:17">
      <c r="B179" s="1" t="s">
        <v>363</v>
      </c>
      <c r="C179" s="1" t="s">
        <v>354</v>
      </c>
      <c r="D179" s="52">
        <v>46031.465277777781</v>
      </c>
      <c r="E179" s="52">
        <v>46031.465277777781</v>
      </c>
      <c r="F179" s="52">
        <v>46032.332638888889</v>
      </c>
      <c r="G179" s="53">
        <f t="shared" si="10"/>
        <v>0.86736111110803904</v>
      </c>
      <c r="H179" s="1" t="s">
        <v>248</v>
      </c>
      <c r="J179" s="1" t="s">
        <v>249</v>
      </c>
      <c r="K179" s="1" t="s">
        <v>349</v>
      </c>
      <c r="L179" s="1" t="s">
        <v>367</v>
      </c>
      <c r="M179" s="1" t="s">
        <v>251</v>
      </c>
      <c r="N179" s="1" t="s">
        <v>330</v>
      </c>
      <c r="O179" s="1" t="s">
        <v>331</v>
      </c>
      <c r="P179" s="1" t="str">
        <f t="shared" si="11"/>
        <v>ARAGUATINS 2.1Inverter(MBUS-12)46031,465277777846031,465277777846032,3326388889</v>
      </c>
      <c r="Q179" s="1" t="str">
        <f t="shared" si="12"/>
        <v>DAURDE</v>
      </c>
    </row>
    <row r="180" spans="2:17">
      <c r="B180" s="1" t="s">
        <v>363</v>
      </c>
      <c r="C180" s="1" t="s">
        <v>359</v>
      </c>
      <c r="D180" s="52">
        <v>46031.465277777781</v>
      </c>
      <c r="E180" s="52">
        <v>46031.465277777781</v>
      </c>
      <c r="F180" s="52">
        <v>46032.332638888889</v>
      </c>
      <c r="G180" s="53">
        <f t="shared" ref="G180:G182" si="13">F180-E180</f>
        <v>0.86736111110803904</v>
      </c>
      <c r="H180" s="1" t="s">
        <v>248</v>
      </c>
      <c r="J180" s="1" t="s">
        <v>249</v>
      </c>
      <c r="K180" s="1" t="s">
        <v>349</v>
      </c>
      <c r="L180" s="1" t="s">
        <v>367</v>
      </c>
      <c r="M180" s="1" t="s">
        <v>251</v>
      </c>
      <c r="N180" s="1" t="s">
        <v>330</v>
      </c>
      <c r="O180" s="1" t="s">
        <v>331</v>
      </c>
      <c r="P180" s="1" t="str">
        <f t="shared" si="11"/>
        <v>ARAGUATINS 2.1Inverter(MBUS-15)46031,465277777846031,465277777846032,3326388889</v>
      </c>
      <c r="Q180" s="1" t="str">
        <f t="shared" si="12"/>
        <v>DAURDE</v>
      </c>
    </row>
    <row r="181" spans="2:17">
      <c r="B181" s="1" t="s">
        <v>363</v>
      </c>
      <c r="C181" s="1" t="s">
        <v>358</v>
      </c>
      <c r="D181" s="52">
        <v>46031.465277777781</v>
      </c>
      <c r="E181" s="52">
        <v>46031.465277777781</v>
      </c>
      <c r="F181" s="52">
        <v>46032.332638888889</v>
      </c>
      <c r="G181" s="53">
        <f t="shared" si="13"/>
        <v>0.86736111110803904</v>
      </c>
      <c r="H181" s="1" t="s">
        <v>248</v>
      </c>
      <c r="J181" s="1" t="s">
        <v>249</v>
      </c>
      <c r="K181" s="1" t="s">
        <v>349</v>
      </c>
      <c r="L181" s="1" t="s">
        <v>367</v>
      </c>
      <c r="M181" s="1" t="s">
        <v>251</v>
      </c>
      <c r="N181" s="1" t="s">
        <v>330</v>
      </c>
      <c r="O181" s="1" t="s">
        <v>331</v>
      </c>
      <c r="P181" s="1" t="str">
        <f t="shared" si="11"/>
        <v>ARAGUATINS 2.1Inverter(MBUS-14)46031,465277777846031,465277777846032,3326388889</v>
      </c>
      <c r="Q181" s="1" t="str">
        <f t="shared" si="12"/>
        <v>DAURDE</v>
      </c>
    </row>
    <row r="182" spans="2:17">
      <c r="B182" s="1" t="s">
        <v>363</v>
      </c>
      <c r="C182" s="1" t="s">
        <v>328</v>
      </c>
      <c r="D182" s="52">
        <v>46031.465277777781</v>
      </c>
      <c r="E182" s="52">
        <v>46031.465277777781</v>
      </c>
      <c r="F182" s="52">
        <v>46032.332638888889</v>
      </c>
      <c r="G182" s="53">
        <f t="shared" si="13"/>
        <v>0.86736111110803904</v>
      </c>
      <c r="H182" s="1" t="s">
        <v>248</v>
      </c>
      <c r="J182" s="1" t="s">
        <v>249</v>
      </c>
      <c r="K182" s="1" t="s">
        <v>349</v>
      </c>
      <c r="L182" s="1" t="s">
        <v>367</v>
      </c>
      <c r="M182" s="1" t="s">
        <v>251</v>
      </c>
      <c r="N182" s="1" t="s">
        <v>330</v>
      </c>
      <c r="O182" s="1" t="s">
        <v>331</v>
      </c>
      <c r="P182" s="1" t="str">
        <f t="shared" si="11"/>
        <v>ARAGUATINS 2.1Inverter(MBUS-1)46031,465277777846031,465277777846032,3326388889</v>
      </c>
      <c r="Q182" s="1" t="str">
        <f t="shared" si="12"/>
        <v>DAURDE</v>
      </c>
    </row>
    <row r="183" spans="2:17">
      <c r="B183" s="1" t="s">
        <v>353</v>
      </c>
      <c r="C183" s="1" t="s">
        <v>354</v>
      </c>
      <c r="D183" s="52">
        <v>46031.875</v>
      </c>
      <c r="E183" s="52">
        <v>46031.875</v>
      </c>
      <c r="F183" s="52">
        <v>46031.927083333336</v>
      </c>
      <c r="G183" s="53">
        <f t="shared" si="10"/>
        <v>5.2083333335758653E-2</v>
      </c>
      <c r="H183" s="1" t="s">
        <v>248</v>
      </c>
      <c r="J183" s="1" t="s">
        <v>249</v>
      </c>
      <c r="K183" s="1" t="s">
        <v>349</v>
      </c>
      <c r="L183" s="1" t="s">
        <v>368</v>
      </c>
      <c r="M183" s="1" t="s">
        <v>251</v>
      </c>
      <c r="N183" s="1" t="s">
        <v>330</v>
      </c>
      <c r="O183" s="1" t="s">
        <v>331</v>
      </c>
      <c r="P183" s="1" t="str">
        <f t="shared" si="11"/>
        <v>ARAGUATINS 1.1Inverter(MBUS-12)46031,87546031,87546031,9270833333</v>
      </c>
      <c r="Q183" s="1" t="str">
        <f t="shared" si="12"/>
        <v>DAURDE</v>
      </c>
    </row>
    <row r="184" spans="2:17">
      <c r="B184" s="1" t="s">
        <v>353</v>
      </c>
      <c r="C184" s="1" t="s">
        <v>357</v>
      </c>
      <c r="D184" s="52">
        <v>46031.875</v>
      </c>
      <c r="E184" s="52">
        <v>46031.875</v>
      </c>
      <c r="F184" s="52">
        <v>46031.927083333336</v>
      </c>
      <c r="G184" s="53">
        <f t="shared" si="10"/>
        <v>5.2083333335758653E-2</v>
      </c>
      <c r="H184" s="1" t="s">
        <v>248</v>
      </c>
      <c r="J184" s="1" t="s">
        <v>249</v>
      </c>
      <c r="K184" s="1" t="s">
        <v>349</v>
      </c>
      <c r="L184" s="1" t="s">
        <v>368</v>
      </c>
      <c r="M184" s="1" t="s">
        <v>251</v>
      </c>
      <c r="N184" s="1" t="s">
        <v>330</v>
      </c>
      <c r="O184" s="1" t="s">
        <v>331</v>
      </c>
      <c r="P184" s="1" t="str">
        <f t="shared" si="11"/>
        <v>ARAGUATINS 1.1Inverter(MBUS-13)46031,87546031,87546031,9270833333</v>
      </c>
      <c r="Q184" s="1" t="str">
        <f t="shared" si="12"/>
        <v>DAURDE</v>
      </c>
    </row>
    <row r="185" spans="2:17">
      <c r="B185" s="1" t="s">
        <v>353</v>
      </c>
      <c r="C185" s="1" t="s">
        <v>358</v>
      </c>
      <c r="D185" s="52">
        <v>46031.875</v>
      </c>
      <c r="E185" s="52">
        <v>46031.875</v>
      </c>
      <c r="F185" s="52">
        <v>46031.927083333336</v>
      </c>
      <c r="G185" s="53">
        <f t="shared" si="10"/>
        <v>5.2083333335758653E-2</v>
      </c>
      <c r="H185" s="1" t="s">
        <v>248</v>
      </c>
      <c r="J185" s="1" t="s">
        <v>249</v>
      </c>
      <c r="K185" s="1" t="s">
        <v>349</v>
      </c>
      <c r="L185" s="1" t="s">
        <v>368</v>
      </c>
      <c r="M185" s="1" t="s">
        <v>251</v>
      </c>
      <c r="N185" s="1" t="s">
        <v>330</v>
      </c>
      <c r="O185" s="1" t="s">
        <v>331</v>
      </c>
      <c r="P185" s="1" t="str">
        <f t="shared" si="11"/>
        <v>ARAGUATINS 1.1Inverter(MBUS-14)46031,87546031,87546031,9270833333</v>
      </c>
      <c r="Q185" s="1" t="str">
        <f t="shared" si="12"/>
        <v>DAURDE</v>
      </c>
    </row>
    <row r="186" spans="2:17">
      <c r="B186" s="1" t="s">
        <v>353</v>
      </c>
      <c r="C186" s="1" t="s">
        <v>359</v>
      </c>
      <c r="D186" s="52">
        <v>46031.875</v>
      </c>
      <c r="E186" s="52">
        <v>46031.875</v>
      </c>
      <c r="F186" s="52">
        <v>46031.927083333336</v>
      </c>
      <c r="G186" s="53">
        <f t="shared" si="10"/>
        <v>5.2083333335758653E-2</v>
      </c>
      <c r="H186" s="1" t="s">
        <v>248</v>
      </c>
      <c r="J186" s="1" t="s">
        <v>249</v>
      </c>
      <c r="K186" s="1" t="s">
        <v>349</v>
      </c>
      <c r="L186" s="1" t="s">
        <v>368</v>
      </c>
      <c r="M186" s="1" t="s">
        <v>251</v>
      </c>
      <c r="N186" s="1" t="s">
        <v>330</v>
      </c>
      <c r="O186" s="1" t="s">
        <v>331</v>
      </c>
      <c r="P186" s="1" t="str">
        <f t="shared" si="11"/>
        <v>ARAGUATINS 1.1Inverter(MBUS-15)46031,87546031,87546031,9270833333</v>
      </c>
      <c r="Q186" s="1" t="str">
        <f t="shared" si="12"/>
        <v>DAURDE</v>
      </c>
    </row>
    <row r="187" spans="2:17">
      <c r="B187" s="1" t="s">
        <v>353</v>
      </c>
      <c r="C187" s="1" t="s">
        <v>354</v>
      </c>
      <c r="D187" s="52">
        <v>46032.034722222219</v>
      </c>
      <c r="E187" s="52">
        <v>46032.034722222219</v>
      </c>
      <c r="F187" s="52">
        <v>46032.332638888889</v>
      </c>
      <c r="G187" s="53">
        <f t="shared" si="10"/>
        <v>0.29791666667006211</v>
      </c>
      <c r="H187" s="1" t="s">
        <v>248</v>
      </c>
      <c r="J187" s="1" t="s">
        <v>249</v>
      </c>
      <c r="K187" s="1" t="s">
        <v>349</v>
      </c>
      <c r="L187" s="1" t="s">
        <v>367</v>
      </c>
      <c r="M187" s="1" t="s">
        <v>251</v>
      </c>
      <c r="N187" s="1" t="s">
        <v>330</v>
      </c>
      <c r="O187" s="1" t="s">
        <v>331</v>
      </c>
      <c r="P187" s="1" t="str">
        <f t="shared" si="11"/>
        <v>ARAGUATINS 1.1Inverter(MBUS-12)46032,034722222246032,034722222246032,3326388889</v>
      </c>
      <c r="Q187" s="1" t="str">
        <f t="shared" si="12"/>
        <v>DAURDE</v>
      </c>
    </row>
    <row r="188" spans="2:17">
      <c r="B188" s="1" t="s">
        <v>353</v>
      </c>
      <c r="C188" s="1" t="s">
        <v>357</v>
      </c>
      <c r="D188" s="52">
        <v>46032.034722222219</v>
      </c>
      <c r="E188" s="52">
        <v>46032.034722222219</v>
      </c>
      <c r="F188" s="52">
        <v>46032.332638888889</v>
      </c>
      <c r="G188" s="53">
        <f t="shared" si="10"/>
        <v>0.29791666667006211</v>
      </c>
      <c r="H188" s="1" t="s">
        <v>248</v>
      </c>
      <c r="J188" s="1" t="s">
        <v>249</v>
      </c>
      <c r="K188" s="1" t="s">
        <v>349</v>
      </c>
      <c r="L188" s="1" t="s">
        <v>367</v>
      </c>
      <c r="M188" s="1" t="s">
        <v>251</v>
      </c>
      <c r="N188" s="1" t="s">
        <v>330</v>
      </c>
      <c r="O188" s="1" t="s">
        <v>331</v>
      </c>
      <c r="P188" s="1" t="str">
        <f t="shared" si="11"/>
        <v>ARAGUATINS 1.1Inverter(MBUS-13)46032,034722222246032,034722222246032,3326388889</v>
      </c>
      <c r="Q188" s="1" t="str">
        <f t="shared" si="12"/>
        <v>DAURDE</v>
      </c>
    </row>
    <row r="189" spans="2:17">
      <c r="B189" s="1" t="s">
        <v>353</v>
      </c>
      <c r="C189" s="1" t="s">
        <v>358</v>
      </c>
      <c r="D189" s="52">
        <v>46032.034722222219</v>
      </c>
      <c r="E189" s="52">
        <v>46032.034722222219</v>
      </c>
      <c r="F189" s="52">
        <v>46032.332638888889</v>
      </c>
      <c r="G189" s="53">
        <f t="shared" si="10"/>
        <v>0.29791666667006211</v>
      </c>
      <c r="H189" s="1" t="s">
        <v>248</v>
      </c>
      <c r="J189" s="1" t="s">
        <v>249</v>
      </c>
      <c r="K189" s="1" t="s">
        <v>349</v>
      </c>
      <c r="L189" s="1" t="s">
        <v>367</v>
      </c>
      <c r="M189" s="1" t="s">
        <v>251</v>
      </c>
      <c r="N189" s="1" t="s">
        <v>330</v>
      </c>
      <c r="O189" s="1" t="s">
        <v>331</v>
      </c>
      <c r="P189" s="1" t="str">
        <f t="shared" si="11"/>
        <v>ARAGUATINS 1.1Inverter(MBUS-14)46032,034722222246032,034722222246032,3326388889</v>
      </c>
      <c r="Q189" s="1" t="str">
        <f t="shared" si="12"/>
        <v>DAURDE</v>
      </c>
    </row>
    <row r="190" spans="2:17">
      <c r="B190" s="1" t="s">
        <v>353</v>
      </c>
      <c r="C190" s="1" t="s">
        <v>359</v>
      </c>
      <c r="D190" s="52">
        <v>46032.034722222219</v>
      </c>
      <c r="E190" s="52">
        <v>46032.034722222219</v>
      </c>
      <c r="F190" s="52">
        <v>46032.332638888889</v>
      </c>
      <c r="G190" s="53">
        <f t="shared" ref="G190:G253" si="14">F190-E190</f>
        <v>0.29791666667006211</v>
      </c>
      <c r="H190" s="1" t="s">
        <v>248</v>
      </c>
      <c r="J190" s="1" t="s">
        <v>249</v>
      </c>
      <c r="K190" s="1" t="s">
        <v>349</v>
      </c>
      <c r="L190" s="1" t="s">
        <v>367</v>
      </c>
      <c r="M190" s="1" t="s">
        <v>251</v>
      </c>
      <c r="N190" s="1" t="s">
        <v>330</v>
      </c>
      <c r="O190" s="1" t="s">
        <v>331</v>
      </c>
      <c r="P190" s="1" t="str">
        <f t="shared" ref="P190:P199" si="15">_xlfn.CONCAT(B190,C190,D190,E190,F190)</f>
        <v>ARAGUATINS 1.1Inverter(MBUS-15)46032,034722222246032,034722222246032,3326388889</v>
      </c>
      <c r="Q190" s="1" t="str">
        <f t="shared" ref="Q190:Q199" si="16">_xlfn.CONCAT(H190,I190,J190)</f>
        <v>DAURDE</v>
      </c>
    </row>
    <row r="191" spans="2:17">
      <c r="B191" s="1" t="s">
        <v>360</v>
      </c>
      <c r="C191" s="1" t="s">
        <v>354</v>
      </c>
      <c r="D191" s="52">
        <v>46032.034722222219</v>
      </c>
      <c r="E191" s="52">
        <v>46032.034722222219</v>
      </c>
      <c r="F191" s="52">
        <v>46032.332638888889</v>
      </c>
      <c r="G191" s="53">
        <f t="shared" si="14"/>
        <v>0.29791666667006211</v>
      </c>
      <c r="H191" s="1" t="s">
        <v>248</v>
      </c>
      <c r="J191" s="1" t="s">
        <v>249</v>
      </c>
      <c r="K191" s="1" t="s">
        <v>349</v>
      </c>
      <c r="L191" s="1" t="s">
        <v>367</v>
      </c>
      <c r="M191" s="1" t="s">
        <v>251</v>
      </c>
      <c r="N191" s="1" t="s">
        <v>330</v>
      </c>
      <c r="O191" s="1" t="s">
        <v>331</v>
      </c>
      <c r="P191" s="1" t="str">
        <f t="shared" si="15"/>
        <v>ARAGUATINS 1.2Inverter(MBUS-12)46032,034722222246032,034722222246032,3326388889</v>
      </c>
      <c r="Q191" s="1" t="str">
        <f t="shared" si="16"/>
        <v>DAURDE</v>
      </c>
    </row>
    <row r="192" spans="2:17">
      <c r="B192" s="1" t="s">
        <v>360</v>
      </c>
      <c r="C192" s="1" t="s">
        <v>357</v>
      </c>
      <c r="D192" s="52">
        <v>46032.034722222219</v>
      </c>
      <c r="E192" s="52">
        <v>46032.034722222219</v>
      </c>
      <c r="F192" s="52">
        <v>46032.332638888889</v>
      </c>
      <c r="G192" s="53">
        <f t="shared" si="14"/>
        <v>0.29791666667006211</v>
      </c>
      <c r="H192" s="1" t="s">
        <v>248</v>
      </c>
      <c r="J192" s="1" t="s">
        <v>249</v>
      </c>
      <c r="K192" s="1" t="s">
        <v>349</v>
      </c>
      <c r="L192" s="1" t="s">
        <v>367</v>
      </c>
      <c r="M192" s="1" t="s">
        <v>251</v>
      </c>
      <c r="N192" s="1" t="s">
        <v>330</v>
      </c>
      <c r="O192" s="1" t="s">
        <v>331</v>
      </c>
      <c r="P192" s="1" t="str">
        <f t="shared" si="15"/>
        <v>ARAGUATINS 1.2Inverter(MBUS-13)46032,034722222246032,034722222246032,3326388889</v>
      </c>
      <c r="Q192" s="1" t="str">
        <f t="shared" si="16"/>
        <v>DAURDE</v>
      </c>
    </row>
    <row r="193" spans="2:17">
      <c r="B193" s="1" t="s">
        <v>360</v>
      </c>
      <c r="C193" s="1" t="s">
        <v>358</v>
      </c>
      <c r="D193" s="52">
        <v>46032.034722222219</v>
      </c>
      <c r="E193" s="52">
        <v>46032.034722222219</v>
      </c>
      <c r="F193" s="52">
        <v>46032.332638888889</v>
      </c>
      <c r="G193" s="53">
        <f t="shared" si="14"/>
        <v>0.29791666667006211</v>
      </c>
      <c r="H193" s="1" t="s">
        <v>248</v>
      </c>
      <c r="J193" s="1" t="s">
        <v>249</v>
      </c>
      <c r="K193" s="1" t="s">
        <v>349</v>
      </c>
      <c r="L193" s="1" t="s">
        <v>367</v>
      </c>
      <c r="M193" s="1" t="s">
        <v>251</v>
      </c>
      <c r="N193" s="1" t="s">
        <v>330</v>
      </c>
      <c r="O193" s="1" t="s">
        <v>331</v>
      </c>
      <c r="P193" s="1" t="str">
        <f t="shared" si="15"/>
        <v>ARAGUATINS 1.2Inverter(MBUS-14)46032,034722222246032,034722222246032,3326388889</v>
      </c>
      <c r="Q193" s="1" t="str">
        <f t="shared" si="16"/>
        <v>DAURDE</v>
      </c>
    </row>
    <row r="194" spans="2:17">
      <c r="B194" s="1" t="s">
        <v>360</v>
      </c>
      <c r="C194" s="1" t="s">
        <v>359</v>
      </c>
      <c r="D194" s="52">
        <v>46032.034722222219</v>
      </c>
      <c r="E194" s="52">
        <v>46032.034722222219</v>
      </c>
      <c r="F194" s="52">
        <v>46032.332638888889</v>
      </c>
      <c r="G194" s="53">
        <f t="shared" si="14"/>
        <v>0.29791666667006211</v>
      </c>
      <c r="H194" s="1" t="s">
        <v>248</v>
      </c>
      <c r="J194" s="1" t="s">
        <v>249</v>
      </c>
      <c r="K194" s="1" t="s">
        <v>349</v>
      </c>
      <c r="L194" s="1" t="s">
        <v>367</v>
      </c>
      <c r="M194" s="1" t="s">
        <v>251</v>
      </c>
      <c r="N194" s="1" t="s">
        <v>330</v>
      </c>
      <c r="O194" s="1" t="s">
        <v>331</v>
      </c>
      <c r="P194" s="1" t="str">
        <f t="shared" si="15"/>
        <v>ARAGUATINS 1.2Inverter(MBUS-15)46032,034722222246032,034722222246032,3326388889</v>
      </c>
      <c r="Q194" s="1" t="str">
        <f t="shared" si="16"/>
        <v>DAURDE</v>
      </c>
    </row>
    <row r="195" spans="2:17">
      <c r="B195" s="1" t="s">
        <v>361</v>
      </c>
      <c r="C195" s="1" t="s">
        <v>362</v>
      </c>
      <c r="D195" s="52">
        <v>46032.034722222219</v>
      </c>
      <c r="E195" s="52">
        <v>46032.034722222219</v>
      </c>
      <c r="F195" s="52">
        <v>46032.332638888889</v>
      </c>
      <c r="G195" s="53">
        <f t="shared" si="14"/>
        <v>0.29791666667006211</v>
      </c>
      <c r="H195" s="1" t="s">
        <v>248</v>
      </c>
      <c r="J195" s="1" t="s">
        <v>249</v>
      </c>
      <c r="K195" s="1" t="s">
        <v>349</v>
      </c>
      <c r="L195" s="1" t="s">
        <v>367</v>
      </c>
      <c r="M195" s="1" t="s">
        <v>251</v>
      </c>
      <c r="N195" s="1" t="s">
        <v>330</v>
      </c>
      <c r="O195" s="1" t="s">
        <v>331</v>
      </c>
      <c r="P195" s="1" t="str">
        <f t="shared" si="15"/>
        <v>ARAGUATINS 1.3Inverter(MBUS-20)46032,034722222246032,034722222246032,3326388889</v>
      </c>
      <c r="Q195" s="1" t="str">
        <f t="shared" si="16"/>
        <v>DAURDE</v>
      </c>
    </row>
    <row r="196" spans="2:17">
      <c r="B196" s="1" t="s">
        <v>361</v>
      </c>
      <c r="C196" s="1" t="s">
        <v>328</v>
      </c>
      <c r="D196" s="52">
        <v>46032.034722222219</v>
      </c>
      <c r="E196" s="52">
        <v>46032.034722222219</v>
      </c>
      <c r="F196" s="52">
        <v>46032.332638888889</v>
      </c>
      <c r="G196" s="53">
        <f t="shared" si="14"/>
        <v>0.29791666667006211</v>
      </c>
      <c r="H196" s="1" t="s">
        <v>248</v>
      </c>
      <c r="J196" s="1" t="s">
        <v>249</v>
      </c>
      <c r="K196" s="1" t="s">
        <v>349</v>
      </c>
      <c r="L196" s="1" t="s">
        <v>367</v>
      </c>
      <c r="M196" s="1" t="s">
        <v>251</v>
      </c>
      <c r="N196" s="1" t="s">
        <v>330</v>
      </c>
      <c r="O196" s="1" t="s">
        <v>331</v>
      </c>
      <c r="P196" s="1" t="str">
        <f t="shared" si="15"/>
        <v>ARAGUATINS 1.3Inverter(MBUS-1)46032,034722222246032,034722222246032,3326388889</v>
      </c>
      <c r="Q196" s="1" t="str">
        <f t="shared" si="16"/>
        <v>DAURDE</v>
      </c>
    </row>
    <row r="197" spans="2:17">
      <c r="B197" s="1" t="s">
        <v>353</v>
      </c>
      <c r="C197" s="1" t="s">
        <v>354</v>
      </c>
      <c r="D197" s="52">
        <v>46033.788194444445</v>
      </c>
      <c r="E197" s="52">
        <v>46033.788194444445</v>
      </c>
      <c r="F197" s="52">
        <v>46034.347222222219</v>
      </c>
      <c r="G197" s="53">
        <f>F197-E197</f>
        <v>0.55902777777373558</v>
      </c>
      <c r="H197" s="1" t="s">
        <v>248</v>
      </c>
      <c r="J197" s="1" t="s">
        <v>249</v>
      </c>
      <c r="K197" s="1" t="s">
        <v>349</v>
      </c>
      <c r="L197" s="1" t="s">
        <v>364</v>
      </c>
      <c r="M197" s="1" t="s">
        <v>251</v>
      </c>
      <c r="N197" s="1" t="s">
        <v>330</v>
      </c>
      <c r="O197" s="1" t="s">
        <v>331</v>
      </c>
      <c r="P197" s="1" t="str">
        <f t="shared" si="15"/>
        <v>ARAGUATINS 1.1Inverter(MBUS-12)46033,788194444446033,788194444446034,3472222222</v>
      </c>
      <c r="Q197" s="1" t="str">
        <f t="shared" si="16"/>
        <v>DAURDE</v>
      </c>
    </row>
    <row r="198" spans="2:17">
      <c r="B198" s="1" t="s">
        <v>353</v>
      </c>
      <c r="C198" s="1" t="s">
        <v>357</v>
      </c>
      <c r="D198" s="52">
        <v>46033.788194444445</v>
      </c>
      <c r="E198" s="52">
        <v>46033.788194444445</v>
      </c>
      <c r="F198" s="52">
        <v>46034.347222222219</v>
      </c>
      <c r="G198" s="53">
        <f t="shared" si="14"/>
        <v>0.55902777777373558</v>
      </c>
      <c r="H198" s="1" t="s">
        <v>248</v>
      </c>
      <c r="J198" s="1" t="s">
        <v>249</v>
      </c>
      <c r="K198" s="1" t="s">
        <v>349</v>
      </c>
      <c r="L198" s="1" t="s">
        <v>364</v>
      </c>
      <c r="M198" s="1" t="s">
        <v>251</v>
      </c>
      <c r="N198" s="1" t="s">
        <v>330</v>
      </c>
      <c r="O198" s="1" t="s">
        <v>331</v>
      </c>
      <c r="P198" s="1" t="str">
        <f t="shared" si="15"/>
        <v>ARAGUATINS 1.1Inverter(MBUS-13)46033,788194444446033,788194444446034,3472222222</v>
      </c>
      <c r="Q198" s="1" t="str">
        <f t="shared" si="16"/>
        <v>DAURDE</v>
      </c>
    </row>
    <row r="199" spans="2:17">
      <c r="B199" s="1" t="s">
        <v>353</v>
      </c>
      <c r="C199" s="1" t="s">
        <v>358</v>
      </c>
      <c r="D199" s="52">
        <v>46033.788194444445</v>
      </c>
      <c r="E199" s="52">
        <v>46033.788194444445</v>
      </c>
      <c r="F199" s="52">
        <v>46034.347222222219</v>
      </c>
      <c r="G199" s="53">
        <f t="shared" si="14"/>
        <v>0.55902777777373558</v>
      </c>
      <c r="H199" s="1" t="s">
        <v>248</v>
      </c>
      <c r="J199" s="1" t="s">
        <v>249</v>
      </c>
      <c r="K199" s="1" t="s">
        <v>349</v>
      </c>
      <c r="L199" s="1" t="s">
        <v>364</v>
      </c>
      <c r="M199" s="1" t="s">
        <v>251</v>
      </c>
      <c r="N199" s="1" t="s">
        <v>330</v>
      </c>
      <c r="O199" s="1" t="s">
        <v>331</v>
      </c>
      <c r="P199" s="1" t="str">
        <f t="shared" si="15"/>
        <v>ARAGUATINS 1.1Inverter(MBUS-14)46033,788194444446033,788194444446034,3472222222</v>
      </c>
      <c r="Q199" s="1" t="str">
        <f t="shared" si="16"/>
        <v>DAURDE</v>
      </c>
    </row>
    <row r="200" spans="2:17">
      <c r="B200" s="1" t="s">
        <v>353</v>
      </c>
      <c r="C200" s="1" t="s">
        <v>359</v>
      </c>
      <c r="D200" s="52">
        <v>46033.788194444445</v>
      </c>
      <c r="E200" s="52">
        <v>46033.788194444445</v>
      </c>
      <c r="F200" s="52">
        <v>46034.347222222219</v>
      </c>
      <c r="G200" s="53">
        <f t="shared" si="14"/>
        <v>0.55902777777373558</v>
      </c>
      <c r="H200" s="1" t="s">
        <v>248</v>
      </c>
      <c r="J200" s="1" t="s">
        <v>249</v>
      </c>
      <c r="K200" s="1" t="s">
        <v>349</v>
      </c>
      <c r="L200" s="1" t="s">
        <v>364</v>
      </c>
      <c r="M200" s="1" t="s">
        <v>251</v>
      </c>
      <c r="N200" s="1" t="s">
        <v>330</v>
      </c>
      <c r="O200" s="1" t="s">
        <v>331</v>
      </c>
      <c r="P200" s="1" t="str">
        <f t="shared" ref="P200:P263" si="17">_xlfn.CONCAT(B200,C200,D200,E200,F200)</f>
        <v>ARAGUATINS 1.1Inverter(MBUS-15)46033,788194444446033,788194444446034,3472222222</v>
      </c>
      <c r="Q200" s="1" t="str">
        <f t="shared" ref="Q200:Q263" si="18">_xlfn.CONCAT(H200,I200,J200)</f>
        <v>DAURDE</v>
      </c>
    </row>
    <row r="201" spans="2:17">
      <c r="B201" s="1" t="s">
        <v>360</v>
      </c>
      <c r="C201" s="1" t="s">
        <v>354</v>
      </c>
      <c r="D201" s="52">
        <v>46033.788194444445</v>
      </c>
      <c r="E201" s="52">
        <v>46033.788194444445</v>
      </c>
      <c r="F201" s="52">
        <v>46034.347222222219</v>
      </c>
      <c r="G201" s="53">
        <f t="shared" si="14"/>
        <v>0.55902777777373558</v>
      </c>
      <c r="H201" s="1" t="s">
        <v>248</v>
      </c>
      <c r="J201" s="1" t="s">
        <v>249</v>
      </c>
      <c r="K201" s="1" t="s">
        <v>349</v>
      </c>
      <c r="L201" s="1" t="s">
        <v>364</v>
      </c>
      <c r="M201" s="1" t="s">
        <v>251</v>
      </c>
      <c r="N201" s="1" t="s">
        <v>330</v>
      </c>
      <c r="O201" s="1" t="s">
        <v>331</v>
      </c>
      <c r="P201" s="1" t="str">
        <f t="shared" si="17"/>
        <v>ARAGUATINS 1.2Inverter(MBUS-12)46033,788194444446033,788194444446034,3472222222</v>
      </c>
      <c r="Q201" s="1" t="str">
        <f t="shared" si="18"/>
        <v>DAURDE</v>
      </c>
    </row>
    <row r="202" spans="2:17">
      <c r="B202" s="1" t="s">
        <v>360</v>
      </c>
      <c r="C202" s="1" t="s">
        <v>357</v>
      </c>
      <c r="D202" s="52">
        <v>46033.788194444445</v>
      </c>
      <c r="E202" s="52">
        <v>46033.788194444445</v>
      </c>
      <c r="F202" s="52">
        <v>46034.347222222219</v>
      </c>
      <c r="G202" s="53">
        <f t="shared" si="14"/>
        <v>0.55902777777373558</v>
      </c>
      <c r="H202" s="1" t="s">
        <v>248</v>
      </c>
      <c r="J202" s="1" t="s">
        <v>249</v>
      </c>
      <c r="K202" s="1" t="s">
        <v>349</v>
      </c>
      <c r="L202" s="1" t="s">
        <v>364</v>
      </c>
      <c r="M202" s="1" t="s">
        <v>251</v>
      </c>
      <c r="N202" s="1" t="s">
        <v>330</v>
      </c>
      <c r="O202" s="1" t="s">
        <v>331</v>
      </c>
      <c r="P202" s="1" t="str">
        <f t="shared" si="17"/>
        <v>ARAGUATINS 1.2Inverter(MBUS-13)46033,788194444446033,788194444446034,3472222222</v>
      </c>
      <c r="Q202" s="1" t="str">
        <f t="shared" si="18"/>
        <v>DAURDE</v>
      </c>
    </row>
    <row r="203" spans="2:17">
      <c r="B203" s="1" t="s">
        <v>360</v>
      </c>
      <c r="C203" s="1" t="s">
        <v>358</v>
      </c>
      <c r="D203" s="52">
        <v>46033.788194444445</v>
      </c>
      <c r="E203" s="52">
        <v>46033.788194444445</v>
      </c>
      <c r="F203" s="52">
        <v>46034.347222222219</v>
      </c>
      <c r="G203" s="53">
        <f t="shared" si="14"/>
        <v>0.55902777777373558</v>
      </c>
      <c r="H203" s="1" t="s">
        <v>248</v>
      </c>
      <c r="J203" s="1" t="s">
        <v>249</v>
      </c>
      <c r="K203" s="1" t="s">
        <v>349</v>
      </c>
      <c r="L203" s="1" t="s">
        <v>364</v>
      </c>
      <c r="M203" s="1" t="s">
        <v>251</v>
      </c>
      <c r="N203" s="1" t="s">
        <v>330</v>
      </c>
      <c r="O203" s="1" t="s">
        <v>331</v>
      </c>
      <c r="P203" s="1" t="str">
        <f t="shared" si="17"/>
        <v>ARAGUATINS 1.2Inverter(MBUS-14)46033,788194444446033,788194444446034,3472222222</v>
      </c>
      <c r="Q203" s="1" t="str">
        <f t="shared" si="18"/>
        <v>DAURDE</v>
      </c>
    </row>
    <row r="204" spans="2:17">
      <c r="B204" s="1" t="s">
        <v>360</v>
      </c>
      <c r="C204" s="1" t="s">
        <v>359</v>
      </c>
      <c r="D204" s="52">
        <v>46033.788194444445</v>
      </c>
      <c r="E204" s="52">
        <v>46033.788194444445</v>
      </c>
      <c r="F204" s="52">
        <v>46034.347222222219</v>
      </c>
      <c r="G204" s="53">
        <f t="shared" si="14"/>
        <v>0.55902777777373558</v>
      </c>
      <c r="H204" s="1" t="s">
        <v>248</v>
      </c>
      <c r="J204" s="1" t="s">
        <v>249</v>
      </c>
      <c r="K204" s="1" t="s">
        <v>349</v>
      </c>
      <c r="L204" s="1" t="s">
        <v>364</v>
      </c>
      <c r="M204" s="1" t="s">
        <v>251</v>
      </c>
      <c r="N204" s="1" t="s">
        <v>330</v>
      </c>
      <c r="O204" s="1" t="s">
        <v>331</v>
      </c>
      <c r="P204" s="1" t="str">
        <f t="shared" si="17"/>
        <v>ARAGUATINS 1.2Inverter(MBUS-15)46033,788194444446033,788194444446034,3472222222</v>
      </c>
      <c r="Q204" s="1" t="str">
        <f t="shared" si="18"/>
        <v>DAURDE</v>
      </c>
    </row>
    <row r="205" spans="2:17">
      <c r="B205" s="1" t="s">
        <v>361</v>
      </c>
      <c r="C205" s="1" t="s">
        <v>362</v>
      </c>
      <c r="D205" s="52">
        <v>46033.788194444445</v>
      </c>
      <c r="E205" s="52">
        <v>46033.788194444445</v>
      </c>
      <c r="F205" s="52">
        <v>46034.347222222219</v>
      </c>
      <c r="G205" s="53">
        <f t="shared" si="14"/>
        <v>0.55902777777373558</v>
      </c>
      <c r="H205" s="1" t="s">
        <v>248</v>
      </c>
      <c r="J205" s="1" t="s">
        <v>249</v>
      </c>
      <c r="K205" s="1" t="s">
        <v>349</v>
      </c>
      <c r="L205" s="1" t="s">
        <v>364</v>
      </c>
      <c r="M205" s="1" t="s">
        <v>251</v>
      </c>
      <c r="N205" s="1" t="s">
        <v>330</v>
      </c>
      <c r="O205" s="1" t="s">
        <v>331</v>
      </c>
      <c r="P205" s="1" t="str">
        <f t="shared" si="17"/>
        <v>ARAGUATINS 1.3Inverter(MBUS-20)46033,788194444446033,788194444446034,3472222222</v>
      </c>
      <c r="Q205" s="1" t="str">
        <f t="shared" si="18"/>
        <v>DAURDE</v>
      </c>
    </row>
    <row r="206" spans="2:17">
      <c r="B206" s="1" t="s">
        <v>361</v>
      </c>
      <c r="C206" s="1" t="s">
        <v>328</v>
      </c>
      <c r="D206" s="52">
        <v>46033.788194444445</v>
      </c>
      <c r="E206" s="52">
        <v>46033.788194444445</v>
      </c>
      <c r="F206" s="52">
        <v>46034.347222222219</v>
      </c>
      <c r="G206" s="53">
        <f t="shared" si="14"/>
        <v>0.55902777777373558</v>
      </c>
      <c r="H206" s="1" t="s">
        <v>248</v>
      </c>
      <c r="J206" s="1" t="s">
        <v>249</v>
      </c>
      <c r="K206" s="1" t="s">
        <v>349</v>
      </c>
      <c r="L206" s="1" t="s">
        <v>364</v>
      </c>
      <c r="M206" s="1" t="s">
        <v>251</v>
      </c>
      <c r="N206" s="1" t="s">
        <v>330</v>
      </c>
      <c r="O206" s="1" t="s">
        <v>331</v>
      </c>
      <c r="P206" s="1" t="str">
        <f t="shared" si="17"/>
        <v>ARAGUATINS 1.3Inverter(MBUS-1)46033,788194444446033,788194444446034,3472222222</v>
      </c>
      <c r="Q206" s="1" t="str">
        <f t="shared" si="18"/>
        <v>DAURDE</v>
      </c>
    </row>
    <row r="207" spans="2:17">
      <c r="B207" s="1" t="s">
        <v>363</v>
      </c>
      <c r="C207" s="1" t="s">
        <v>354</v>
      </c>
      <c r="D207" s="52">
        <v>46033.788194444445</v>
      </c>
      <c r="E207" s="52">
        <v>46033.788194444445</v>
      </c>
      <c r="F207" s="52">
        <v>46034.347222222219</v>
      </c>
      <c r="G207" s="53">
        <f t="shared" si="14"/>
        <v>0.55902777777373558</v>
      </c>
      <c r="H207" s="1" t="s">
        <v>248</v>
      </c>
      <c r="J207" s="1" t="s">
        <v>249</v>
      </c>
      <c r="K207" s="1" t="s">
        <v>349</v>
      </c>
      <c r="L207" s="1" t="s">
        <v>364</v>
      </c>
      <c r="M207" s="1" t="s">
        <v>251</v>
      </c>
      <c r="N207" s="1" t="s">
        <v>330</v>
      </c>
      <c r="O207" s="1" t="s">
        <v>331</v>
      </c>
      <c r="P207" s="1" t="str">
        <f t="shared" si="17"/>
        <v>ARAGUATINS 2.1Inverter(MBUS-12)46033,788194444446033,788194444446034,3472222222</v>
      </c>
      <c r="Q207" s="1" t="str">
        <f t="shared" si="18"/>
        <v>DAURDE</v>
      </c>
    </row>
    <row r="208" spans="2:17">
      <c r="B208" s="1" t="s">
        <v>363</v>
      </c>
      <c r="C208" s="1" t="s">
        <v>359</v>
      </c>
      <c r="D208" s="52">
        <v>46033.788194444445</v>
      </c>
      <c r="E208" s="52">
        <v>46033.788194444445</v>
      </c>
      <c r="F208" s="52">
        <v>46034.347222222219</v>
      </c>
      <c r="G208" s="53">
        <f t="shared" si="14"/>
        <v>0.55902777777373558</v>
      </c>
      <c r="H208" s="1" t="s">
        <v>248</v>
      </c>
      <c r="J208" s="1" t="s">
        <v>249</v>
      </c>
      <c r="K208" s="1" t="s">
        <v>349</v>
      </c>
      <c r="L208" s="1" t="s">
        <v>364</v>
      </c>
      <c r="M208" s="1" t="s">
        <v>251</v>
      </c>
      <c r="N208" s="1" t="s">
        <v>330</v>
      </c>
      <c r="O208" s="1" t="s">
        <v>331</v>
      </c>
      <c r="P208" s="1" t="str">
        <f t="shared" si="17"/>
        <v>ARAGUATINS 2.1Inverter(MBUS-15)46033,788194444446033,788194444446034,3472222222</v>
      </c>
      <c r="Q208" s="1" t="str">
        <f t="shared" si="18"/>
        <v>DAURDE</v>
      </c>
    </row>
    <row r="209" spans="2:17">
      <c r="B209" s="1" t="s">
        <v>363</v>
      </c>
      <c r="C209" s="1" t="s">
        <v>358</v>
      </c>
      <c r="D209" s="52">
        <v>46033.788194444445</v>
      </c>
      <c r="E209" s="52">
        <v>46033.788194444445</v>
      </c>
      <c r="F209" s="52">
        <v>46034.347222222219</v>
      </c>
      <c r="G209" s="53">
        <f t="shared" si="14"/>
        <v>0.55902777777373558</v>
      </c>
      <c r="H209" s="1" t="s">
        <v>248</v>
      </c>
      <c r="J209" s="1" t="s">
        <v>249</v>
      </c>
      <c r="K209" s="1" t="s">
        <v>349</v>
      </c>
      <c r="L209" s="1" t="s">
        <v>364</v>
      </c>
      <c r="M209" s="1" t="s">
        <v>251</v>
      </c>
      <c r="N209" s="1" t="s">
        <v>330</v>
      </c>
      <c r="O209" s="1" t="s">
        <v>331</v>
      </c>
      <c r="P209" s="1" t="str">
        <f t="shared" si="17"/>
        <v>ARAGUATINS 2.1Inverter(MBUS-14)46033,788194444446033,788194444446034,3472222222</v>
      </c>
      <c r="Q209" s="1" t="str">
        <f t="shared" si="18"/>
        <v>DAURDE</v>
      </c>
    </row>
    <row r="210" spans="2:17">
      <c r="B210" s="1" t="s">
        <v>363</v>
      </c>
      <c r="C210" s="1" t="s">
        <v>328</v>
      </c>
      <c r="D210" s="52">
        <v>46033.788194444445</v>
      </c>
      <c r="E210" s="52">
        <v>46033.788194444445</v>
      </c>
      <c r="F210" s="52">
        <v>46034.347222222219</v>
      </c>
      <c r="G210" s="53">
        <f t="shared" si="14"/>
        <v>0.55902777777373558</v>
      </c>
      <c r="H210" s="1" t="s">
        <v>248</v>
      </c>
      <c r="J210" s="1" t="s">
        <v>249</v>
      </c>
      <c r="K210" s="1" t="s">
        <v>349</v>
      </c>
      <c r="L210" s="1" t="s">
        <v>364</v>
      </c>
      <c r="M210" s="1" t="s">
        <v>251</v>
      </c>
      <c r="N210" s="1" t="s">
        <v>330</v>
      </c>
      <c r="O210" s="1" t="s">
        <v>331</v>
      </c>
      <c r="P210" s="1" t="str">
        <f t="shared" si="17"/>
        <v>ARAGUATINS 2.1Inverter(MBUS-1)46033,788194444446033,788194444446034,3472222222</v>
      </c>
      <c r="Q210" s="1" t="str">
        <f t="shared" si="18"/>
        <v>DAURDE</v>
      </c>
    </row>
    <row r="211" spans="2:17">
      <c r="B211" s="1" t="s">
        <v>369</v>
      </c>
      <c r="C211" s="1" t="s">
        <v>359</v>
      </c>
      <c r="D211" s="52">
        <v>46033.788194444445</v>
      </c>
      <c r="E211" s="52">
        <v>46033.788194444445</v>
      </c>
      <c r="F211" s="52">
        <v>46034.347222222219</v>
      </c>
      <c r="G211" s="53">
        <f t="shared" si="14"/>
        <v>0.55902777777373558</v>
      </c>
      <c r="H211" s="1" t="s">
        <v>248</v>
      </c>
      <c r="J211" s="1" t="s">
        <v>249</v>
      </c>
      <c r="K211" s="1" t="s">
        <v>349</v>
      </c>
      <c r="L211" s="1" t="s">
        <v>364</v>
      </c>
      <c r="M211" s="1" t="s">
        <v>251</v>
      </c>
      <c r="N211" s="1" t="s">
        <v>330</v>
      </c>
      <c r="O211" s="1" t="s">
        <v>331</v>
      </c>
      <c r="P211" s="1" t="str">
        <f t="shared" si="17"/>
        <v>ARAGUATINS 2.2Inverter(MBUS-15)46033,788194444446033,788194444446034,3472222222</v>
      </c>
      <c r="Q211" s="1" t="str">
        <f t="shared" si="18"/>
        <v>DAURDE</v>
      </c>
    </row>
    <row r="212" spans="2:17">
      <c r="B212" s="1" t="s">
        <v>369</v>
      </c>
      <c r="C212" s="1" t="s">
        <v>357</v>
      </c>
      <c r="D212" s="52">
        <v>46033.788194444445</v>
      </c>
      <c r="E212" s="52">
        <v>46033.788194444445</v>
      </c>
      <c r="F212" s="52">
        <v>46034.347222222219</v>
      </c>
      <c r="G212" s="53">
        <f t="shared" si="14"/>
        <v>0.55902777777373558</v>
      </c>
      <c r="H212" s="1" t="s">
        <v>248</v>
      </c>
      <c r="J212" s="1" t="s">
        <v>249</v>
      </c>
      <c r="K212" s="1" t="s">
        <v>349</v>
      </c>
      <c r="L212" s="1" t="s">
        <v>364</v>
      </c>
      <c r="M212" s="1" t="s">
        <v>251</v>
      </c>
      <c r="N212" s="1" t="s">
        <v>330</v>
      </c>
      <c r="O212" s="1" t="s">
        <v>331</v>
      </c>
      <c r="P212" s="1" t="str">
        <f t="shared" si="17"/>
        <v>ARAGUATINS 2.2Inverter(MBUS-13)46033,788194444446033,788194444446034,3472222222</v>
      </c>
      <c r="Q212" s="1" t="str">
        <f t="shared" si="18"/>
        <v>DAURDE</v>
      </c>
    </row>
    <row r="213" spans="2:17">
      <c r="B213" s="1" t="s">
        <v>369</v>
      </c>
      <c r="C213" s="1" t="s">
        <v>358</v>
      </c>
      <c r="D213" s="52">
        <v>46033.788194444445</v>
      </c>
      <c r="E213" s="52">
        <v>46033.788194444445</v>
      </c>
      <c r="F213" s="52">
        <v>46034.347222222219</v>
      </c>
      <c r="G213" s="53">
        <f t="shared" si="14"/>
        <v>0.55902777777373558</v>
      </c>
      <c r="H213" s="1" t="s">
        <v>248</v>
      </c>
      <c r="J213" s="1" t="s">
        <v>249</v>
      </c>
      <c r="K213" s="1" t="s">
        <v>349</v>
      </c>
      <c r="L213" s="1" t="s">
        <v>364</v>
      </c>
      <c r="M213" s="1" t="s">
        <v>251</v>
      </c>
      <c r="N213" s="1" t="s">
        <v>330</v>
      </c>
      <c r="O213" s="1" t="s">
        <v>331</v>
      </c>
      <c r="P213" s="1" t="str">
        <f t="shared" si="17"/>
        <v>ARAGUATINS 2.2Inverter(MBUS-14)46033,788194444446033,788194444446034,3472222222</v>
      </c>
      <c r="Q213" s="1" t="str">
        <f t="shared" si="18"/>
        <v>DAURDE</v>
      </c>
    </row>
    <row r="214" spans="2:17">
      <c r="B214" s="1" t="s">
        <v>369</v>
      </c>
      <c r="C214" s="1" t="s">
        <v>354</v>
      </c>
      <c r="D214" s="52">
        <v>46033.788194444445</v>
      </c>
      <c r="E214" s="52">
        <v>46033.788194444445</v>
      </c>
      <c r="F214" s="52">
        <v>46034.347222222219</v>
      </c>
      <c r="G214" s="53">
        <f t="shared" si="14"/>
        <v>0.55902777777373558</v>
      </c>
      <c r="H214" s="1" t="s">
        <v>248</v>
      </c>
      <c r="J214" s="1" t="s">
        <v>249</v>
      </c>
      <c r="K214" s="1" t="s">
        <v>349</v>
      </c>
      <c r="L214" s="1" t="s">
        <v>364</v>
      </c>
      <c r="M214" s="1" t="s">
        <v>251</v>
      </c>
      <c r="N214" s="1" t="s">
        <v>330</v>
      </c>
      <c r="O214" s="1" t="s">
        <v>331</v>
      </c>
      <c r="P214" s="1" t="str">
        <f t="shared" si="17"/>
        <v>ARAGUATINS 2.2Inverter(MBUS-12)46033,788194444446033,788194444446034,3472222222</v>
      </c>
      <c r="Q214" s="1" t="str">
        <f t="shared" si="18"/>
        <v>DAURDE</v>
      </c>
    </row>
    <row r="215" spans="2:17">
      <c r="B215" s="1" t="s">
        <v>370</v>
      </c>
      <c r="C215" s="1" t="s">
        <v>354</v>
      </c>
      <c r="D215" s="52">
        <v>46033.788194444445</v>
      </c>
      <c r="E215" s="52">
        <v>46033.788194444445</v>
      </c>
      <c r="F215" s="52">
        <v>46034.347222222219</v>
      </c>
      <c r="G215" s="53">
        <f t="shared" si="14"/>
        <v>0.55902777777373558</v>
      </c>
      <c r="H215" s="1" t="s">
        <v>248</v>
      </c>
      <c r="J215" s="1" t="s">
        <v>249</v>
      </c>
      <c r="K215" s="1" t="s">
        <v>349</v>
      </c>
      <c r="L215" s="1" t="s">
        <v>364</v>
      </c>
      <c r="M215" s="1" t="s">
        <v>251</v>
      </c>
      <c r="N215" s="1" t="s">
        <v>330</v>
      </c>
      <c r="O215" s="1" t="s">
        <v>331</v>
      </c>
      <c r="P215" s="1" t="str">
        <f t="shared" si="17"/>
        <v>ARAGUATINS 2.3Inverter(MBUS-12)46033,788194444446033,788194444446034,3472222222</v>
      </c>
      <c r="Q215" s="1" t="str">
        <f t="shared" si="18"/>
        <v>DAURDE</v>
      </c>
    </row>
    <row r="216" spans="2:17">
      <c r="B216" s="1" t="s">
        <v>370</v>
      </c>
      <c r="C216" s="1" t="s">
        <v>357</v>
      </c>
      <c r="D216" s="52">
        <v>46033.788194444445</v>
      </c>
      <c r="E216" s="52">
        <v>46033.788194444445</v>
      </c>
      <c r="F216" s="52">
        <v>46034.347222222219</v>
      </c>
      <c r="G216" s="53">
        <f t="shared" si="14"/>
        <v>0.55902777777373558</v>
      </c>
      <c r="H216" s="1" t="s">
        <v>248</v>
      </c>
      <c r="J216" s="1" t="s">
        <v>249</v>
      </c>
      <c r="K216" s="1" t="s">
        <v>349</v>
      </c>
      <c r="L216" s="1" t="s">
        <v>364</v>
      </c>
      <c r="M216" s="1" t="s">
        <v>251</v>
      </c>
      <c r="N216" s="1" t="s">
        <v>330</v>
      </c>
      <c r="O216" s="1" t="s">
        <v>331</v>
      </c>
      <c r="P216" s="1" t="str">
        <f t="shared" si="17"/>
        <v>ARAGUATINS 2.3Inverter(MBUS-13)46033,788194444446033,788194444446034,3472222222</v>
      </c>
      <c r="Q216" s="1" t="str">
        <f t="shared" si="18"/>
        <v>DAURDE</v>
      </c>
    </row>
    <row r="217" spans="2:17">
      <c r="B217" s="1" t="s">
        <v>353</v>
      </c>
      <c r="C217" s="1" t="s">
        <v>354</v>
      </c>
      <c r="D217" s="52">
        <v>46034.395833333336</v>
      </c>
      <c r="E217" s="52">
        <v>46034.395833333336</v>
      </c>
      <c r="F217" s="52">
        <v>46035.340277777781</v>
      </c>
      <c r="G217" s="53">
        <f t="shared" si="14"/>
        <v>0.94444444444525288</v>
      </c>
      <c r="H217" s="1" t="s">
        <v>248</v>
      </c>
      <c r="J217" s="1" t="s">
        <v>249</v>
      </c>
      <c r="K217" s="1" t="s">
        <v>349</v>
      </c>
      <c r="L217" s="1" t="s">
        <v>371</v>
      </c>
      <c r="M217" s="1" t="s">
        <v>251</v>
      </c>
      <c r="N217" s="1" t="s">
        <v>330</v>
      </c>
      <c r="O217" s="1" t="s">
        <v>331</v>
      </c>
      <c r="P217" s="1" t="str">
        <f t="shared" si="17"/>
        <v>ARAGUATINS 1.1Inverter(MBUS-12)46034,395833333346034,395833333346035,3402777778</v>
      </c>
      <c r="Q217" s="1" t="str">
        <f t="shared" si="18"/>
        <v>DAURDE</v>
      </c>
    </row>
    <row r="218" spans="2:17">
      <c r="B218" s="1" t="s">
        <v>353</v>
      </c>
      <c r="C218" s="1" t="s">
        <v>357</v>
      </c>
      <c r="D218" s="52">
        <v>46034.395833333336</v>
      </c>
      <c r="E218" s="52">
        <v>46034.395833333336</v>
      </c>
      <c r="F218" s="52">
        <v>46035.340277777781</v>
      </c>
      <c r="G218" s="53">
        <f t="shared" si="14"/>
        <v>0.94444444444525288</v>
      </c>
      <c r="H218" s="1" t="s">
        <v>248</v>
      </c>
      <c r="J218" s="1" t="s">
        <v>249</v>
      </c>
      <c r="K218" s="1" t="s">
        <v>349</v>
      </c>
      <c r="L218" s="1" t="s">
        <v>371</v>
      </c>
      <c r="M218" s="1" t="s">
        <v>251</v>
      </c>
      <c r="N218" s="1" t="s">
        <v>330</v>
      </c>
      <c r="O218" s="1" t="s">
        <v>331</v>
      </c>
      <c r="P218" s="1" t="str">
        <f t="shared" si="17"/>
        <v>ARAGUATINS 1.1Inverter(MBUS-13)46034,395833333346034,395833333346035,3402777778</v>
      </c>
      <c r="Q218" s="1" t="str">
        <f t="shared" si="18"/>
        <v>DAURDE</v>
      </c>
    </row>
    <row r="219" spans="2:17">
      <c r="B219" s="1" t="s">
        <v>353</v>
      </c>
      <c r="C219" s="1" t="s">
        <v>358</v>
      </c>
      <c r="D219" s="52">
        <v>46034.395833333336</v>
      </c>
      <c r="E219" s="52">
        <v>46034.395833333336</v>
      </c>
      <c r="F219" s="52">
        <v>46035.340277777781</v>
      </c>
      <c r="G219" s="53">
        <f t="shared" si="14"/>
        <v>0.94444444444525288</v>
      </c>
      <c r="H219" s="1" t="s">
        <v>248</v>
      </c>
      <c r="J219" s="1" t="s">
        <v>249</v>
      </c>
      <c r="K219" s="1" t="s">
        <v>349</v>
      </c>
      <c r="L219" s="1" t="s">
        <v>371</v>
      </c>
      <c r="M219" s="1" t="s">
        <v>251</v>
      </c>
      <c r="N219" s="1" t="s">
        <v>330</v>
      </c>
      <c r="O219" s="1" t="s">
        <v>331</v>
      </c>
      <c r="P219" s="1" t="str">
        <f t="shared" si="17"/>
        <v>ARAGUATINS 1.1Inverter(MBUS-14)46034,395833333346034,395833333346035,3402777778</v>
      </c>
      <c r="Q219" s="1" t="str">
        <f t="shared" si="18"/>
        <v>DAURDE</v>
      </c>
    </row>
    <row r="220" spans="2:17">
      <c r="B220" s="1" t="s">
        <v>353</v>
      </c>
      <c r="C220" s="1" t="s">
        <v>359</v>
      </c>
      <c r="D220" s="52">
        <v>46034.395833333336</v>
      </c>
      <c r="E220" s="52">
        <v>46034.395833333336</v>
      </c>
      <c r="F220" s="52">
        <v>46035.340277777781</v>
      </c>
      <c r="G220" s="53">
        <f t="shared" si="14"/>
        <v>0.94444444444525288</v>
      </c>
      <c r="H220" s="1" t="s">
        <v>248</v>
      </c>
      <c r="J220" s="1" t="s">
        <v>249</v>
      </c>
      <c r="K220" s="1" t="s">
        <v>349</v>
      </c>
      <c r="L220" s="1" t="s">
        <v>371</v>
      </c>
      <c r="M220" s="1" t="s">
        <v>251</v>
      </c>
      <c r="N220" s="1" t="s">
        <v>330</v>
      </c>
      <c r="O220" s="1" t="s">
        <v>331</v>
      </c>
      <c r="P220" s="1" t="str">
        <f t="shared" si="17"/>
        <v>ARAGUATINS 1.1Inverter(MBUS-15)46034,395833333346034,395833333346035,3402777778</v>
      </c>
      <c r="Q220" s="1" t="str">
        <f t="shared" si="18"/>
        <v>DAURDE</v>
      </c>
    </row>
    <row r="221" spans="2:17">
      <c r="B221" s="1" t="s">
        <v>360</v>
      </c>
      <c r="C221" s="1" t="s">
        <v>354</v>
      </c>
      <c r="D221" s="52">
        <v>46034.395833333336</v>
      </c>
      <c r="E221" s="52">
        <v>46034.395833333336</v>
      </c>
      <c r="F221" s="52">
        <v>46035.340277777781</v>
      </c>
      <c r="G221" s="53">
        <f t="shared" si="14"/>
        <v>0.94444444444525288</v>
      </c>
      <c r="H221" s="1" t="s">
        <v>248</v>
      </c>
      <c r="J221" s="1" t="s">
        <v>249</v>
      </c>
      <c r="K221" s="1" t="s">
        <v>349</v>
      </c>
      <c r="L221" s="1" t="s">
        <v>371</v>
      </c>
      <c r="M221" s="1" t="s">
        <v>251</v>
      </c>
      <c r="N221" s="1" t="s">
        <v>330</v>
      </c>
      <c r="O221" s="1" t="s">
        <v>331</v>
      </c>
      <c r="P221" s="1" t="str">
        <f t="shared" si="17"/>
        <v>ARAGUATINS 1.2Inverter(MBUS-12)46034,395833333346034,395833333346035,3402777778</v>
      </c>
      <c r="Q221" s="1" t="str">
        <f t="shared" si="18"/>
        <v>DAURDE</v>
      </c>
    </row>
    <row r="222" spans="2:17">
      <c r="B222" s="1" t="s">
        <v>360</v>
      </c>
      <c r="C222" s="1" t="s">
        <v>357</v>
      </c>
      <c r="D222" s="52">
        <v>46034.395833333336</v>
      </c>
      <c r="E222" s="52">
        <v>46034.395833333336</v>
      </c>
      <c r="F222" s="52">
        <v>46035.340277777781</v>
      </c>
      <c r="G222" s="53">
        <f t="shared" si="14"/>
        <v>0.94444444444525288</v>
      </c>
      <c r="H222" s="1" t="s">
        <v>248</v>
      </c>
      <c r="J222" s="1" t="s">
        <v>249</v>
      </c>
      <c r="K222" s="1" t="s">
        <v>349</v>
      </c>
      <c r="L222" s="1" t="s">
        <v>371</v>
      </c>
      <c r="M222" s="1" t="s">
        <v>251</v>
      </c>
      <c r="N222" s="1" t="s">
        <v>330</v>
      </c>
      <c r="O222" s="1" t="s">
        <v>331</v>
      </c>
      <c r="P222" s="1" t="str">
        <f t="shared" si="17"/>
        <v>ARAGUATINS 1.2Inverter(MBUS-13)46034,395833333346034,395833333346035,3402777778</v>
      </c>
      <c r="Q222" s="1" t="str">
        <f t="shared" si="18"/>
        <v>DAURDE</v>
      </c>
    </row>
    <row r="223" spans="2:17">
      <c r="B223" s="1" t="s">
        <v>360</v>
      </c>
      <c r="C223" s="1" t="s">
        <v>358</v>
      </c>
      <c r="D223" s="52">
        <v>46034.395833333336</v>
      </c>
      <c r="E223" s="52">
        <v>46034.395833333336</v>
      </c>
      <c r="F223" s="52">
        <v>46035.340277777781</v>
      </c>
      <c r="G223" s="53">
        <f t="shared" si="14"/>
        <v>0.94444444444525288</v>
      </c>
      <c r="H223" s="1" t="s">
        <v>248</v>
      </c>
      <c r="J223" s="1" t="s">
        <v>249</v>
      </c>
      <c r="K223" s="1" t="s">
        <v>349</v>
      </c>
      <c r="L223" s="1" t="s">
        <v>371</v>
      </c>
      <c r="M223" s="1" t="s">
        <v>251</v>
      </c>
      <c r="N223" s="1" t="s">
        <v>330</v>
      </c>
      <c r="O223" s="1" t="s">
        <v>331</v>
      </c>
      <c r="P223" s="1" t="str">
        <f t="shared" si="17"/>
        <v>ARAGUATINS 1.2Inverter(MBUS-14)46034,395833333346034,395833333346035,3402777778</v>
      </c>
      <c r="Q223" s="1" t="str">
        <f t="shared" si="18"/>
        <v>DAURDE</v>
      </c>
    </row>
    <row r="224" spans="2:17">
      <c r="B224" s="1" t="s">
        <v>360</v>
      </c>
      <c r="C224" s="1" t="s">
        <v>359</v>
      </c>
      <c r="D224" s="52">
        <v>46034.395833333336</v>
      </c>
      <c r="E224" s="52">
        <v>46034.395833333336</v>
      </c>
      <c r="F224" s="52">
        <v>46035.340277777781</v>
      </c>
      <c r="G224" s="53">
        <f t="shared" si="14"/>
        <v>0.94444444444525288</v>
      </c>
      <c r="H224" s="1" t="s">
        <v>248</v>
      </c>
      <c r="J224" s="1" t="s">
        <v>249</v>
      </c>
      <c r="K224" s="1" t="s">
        <v>349</v>
      </c>
      <c r="L224" s="1" t="s">
        <v>371</v>
      </c>
      <c r="M224" s="1" t="s">
        <v>251</v>
      </c>
      <c r="N224" s="1" t="s">
        <v>330</v>
      </c>
      <c r="O224" s="1" t="s">
        <v>331</v>
      </c>
      <c r="P224" s="1" t="str">
        <f t="shared" si="17"/>
        <v>ARAGUATINS 1.2Inverter(MBUS-15)46034,395833333346034,395833333346035,3402777778</v>
      </c>
      <c r="Q224" s="1" t="str">
        <f t="shared" si="18"/>
        <v>DAURDE</v>
      </c>
    </row>
    <row r="225" spans="2:17">
      <c r="B225" s="1" t="s">
        <v>361</v>
      </c>
      <c r="C225" s="1" t="s">
        <v>362</v>
      </c>
      <c r="D225" s="52">
        <v>46034.395833333336</v>
      </c>
      <c r="E225" s="52">
        <v>46034.395833333336</v>
      </c>
      <c r="F225" s="52">
        <v>46035.340277777781</v>
      </c>
      <c r="G225" s="53">
        <f t="shared" si="14"/>
        <v>0.94444444444525288</v>
      </c>
      <c r="H225" s="1" t="s">
        <v>248</v>
      </c>
      <c r="J225" s="1" t="s">
        <v>249</v>
      </c>
      <c r="K225" s="1" t="s">
        <v>349</v>
      </c>
      <c r="L225" s="1" t="s">
        <v>371</v>
      </c>
      <c r="M225" s="1" t="s">
        <v>251</v>
      </c>
      <c r="N225" s="1" t="s">
        <v>330</v>
      </c>
      <c r="O225" s="1" t="s">
        <v>331</v>
      </c>
      <c r="P225" s="1" t="str">
        <f t="shared" si="17"/>
        <v>ARAGUATINS 1.3Inverter(MBUS-20)46034,395833333346034,395833333346035,3402777778</v>
      </c>
      <c r="Q225" s="1" t="str">
        <f t="shared" si="18"/>
        <v>DAURDE</v>
      </c>
    </row>
    <row r="226" spans="2:17">
      <c r="B226" s="1" t="s">
        <v>361</v>
      </c>
      <c r="C226" s="1" t="s">
        <v>328</v>
      </c>
      <c r="D226" s="52">
        <v>46034.395833333336</v>
      </c>
      <c r="E226" s="52">
        <v>46034.395833333336</v>
      </c>
      <c r="F226" s="52">
        <v>46035.340277777781</v>
      </c>
      <c r="G226" s="53">
        <f t="shared" si="14"/>
        <v>0.94444444444525288</v>
      </c>
      <c r="H226" s="1" t="s">
        <v>248</v>
      </c>
      <c r="J226" s="1" t="s">
        <v>249</v>
      </c>
      <c r="K226" s="1" t="s">
        <v>349</v>
      </c>
      <c r="L226" s="1" t="s">
        <v>371</v>
      </c>
      <c r="M226" s="1" t="s">
        <v>251</v>
      </c>
      <c r="N226" s="1" t="s">
        <v>330</v>
      </c>
      <c r="O226" s="1" t="s">
        <v>331</v>
      </c>
      <c r="P226" s="1" t="str">
        <f t="shared" si="17"/>
        <v>ARAGUATINS 1.3Inverter(MBUS-1)46034,395833333346034,395833333346035,3402777778</v>
      </c>
      <c r="Q226" s="1" t="str">
        <f t="shared" si="18"/>
        <v>DAURDE</v>
      </c>
    </row>
    <row r="227" spans="2:17">
      <c r="B227" s="1" t="s">
        <v>363</v>
      </c>
      <c r="C227" s="1" t="s">
        <v>354</v>
      </c>
      <c r="D227" s="52">
        <v>46034.395833333336</v>
      </c>
      <c r="E227" s="52">
        <v>46034.395833333336</v>
      </c>
      <c r="F227" s="52">
        <v>46035.340277777781</v>
      </c>
      <c r="G227" s="53">
        <f t="shared" si="14"/>
        <v>0.94444444444525288</v>
      </c>
      <c r="H227" s="1" t="s">
        <v>248</v>
      </c>
      <c r="J227" s="1" t="s">
        <v>249</v>
      </c>
      <c r="K227" s="1" t="s">
        <v>349</v>
      </c>
      <c r="L227" s="1" t="s">
        <v>371</v>
      </c>
      <c r="M227" s="1" t="s">
        <v>251</v>
      </c>
      <c r="N227" s="1" t="s">
        <v>330</v>
      </c>
      <c r="O227" s="1" t="s">
        <v>331</v>
      </c>
      <c r="P227" s="1" t="str">
        <f t="shared" si="17"/>
        <v>ARAGUATINS 2.1Inverter(MBUS-12)46034,395833333346034,395833333346035,3402777778</v>
      </c>
      <c r="Q227" s="1" t="str">
        <f t="shared" si="18"/>
        <v>DAURDE</v>
      </c>
    </row>
    <row r="228" spans="2:17">
      <c r="B228" s="1" t="s">
        <v>363</v>
      </c>
      <c r="C228" s="1" t="s">
        <v>359</v>
      </c>
      <c r="D228" s="52">
        <v>46034.395833333336</v>
      </c>
      <c r="E228" s="52">
        <v>46034.395833333336</v>
      </c>
      <c r="F228" s="52">
        <v>46035.340277777781</v>
      </c>
      <c r="G228" s="53">
        <f t="shared" si="14"/>
        <v>0.94444444444525288</v>
      </c>
      <c r="H228" s="1" t="s">
        <v>248</v>
      </c>
      <c r="J228" s="1" t="s">
        <v>249</v>
      </c>
      <c r="K228" s="1" t="s">
        <v>349</v>
      </c>
      <c r="L228" s="1" t="s">
        <v>371</v>
      </c>
      <c r="M228" s="1" t="s">
        <v>251</v>
      </c>
      <c r="N228" s="1" t="s">
        <v>330</v>
      </c>
      <c r="O228" s="1" t="s">
        <v>331</v>
      </c>
      <c r="P228" s="1" t="str">
        <f t="shared" si="17"/>
        <v>ARAGUATINS 2.1Inverter(MBUS-15)46034,395833333346034,395833333346035,3402777778</v>
      </c>
      <c r="Q228" s="1" t="str">
        <f t="shared" si="18"/>
        <v>DAURDE</v>
      </c>
    </row>
    <row r="229" spans="2:17">
      <c r="B229" s="1" t="s">
        <v>363</v>
      </c>
      <c r="C229" s="1" t="s">
        <v>358</v>
      </c>
      <c r="D229" s="52">
        <v>46034.395833333336</v>
      </c>
      <c r="E229" s="52">
        <v>46034.395833333336</v>
      </c>
      <c r="F229" s="52">
        <v>46035.340277777781</v>
      </c>
      <c r="G229" s="53">
        <f t="shared" si="14"/>
        <v>0.94444444444525288</v>
      </c>
      <c r="H229" s="1" t="s">
        <v>248</v>
      </c>
      <c r="J229" s="1" t="s">
        <v>249</v>
      </c>
      <c r="K229" s="1" t="s">
        <v>349</v>
      </c>
      <c r="L229" s="1" t="s">
        <v>371</v>
      </c>
      <c r="M229" s="1" t="s">
        <v>251</v>
      </c>
      <c r="N229" s="1" t="s">
        <v>330</v>
      </c>
      <c r="O229" s="1" t="s">
        <v>331</v>
      </c>
      <c r="P229" s="1" t="str">
        <f t="shared" si="17"/>
        <v>ARAGUATINS 2.1Inverter(MBUS-14)46034,395833333346034,395833333346035,3402777778</v>
      </c>
      <c r="Q229" s="1" t="str">
        <f t="shared" si="18"/>
        <v>DAURDE</v>
      </c>
    </row>
    <row r="230" spans="2:17">
      <c r="B230" s="1" t="s">
        <v>363</v>
      </c>
      <c r="C230" s="1" t="s">
        <v>328</v>
      </c>
      <c r="D230" s="52">
        <v>46034.395833333336</v>
      </c>
      <c r="E230" s="52">
        <v>46034.395833333336</v>
      </c>
      <c r="F230" s="52">
        <v>46035.340277777781</v>
      </c>
      <c r="G230" s="53">
        <f t="shared" si="14"/>
        <v>0.94444444444525288</v>
      </c>
      <c r="H230" s="1" t="s">
        <v>248</v>
      </c>
      <c r="J230" s="1" t="s">
        <v>249</v>
      </c>
      <c r="K230" s="1" t="s">
        <v>349</v>
      </c>
      <c r="L230" s="1" t="s">
        <v>371</v>
      </c>
      <c r="M230" s="1" t="s">
        <v>251</v>
      </c>
      <c r="N230" s="1" t="s">
        <v>330</v>
      </c>
      <c r="O230" s="1" t="s">
        <v>331</v>
      </c>
      <c r="P230" s="1" t="str">
        <f t="shared" si="17"/>
        <v>ARAGUATINS 2.1Inverter(MBUS-1)46034,395833333346034,395833333346035,3402777778</v>
      </c>
      <c r="Q230" s="1" t="str">
        <f t="shared" si="18"/>
        <v>DAURDE</v>
      </c>
    </row>
    <row r="231" spans="2:17">
      <c r="B231" s="1" t="s">
        <v>369</v>
      </c>
      <c r="C231" s="1" t="s">
        <v>359</v>
      </c>
      <c r="D231" s="52">
        <v>46034.395833333336</v>
      </c>
      <c r="E231" s="52">
        <v>46034.395833333336</v>
      </c>
      <c r="F231" s="52">
        <v>46035.340277777781</v>
      </c>
      <c r="G231" s="53">
        <f t="shared" si="14"/>
        <v>0.94444444444525288</v>
      </c>
      <c r="H231" s="1" t="s">
        <v>248</v>
      </c>
      <c r="J231" s="1" t="s">
        <v>249</v>
      </c>
      <c r="K231" s="1" t="s">
        <v>349</v>
      </c>
      <c r="L231" s="1" t="s">
        <v>371</v>
      </c>
      <c r="M231" s="1" t="s">
        <v>251</v>
      </c>
      <c r="N231" s="1" t="s">
        <v>330</v>
      </c>
      <c r="O231" s="1" t="s">
        <v>331</v>
      </c>
      <c r="P231" s="1" t="str">
        <f t="shared" si="17"/>
        <v>ARAGUATINS 2.2Inverter(MBUS-15)46034,395833333346034,395833333346035,3402777778</v>
      </c>
      <c r="Q231" s="1" t="str">
        <f t="shared" si="18"/>
        <v>DAURDE</v>
      </c>
    </row>
    <row r="232" spans="2:17">
      <c r="B232" s="1" t="s">
        <v>369</v>
      </c>
      <c r="C232" s="1" t="s">
        <v>357</v>
      </c>
      <c r="D232" s="52">
        <v>46034.395833333336</v>
      </c>
      <c r="E232" s="52">
        <v>46034.395833333336</v>
      </c>
      <c r="F232" s="52">
        <v>46035.340277777781</v>
      </c>
      <c r="G232" s="53">
        <f t="shared" si="14"/>
        <v>0.94444444444525288</v>
      </c>
      <c r="H232" s="1" t="s">
        <v>248</v>
      </c>
      <c r="J232" s="1" t="s">
        <v>249</v>
      </c>
      <c r="K232" s="1" t="s">
        <v>349</v>
      </c>
      <c r="L232" s="1" t="s">
        <v>371</v>
      </c>
      <c r="M232" s="1" t="s">
        <v>251</v>
      </c>
      <c r="N232" s="1" t="s">
        <v>330</v>
      </c>
      <c r="O232" s="1" t="s">
        <v>331</v>
      </c>
      <c r="P232" s="1" t="str">
        <f t="shared" si="17"/>
        <v>ARAGUATINS 2.2Inverter(MBUS-13)46034,395833333346034,395833333346035,3402777778</v>
      </c>
      <c r="Q232" s="1" t="str">
        <f t="shared" si="18"/>
        <v>DAURDE</v>
      </c>
    </row>
    <row r="233" spans="2:17">
      <c r="B233" s="1" t="s">
        <v>369</v>
      </c>
      <c r="C233" s="1" t="s">
        <v>358</v>
      </c>
      <c r="D233" s="52">
        <v>46034.395833333336</v>
      </c>
      <c r="E233" s="52">
        <v>46034.395833333336</v>
      </c>
      <c r="F233" s="52">
        <v>46035.340277777781</v>
      </c>
      <c r="G233" s="53">
        <f t="shared" si="14"/>
        <v>0.94444444444525288</v>
      </c>
      <c r="H233" s="1" t="s">
        <v>248</v>
      </c>
      <c r="J233" s="1" t="s">
        <v>249</v>
      </c>
      <c r="K233" s="1" t="s">
        <v>349</v>
      </c>
      <c r="L233" s="1" t="s">
        <v>371</v>
      </c>
      <c r="M233" s="1" t="s">
        <v>251</v>
      </c>
      <c r="N233" s="1" t="s">
        <v>330</v>
      </c>
      <c r="O233" s="1" t="s">
        <v>331</v>
      </c>
      <c r="P233" s="1" t="str">
        <f t="shared" si="17"/>
        <v>ARAGUATINS 2.2Inverter(MBUS-14)46034,395833333346034,395833333346035,3402777778</v>
      </c>
      <c r="Q233" s="1" t="str">
        <f t="shared" si="18"/>
        <v>DAURDE</v>
      </c>
    </row>
    <row r="234" spans="2:17">
      <c r="B234" s="1" t="s">
        <v>369</v>
      </c>
      <c r="C234" s="1" t="s">
        <v>354</v>
      </c>
      <c r="D234" s="52">
        <v>46034.395833333336</v>
      </c>
      <c r="E234" s="52">
        <v>46034.395833333336</v>
      </c>
      <c r="F234" s="52">
        <v>46035.340277777781</v>
      </c>
      <c r="G234" s="53">
        <f t="shared" si="14"/>
        <v>0.94444444444525288</v>
      </c>
      <c r="H234" s="1" t="s">
        <v>248</v>
      </c>
      <c r="J234" s="1" t="s">
        <v>249</v>
      </c>
      <c r="K234" s="1" t="s">
        <v>349</v>
      </c>
      <c r="L234" s="1" t="s">
        <v>371</v>
      </c>
      <c r="M234" s="1" t="s">
        <v>251</v>
      </c>
      <c r="N234" s="1" t="s">
        <v>330</v>
      </c>
      <c r="O234" s="1" t="s">
        <v>331</v>
      </c>
      <c r="P234" s="1" t="str">
        <f t="shared" si="17"/>
        <v>ARAGUATINS 2.2Inverter(MBUS-12)46034,395833333346034,395833333346035,3402777778</v>
      </c>
      <c r="Q234" s="1" t="str">
        <f t="shared" si="18"/>
        <v>DAURDE</v>
      </c>
    </row>
    <row r="235" spans="2:17">
      <c r="B235" s="1" t="s">
        <v>370</v>
      </c>
      <c r="C235" s="1" t="s">
        <v>354</v>
      </c>
      <c r="D235" s="52">
        <v>46034.395833333336</v>
      </c>
      <c r="E235" s="52">
        <v>46034.395833333336</v>
      </c>
      <c r="F235" s="52">
        <v>46035.340277777781</v>
      </c>
      <c r="G235" s="53">
        <f t="shared" si="14"/>
        <v>0.94444444444525288</v>
      </c>
      <c r="H235" s="1" t="s">
        <v>248</v>
      </c>
      <c r="J235" s="1" t="s">
        <v>249</v>
      </c>
      <c r="K235" s="1" t="s">
        <v>349</v>
      </c>
      <c r="L235" s="1" t="s">
        <v>371</v>
      </c>
      <c r="M235" s="1" t="s">
        <v>251</v>
      </c>
      <c r="N235" s="1" t="s">
        <v>330</v>
      </c>
      <c r="O235" s="1" t="s">
        <v>331</v>
      </c>
      <c r="P235" s="1" t="str">
        <f t="shared" si="17"/>
        <v>ARAGUATINS 2.3Inverter(MBUS-12)46034,395833333346034,395833333346035,3402777778</v>
      </c>
      <c r="Q235" s="1" t="str">
        <f t="shared" si="18"/>
        <v>DAURDE</v>
      </c>
    </row>
    <row r="236" spans="2:17">
      <c r="B236" s="1" t="s">
        <v>370</v>
      </c>
      <c r="C236" s="1" t="s">
        <v>357</v>
      </c>
      <c r="D236" s="52">
        <v>46034.395833333336</v>
      </c>
      <c r="E236" s="52">
        <v>46034.395833333336</v>
      </c>
      <c r="F236" s="52">
        <v>46035.340277777781</v>
      </c>
      <c r="G236" s="53">
        <f t="shared" si="14"/>
        <v>0.94444444444525288</v>
      </c>
      <c r="H236" s="1" t="s">
        <v>248</v>
      </c>
      <c r="J236" s="1" t="s">
        <v>249</v>
      </c>
      <c r="K236" s="1" t="s">
        <v>349</v>
      </c>
      <c r="L236" s="1" t="s">
        <v>371</v>
      </c>
      <c r="M236" s="1" t="s">
        <v>251</v>
      </c>
      <c r="N236" s="1" t="s">
        <v>330</v>
      </c>
      <c r="O236" s="1" t="s">
        <v>331</v>
      </c>
      <c r="P236" s="1" t="str">
        <f t="shared" si="17"/>
        <v>ARAGUATINS 2.3Inverter(MBUS-13)46034,395833333346034,395833333346035,3402777778</v>
      </c>
      <c r="Q236" s="1" t="str">
        <f t="shared" si="18"/>
        <v>DAURDE</v>
      </c>
    </row>
    <row r="237" spans="2:17">
      <c r="B237" s="1" t="s">
        <v>353</v>
      </c>
      <c r="C237" s="1" t="s">
        <v>354</v>
      </c>
      <c r="D237" s="52">
        <v>46036.676388888889</v>
      </c>
      <c r="E237" s="52">
        <v>46036.676388888889</v>
      </c>
      <c r="F237" s="52">
        <v>46036.715277777781</v>
      </c>
      <c r="G237" s="53">
        <f t="shared" si="14"/>
        <v>3.888888889196096E-2</v>
      </c>
      <c r="H237" s="1" t="s">
        <v>248</v>
      </c>
      <c r="J237" s="1" t="s">
        <v>249</v>
      </c>
      <c r="K237" s="1" t="s">
        <v>349</v>
      </c>
      <c r="L237" s="65" t="s">
        <v>355</v>
      </c>
      <c r="M237" s="1" t="s">
        <v>251</v>
      </c>
      <c r="N237" s="1" t="s">
        <v>330</v>
      </c>
      <c r="O237" s="1" t="s">
        <v>331</v>
      </c>
      <c r="P237" s="1" t="str">
        <f t="shared" si="17"/>
        <v>ARAGUATINS 1.1Inverter(MBUS-12)46036,676388888946036,676388888946036,7152777778</v>
      </c>
      <c r="Q237" s="1" t="str">
        <f t="shared" si="18"/>
        <v>DAURDE</v>
      </c>
    </row>
    <row r="238" spans="2:17">
      <c r="B238" s="1" t="s">
        <v>353</v>
      </c>
      <c r="C238" s="1" t="s">
        <v>357</v>
      </c>
      <c r="D238" s="52">
        <v>46036.676388888889</v>
      </c>
      <c r="E238" s="52">
        <v>46036.676388888889</v>
      </c>
      <c r="F238" s="52">
        <v>46036.715277777781</v>
      </c>
      <c r="G238" s="53">
        <f t="shared" si="14"/>
        <v>3.888888889196096E-2</v>
      </c>
      <c r="H238" s="1" t="s">
        <v>248</v>
      </c>
      <c r="J238" s="1" t="s">
        <v>249</v>
      </c>
      <c r="K238" s="1" t="s">
        <v>349</v>
      </c>
      <c r="L238" s="65" t="s">
        <v>355</v>
      </c>
      <c r="M238" s="1" t="s">
        <v>251</v>
      </c>
      <c r="N238" s="1" t="s">
        <v>330</v>
      </c>
      <c r="O238" s="1" t="s">
        <v>331</v>
      </c>
      <c r="P238" s="1" t="str">
        <f t="shared" si="17"/>
        <v>ARAGUATINS 1.1Inverter(MBUS-13)46036,676388888946036,676388888946036,7152777778</v>
      </c>
      <c r="Q238" s="1" t="str">
        <f t="shared" si="18"/>
        <v>DAURDE</v>
      </c>
    </row>
    <row r="239" spans="2:17">
      <c r="B239" s="1" t="s">
        <v>353</v>
      </c>
      <c r="C239" s="1" t="s">
        <v>358</v>
      </c>
      <c r="D239" s="52">
        <v>46036.676388888889</v>
      </c>
      <c r="E239" s="52">
        <v>46036.676388888889</v>
      </c>
      <c r="F239" s="52">
        <v>46036.715277777781</v>
      </c>
      <c r="G239" s="53">
        <f t="shared" si="14"/>
        <v>3.888888889196096E-2</v>
      </c>
      <c r="H239" s="1" t="s">
        <v>248</v>
      </c>
      <c r="J239" s="1" t="s">
        <v>249</v>
      </c>
      <c r="K239" s="1" t="s">
        <v>349</v>
      </c>
      <c r="L239" s="65" t="s">
        <v>355</v>
      </c>
      <c r="M239" s="1" t="s">
        <v>251</v>
      </c>
      <c r="N239" s="1" t="s">
        <v>330</v>
      </c>
      <c r="O239" s="1" t="s">
        <v>331</v>
      </c>
      <c r="P239" s="1" t="str">
        <f t="shared" si="17"/>
        <v>ARAGUATINS 1.1Inverter(MBUS-14)46036,676388888946036,676388888946036,7152777778</v>
      </c>
      <c r="Q239" s="1" t="str">
        <f t="shared" si="18"/>
        <v>DAURDE</v>
      </c>
    </row>
    <row r="240" spans="2:17">
      <c r="B240" s="1" t="s">
        <v>353</v>
      </c>
      <c r="C240" s="1" t="s">
        <v>359</v>
      </c>
      <c r="D240" s="52">
        <v>46036.676388888889</v>
      </c>
      <c r="E240" s="52">
        <v>46036.676388888889</v>
      </c>
      <c r="F240" s="52">
        <v>46036.715277777781</v>
      </c>
      <c r="G240" s="53">
        <f t="shared" si="14"/>
        <v>3.888888889196096E-2</v>
      </c>
      <c r="H240" s="1" t="s">
        <v>248</v>
      </c>
      <c r="J240" s="1" t="s">
        <v>249</v>
      </c>
      <c r="K240" s="1" t="s">
        <v>349</v>
      </c>
      <c r="L240" s="65" t="s">
        <v>355</v>
      </c>
      <c r="M240" s="1" t="s">
        <v>251</v>
      </c>
      <c r="N240" s="1" t="s">
        <v>330</v>
      </c>
      <c r="O240" s="1" t="s">
        <v>331</v>
      </c>
      <c r="P240" s="1" t="str">
        <f t="shared" si="17"/>
        <v>ARAGUATINS 1.1Inverter(MBUS-15)46036,676388888946036,676388888946036,7152777778</v>
      </c>
      <c r="Q240" s="1" t="str">
        <f t="shared" si="18"/>
        <v>DAURDE</v>
      </c>
    </row>
    <row r="241" spans="2:17">
      <c r="B241" s="1" t="s">
        <v>372</v>
      </c>
      <c r="C241" s="1" t="s">
        <v>373</v>
      </c>
      <c r="D241" s="52">
        <v>46024.371527777781</v>
      </c>
      <c r="E241" s="52">
        <v>46024.371527777781</v>
      </c>
      <c r="F241" s="52">
        <v>46024.42291666667</v>
      </c>
      <c r="G241" s="53">
        <f t="shared" si="14"/>
        <v>5.1388888889050577E-2</v>
      </c>
      <c r="H241" s="1" t="s">
        <v>248</v>
      </c>
      <c r="J241" s="1" t="s">
        <v>300</v>
      </c>
      <c r="K241" s="1" t="s">
        <v>350</v>
      </c>
      <c r="L241" s="1" t="s">
        <v>374</v>
      </c>
      <c r="M241" s="1" t="s">
        <v>375</v>
      </c>
      <c r="N241" s="1" t="s">
        <v>266</v>
      </c>
      <c r="O241" s="1" t="s">
        <v>376</v>
      </c>
      <c r="P241" s="1" t="str">
        <f t="shared" si="17"/>
        <v>BC Barra1Inverter__546024,371527777846024,371527777846024,4229166667</v>
      </c>
      <c r="Q241" s="1" t="str">
        <f t="shared" si="18"/>
        <v>DAUINV</v>
      </c>
    </row>
    <row r="242" spans="2:17">
      <c r="B242" s="1" t="s">
        <v>372</v>
      </c>
      <c r="C242" s="1" t="s">
        <v>373</v>
      </c>
      <c r="D242" s="52">
        <v>46032.727083333331</v>
      </c>
      <c r="E242" s="52">
        <v>46032.727083333331</v>
      </c>
      <c r="F242" s="52">
        <v>46033.329861111109</v>
      </c>
      <c r="G242" s="53">
        <f t="shared" si="14"/>
        <v>0.60277777777810115</v>
      </c>
      <c r="H242" s="1" t="s">
        <v>248</v>
      </c>
      <c r="J242" s="1" t="s">
        <v>249</v>
      </c>
      <c r="K242" s="1" t="s">
        <v>349</v>
      </c>
      <c r="L242" s="1" t="s">
        <v>377</v>
      </c>
      <c r="M242" s="1" t="s">
        <v>251</v>
      </c>
      <c r="N242" s="1" t="s">
        <v>330</v>
      </c>
      <c r="O242" s="1" t="s">
        <v>331</v>
      </c>
      <c r="P242" s="1" t="str">
        <f t="shared" si="17"/>
        <v>BC Barra1Inverter__546032,727083333346032,727083333346033,3298611111</v>
      </c>
      <c r="Q242" s="1" t="str">
        <f t="shared" si="18"/>
        <v>DAURDE</v>
      </c>
    </row>
    <row r="243" spans="2:17">
      <c r="B243" s="1" t="s">
        <v>372</v>
      </c>
      <c r="C243" s="1" t="s">
        <v>378</v>
      </c>
      <c r="D243" s="52">
        <v>46032.727083333331</v>
      </c>
      <c r="E243" s="52">
        <v>46032.727083333331</v>
      </c>
      <c r="F243" s="52">
        <v>46033.329861111109</v>
      </c>
      <c r="G243" s="53">
        <f t="shared" si="14"/>
        <v>0.60277777777810115</v>
      </c>
      <c r="H243" s="1" t="s">
        <v>248</v>
      </c>
      <c r="J243" s="1" t="s">
        <v>249</v>
      </c>
      <c r="K243" s="1" t="s">
        <v>349</v>
      </c>
      <c r="L243" s="1" t="s">
        <v>377</v>
      </c>
      <c r="M243" s="1" t="s">
        <v>251</v>
      </c>
      <c r="N243" s="1" t="s">
        <v>330</v>
      </c>
      <c r="O243" s="1" t="s">
        <v>331</v>
      </c>
      <c r="P243" s="1" t="str">
        <f t="shared" si="17"/>
        <v>BC Barra1Inverter__146032,727083333346032,727083333346033,3298611111</v>
      </c>
      <c r="Q243" s="1" t="str">
        <f t="shared" si="18"/>
        <v>DAURDE</v>
      </c>
    </row>
    <row r="244" spans="2:17">
      <c r="B244" s="1" t="s">
        <v>379</v>
      </c>
      <c r="C244" s="1" t="s">
        <v>380</v>
      </c>
      <c r="D244" s="52">
        <v>46025.354166666664</v>
      </c>
      <c r="E244" s="52">
        <v>46025.354166666664</v>
      </c>
      <c r="F244" s="52">
        <v>46025.423611111109</v>
      </c>
      <c r="G244" s="53">
        <f t="shared" si="14"/>
        <v>6.9444444445252884E-2</v>
      </c>
      <c r="H244" s="1" t="s">
        <v>248</v>
      </c>
      <c r="J244" s="1" t="s">
        <v>249</v>
      </c>
      <c r="K244" s="1" t="s">
        <v>349</v>
      </c>
      <c r="L244" s="1" t="s">
        <v>381</v>
      </c>
      <c r="M244" s="1" t="s">
        <v>251</v>
      </c>
      <c r="N244" s="1" t="s">
        <v>330</v>
      </c>
      <c r="O244" s="1" t="s">
        <v>331</v>
      </c>
      <c r="P244" s="1" t="str">
        <f t="shared" si="17"/>
        <v>BC Camarao1.4INV-6T22A904138146025,354166666746025,354166666746025,4236111111</v>
      </c>
      <c r="Q244" s="1" t="str">
        <f t="shared" si="18"/>
        <v>DAURDE</v>
      </c>
    </row>
    <row r="245" spans="2:17">
      <c r="B245" s="1" t="s">
        <v>379</v>
      </c>
      <c r="C245" s="1" t="s">
        <v>255</v>
      </c>
      <c r="D245" s="52">
        <v>46025.354166666664</v>
      </c>
      <c r="E245" s="52">
        <v>46025.354166666664</v>
      </c>
      <c r="F245" s="52">
        <v>46025.423611111109</v>
      </c>
      <c r="G245" s="53">
        <f t="shared" si="14"/>
        <v>6.9444444445252884E-2</v>
      </c>
      <c r="H245" s="1" t="s">
        <v>248</v>
      </c>
      <c r="J245" s="1" t="s">
        <v>249</v>
      </c>
      <c r="K245" s="1" t="s">
        <v>349</v>
      </c>
      <c r="L245" s="1" t="s">
        <v>381</v>
      </c>
      <c r="M245" s="1" t="s">
        <v>251</v>
      </c>
      <c r="N245" s="1" t="s">
        <v>330</v>
      </c>
      <c r="O245" s="1" t="s">
        <v>331</v>
      </c>
      <c r="P245" s="1" t="str">
        <f t="shared" si="17"/>
        <v>BC Camarao1.4215KTL-H3(MBUS-14)46025,354166666746025,354166666746025,4236111111</v>
      </c>
      <c r="Q245" s="1" t="str">
        <f t="shared" si="18"/>
        <v>DAURDE</v>
      </c>
    </row>
    <row r="246" spans="2:17">
      <c r="B246" s="1" t="s">
        <v>379</v>
      </c>
      <c r="C246" s="1" t="s">
        <v>254</v>
      </c>
      <c r="D246" s="52">
        <v>46025.354166666664</v>
      </c>
      <c r="E246" s="52">
        <v>46025.354166666664</v>
      </c>
      <c r="F246" s="52">
        <v>46025.423611111109</v>
      </c>
      <c r="G246" s="53">
        <f t="shared" si="14"/>
        <v>6.9444444445252884E-2</v>
      </c>
      <c r="H246" s="1" t="s">
        <v>248</v>
      </c>
      <c r="J246" s="1" t="s">
        <v>249</v>
      </c>
      <c r="K246" s="1" t="s">
        <v>349</v>
      </c>
      <c r="L246" s="1" t="s">
        <v>381</v>
      </c>
      <c r="M246" s="1" t="s">
        <v>251</v>
      </c>
      <c r="N246" s="1" t="s">
        <v>330</v>
      </c>
      <c r="O246" s="1" t="s">
        <v>331</v>
      </c>
      <c r="P246" s="1" t="str">
        <f t="shared" si="17"/>
        <v>BC Camarao1.4215KTL-H3(MBUS-13)46025,354166666746025,354166666746025,4236111111</v>
      </c>
      <c r="Q246" s="1" t="str">
        <f t="shared" si="18"/>
        <v>DAURDE</v>
      </c>
    </row>
    <row r="247" spans="2:17">
      <c r="B247" s="1" t="s">
        <v>379</v>
      </c>
      <c r="C247" s="1" t="s">
        <v>257</v>
      </c>
      <c r="D247" s="52">
        <v>46025.354166666664</v>
      </c>
      <c r="E247" s="52">
        <v>46025.354166666664</v>
      </c>
      <c r="F247" s="52">
        <v>46025.423611111109</v>
      </c>
      <c r="G247" s="53">
        <f t="shared" si="14"/>
        <v>6.9444444445252884E-2</v>
      </c>
      <c r="H247" s="1" t="s">
        <v>248</v>
      </c>
      <c r="J247" s="1" t="s">
        <v>249</v>
      </c>
      <c r="K247" s="1" t="s">
        <v>349</v>
      </c>
      <c r="L247" s="1" t="s">
        <v>381</v>
      </c>
      <c r="M247" s="1" t="s">
        <v>251</v>
      </c>
      <c r="N247" s="1" t="s">
        <v>330</v>
      </c>
      <c r="O247" s="1" t="s">
        <v>331</v>
      </c>
      <c r="P247" s="1" t="str">
        <f t="shared" si="17"/>
        <v>BC Camarao1.4215KTL-H3(MBUS-16)46025,354166666746025,354166666746025,4236111111</v>
      </c>
      <c r="Q247" s="1" t="str">
        <f t="shared" si="18"/>
        <v>DAURDE</v>
      </c>
    </row>
    <row r="248" spans="2:17">
      <c r="B248" s="1" t="s">
        <v>379</v>
      </c>
      <c r="C248" s="1" t="s">
        <v>256</v>
      </c>
      <c r="D248" s="52">
        <v>46025.354166666664</v>
      </c>
      <c r="E248" s="52">
        <v>46025.354166666664</v>
      </c>
      <c r="F248" s="52">
        <v>46025.423611111109</v>
      </c>
      <c r="G248" s="53">
        <f t="shared" si="14"/>
        <v>6.9444444445252884E-2</v>
      </c>
      <c r="H248" s="1" t="s">
        <v>248</v>
      </c>
      <c r="J248" s="1" t="s">
        <v>249</v>
      </c>
      <c r="K248" s="1" t="s">
        <v>349</v>
      </c>
      <c r="L248" s="1" t="s">
        <v>381</v>
      </c>
      <c r="M248" s="1" t="s">
        <v>251</v>
      </c>
      <c r="N248" s="1" t="s">
        <v>330</v>
      </c>
      <c r="O248" s="1" t="s">
        <v>331</v>
      </c>
      <c r="P248" s="1" t="str">
        <f t="shared" si="17"/>
        <v>BC Camarao1.4215KTL-H3(MBUS-15)46025,354166666746025,354166666746025,4236111111</v>
      </c>
      <c r="Q248" s="1" t="str">
        <f t="shared" si="18"/>
        <v>DAURDE</v>
      </c>
    </row>
    <row r="249" spans="2:17">
      <c r="B249" s="1" t="s">
        <v>382</v>
      </c>
      <c r="C249" s="1" t="s">
        <v>328</v>
      </c>
      <c r="D249" s="52">
        <v>46030.715277777781</v>
      </c>
      <c r="E249" s="52">
        <v>46030.715277777781</v>
      </c>
      <c r="F249" s="52">
        <v>46030.785416666666</v>
      </c>
      <c r="G249" s="53">
        <f t="shared" si="14"/>
        <v>7.0138888884685002E-2</v>
      </c>
      <c r="H249" s="1" t="s">
        <v>248</v>
      </c>
      <c r="J249" s="1" t="s">
        <v>249</v>
      </c>
      <c r="K249" s="1" t="s">
        <v>349</v>
      </c>
      <c r="L249" s="1" t="s">
        <v>381</v>
      </c>
      <c r="M249" s="1" t="s">
        <v>251</v>
      </c>
      <c r="N249" s="1" t="s">
        <v>330</v>
      </c>
      <c r="O249" s="1" t="s">
        <v>331</v>
      </c>
      <c r="P249" s="1" t="str">
        <f t="shared" si="17"/>
        <v>BC Camarao1.1Inverter(MBUS-1)46030,715277777846030,715277777846030,7854166667</v>
      </c>
      <c r="Q249" s="1" t="str">
        <f t="shared" si="18"/>
        <v>DAURDE</v>
      </c>
    </row>
    <row r="250" spans="2:17">
      <c r="B250" s="1" t="s">
        <v>382</v>
      </c>
      <c r="C250" s="1" t="s">
        <v>247</v>
      </c>
      <c r="D250" s="52">
        <v>46030.715277777781</v>
      </c>
      <c r="E250" s="52">
        <v>46030.715277777781</v>
      </c>
      <c r="F250" s="52">
        <v>46030.785416666666</v>
      </c>
      <c r="G250" s="53">
        <f t="shared" si="14"/>
        <v>7.0138888884685002E-2</v>
      </c>
      <c r="H250" s="1" t="s">
        <v>248</v>
      </c>
      <c r="J250" s="1" t="s">
        <v>249</v>
      </c>
      <c r="K250" s="1" t="s">
        <v>349</v>
      </c>
      <c r="L250" s="1" t="s">
        <v>381</v>
      </c>
      <c r="M250" s="1" t="s">
        <v>251</v>
      </c>
      <c r="N250" s="1" t="s">
        <v>330</v>
      </c>
      <c r="O250" s="1" t="s">
        <v>331</v>
      </c>
      <c r="P250" s="1" t="str">
        <f t="shared" si="17"/>
        <v>BC Camarao1.1215KTL-H3(MBUS-12)46030,715277777846030,715277777846030,7854166667</v>
      </c>
      <c r="Q250" s="1" t="str">
        <f t="shared" si="18"/>
        <v>DAURDE</v>
      </c>
    </row>
    <row r="251" spans="2:17">
      <c r="B251" s="1" t="s">
        <v>382</v>
      </c>
      <c r="C251" s="1" t="s">
        <v>254</v>
      </c>
      <c r="D251" s="52">
        <v>46030.715277777781</v>
      </c>
      <c r="E251" s="52">
        <v>46030.715277777781</v>
      </c>
      <c r="F251" s="52">
        <v>46030.785416666666</v>
      </c>
      <c r="G251" s="53">
        <f t="shared" si="14"/>
        <v>7.0138888884685002E-2</v>
      </c>
      <c r="H251" s="1" t="s">
        <v>248</v>
      </c>
      <c r="J251" s="1" t="s">
        <v>249</v>
      </c>
      <c r="K251" s="1" t="s">
        <v>349</v>
      </c>
      <c r="L251" s="1" t="s">
        <v>381</v>
      </c>
      <c r="M251" s="1" t="s">
        <v>251</v>
      </c>
      <c r="N251" s="1" t="s">
        <v>330</v>
      </c>
      <c r="O251" s="1" t="s">
        <v>331</v>
      </c>
      <c r="P251" s="1" t="str">
        <f t="shared" si="17"/>
        <v>BC Camarao1.1215KTL-H3(MBUS-13)46030,715277777846030,715277777846030,7854166667</v>
      </c>
      <c r="Q251" s="1" t="str">
        <f t="shared" si="18"/>
        <v>DAURDE</v>
      </c>
    </row>
    <row r="252" spans="2:17">
      <c r="B252" s="1" t="s">
        <v>382</v>
      </c>
      <c r="C252" s="1" t="s">
        <v>257</v>
      </c>
      <c r="D252" s="52">
        <v>46030.715277777781</v>
      </c>
      <c r="E252" s="52">
        <v>46030.715277777781</v>
      </c>
      <c r="F252" s="52">
        <v>46030.785416666666</v>
      </c>
      <c r="G252" s="53">
        <f t="shared" si="14"/>
        <v>7.0138888884685002E-2</v>
      </c>
      <c r="H252" s="1" t="s">
        <v>248</v>
      </c>
      <c r="J252" s="1" t="s">
        <v>249</v>
      </c>
      <c r="K252" s="1" t="s">
        <v>349</v>
      </c>
      <c r="L252" s="1" t="s">
        <v>381</v>
      </c>
      <c r="M252" s="1" t="s">
        <v>251</v>
      </c>
      <c r="N252" s="1" t="s">
        <v>330</v>
      </c>
      <c r="O252" s="1" t="s">
        <v>331</v>
      </c>
      <c r="P252" s="1" t="str">
        <f t="shared" si="17"/>
        <v>BC Camarao1.1215KTL-H3(MBUS-16)46030,715277777846030,715277777846030,7854166667</v>
      </c>
      <c r="Q252" s="1" t="str">
        <f t="shared" si="18"/>
        <v>DAURDE</v>
      </c>
    </row>
    <row r="253" spans="2:17">
      <c r="B253" s="1" t="s">
        <v>382</v>
      </c>
      <c r="C253" s="1" t="s">
        <v>256</v>
      </c>
      <c r="D253" s="52">
        <v>46030.715277777781</v>
      </c>
      <c r="E253" s="52">
        <v>46030.715277777781</v>
      </c>
      <c r="F253" s="52">
        <v>46030.785416666666</v>
      </c>
      <c r="G253" s="53">
        <f t="shared" si="14"/>
        <v>7.0138888884685002E-2</v>
      </c>
      <c r="H253" s="1" t="s">
        <v>248</v>
      </c>
      <c r="J253" s="1" t="s">
        <v>249</v>
      </c>
      <c r="K253" s="1" t="s">
        <v>349</v>
      </c>
      <c r="L253" s="1" t="s">
        <v>381</v>
      </c>
      <c r="M253" s="1" t="s">
        <v>251</v>
      </c>
      <c r="N253" s="1" t="s">
        <v>330</v>
      </c>
      <c r="O253" s="1" t="s">
        <v>331</v>
      </c>
      <c r="P253" s="1" t="str">
        <f t="shared" si="17"/>
        <v>BC Camarao1.1215KTL-H3(MBUS-15)46030,715277777846030,715277777846030,7854166667</v>
      </c>
      <c r="Q253" s="1" t="str">
        <f t="shared" si="18"/>
        <v>DAURDE</v>
      </c>
    </row>
    <row r="254" spans="2:17">
      <c r="B254" s="1" t="s">
        <v>383</v>
      </c>
      <c r="C254" s="1" t="s">
        <v>328</v>
      </c>
      <c r="D254" s="52">
        <v>46030.715277777781</v>
      </c>
      <c r="E254" s="52">
        <v>46030.715277777781</v>
      </c>
      <c r="F254" s="52">
        <v>46030.785416666666</v>
      </c>
      <c r="G254" s="53">
        <f t="shared" ref="G254:G317" si="19">F254-E254</f>
        <v>7.0138888884685002E-2</v>
      </c>
      <c r="H254" s="1" t="s">
        <v>248</v>
      </c>
      <c r="J254" s="1" t="s">
        <v>249</v>
      </c>
      <c r="K254" s="1" t="s">
        <v>349</v>
      </c>
      <c r="L254" s="1" t="s">
        <v>381</v>
      </c>
      <c r="M254" s="1" t="s">
        <v>251</v>
      </c>
      <c r="N254" s="1" t="s">
        <v>330</v>
      </c>
      <c r="O254" s="1" t="s">
        <v>331</v>
      </c>
      <c r="P254" s="1" t="str">
        <f t="shared" si="17"/>
        <v>BC Camarao1.2Inverter(MBUS-1)46030,715277777846030,715277777846030,7854166667</v>
      </c>
      <c r="Q254" s="1" t="str">
        <f t="shared" si="18"/>
        <v>DAURDE</v>
      </c>
    </row>
    <row r="255" spans="2:17">
      <c r="B255" s="1" t="s">
        <v>383</v>
      </c>
      <c r="C255" s="1" t="s">
        <v>384</v>
      </c>
      <c r="D255" s="52">
        <v>46030.715277777781</v>
      </c>
      <c r="E255" s="52">
        <v>46030.715277777781</v>
      </c>
      <c r="F255" s="52">
        <v>46030.785416666666</v>
      </c>
      <c r="G255" s="53">
        <f t="shared" si="19"/>
        <v>7.0138888884685002E-2</v>
      </c>
      <c r="H255" s="1" t="s">
        <v>248</v>
      </c>
      <c r="J255" s="1" t="s">
        <v>249</v>
      </c>
      <c r="K255" s="1" t="s">
        <v>349</v>
      </c>
      <c r="L255" s="1" t="s">
        <v>381</v>
      </c>
      <c r="M255" s="1" t="s">
        <v>251</v>
      </c>
      <c r="N255" s="1" t="s">
        <v>330</v>
      </c>
      <c r="O255" s="1" t="s">
        <v>331</v>
      </c>
      <c r="P255" s="1" t="str">
        <f t="shared" si="17"/>
        <v>BC Camarao1.2Inv. 346030,715277777846030,715277777846030,7854166667</v>
      </c>
      <c r="Q255" s="1" t="str">
        <f t="shared" si="18"/>
        <v>DAURDE</v>
      </c>
    </row>
    <row r="256" spans="2:17">
      <c r="B256" s="1" t="s">
        <v>383</v>
      </c>
      <c r="C256" s="1" t="s">
        <v>385</v>
      </c>
      <c r="D256" s="52">
        <v>46030.715277777781</v>
      </c>
      <c r="E256" s="52">
        <v>46030.715277777781</v>
      </c>
      <c r="F256" s="52">
        <v>46030.785416666666</v>
      </c>
      <c r="G256" s="53">
        <f t="shared" si="19"/>
        <v>7.0138888884685002E-2</v>
      </c>
      <c r="H256" s="1" t="s">
        <v>248</v>
      </c>
      <c r="J256" s="1" t="s">
        <v>249</v>
      </c>
      <c r="K256" s="1" t="s">
        <v>349</v>
      </c>
      <c r="L256" s="1" t="s">
        <v>381</v>
      </c>
      <c r="M256" s="1" t="s">
        <v>251</v>
      </c>
      <c r="N256" s="1" t="s">
        <v>330</v>
      </c>
      <c r="O256" s="1" t="s">
        <v>331</v>
      </c>
      <c r="P256" s="1" t="str">
        <f t="shared" si="17"/>
        <v>BC Camarao1.2Inv. 446030,715277777846030,715277777846030,7854166667</v>
      </c>
      <c r="Q256" s="1" t="str">
        <f t="shared" si="18"/>
        <v>DAURDE</v>
      </c>
    </row>
    <row r="257" spans="2:17">
      <c r="B257" s="1" t="s">
        <v>383</v>
      </c>
      <c r="C257" s="1" t="s">
        <v>386</v>
      </c>
      <c r="D257" s="52">
        <v>46030.715277777781</v>
      </c>
      <c r="E257" s="52">
        <v>46030.715277777781</v>
      </c>
      <c r="F257" s="52">
        <v>46030.785416666666</v>
      </c>
      <c r="G257" s="53">
        <f t="shared" si="19"/>
        <v>7.0138888884685002E-2</v>
      </c>
      <c r="H257" s="1" t="s">
        <v>248</v>
      </c>
      <c r="J257" s="1" t="s">
        <v>249</v>
      </c>
      <c r="K257" s="1" t="s">
        <v>349</v>
      </c>
      <c r="L257" s="1" t="s">
        <v>381</v>
      </c>
      <c r="M257" s="1" t="s">
        <v>251</v>
      </c>
      <c r="N257" s="1" t="s">
        <v>330</v>
      </c>
      <c r="O257" s="1" t="s">
        <v>331</v>
      </c>
      <c r="P257" s="1" t="str">
        <f t="shared" si="17"/>
        <v>BC Camarao1.2Inverter(MBUS-16)46030,715277777846030,715277777846030,7854166667</v>
      </c>
      <c r="Q257" s="1" t="str">
        <f t="shared" si="18"/>
        <v>DAURDE</v>
      </c>
    </row>
    <row r="258" spans="2:17">
      <c r="B258" s="1" t="s">
        <v>383</v>
      </c>
      <c r="C258" s="1" t="s">
        <v>354</v>
      </c>
      <c r="D258" s="52">
        <v>46030.715277777781</v>
      </c>
      <c r="E258" s="52">
        <v>46030.715277777781</v>
      </c>
      <c r="F258" s="52">
        <v>46030.785416666666</v>
      </c>
      <c r="G258" s="53">
        <f t="shared" si="19"/>
        <v>7.0138888884685002E-2</v>
      </c>
      <c r="H258" s="1" t="s">
        <v>248</v>
      </c>
      <c r="J258" s="1" t="s">
        <v>249</v>
      </c>
      <c r="K258" s="1" t="s">
        <v>349</v>
      </c>
      <c r="L258" s="1" t="s">
        <v>381</v>
      </c>
      <c r="M258" s="1" t="s">
        <v>251</v>
      </c>
      <c r="N258" s="1" t="s">
        <v>330</v>
      </c>
      <c r="O258" s="1" t="s">
        <v>331</v>
      </c>
      <c r="P258" s="1" t="str">
        <f t="shared" si="17"/>
        <v>BC Camarao1.2Inverter(MBUS-12)46030,715277777846030,715277777846030,7854166667</v>
      </c>
      <c r="Q258" s="1" t="str">
        <f t="shared" si="18"/>
        <v>DAURDE</v>
      </c>
    </row>
    <row r="259" spans="2:17">
      <c r="B259" s="1" t="s">
        <v>387</v>
      </c>
      <c r="C259" s="1" t="s">
        <v>257</v>
      </c>
      <c r="D259" s="52">
        <v>46030.715277777781</v>
      </c>
      <c r="E259" s="52">
        <v>46030.715277777781</v>
      </c>
      <c r="F259" s="52">
        <v>46030.785416666666</v>
      </c>
      <c r="G259" s="53">
        <f t="shared" si="19"/>
        <v>7.0138888884685002E-2</v>
      </c>
      <c r="H259" s="1" t="s">
        <v>248</v>
      </c>
      <c r="J259" s="1" t="s">
        <v>249</v>
      </c>
      <c r="K259" s="1" t="s">
        <v>349</v>
      </c>
      <c r="L259" s="1" t="s">
        <v>381</v>
      </c>
      <c r="M259" s="1" t="s">
        <v>251</v>
      </c>
      <c r="N259" s="1" t="s">
        <v>330</v>
      </c>
      <c r="O259" s="1" t="s">
        <v>331</v>
      </c>
      <c r="P259" s="1" t="str">
        <f t="shared" si="17"/>
        <v>BC Camarao1.3215KTL-H3(MBUS-16)46030,715277777846030,715277777846030,7854166667</v>
      </c>
      <c r="Q259" s="1" t="str">
        <f t="shared" si="18"/>
        <v>DAURDE</v>
      </c>
    </row>
    <row r="260" spans="2:17">
      <c r="B260" s="1" t="s">
        <v>387</v>
      </c>
      <c r="C260" s="1" t="s">
        <v>255</v>
      </c>
      <c r="D260" s="52">
        <v>46030.715277777781</v>
      </c>
      <c r="E260" s="52">
        <v>46030.715277777781</v>
      </c>
      <c r="F260" s="52">
        <v>46030.785416666666</v>
      </c>
      <c r="G260" s="53">
        <f t="shared" si="19"/>
        <v>7.0138888884685002E-2</v>
      </c>
      <c r="H260" s="1" t="s">
        <v>248</v>
      </c>
      <c r="J260" s="1" t="s">
        <v>249</v>
      </c>
      <c r="K260" s="1" t="s">
        <v>349</v>
      </c>
      <c r="L260" s="1" t="s">
        <v>381</v>
      </c>
      <c r="M260" s="1" t="s">
        <v>251</v>
      </c>
      <c r="N260" s="1" t="s">
        <v>330</v>
      </c>
      <c r="O260" s="1" t="s">
        <v>331</v>
      </c>
      <c r="P260" s="1" t="str">
        <f t="shared" si="17"/>
        <v>BC Camarao1.3215KTL-H3(MBUS-14)46030,715277777846030,715277777846030,7854166667</v>
      </c>
      <c r="Q260" s="1" t="str">
        <f t="shared" si="18"/>
        <v>DAURDE</v>
      </c>
    </row>
    <row r="261" spans="2:17">
      <c r="B261" s="1" t="s">
        <v>387</v>
      </c>
      <c r="C261" s="1" t="s">
        <v>256</v>
      </c>
      <c r="D261" s="52">
        <v>46030.715277777781</v>
      </c>
      <c r="E261" s="52">
        <v>46030.715277777781</v>
      </c>
      <c r="F261" s="52">
        <v>46030.785416666666</v>
      </c>
      <c r="G261" s="53">
        <f t="shared" si="19"/>
        <v>7.0138888884685002E-2</v>
      </c>
      <c r="H261" s="1" t="s">
        <v>248</v>
      </c>
      <c r="J261" s="1" t="s">
        <v>249</v>
      </c>
      <c r="K261" s="1" t="s">
        <v>349</v>
      </c>
      <c r="L261" s="1" t="s">
        <v>381</v>
      </c>
      <c r="M261" s="1" t="s">
        <v>251</v>
      </c>
      <c r="N261" s="1" t="s">
        <v>330</v>
      </c>
      <c r="O261" s="1" t="s">
        <v>331</v>
      </c>
      <c r="P261" s="1" t="str">
        <f t="shared" si="17"/>
        <v>BC Camarao1.3215KTL-H3(MBUS-15)46030,715277777846030,715277777846030,7854166667</v>
      </c>
      <c r="Q261" s="1" t="str">
        <f t="shared" si="18"/>
        <v>DAURDE</v>
      </c>
    </row>
    <row r="262" spans="2:17">
      <c r="B262" s="1" t="s">
        <v>387</v>
      </c>
      <c r="C262" s="1" t="s">
        <v>247</v>
      </c>
      <c r="D262" s="52">
        <v>46030.715277777781</v>
      </c>
      <c r="E262" s="52">
        <v>46030.715277777781</v>
      </c>
      <c r="F262" s="52">
        <v>46030.785416666666</v>
      </c>
      <c r="G262" s="53">
        <f t="shared" si="19"/>
        <v>7.0138888884685002E-2</v>
      </c>
      <c r="H262" s="1" t="s">
        <v>248</v>
      </c>
      <c r="J262" s="1" t="s">
        <v>249</v>
      </c>
      <c r="K262" s="1" t="s">
        <v>349</v>
      </c>
      <c r="L262" s="1" t="s">
        <v>381</v>
      </c>
      <c r="M262" s="1" t="s">
        <v>251</v>
      </c>
      <c r="N262" s="1" t="s">
        <v>330</v>
      </c>
      <c r="O262" s="1" t="s">
        <v>331</v>
      </c>
      <c r="P262" s="1" t="str">
        <f t="shared" si="17"/>
        <v>BC Camarao1.3215KTL-H3(MBUS-12)46030,715277777846030,715277777846030,7854166667</v>
      </c>
      <c r="Q262" s="1" t="str">
        <f t="shared" si="18"/>
        <v>DAURDE</v>
      </c>
    </row>
    <row r="263" spans="2:17">
      <c r="B263" s="1" t="s">
        <v>387</v>
      </c>
      <c r="C263" s="1" t="s">
        <v>254</v>
      </c>
      <c r="D263" s="52">
        <v>46030.715277777781</v>
      </c>
      <c r="E263" s="52">
        <v>46030.715277777781</v>
      </c>
      <c r="F263" s="52">
        <v>46030.785416666666</v>
      </c>
      <c r="G263" s="53">
        <f t="shared" si="19"/>
        <v>7.0138888884685002E-2</v>
      </c>
      <c r="H263" s="1" t="s">
        <v>248</v>
      </c>
      <c r="J263" s="1" t="s">
        <v>249</v>
      </c>
      <c r="K263" s="1" t="s">
        <v>349</v>
      </c>
      <c r="L263" s="1" t="s">
        <v>381</v>
      </c>
      <c r="M263" s="1" t="s">
        <v>251</v>
      </c>
      <c r="N263" s="1" t="s">
        <v>330</v>
      </c>
      <c r="O263" s="1" t="s">
        <v>331</v>
      </c>
      <c r="P263" s="1" t="str">
        <f t="shared" si="17"/>
        <v>BC Camarao1.3215KTL-H3(MBUS-13)46030,715277777846030,715277777846030,7854166667</v>
      </c>
      <c r="Q263" s="1" t="str">
        <f t="shared" si="18"/>
        <v>DAURDE</v>
      </c>
    </row>
    <row r="264" spans="2:17">
      <c r="B264" s="1" t="s">
        <v>379</v>
      </c>
      <c r="C264" s="1" t="s">
        <v>380</v>
      </c>
      <c r="D264" s="52">
        <v>46030.715277777781</v>
      </c>
      <c r="E264" s="52">
        <v>46030.715277777781</v>
      </c>
      <c r="F264" s="52">
        <v>46030.785416666666</v>
      </c>
      <c r="G264" s="53">
        <f t="shared" si="19"/>
        <v>7.0138888884685002E-2</v>
      </c>
      <c r="H264" s="1" t="s">
        <v>248</v>
      </c>
      <c r="J264" s="1" t="s">
        <v>249</v>
      </c>
      <c r="K264" s="1" t="s">
        <v>349</v>
      </c>
      <c r="L264" s="1" t="s">
        <v>381</v>
      </c>
      <c r="M264" s="1" t="s">
        <v>251</v>
      </c>
      <c r="N264" s="1" t="s">
        <v>330</v>
      </c>
      <c r="O264" s="1" t="s">
        <v>331</v>
      </c>
      <c r="P264" s="1" t="str">
        <f t="shared" ref="P264:P327" si="20">_xlfn.CONCAT(B264,C264,D264,E264,F264)</f>
        <v>BC Camarao1.4INV-6T22A904138146030,715277777846030,715277777846030,7854166667</v>
      </c>
      <c r="Q264" s="1" t="str">
        <f t="shared" ref="Q264:Q327" si="21">_xlfn.CONCAT(H264,I264,J264)</f>
        <v>DAURDE</v>
      </c>
    </row>
    <row r="265" spans="2:17">
      <c r="B265" s="1" t="s">
        <v>379</v>
      </c>
      <c r="C265" s="1" t="s">
        <v>255</v>
      </c>
      <c r="D265" s="52">
        <v>46030.715277777781</v>
      </c>
      <c r="E265" s="52">
        <v>46030.715277777781</v>
      </c>
      <c r="F265" s="52">
        <v>46030.785416666666</v>
      </c>
      <c r="G265" s="53">
        <f t="shared" si="19"/>
        <v>7.0138888884685002E-2</v>
      </c>
      <c r="H265" s="1" t="s">
        <v>248</v>
      </c>
      <c r="J265" s="1" t="s">
        <v>249</v>
      </c>
      <c r="K265" s="1" t="s">
        <v>349</v>
      </c>
      <c r="L265" s="1" t="s">
        <v>381</v>
      </c>
      <c r="M265" s="1" t="s">
        <v>251</v>
      </c>
      <c r="N265" s="1" t="s">
        <v>330</v>
      </c>
      <c r="O265" s="1" t="s">
        <v>331</v>
      </c>
      <c r="P265" s="1" t="str">
        <f t="shared" si="20"/>
        <v>BC Camarao1.4215KTL-H3(MBUS-14)46030,715277777846030,715277777846030,7854166667</v>
      </c>
      <c r="Q265" s="1" t="str">
        <f t="shared" si="21"/>
        <v>DAURDE</v>
      </c>
    </row>
    <row r="266" spans="2:17">
      <c r="B266" s="1" t="s">
        <v>379</v>
      </c>
      <c r="C266" s="1" t="s">
        <v>254</v>
      </c>
      <c r="D266" s="52">
        <v>46030.715277777781</v>
      </c>
      <c r="E266" s="52">
        <v>46030.715277777781</v>
      </c>
      <c r="F266" s="52">
        <v>46030.785416666666</v>
      </c>
      <c r="G266" s="53">
        <f t="shared" si="19"/>
        <v>7.0138888884685002E-2</v>
      </c>
      <c r="H266" s="1" t="s">
        <v>248</v>
      </c>
      <c r="J266" s="1" t="s">
        <v>249</v>
      </c>
      <c r="K266" s="1" t="s">
        <v>349</v>
      </c>
      <c r="L266" s="1" t="s">
        <v>381</v>
      </c>
      <c r="M266" s="1" t="s">
        <v>251</v>
      </c>
      <c r="N266" s="1" t="s">
        <v>330</v>
      </c>
      <c r="O266" s="1" t="s">
        <v>331</v>
      </c>
      <c r="P266" s="1" t="str">
        <f t="shared" si="20"/>
        <v>BC Camarao1.4215KTL-H3(MBUS-13)46030,715277777846030,715277777846030,7854166667</v>
      </c>
      <c r="Q266" s="1" t="str">
        <f t="shared" si="21"/>
        <v>DAURDE</v>
      </c>
    </row>
    <row r="267" spans="2:17">
      <c r="B267" s="1" t="s">
        <v>379</v>
      </c>
      <c r="C267" s="1" t="s">
        <v>257</v>
      </c>
      <c r="D267" s="52">
        <v>46030.715277777781</v>
      </c>
      <c r="E267" s="52">
        <v>46030.715277777781</v>
      </c>
      <c r="F267" s="52">
        <v>46030.785416666666</v>
      </c>
      <c r="G267" s="53">
        <f t="shared" si="19"/>
        <v>7.0138888884685002E-2</v>
      </c>
      <c r="H267" s="1" t="s">
        <v>248</v>
      </c>
      <c r="J267" s="1" t="s">
        <v>249</v>
      </c>
      <c r="K267" s="1" t="s">
        <v>349</v>
      </c>
      <c r="L267" s="1" t="s">
        <v>381</v>
      </c>
      <c r="M267" s="1" t="s">
        <v>251</v>
      </c>
      <c r="N267" s="1" t="s">
        <v>330</v>
      </c>
      <c r="O267" s="1" t="s">
        <v>331</v>
      </c>
      <c r="P267" s="1" t="str">
        <f t="shared" si="20"/>
        <v>BC Camarao1.4215KTL-H3(MBUS-16)46030,715277777846030,715277777846030,7854166667</v>
      </c>
      <c r="Q267" s="1" t="str">
        <f t="shared" si="21"/>
        <v>DAURDE</v>
      </c>
    </row>
    <row r="268" spans="2:17">
      <c r="B268" s="1" t="s">
        <v>379</v>
      </c>
      <c r="C268" s="1" t="s">
        <v>256</v>
      </c>
      <c r="D268" s="52">
        <v>46030.715277777781</v>
      </c>
      <c r="E268" s="52">
        <v>46030.715277777781</v>
      </c>
      <c r="F268" s="52">
        <v>46030.785416666666</v>
      </c>
      <c r="G268" s="53">
        <f t="shared" si="19"/>
        <v>7.0138888884685002E-2</v>
      </c>
      <c r="H268" s="1" t="s">
        <v>248</v>
      </c>
      <c r="J268" s="1" t="s">
        <v>249</v>
      </c>
      <c r="K268" s="1" t="s">
        <v>349</v>
      </c>
      <c r="L268" s="1" t="s">
        <v>381</v>
      </c>
      <c r="M268" s="1" t="s">
        <v>251</v>
      </c>
      <c r="N268" s="1" t="s">
        <v>330</v>
      </c>
      <c r="O268" s="1" t="s">
        <v>331</v>
      </c>
      <c r="P268" s="1" t="str">
        <f t="shared" si="20"/>
        <v>BC Camarao1.4215KTL-H3(MBUS-15)46030,715277777846030,715277777846030,7854166667</v>
      </c>
      <c r="Q268" s="1" t="str">
        <f t="shared" si="21"/>
        <v>DAURDE</v>
      </c>
    </row>
    <row r="269" spans="2:17">
      <c r="B269" s="1" t="s">
        <v>388</v>
      </c>
      <c r="C269" s="1" t="s">
        <v>256</v>
      </c>
      <c r="D269" s="52">
        <v>46030.715277777781</v>
      </c>
      <c r="E269" s="52">
        <v>46030.715277777781</v>
      </c>
      <c r="F269" s="52">
        <v>46030.785416666666</v>
      </c>
      <c r="G269" s="53">
        <f t="shared" si="19"/>
        <v>7.0138888884685002E-2</v>
      </c>
      <c r="H269" s="1" t="s">
        <v>248</v>
      </c>
      <c r="J269" s="1" t="s">
        <v>249</v>
      </c>
      <c r="K269" s="1" t="s">
        <v>349</v>
      </c>
      <c r="L269" s="1" t="s">
        <v>381</v>
      </c>
      <c r="M269" s="1" t="s">
        <v>251</v>
      </c>
      <c r="N269" s="1" t="s">
        <v>330</v>
      </c>
      <c r="O269" s="1" t="s">
        <v>331</v>
      </c>
      <c r="P269" s="1" t="str">
        <f t="shared" si="20"/>
        <v>BC Camarao1.5215KTL-H3(MBUS-15)46030,715277777846030,715277777846030,7854166667</v>
      </c>
      <c r="Q269" s="1" t="str">
        <f t="shared" si="21"/>
        <v>DAURDE</v>
      </c>
    </row>
    <row r="270" spans="2:17">
      <c r="B270" s="1" t="s">
        <v>388</v>
      </c>
      <c r="C270" s="1" t="s">
        <v>254</v>
      </c>
      <c r="D270" s="52">
        <v>46030.715277777781</v>
      </c>
      <c r="E270" s="52">
        <v>46030.715277777781</v>
      </c>
      <c r="F270" s="52">
        <v>46030.785416666666</v>
      </c>
      <c r="G270" s="53">
        <f t="shared" si="19"/>
        <v>7.0138888884685002E-2</v>
      </c>
      <c r="H270" s="1" t="s">
        <v>248</v>
      </c>
      <c r="J270" s="1" t="s">
        <v>249</v>
      </c>
      <c r="K270" s="1" t="s">
        <v>349</v>
      </c>
      <c r="L270" s="1" t="s">
        <v>381</v>
      </c>
      <c r="M270" s="1" t="s">
        <v>251</v>
      </c>
      <c r="N270" s="1" t="s">
        <v>330</v>
      </c>
      <c r="O270" s="1" t="s">
        <v>331</v>
      </c>
      <c r="P270" s="1" t="str">
        <f t="shared" si="20"/>
        <v>BC Camarao1.5215KTL-H3(MBUS-13)46030,715277777846030,715277777846030,7854166667</v>
      </c>
      <c r="Q270" s="1" t="str">
        <f t="shared" si="21"/>
        <v>DAURDE</v>
      </c>
    </row>
    <row r="271" spans="2:17">
      <c r="B271" s="1" t="s">
        <v>388</v>
      </c>
      <c r="C271" s="1" t="s">
        <v>247</v>
      </c>
      <c r="D271" s="52">
        <v>46030.715277777781</v>
      </c>
      <c r="E271" s="52">
        <v>46030.715277777781</v>
      </c>
      <c r="F271" s="52">
        <v>46030.785416666666</v>
      </c>
      <c r="G271" s="53">
        <f t="shared" si="19"/>
        <v>7.0138888884685002E-2</v>
      </c>
      <c r="H271" s="1" t="s">
        <v>248</v>
      </c>
      <c r="J271" s="1" t="s">
        <v>249</v>
      </c>
      <c r="K271" s="1" t="s">
        <v>349</v>
      </c>
      <c r="L271" s="1" t="s">
        <v>381</v>
      </c>
      <c r="M271" s="1" t="s">
        <v>251</v>
      </c>
      <c r="N271" s="1" t="s">
        <v>330</v>
      </c>
      <c r="O271" s="1" t="s">
        <v>331</v>
      </c>
      <c r="P271" s="1" t="str">
        <f t="shared" si="20"/>
        <v>BC Camarao1.5215KTL-H3(MBUS-12)46030,715277777846030,715277777846030,7854166667</v>
      </c>
      <c r="Q271" s="1" t="str">
        <f t="shared" si="21"/>
        <v>DAURDE</v>
      </c>
    </row>
    <row r="272" spans="2:17">
      <c r="B272" s="1" t="s">
        <v>388</v>
      </c>
      <c r="C272" s="1" t="s">
        <v>389</v>
      </c>
      <c r="D272" s="52">
        <v>46030.715277777781</v>
      </c>
      <c r="E272" s="52">
        <v>46030.715277777781</v>
      </c>
      <c r="F272" s="52">
        <v>46030.785416666666</v>
      </c>
      <c r="G272" s="53">
        <f t="shared" si="19"/>
        <v>7.0138888884685002E-2</v>
      </c>
      <c r="H272" s="1" t="s">
        <v>248</v>
      </c>
      <c r="J272" s="1" t="s">
        <v>249</v>
      </c>
      <c r="K272" s="1" t="s">
        <v>349</v>
      </c>
      <c r="L272" s="1" t="s">
        <v>381</v>
      </c>
      <c r="M272" s="1" t="s">
        <v>251</v>
      </c>
      <c r="N272" s="1" t="s">
        <v>330</v>
      </c>
      <c r="O272" s="1" t="s">
        <v>331</v>
      </c>
      <c r="P272" s="1" t="str">
        <f t="shared" si="20"/>
        <v>BC Camarao1.5215KTL-H3(MBUS-1)46030,715277777846030,715277777846030,7854166667</v>
      </c>
      <c r="Q272" s="1" t="str">
        <f t="shared" si="21"/>
        <v>DAURDE</v>
      </c>
    </row>
    <row r="273" spans="2:17">
      <c r="B273" s="1" t="s">
        <v>388</v>
      </c>
      <c r="C273" s="1" t="s">
        <v>255</v>
      </c>
      <c r="D273" s="52">
        <v>46030.715277777781</v>
      </c>
      <c r="E273" s="52">
        <v>46030.715277777781</v>
      </c>
      <c r="F273" s="52">
        <v>46030.785416666666</v>
      </c>
      <c r="G273" s="53">
        <f t="shared" si="19"/>
        <v>7.0138888884685002E-2</v>
      </c>
      <c r="H273" s="1" t="s">
        <v>248</v>
      </c>
      <c r="J273" s="1" t="s">
        <v>249</v>
      </c>
      <c r="K273" s="1" t="s">
        <v>349</v>
      </c>
      <c r="L273" s="1" t="s">
        <v>381</v>
      </c>
      <c r="M273" s="1" t="s">
        <v>251</v>
      </c>
      <c r="N273" s="1" t="s">
        <v>330</v>
      </c>
      <c r="O273" s="1" t="s">
        <v>331</v>
      </c>
      <c r="P273" s="1" t="str">
        <f t="shared" si="20"/>
        <v>BC Camarao1.5215KTL-H3(MBUS-14)46030,715277777846030,715277777846030,7854166667</v>
      </c>
      <c r="Q273" s="1" t="str">
        <f t="shared" si="21"/>
        <v>DAURDE</v>
      </c>
    </row>
    <row r="274" spans="2:17">
      <c r="B274" s="1" t="s">
        <v>382</v>
      </c>
      <c r="C274" s="1" t="s">
        <v>328</v>
      </c>
      <c r="D274" s="52">
        <v>46031.18472222222</v>
      </c>
      <c r="E274" s="52">
        <v>46031.18472222222</v>
      </c>
      <c r="F274" s="52">
        <v>46031.340277777781</v>
      </c>
      <c r="G274" s="53">
        <f t="shared" si="19"/>
        <v>0.15555555556056788</v>
      </c>
      <c r="H274" s="1" t="s">
        <v>248</v>
      </c>
      <c r="J274" s="1" t="s">
        <v>249</v>
      </c>
      <c r="K274" s="1" t="s">
        <v>349</v>
      </c>
      <c r="L274" s="1" t="s">
        <v>381</v>
      </c>
      <c r="M274" s="1" t="s">
        <v>251</v>
      </c>
      <c r="N274" s="1" t="s">
        <v>330</v>
      </c>
      <c r="O274" s="1" t="s">
        <v>331</v>
      </c>
      <c r="P274" s="1" t="str">
        <f t="shared" si="20"/>
        <v>BC Camarao1.1Inverter(MBUS-1)46031,184722222246031,184722222246031,3402777778</v>
      </c>
      <c r="Q274" s="1" t="str">
        <f t="shared" si="21"/>
        <v>DAURDE</v>
      </c>
    </row>
    <row r="275" spans="2:17">
      <c r="B275" s="1" t="s">
        <v>382</v>
      </c>
      <c r="C275" s="1" t="s">
        <v>247</v>
      </c>
      <c r="D275" s="52">
        <v>46031.18472222222</v>
      </c>
      <c r="E275" s="52">
        <v>46031.18472222222</v>
      </c>
      <c r="F275" s="52">
        <v>46031.340277777781</v>
      </c>
      <c r="G275" s="53">
        <f t="shared" si="19"/>
        <v>0.15555555556056788</v>
      </c>
      <c r="H275" s="1" t="s">
        <v>248</v>
      </c>
      <c r="J275" s="1" t="s">
        <v>249</v>
      </c>
      <c r="K275" s="1" t="s">
        <v>349</v>
      </c>
      <c r="L275" s="1" t="s">
        <v>381</v>
      </c>
      <c r="M275" s="1" t="s">
        <v>251</v>
      </c>
      <c r="N275" s="1" t="s">
        <v>330</v>
      </c>
      <c r="O275" s="1" t="s">
        <v>331</v>
      </c>
      <c r="P275" s="1" t="str">
        <f t="shared" si="20"/>
        <v>BC Camarao1.1215KTL-H3(MBUS-12)46031,184722222246031,184722222246031,3402777778</v>
      </c>
      <c r="Q275" s="1" t="str">
        <f t="shared" si="21"/>
        <v>DAURDE</v>
      </c>
    </row>
    <row r="276" spans="2:17">
      <c r="B276" s="1" t="s">
        <v>382</v>
      </c>
      <c r="C276" s="1" t="s">
        <v>254</v>
      </c>
      <c r="D276" s="52">
        <v>46031.18472222222</v>
      </c>
      <c r="E276" s="52">
        <v>46031.18472222222</v>
      </c>
      <c r="F276" s="52">
        <v>46031.340277777781</v>
      </c>
      <c r="G276" s="53">
        <f t="shared" si="19"/>
        <v>0.15555555556056788</v>
      </c>
      <c r="H276" s="1" t="s">
        <v>248</v>
      </c>
      <c r="J276" s="1" t="s">
        <v>249</v>
      </c>
      <c r="K276" s="1" t="s">
        <v>349</v>
      </c>
      <c r="L276" s="1" t="s">
        <v>381</v>
      </c>
      <c r="M276" s="1" t="s">
        <v>251</v>
      </c>
      <c r="N276" s="1" t="s">
        <v>330</v>
      </c>
      <c r="O276" s="1" t="s">
        <v>331</v>
      </c>
      <c r="P276" s="1" t="str">
        <f t="shared" si="20"/>
        <v>BC Camarao1.1215KTL-H3(MBUS-13)46031,184722222246031,184722222246031,3402777778</v>
      </c>
      <c r="Q276" s="1" t="str">
        <f t="shared" si="21"/>
        <v>DAURDE</v>
      </c>
    </row>
    <row r="277" spans="2:17">
      <c r="B277" s="1" t="s">
        <v>382</v>
      </c>
      <c r="C277" s="1" t="s">
        <v>257</v>
      </c>
      <c r="D277" s="52">
        <v>46031.18472222222</v>
      </c>
      <c r="E277" s="52">
        <v>46031.18472222222</v>
      </c>
      <c r="F277" s="52">
        <v>46031.340277777781</v>
      </c>
      <c r="G277" s="53">
        <f t="shared" si="19"/>
        <v>0.15555555556056788</v>
      </c>
      <c r="H277" s="1" t="s">
        <v>248</v>
      </c>
      <c r="J277" s="1" t="s">
        <v>249</v>
      </c>
      <c r="K277" s="1" t="s">
        <v>349</v>
      </c>
      <c r="L277" s="1" t="s">
        <v>381</v>
      </c>
      <c r="M277" s="1" t="s">
        <v>251</v>
      </c>
      <c r="N277" s="1" t="s">
        <v>330</v>
      </c>
      <c r="O277" s="1" t="s">
        <v>331</v>
      </c>
      <c r="P277" s="1" t="str">
        <f t="shared" si="20"/>
        <v>BC Camarao1.1215KTL-H3(MBUS-16)46031,184722222246031,184722222246031,3402777778</v>
      </c>
      <c r="Q277" s="1" t="str">
        <f t="shared" si="21"/>
        <v>DAURDE</v>
      </c>
    </row>
    <row r="278" spans="2:17">
      <c r="B278" s="1" t="s">
        <v>382</v>
      </c>
      <c r="C278" s="1" t="s">
        <v>256</v>
      </c>
      <c r="D278" s="52">
        <v>46031.18472222222</v>
      </c>
      <c r="E278" s="52">
        <v>46031.18472222222</v>
      </c>
      <c r="F278" s="52">
        <v>46031.340277777781</v>
      </c>
      <c r="G278" s="53">
        <f t="shared" si="19"/>
        <v>0.15555555556056788</v>
      </c>
      <c r="H278" s="1" t="s">
        <v>248</v>
      </c>
      <c r="J278" s="1" t="s">
        <v>249</v>
      </c>
      <c r="K278" s="1" t="s">
        <v>349</v>
      </c>
      <c r="L278" s="1" t="s">
        <v>381</v>
      </c>
      <c r="M278" s="1" t="s">
        <v>251</v>
      </c>
      <c r="N278" s="1" t="s">
        <v>330</v>
      </c>
      <c r="O278" s="1" t="s">
        <v>331</v>
      </c>
      <c r="P278" s="1" t="str">
        <f t="shared" si="20"/>
        <v>BC Camarao1.1215KTL-H3(MBUS-15)46031,184722222246031,184722222246031,3402777778</v>
      </c>
      <c r="Q278" s="1" t="str">
        <f t="shared" si="21"/>
        <v>DAURDE</v>
      </c>
    </row>
    <row r="279" spans="2:17">
      <c r="B279" s="1" t="s">
        <v>383</v>
      </c>
      <c r="C279" s="1" t="s">
        <v>328</v>
      </c>
      <c r="D279" s="52">
        <v>46031.18472222222</v>
      </c>
      <c r="E279" s="52">
        <v>46031.18472222222</v>
      </c>
      <c r="F279" s="52">
        <v>46031.340277777781</v>
      </c>
      <c r="G279" s="53">
        <f t="shared" si="19"/>
        <v>0.15555555556056788</v>
      </c>
      <c r="H279" s="1" t="s">
        <v>248</v>
      </c>
      <c r="J279" s="1" t="s">
        <v>249</v>
      </c>
      <c r="K279" s="1" t="s">
        <v>349</v>
      </c>
      <c r="L279" s="1" t="s">
        <v>381</v>
      </c>
      <c r="M279" s="1" t="s">
        <v>251</v>
      </c>
      <c r="N279" s="1" t="s">
        <v>330</v>
      </c>
      <c r="O279" s="1" t="s">
        <v>331</v>
      </c>
      <c r="P279" s="1" t="str">
        <f t="shared" si="20"/>
        <v>BC Camarao1.2Inverter(MBUS-1)46031,184722222246031,184722222246031,3402777778</v>
      </c>
      <c r="Q279" s="1" t="str">
        <f t="shared" si="21"/>
        <v>DAURDE</v>
      </c>
    </row>
    <row r="280" spans="2:17">
      <c r="B280" s="1" t="s">
        <v>383</v>
      </c>
      <c r="C280" s="1" t="s">
        <v>384</v>
      </c>
      <c r="D280" s="52">
        <v>46031.18472222222</v>
      </c>
      <c r="E280" s="52">
        <v>46031.18472222222</v>
      </c>
      <c r="F280" s="52">
        <v>46031.340277777781</v>
      </c>
      <c r="G280" s="53">
        <f t="shared" si="19"/>
        <v>0.15555555556056788</v>
      </c>
      <c r="H280" s="1" t="s">
        <v>248</v>
      </c>
      <c r="J280" s="1" t="s">
        <v>249</v>
      </c>
      <c r="K280" s="1" t="s">
        <v>349</v>
      </c>
      <c r="L280" s="1" t="s">
        <v>381</v>
      </c>
      <c r="M280" s="1" t="s">
        <v>251</v>
      </c>
      <c r="N280" s="1" t="s">
        <v>330</v>
      </c>
      <c r="O280" s="1" t="s">
        <v>331</v>
      </c>
      <c r="P280" s="1" t="str">
        <f t="shared" si="20"/>
        <v>BC Camarao1.2Inv. 346031,184722222246031,184722222246031,3402777778</v>
      </c>
      <c r="Q280" s="1" t="str">
        <f t="shared" si="21"/>
        <v>DAURDE</v>
      </c>
    </row>
    <row r="281" spans="2:17">
      <c r="B281" s="1" t="s">
        <v>383</v>
      </c>
      <c r="C281" s="1" t="s">
        <v>385</v>
      </c>
      <c r="D281" s="52">
        <v>46031.18472222222</v>
      </c>
      <c r="E281" s="52">
        <v>46031.18472222222</v>
      </c>
      <c r="F281" s="52">
        <v>46031.340277777781</v>
      </c>
      <c r="G281" s="53">
        <f t="shared" si="19"/>
        <v>0.15555555556056788</v>
      </c>
      <c r="H281" s="1" t="s">
        <v>248</v>
      </c>
      <c r="J281" s="1" t="s">
        <v>249</v>
      </c>
      <c r="K281" s="1" t="s">
        <v>349</v>
      </c>
      <c r="L281" s="1" t="s">
        <v>381</v>
      </c>
      <c r="M281" s="1" t="s">
        <v>251</v>
      </c>
      <c r="N281" s="1" t="s">
        <v>330</v>
      </c>
      <c r="O281" s="1" t="s">
        <v>331</v>
      </c>
      <c r="P281" s="1" t="str">
        <f t="shared" si="20"/>
        <v>BC Camarao1.2Inv. 446031,184722222246031,184722222246031,3402777778</v>
      </c>
      <c r="Q281" s="1" t="str">
        <f t="shared" si="21"/>
        <v>DAURDE</v>
      </c>
    </row>
    <row r="282" spans="2:17">
      <c r="B282" s="1" t="s">
        <v>383</v>
      </c>
      <c r="C282" s="1" t="s">
        <v>386</v>
      </c>
      <c r="D282" s="52">
        <v>46031.18472222222</v>
      </c>
      <c r="E282" s="52">
        <v>46031.18472222222</v>
      </c>
      <c r="F282" s="52">
        <v>46031.340277777781</v>
      </c>
      <c r="G282" s="53">
        <f t="shared" si="19"/>
        <v>0.15555555556056788</v>
      </c>
      <c r="H282" s="1" t="s">
        <v>248</v>
      </c>
      <c r="J282" s="1" t="s">
        <v>249</v>
      </c>
      <c r="K282" s="1" t="s">
        <v>349</v>
      </c>
      <c r="L282" s="1" t="s">
        <v>381</v>
      </c>
      <c r="M282" s="1" t="s">
        <v>251</v>
      </c>
      <c r="N282" s="1" t="s">
        <v>330</v>
      </c>
      <c r="O282" s="1" t="s">
        <v>331</v>
      </c>
      <c r="P282" s="1" t="str">
        <f t="shared" si="20"/>
        <v>BC Camarao1.2Inverter(MBUS-16)46031,184722222246031,184722222246031,3402777778</v>
      </c>
      <c r="Q282" s="1" t="str">
        <f t="shared" si="21"/>
        <v>DAURDE</v>
      </c>
    </row>
    <row r="283" spans="2:17">
      <c r="B283" s="1" t="s">
        <v>383</v>
      </c>
      <c r="C283" s="1" t="s">
        <v>354</v>
      </c>
      <c r="D283" s="52">
        <v>46031.18472222222</v>
      </c>
      <c r="E283" s="52">
        <v>46031.18472222222</v>
      </c>
      <c r="F283" s="52">
        <v>46031.340277777781</v>
      </c>
      <c r="G283" s="53">
        <f t="shared" si="19"/>
        <v>0.15555555556056788</v>
      </c>
      <c r="H283" s="1" t="s">
        <v>248</v>
      </c>
      <c r="J283" s="1" t="s">
        <v>249</v>
      </c>
      <c r="K283" s="1" t="s">
        <v>349</v>
      </c>
      <c r="L283" s="1" t="s">
        <v>381</v>
      </c>
      <c r="M283" s="1" t="s">
        <v>251</v>
      </c>
      <c r="N283" s="1" t="s">
        <v>330</v>
      </c>
      <c r="O283" s="1" t="s">
        <v>331</v>
      </c>
      <c r="P283" s="1" t="str">
        <f t="shared" si="20"/>
        <v>BC Camarao1.2Inverter(MBUS-12)46031,184722222246031,184722222246031,3402777778</v>
      </c>
      <c r="Q283" s="1" t="str">
        <f t="shared" si="21"/>
        <v>DAURDE</v>
      </c>
    </row>
    <row r="284" spans="2:17">
      <c r="B284" s="1" t="s">
        <v>387</v>
      </c>
      <c r="C284" s="1" t="s">
        <v>257</v>
      </c>
      <c r="D284" s="52">
        <v>46031.18472222222</v>
      </c>
      <c r="E284" s="52">
        <v>46031.18472222222</v>
      </c>
      <c r="F284" s="52">
        <v>46031.340277777781</v>
      </c>
      <c r="G284" s="53">
        <f t="shared" si="19"/>
        <v>0.15555555556056788</v>
      </c>
      <c r="H284" s="1" t="s">
        <v>248</v>
      </c>
      <c r="J284" s="1" t="s">
        <v>249</v>
      </c>
      <c r="K284" s="1" t="s">
        <v>349</v>
      </c>
      <c r="L284" s="1" t="s">
        <v>381</v>
      </c>
      <c r="M284" s="1" t="s">
        <v>251</v>
      </c>
      <c r="N284" s="1" t="s">
        <v>330</v>
      </c>
      <c r="O284" s="1" t="s">
        <v>331</v>
      </c>
      <c r="P284" s="1" t="str">
        <f t="shared" si="20"/>
        <v>BC Camarao1.3215KTL-H3(MBUS-16)46031,184722222246031,184722222246031,3402777778</v>
      </c>
      <c r="Q284" s="1" t="str">
        <f t="shared" si="21"/>
        <v>DAURDE</v>
      </c>
    </row>
    <row r="285" spans="2:17">
      <c r="B285" s="1" t="s">
        <v>387</v>
      </c>
      <c r="C285" s="1" t="s">
        <v>255</v>
      </c>
      <c r="D285" s="52">
        <v>46031.18472222222</v>
      </c>
      <c r="E285" s="52">
        <v>46031.18472222222</v>
      </c>
      <c r="F285" s="52">
        <v>46031.340277777781</v>
      </c>
      <c r="G285" s="53">
        <f t="shared" si="19"/>
        <v>0.15555555556056788</v>
      </c>
      <c r="H285" s="1" t="s">
        <v>248</v>
      </c>
      <c r="J285" s="1" t="s">
        <v>249</v>
      </c>
      <c r="K285" s="1" t="s">
        <v>349</v>
      </c>
      <c r="L285" s="1" t="s">
        <v>381</v>
      </c>
      <c r="M285" s="1" t="s">
        <v>251</v>
      </c>
      <c r="N285" s="1" t="s">
        <v>330</v>
      </c>
      <c r="O285" s="1" t="s">
        <v>331</v>
      </c>
      <c r="P285" s="1" t="str">
        <f t="shared" si="20"/>
        <v>BC Camarao1.3215KTL-H3(MBUS-14)46031,184722222246031,184722222246031,3402777778</v>
      </c>
      <c r="Q285" s="1" t="str">
        <f t="shared" si="21"/>
        <v>DAURDE</v>
      </c>
    </row>
    <row r="286" spans="2:17">
      <c r="B286" s="1" t="s">
        <v>387</v>
      </c>
      <c r="C286" s="1" t="s">
        <v>256</v>
      </c>
      <c r="D286" s="52">
        <v>46031.18472222222</v>
      </c>
      <c r="E286" s="52">
        <v>46031.18472222222</v>
      </c>
      <c r="F286" s="52">
        <v>46031.340277777781</v>
      </c>
      <c r="G286" s="53">
        <f t="shared" si="19"/>
        <v>0.15555555556056788</v>
      </c>
      <c r="H286" s="1" t="s">
        <v>248</v>
      </c>
      <c r="J286" s="1" t="s">
        <v>249</v>
      </c>
      <c r="K286" s="1" t="s">
        <v>349</v>
      </c>
      <c r="L286" s="1" t="s">
        <v>381</v>
      </c>
      <c r="M286" s="1" t="s">
        <v>251</v>
      </c>
      <c r="N286" s="1" t="s">
        <v>330</v>
      </c>
      <c r="O286" s="1" t="s">
        <v>331</v>
      </c>
      <c r="P286" s="1" t="str">
        <f t="shared" si="20"/>
        <v>BC Camarao1.3215KTL-H3(MBUS-15)46031,184722222246031,184722222246031,3402777778</v>
      </c>
      <c r="Q286" s="1" t="str">
        <f t="shared" si="21"/>
        <v>DAURDE</v>
      </c>
    </row>
    <row r="287" spans="2:17">
      <c r="B287" s="1" t="s">
        <v>387</v>
      </c>
      <c r="C287" s="1" t="s">
        <v>247</v>
      </c>
      <c r="D287" s="52">
        <v>46031.18472222222</v>
      </c>
      <c r="E287" s="52">
        <v>46031.18472222222</v>
      </c>
      <c r="F287" s="52">
        <v>46031.340277777781</v>
      </c>
      <c r="G287" s="53">
        <f t="shared" si="19"/>
        <v>0.15555555556056788</v>
      </c>
      <c r="H287" s="1" t="s">
        <v>248</v>
      </c>
      <c r="J287" s="1" t="s">
        <v>249</v>
      </c>
      <c r="K287" s="1" t="s">
        <v>349</v>
      </c>
      <c r="L287" s="1" t="s">
        <v>381</v>
      </c>
      <c r="M287" s="1" t="s">
        <v>251</v>
      </c>
      <c r="N287" s="1" t="s">
        <v>330</v>
      </c>
      <c r="O287" s="1" t="s">
        <v>331</v>
      </c>
      <c r="P287" s="1" t="str">
        <f t="shared" si="20"/>
        <v>BC Camarao1.3215KTL-H3(MBUS-12)46031,184722222246031,184722222246031,3402777778</v>
      </c>
      <c r="Q287" s="1" t="str">
        <f t="shared" si="21"/>
        <v>DAURDE</v>
      </c>
    </row>
    <row r="288" spans="2:17">
      <c r="B288" s="1" t="s">
        <v>387</v>
      </c>
      <c r="C288" s="1" t="s">
        <v>254</v>
      </c>
      <c r="D288" s="52">
        <v>46031.18472222222</v>
      </c>
      <c r="E288" s="52">
        <v>46031.18472222222</v>
      </c>
      <c r="F288" s="52">
        <v>46031.340277777781</v>
      </c>
      <c r="G288" s="53">
        <f t="shared" si="19"/>
        <v>0.15555555556056788</v>
      </c>
      <c r="H288" s="1" t="s">
        <v>248</v>
      </c>
      <c r="J288" s="1" t="s">
        <v>249</v>
      </c>
      <c r="K288" s="1" t="s">
        <v>349</v>
      </c>
      <c r="L288" s="1" t="s">
        <v>381</v>
      </c>
      <c r="M288" s="1" t="s">
        <v>251</v>
      </c>
      <c r="N288" s="1" t="s">
        <v>330</v>
      </c>
      <c r="O288" s="1" t="s">
        <v>331</v>
      </c>
      <c r="P288" s="1" t="str">
        <f t="shared" si="20"/>
        <v>BC Camarao1.3215KTL-H3(MBUS-13)46031,184722222246031,184722222246031,3402777778</v>
      </c>
      <c r="Q288" s="1" t="str">
        <f t="shared" si="21"/>
        <v>DAURDE</v>
      </c>
    </row>
    <row r="289" spans="2:17">
      <c r="B289" s="1" t="s">
        <v>388</v>
      </c>
      <c r="C289" s="1" t="s">
        <v>256</v>
      </c>
      <c r="D289" s="52">
        <v>46031.18472222222</v>
      </c>
      <c r="E289" s="52">
        <v>46031.18472222222</v>
      </c>
      <c r="F289" s="52">
        <v>46031.340277777781</v>
      </c>
      <c r="G289" s="53">
        <f t="shared" si="19"/>
        <v>0.15555555556056788</v>
      </c>
      <c r="H289" s="1" t="s">
        <v>248</v>
      </c>
      <c r="J289" s="1" t="s">
        <v>249</v>
      </c>
      <c r="K289" s="1" t="s">
        <v>349</v>
      </c>
      <c r="L289" s="1" t="s">
        <v>381</v>
      </c>
      <c r="M289" s="1" t="s">
        <v>251</v>
      </c>
      <c r="N289" s="1" t="s">
        <v>330</v>
      </c>
      <c r="O289" s="1" t="s">
        <v>331</v>
      </c>
      <c r="P289" s="1" t="str">
        <f t="shared" si="20"/>
        <v>BC Camarao1.5215KTL-H3(MBUS-15)46031,184722222246031,184722222246031,3402777778</v>
      </c>
      <c r="Q289" s="1" t="str">
        <f t="shared" si="21"/>
        <v>DAURDE</v>
      </c>
    </row>
    <row r="290" spans="2:17">
      <c r="B290" s="1" t="s">
        <v>388</v>
      </c>
      <c r="C290" s="1" t="s">
        <v>254</v>
      </c>
      <c r="D290" s="52">
        <v>46031.18472222222</v>
      </c>
      <c r="E290" s="52">
        <v>46031.18472222222</v>
      </c>
      <c r="F290" s="52">
        <v>46031.340277777781</v>
      </c>
      <c r="G290" s="53">
        <f t="shared" si="19"/>
        <v>0.15555555556056788</v>
      </c>
      <c r="H290" s="1" t="s">
        <v>248</v>
      </c>
      <c r="J290" s="1" t="s">
        <v>249</v>
      </c>
      <c r="K290" s="1" t="s">
        <v>349</v>
      </c>
      <c r="L290" s="1" t="s">
        <v>381</v>
      </c>
      <c r="M290" s="1" t="s">
        <v>251</v>
      </c>
      <c r="N290" s="1" t="s">
        <v>330</v>
      </c>
      <c r="O290" s="1" t="s">
        <v>331</v>
      </c>
      <c r="P290" s="1" t="str">
        <f t="shared" si="20"/>
        <v>BC Camarao1.5215KTL-H3(MBUS-13)46031,184722222246031,184722222246031,3402777778</v>
      </c>
      <c r="Q290" s="1" t="str">
        <f t="shared" si="21"/>
        <v>DAURDE</v>
      </c>
    </row>
    <row r="291" spans="2:17">
      <c r="B291" s="1" t="s">
        <v>388</v>
      </c>
      <c r="C291" s="1" t="s">
        <v>247</v>
      </c>
      <c r="D291" s="52">
        <v>46031.18472222222</v>
      </c>
      <c r="E291" s="52">
        <v>46031.18472222222</v>
      </c>
      <c r="F291" s="52">
        <v>46031.340277777781</v>
      </c>
      <c r="G291" s="53">
        <f t="shared" si="19"/>
        <v>0.15555555556056788</v>
      </c>
      <c r="H291" s="1" t="s">
        <v>248</v>
      </c>
      <c r="J291" s="1" t="s">
        <v>249</v>
      </c>
      <c r="K291" s="1" t="s">
        <v>349</v>
      </c>
      <c r="L291" s="1" t="s">
        <v>381</v>
      </c>
      <c r="M291" s="1" t="s">
        <v>251</v>
      </c>
      <c r="N291" s="1" t="s">
        <v>330</v>
      </c>
      <c r="O291" s="1" t="s">
        <v>331</v>
      </c>
      <c r="P291" s="1" t="str">
        <f t="shared" si="20"/>
        <v>BC Camarao1.5215KTL-H3(MBUS-12)46031,184722222246031,184722222246031,3402777778</v>
      </c>
      <c r="Q291" s="1" t="str">
        <f t="shared" si="21"/>
        <v>DAURDE</v>
      </c>
    </row>
    <row r="292" spans="2:17">
      <c r="B292" s="1" t="s">
        <v>388</v>
      </c>
      <c r="C292" s="1" t="s">
        <v>389</v>
      </c>
      <c r="D292" s="52">
        <v>46031.18472222222</v>
      </c>
      <c r="E292" s="52">
        <v>46031.18472222222</v>
      </c>
      <c r="F292" s="52">
        <v>46031.340277777781</v>
      </c>
      <c r="G292" s="53">
        <f t="shared" si="19"/>
        <v>0.15555555556056788</v>
      </c>
      <c r="H292" s="1" t="s">
        <v>248</v>
      </c>
      <c r="J292" s="1" t="s">
        <v>249</v>
      </c>
      <c r="K292" s="1" t="s">
        <v>349</v>
      </c>
      <c r="L292" s="1" t="s">
        <v>381</v>
      </c>
      <c r="M292" s="1" t="s">
        <v>251</v>
      </c>
      <c r="N292" s="1" t="s">
        <v>330</v>
      </c>
      <c r="O292" s="1" t="s">
        <v>331</v>
      </c>
      <c r="P292" s="1" t="str">
        <f t="shared" si="20"/>
        <v>BC Camarao1.5215KTL-H3(MBUS-1)46031,184722222246031,184722222246031,3402777778</v>
      </c>
      <c r="Q292" s="1" t="str">
        <f t="shared" si="21"/>
        <v>DAURDE</v>
      </c>
    </row>
    <row r="293" spans="2:17">
      <c r="B293" s="1" t="s">
        <v>388</v>
      </c>
      <c r="C293" s="1" t="s">
        <v>255</v>
      </c>
      <c r="D293" s="52">
        <v>46031.18472222222</v>
      </c>
      <c r="E293" s="52">
        <v>46031.18472222222</v>
      </c>
      <c r="F293" s="52">
        <v>46031.340277777781</v>
      </c>
      <c r="G293" s="53">
        <f t="shared" si="19"/>
        <v>0.15555555556056788</v>
      </c>
      <c r="H293" s="1" t="s">
        <v>248</v>
      </c>
      <c r="J293" s="1" t="s">
        <v>249</v>
      </c>
      <c r="K293" s="1" t="s">
        <v>349</v>
      </c>
      <c r="L293" s="1" t="s">
        <v>381</v>
      </c>
      <c r="M293" s="1" t="s">
        <v>251</v>
      </c>
      <c r="N293" s="1" t="s">
        <v>330</v>
      </c>
      <c r="O293" s="1" t="s">
        <v>331</v>
      </c>
      <c r="P293" s="1" t="str">
        <f t="shared" si="20"/>
        <v>BC Camarao1.5215KTL-H3(MBUS-14)46031,184722222246031,184722222246031,3402777778</v>
      </c>
      <c r="Q293" s="1" t="str">
        <f t="shared" si="21"/>
        <v>DAURDE</v>
      </c>
    </row>
    <row r="294" spans="2:17">
      <c r="B294" s="1" t="s">
        <v>382</v>
      </c>
      <c r="C294" s="1" t="s">
        <v>328</v>
      </c>
      <c r="D294" s="52">
        <v>46032.152777777781</v>
      </c>
      <c r="E294" s="52">
        <v>46032.152777777781</v>
      </c>
      <c r="F294" s="52">
        <v>46032.324305555558</v>
      </c>
      <c r="G294" s="53">
        <f t="shared" si="19"/>
        <v>0.17152777777664596</v>
      </c>
      <c r="H294" s="1" t="s">
        <v>260</v>
      </c>
      <c r="J294" s="1" t="s">
        <v>262</v>
      </c>
      <c r="K294" s="1" t="s">
        <v>263</v>
      </c>
      <c r="L294" s="1" t="s">
        <v>390</v>
      </c>
      <c r="M294" s="1" t="s">
        <v>391</v>
      </c>
      <c r="N294" s="1" t="s">
        <v>266</v>
      </c>
      <c r="O294" s="1" t="s">
        <v>392</v>
      </c>
      <c r="P294" s="1" t="str">
        <f t="shared" si="20"/>
        <v>BC Camarao1.1Inverter(MBUS-1)46032,152777777846032,152777777846032,3243055556</v>
      </c>
      <c r="Q294" s="1" t="str">
        <f t="shared" si="21"/>
        <v>LIGCOM</v>
      </c>
    </row>
    <row r="295" spans="2:17">
      <c r="B295" s="1" t="s">
        <v>382</v>
      </c>
      <c r="C295" s="1" t="s">
        <v>247</v>
      </c>
      <c r="D295" s="52">
        <v>46032.152777777781</v>
      </c>
      <c r="E295" s="52">
        <v>46032.152777777781</v>
      </c>
      <c r="F295" s="52">
        <v>46032.324305555558</v>
      </c>
      <c r="G295" s="53">
        <f t="shared" si="19"/>
        <v>0.17152777777664596</v>
      </c>
      <c r="H295" s="1" t="s">
        <v>260</v>
      </c>
      <c r="J295" s="1" t="s">
        <v>262</v>
      </c>
      <c r="K295" s="1" t="s">
        <v>263</v>
      </c>
      <c r="L295" s="1" t="s">
        <v>390</v>
      </c>
      <c r="M295" s="1" t="s">
        <v>391</v>
      </c>
      <c r="N295" s="1" t="s">
        <v>266</v>
      </c>
      <c r="O295" s="1" t="s">
        <v>392</v>
      </c>
      <c r="P295" s="1" t="str">
        <f t="shared" ref="P295:P318" si="22">_xlfn.CONCAT(B295,C295,D295,E295,F295)</f>
        <v>BC Camarao1.1215KTL-H3(MBUS-12)46032,152777777846032,152777777846032,3243055556</v>
      </c>
      <c r="Q295" s="1" t="str">
        <f t="shared" si="21"/>
        <v>LIGCOM</v>
      </c>
    </row>
    <row r="296" spans="2:17">
      <c r="B296" s="1" t="s">
        <v>382</v>
      </c>
      <c r="C296" s="1" t="s">
        <v>254</v>
      </c>
      <c r="D296" s="52">
        <v>46032.152777777781</v>
      </c>
      <c r="E296" s="52">
        <v>46032.152777777781</v>
      </c>
      <c r="F296" s="52">
        <v>46032.324305555558</v>
      </c>
      <c r="G296" s="53">
        <f t="shared" si="19"/>
        <v>0.17152777777664596</v>
      </c>
      <c r="H296" s="1" t="s">
        <v>260</v>
      </c>
      <c r="J296" s="1" t="s">
        <v>262</v>
      </c>
      <c r="K296" s="1" t="s">
        <v>263</v>
      </c>
      <c r="L296" s="1" t="s">
        <v>390</v>
      </c>
      <c r="M296" s="1" t="s">
        <v>391</v>
      </c>
      <c r="N296" s="1" t="s">
        <v>266</v>
      </c>
      <c r="O296" s="1" t="s">
        <v>392</v>
      </c>
      <c r="P296" s="1" t="str">
        <f t="shared" si="22"/>
        <v>BC Camarao1.1215KTL-H3(MBUS-13)46032,152777777846032,152777777846032,3243055556</v>
      </c>
      <c r="Q296" s="1" t="str">
        <f t="shared" si="21"/>
        <v>LIGCOM</v>
      </c>
    </row>
    <row r="297" spans="2:17">
      <c r="B297" s="1" t="s">
        <v>382</v>
      </c>
      <c r="C297" s="1" t="s">
        <v>257</v>
      </c>
      <c r="D297" s="52">
        <v>46032.152777777781</v>
      </c>
      <c r="E297" s="52">
        <v>46032.152777777781</v>
      </c>
      <c r="F297" s="52">
        <v>46032.324305555558</v>
      </c>
      <c r="G297" s="53">
        <f t="shared" si="19"/>
        <v>0.17152777777664596</v>
      </c>
      <c r="H297" s="1" t="s">
        <v>260</v>
      </c>
      <c r="J297" s="1" t="s">
        <v>262</v>
      </c>
      <c r="K297" s="1" t="s">
        <v>263</v>
      </c>
      <c r="L297" s="1" t="s">
        <v>390</v>
      </c>
      <c r="M297" s="1" t="s">
        <v>391</v>
      </c>
      <c r="N297" s="1" t="s">
        <v>266</v>
      </c>
      <c r="O297" s="1" t="s">
        <v>392</v>
      </c>
      <c r="P297" s="1" t="str">
        <f t="shared" si="22"/>
        <v>BC Camarao1.1215KTL-H3(MBUS-16)46032,152777777846032,152777777846032,3243055556</v>
      </c>
      <c r="Q297" s="1" t="str">
        <f t="shared" si="21"/>
        <v>LIGCOM</v>
      </c>
    </row>
    <row r="298" spans="2:17">
      <c r="B298" s="1" t="s">
        <v>382</v>
      </c>
      <c r="C298" s="1" t="s">
        <v>256</v>
      </c>
      <c r="D298" s="52">
        <v>46032.152777777781</v>
      </c>
      <c r="E298" s="52">
        <v>46032.152777777781</v>
      </c>
      <c r="F298" s="52">
        <v>46032.324305555558</v>
      </c>
      <c r="G298" s="53">
        <f t="shared" si="19"/>
        <v>0.17152777777664596</v>
      </c>
      <c r="H298" s="1" t="s">
        <v>260</v>
      </c>
      <c r="J298" s="1" t="s">
        <v>262</v>
      </c>
      <c r="K298" s="1" t="s">
        <v>263</v>
      </c>
      <c r="L298" s="1" t="s">
        <v>390</v>
      </c>
      <c r="M298" s="1" t="s">
        <v>391</v>
      </c>
      <c r="N298" s="1" t="s">
        <v>266</v>
      </c>
      <c r="O298" s="1" t="s">
        <v>392</v>
      </c>
      <c r="P298" s="1" t="str">
        <f t="shared" si="22"/>
        <v>BC Camarao1.1215KTL-H3(MBUS-15)46032,152777777846032,152777777846032,3243055556</v>
      </c>
      <c r="Q298" s="1" t="str">
        <f t="shared" si="21"/>
        <v>LIGCOM</v>
      </c>
    </row>
    <row r="299" spans="2:17">
      <c r="B299" s="1" t="s">
        <v>383</v>
      </c>
      <c r="C299" s="1" t="s">
        <v>328</v>
      </c>
      <c r="D299" s="52">
        <v>46032.152777777781</v>
      </c>
      <c r="E299" s="52">
        <v>46032.152777777781</v>
      </c>
      <c r="F299" s="52">
        <v>46032.324305555558</v>
      </c>
      <c r="G299" s="53">
        <f t="shared" si="19"/>
        <v>0.17152777777664596</v>
      </c>
      <c r="H299" s="1" t="s">
        <v>260</v>
      </c>
      <c r="J299" s="1" t="s">
        <v>262</v>
      </c>
      <c r="K299" s="1" t="s">
        <v>263</v>
      </c>
      <c r="L299" s="1" t="s">
        <v>390</v>
      </c>
      <c r="M299" s="1" t="s">
        <v>391</v>
      </c>
      <c r="N299" s="1" t="s">
        <v>266</v>
      </c>
      <c r="O299" s="1" t="s">
        <v>392</v>
      </c>
      <c r="P299" s="1" t="str">
        <f t="shared" si="22"/>
        <v>BC Camarao1.2Inverter(MBUS-1)46032,152777777846032,152777777846032,3243055556</v>
      </c>
      <c r="Q299" s="1" t="str">
        <f t="shared" si="21"/>
        <v>LIGCOM</v>
      </c>
    </row>
    <row r="300" spans="2:17">
      <c r="B300" s="1" t="s">
        <v>383</v>
      </c>
      <c r="C300" s="1" t="s">
        <v>384</v>
      </c>
      <c r="D300" s="52">
        <v>46032.152777777781</v>
      </c>
      <c r="E300" s="52">
        <v>46032.152777777781</v>
      </c>
      <c r="F300" s="52">
        <v>46032.324305555558</v>
      </c>
      <c r="G300" s="53">
        <f t="shared" si="19"/>
        <v>0.17152777777664596</v>
      </c>
      <c r="H300" s="1" t="s">
        <v>260</v>
      </c>
      <c r="J300" s="1" t="s">
        <v>262</v>
      </c>
      <c r="K300" s="1" t="s">
        <v>263</v>
      </c>
      <c r="L300" s="1" t="s">
        <v>390</v>
      </c>
      <c r="M300" s="1" t="s">
        <v>391</v>
      </c>
      <c r="N300" s="1" t="s">
        <v>266</v>
      </c>
      <c r="O300" s="1" t="s">
        <v>392</v>
      </c>
      <c r="P300" s="1" t="str">
        <f t="shared" si="22"/>
        <v>BC Camarao1.2Inv. 346032,152777777846032,152777777846032,3243055556</v>
      </c>
      <c r="Q300" s="1" t="str">
        <f t="shared" si="21"/>
        <v>LIGCOM</v>
      </c>
    </row>
    <row r="301" spans="2:17">
      <c r="B301" s="1" t="s">
        <v>383</v>
      </c>
      <c r="C301" s="1" t="s">
        <v>385</v>
      </c>
      <c r="D301" s="52">
        <v>46032.152777777781</v>
      </c>
      <c r="E301" s="52">
        <v>46032.152777777781</v>
      </c>
      <c r="F301" s="52">
        <v>46032.324305555558</v>
      </c>
      <c r="G301" s="53">
        <f t="shared" si="19"/>
        <v>0.17152777777664596</v>
      </c>
      <c r="H301" s="1" t="s">
        <v>260</v>
      </c>
      <c r="J301" s="1" t="s">
        <v>262</v>
      </c>
      <c r="K301" s="1" t="s">
        <v>263</v>
      </c>
      <c r="L301" s="1" t="s">
        <v>390</v>
      </c>
      <c r="M301" s="1" t="s">
        <v>391</v>
      </c>
      <c r="N301" s="1" t="s">
        <v>266</v>
      </c>
      <c r="O301" s="1" t="s">
        <v>392</v>
      </c>
      <c r="P301" s="1" t="str">
        <f t="shared" si="22"/>
        <v>BC Camarao1.2Inv. 446032,152777777846032,152777777846032,3243055556</v>
      </c>
      <c r="Q301" s="1" t="str">
        <f t="shared" si="21"/>
        <v>LIGCOM</v>
      </c>
    </row>
    <row r="302" spans="2:17">
      <c r="B302" s="1" t="s">
        <v>383</v>
      </c>
      <c r="C302" s="1" t="s">
        <v>386</v>
      </c>
      <c r="D302" s="52">
        <v>46032.152777777781</v>
      </c>
      <c r="E302" s="52">
        <v>46032.152777777781</v>
      </c>
      <c r="F302" s="52">
        <v>46032.324305555558</v>
      </c>
      <c r="G302" s="53">
        <f t="shared" si="19"/>
        <v>0.17152777777664596</v>
      </c>
      <c r="H302" s="1" t="s">
        <v>260</v>
      </c>
      <c r="J302" s="1" t="s">
        <v>262</v>
      </c>
      <c r="K302" s="1" t="s">
        <v>263</v>
      </c>
      <c r="L302" s="1" t="s">
        <v>390</v>
      </c>
      <c r="M302" s="1" t="s">
        <v>391</v>
      </c>
      <c r="N302" s="1" t="s">
        <v>266</v>
      </c>
      <c r="O302" s="1" t="s">
        <v>392</v>
      </c>
      <c r="P302" s="1" t="str">
        <f t="shared" si="22"/>
        <v>BC Camarao1.2Inverter(MBUS-16)46032,152777777846032,152777777846032,3243055556</v>
      </c>
      <c r="Q302" s="1" t="str">
        <f t="shared" si="21"/>
        <v>LIGCOM</v>
      </c>
    </row>
    <row r="303" spans="2:17">
      <c r="B303" s="1" t="s">
        <v>383</v>
      </c>
      <c r="C303" s="1" t="s">
        <v>354</v>
      </c>
      <c r="D303" s="52">
        <v>46032.152777777781</v>
      </c>
      <c r="E303" s="52">
        <v>46032.152777777781</v>
      </c>
      <c r="F303" s="52">
        <v>46032.324305555558</v>
      </c>
      <c r="G303" s="53">
        <f t="shared" si="19"/>
        <v>0.17152777777664596</v>
      </c>
      <c r="H303" s="1" t="s">
        <v>260</v>
      </c>
      <c r="J303" s="1" t="s">
        <v>262</v>
      </c>
      <c r="K303" s="1" t="s">
        <v>263</v>
      </c>
      <c r="L303" s="1" t="s">
        <v>390</v>
      </c>
      <c r="M303" s="1" t="s">
        <v>391</v>
      </c>
      <c r="N303" s="1" t="s">
        <v>266</v>
      </c>
      <c r="O303" s="1" t="s">
        <v>392</v>
      </c>
      <c r="P303" s="1" t="str">
        <f t="shared" si="22"/>
        <v>BC Camarao1.2Inverter(MBUS-12)46032,152777777846032,152777777846032,3243055556</v>
      </c>
      <c r="Q303" s="1" t="str">
        <f t="shared" si="21"/>
        <v>LIGCOM</v>
      </c>
    </row>
    <row r="304" spans="2:17">
      <c r="B304" s="1" t="s">
        <v>387</v>
      </c>
      <c r="C304" s="1" t="s">
        <v>257</v>
      </c>
      <c r="D304" s="52">
        <v>46032.152777777781</v>
      </c>
      <c r="E304" s="52">
        <v>46032.152777777781</v>
      </c>
      <c r="F304" s="52">
        <v>46032.324305555558</v>
      </c>
      <c r="G304" s="53">
        <f t="shared" si="19"/>
        <v>0.17152777777664596</v>
      </c>
      <c r="H304" s="1" t="s">
        <v>260</v>
      </c>
      <c r="J304" s="1" t="s">
        <v>262</v>
      </c>
      <c r="K304" s="1" t="s">
        <v>263</v>
      </c>
      <c r="L304" s="1" t="s">
        <v>390</v>
      </c>
      <c r="M304" s="1" t="s">
        <v>391</v>
      </c>
      <c r="N304" s="1" t="s">
        <v>266</v>
      </c>
      <c r="O304" s="1" t="s">
        <v>392</v>
      </c>
      <c r="P304" s="1" t="str">
        <f t="shared" si="22"/>
        <v>BC Camarao1.3215KTL-H3(MBUS-16)46032,152777777846032,152777777846032,3243055556</v>
      </c>
      <c r="Q304" s="1" t="str">
        <f t="shared" si="21"/>
        <v>LIGCOM</v>
      </c>
    </row>
    <row r="305" spans="2:17">
      <c r="B305" s="1" t="s">
        <v>387</v>
      </c>
      <c r="C305" s="1" t="s">
        <v>255</v>
      </c>
      <c r="D305" s="52">
        <v>46032.152777777781</v>
      </c>
      <c r="E305" s="52">
        <v>46032.152777777781</v>
      </c>
      <c r="F305" s="52">
        <v>46032.324305555558</v>
      </c>
      <c r="G305" s="53">
        <f t="shared" si="19"/>
        <v>0.17152777777664596</v>
      </c>
      <c r="H305" s="1" t="s">
        <v>260</v>
      </c>
      <c r="J305" s="1" t="s">
        <v>262</v>
      </c>
      <c r="K305" s="1" t="s">
        <v>263</v>
      </c>
      <c r="L305" s="1" t="s">
        <v>390</v>
      </c>
      <c r="M305" s="1" t="s">
        <v>391</v>
      </c>
      <c r="N305" s="1" t="s">
        <v>266</v>
      </c>
      <c r="O305" s="1" t="s">
        <v>392</v>
      </c>
      <c r="P305" s="1" t="str">
        <f t="shared" si="22"/>
        <v>BC Camarao1.3215KTL-H3(MBUS-14)46032,152777777846032,152777777846032,3243055556</v>
      </c>
      <c r="Q305" s="1" t="str">
        <f t="shared" si="21"/>
        <v>LIGCOM</v>
      </c>
    </row>
    <row r="306" spans="2:17">
      <c r="B306" s="1" t="s">
        <v>387</v>
      </c>
      <c r="C306" s="1" t="s">
        <v>256</v>
      </c>
      <c r="D306" s="52">
        <v>46032.152777777781</v>
      </c>
      <c r="E306" s="52">
        <v>46032.152777777781</v>
      </c>
      <c r="F306" s="52">
        <v>46032.324305555558</v>
      </c>
      <c r="G306" s="53">
        <f t="shared" si="19"/>
        <v>0.17152777777664596</v>
      </c>
      <c r="H306" s="1" t="s">
        <v>260</v>
      </c>
      <c r="J306" s="1" t="s">
        <v>262</v>
      </c>
      <c r="K306" s="1" t="s">
        <v>263</v>
      </c>
      <c r="L306" s="1" t="s">
        <v>390</v>
      </c>
      <c r="M306" s="1" t="s">
        <v>391</v>
      </c>
      <c r="N306" s="1" t="s">
        <v>266</v>
      </c>
      <c r="O306" s="1" t="s">
        <v>392</v>
      </c>
      <c r="P306" s="1" t="str">
        <f t="shared" si="22"/>
        <v>BC Camarao1.3215KTL-H3(MBUS-15)46032,152777777846032,152777777846032,3243055556</v>
      </c>
      <c r="Q306" s="1" t="str">
        <f t="shared" si="21"/>
        <v>LIGCOM</v>
      </c>
    </row>
    <row r="307" spans="2:17">
      <c r="B307" s="1" t="s">
        <v>387</v>
      </c>
      <c r="C307" s="1" t="s">
        <v>247</v>
      </c>
      <c r="D307" s="52">
        <v>46032.152777777781</v>
      </c>
      <c r="E307" s="52">
        <v>46032.152777777781</v>
      </c>
      <c r="F307" s="52">
        <v>46032.324305555558</v>
      </c>
      <c r="G307" s="53">
        <f t="shared" si="19"/>
        <v>0.17152777777664596</v>
      </c>
      <c r="H307" s="1" t="s">
        <v>260</v>
      </c>
      <c r="J307" s="1" t="s">
        <v>262</v>
      </c>
      <c r="K307" s="1" t="s">
        <v>263</v>
      </c>
      <c r="L307" s="1" t="s">
        <v>390</v>
      </c>
      <c r="M307" s="1" t="s">
        <v>391</v>
      </c>
      <c r="N307" s="1" t="s">
        <v>266</v>
      </c>
      <c r="O307" s="1" t="s">
        <v>392</v>
      </c>
      <c r="P307" s="1" t="str">
        <f t="shared" si="22"/>
        <v>BC Camarao1.3215KTL-H3(MBUS-12)46032,152777777846032,152777777846032,3243055556</v>
      </c>
      <c r="Q307" s="1" t="str">
        <f t="shared" si="21"/>
        <v>LIGCOM</v>
      </c>
    </row>
    <row r="308" spans="2:17">
      <c r="B308" s="1" t="s">
        <v>387</v>
      </c>
      <c r="C308" s="1" t="s">
        <v>254</v>
      </c>
      <c r="D308" s="52">
        <v>46032.152777777781</v>
      </c>
      <c r="E308" s="52">
        <v>46032.152777777781</v>
      </c>
      <c r="F308" s="52">
        <v>46032.324305555558</v>
      </c>
      <c r="G308" s="53">
        <f t="shared" si="19"/>
        <v>0.17152777777664596</v>
      </c>
      <c r="H308" s="1" t="s">
        <v>260</v>
      </c>
      <c r="J308" s="1" t="s">
        <v>262</v>
      </c>
      <c r="K308" s="1" t="s">
        <v>263</v>
      </c>
      <c r="L308" s="1" t="s">
        <v>390</v>
      </c>
      <c r="M308" s="1" t="s">
        <v>391</v>
      </c>
      <c r="N308" s="1" t="s">
        <v>266</v>
      </c>
      <c r="O308" s="1" t="s">
        <v>392</v>
      </c>
      <c r="P308" s="1" t="str">
        <f t="shared" si="22"/>
        <v>BC Camarao1.3215KTL-H3(MBUS-13)46032,152777777846032,152777777846032,3243055556</v>
      </c>
      <c r="Q308" s="1" t="str">
        <f t="shared" si="21"/>
        <v>LIGCOM</v>
      </c>
    </row>
    <row r="309" spans="2:17">
      <c r="B309" s="1" t="s">
        <v>379</v>
      </c>
      <c r="C309" s="1" t="s">
        <v>380</v>
      </c>
      <c r="D309" s="52">
        <v>46032.152777777781</v>
      </c>
      <c r="E309" s="52">
        <v>46032.152777777781</v>
      </c>
      <c r="F309" s="52">
        <v>46032.324305555558</v>
      </c>
      <c r="G309" s="53">
        <f t="shared" si="19"/>
        <v>0.17152777777664596</v>
      </c>
      <c r="H309" s="1" t="s">
        <v>260</v>
      </c>
      <c r="J309" s="1" t="s">
        <v>262</v>
      </c>
      <c r="K309" s="1" t="s">
        <v>263</v>
      </c>
      <c r="L309" s="1" t="s">
        <v>390</v>
      </c>
      <c r="M309" s="1" t="s">
        <v>391</v>
      </c>
      <c r="N309" s="1" t="s">
        <v>266</v>
      </c>
      <c r="O309" s="1" t="s">
        <v>392</v>
      </c>
      <c r="P309" s="1" t="str">
        <f t="shared" si="22"/>
        <v>BC Camarao1.4INV-6T22A904138146032,152777777846032,152777777846032,3243055556</v>
      </c>
      <c r="Q309" s="1" t="str">
        <f t="shared" si="21"/>
        <v>LIGCOM</v>
      </c>
    </row>
    <row r="310" spans="2:17">
      <c r="B310" s="1" t="s">
        <v>379</v>
      </c>
      <c r="C310" s="1" t="s">
        <v>255</v>
      </c>
      <c r="D310" s="52">
        <v>46032.152777777781</v>
      </c>
      <c r="E310" s="52">
        <v>46032.152777777781</v>
      </c>
      <c r="F310" s="52">
        <v>46032.324305555558</v>
      </c>
      <c r="G310" s="53">
        <f t="shared" si="19"/>
        <v>0.17152777777664596</v>
      </c>
      <c r="H310" s="1" t="s">
        <v>260</v>
      </c>
      <c r="J310" s="1" t="s">
        <v>262</v>
      </c>
      <c r="K310" s="1" t="s">
        <v>263</v>
      </c>
      <c r="L310" s="1" t="s">
        <v>390</v>
      </c>
      <c r="M310" s="1" t="s">
        <v>391</v>
      </c>
      <c r="N310" s="1" t="s">
        <v>266</v>
      </c>
      <c r="O310" s="1" t="s">
        <v>392</v>
      </c>
      <c r="P310" s="1" t="str">
        <f t="shared" si="22"/>
        <v>BC Camarao1.4215KTL-H3(MBUS-14)46032,152777777846032,152777777846032,3243055556</v>
      </c>
      <c r="Q310" s="1" t="str">
        <f t="shared" si="21"/>
        <v>LIGCOM</v>
      </c>
    </row>
    <row r="311" spans="2:17">
      <c r="B311" s="1" t="s">
        <v>379</v>
      </c>
      <c r="C311" s="1" t="s">
        <v>254</v>
      </c>
      <c r="D311" s="52">
        <v>46032.152777777781</v>
      </c>
      <c r="E311" s="52">
        <v>46032.152777777781</v>
      </c>
      <c r="F311" s="52">
        <v>46032.324305555558</v>
      </c>
      <c r="G311" s="53">
        <f t="shared" si="19"/>
        <v>0.17152777777664596</v>
      </c>
      <c r="H311" s="1" t="s">
        <v>260</v>
      </c>
      <c r="J311" s="1" t="s">
        <v>262</v>
      </c>
      <c r="K311" s="1" t="s">
        <v>263</v>
      </c>
      <c r="L311" s="1" t="s">
        <v>390</v>
      </c>
      <c r="M311" s="1" t="s">
        <v>391</v>
      </c>
      <c r="N311" s="1" t="s">
        <v>266</v>
      </c>
      <c r="O311" s="1" t="s">
        <v>392</v>
      </c>
      <c r="P311" s="1" t="str">
        <f t="shared" si="22"/>
        <v>BC Camarao1.4215KTL-H3(MBUS-13)46032,152777777846032,152777777846032,3243055556</v>
      </c>
      <c r="Q311" s="1" t="str">
        <f t="shared" si="21"/>
        <v>LIGCOM</v>
      </c>
    </row>
    <row r="312" spans="2:17">
      <c r="B312" s="1" t="s">
        <v>379</v>
      </c>
      <c r="C312" s="1" t="s">
        <v>257</v>
      </c>
      <c r="D312" s="52">
        <v>46032.152777777781</v>
      </c>
      <c r="E312" s="52">
        <v>46032.152777777781</v>
      </c>
      <c r="F312" s="52">
        <v>46032.324305555558</v>
      </c>
      <c r="G312" s="53">
        <f t="shared" si="19"/>
        <v>0.17152777777664596</v>
      </c>
      <c r="H312" s="1" t="s">
        <v>260</v>
      </c>
      <c r="J312" s="1" t="s">
        <v>262</v>
      </c>
      <c r="K312" s="1" t="s">
        <v>263</v>
      </c>
      <c r="L312" s="1" t="s">
        <v>390</v>
      </c>
      <c r="M312" s="1" t="s">
        <v>391</v>
      </c>
      <c r="N312" s="1" t="s">
        <v>266</v>
      </c>
      <c r="O312" s="1" t="s">
        <v>392</v>
      </c>
      <c r="P312" s="1" t="str">
        <f t="shared" si="22"/>
        <v>BC Camarao1.4215KTL-H3(MBUS-16)46032,152777777846032,152777777846032,3243055556</v>
      </c>
      <c r="Q312" s="1" t="str">
        <f t="shared" si="21"/>
        <v>LIGCOM</v>
      </c>
    </row>
    <row r="313" spans="2:17">
      <c r="B313" s="1" t="s">
        <v>379</v>
      </c>
      <c r="C313" s="1" t="s">
        <v>256</v>
      </c>
      <c r="D313" s="52">
        <v>46032.152777777781</v>
      </c>
      <c r="E313" s="52">
        <v>46032.152777777781</v>
      </c>
      <c r="F313" s="52">
        <v>46032.324305555558</v>
      </c>
      <c r="G313" s="53">
        <f t="shared" si="19"/>
        <v>0.17152777777664596</v>
      </c>
      <c r="H313" s="1" t="s">
        <v>260</v>
      </c>
      <c r="J313" s="1" t="s">
        <v>262</v>
      </c>
      <c r="K313" s="1" t="s">
        <v>263</v>
      </c>
      <c r="L313" s="1" t="s">
        <v>390</v>
      </c>
      <c r="M313" s="1" t="s">
        <v>391</v>
      </c>
      <c r="N313" s="1" t="s">
        <v>266</v>
      </c>
      <c r="O313" s="1" t="s">
        <v>392</v>
      </c>
      <c r="P313" s="1" t="str">
        <f t="shared" si="22"/>
        <v>BC Camarao1.4215KTL-H3(MBUS-15)46032,152777777846032,152777777846032,3243055556</v>
      </c>
      <c r="Q313" s="1" t="str">
        <f t="shared" si="21"/>
        <v>LIGCOM</v>
      </c>
    </row>
    <row r="314" spans="2:17">
      <c r="B314" s="1" t="s">
        <v>388</v>
      </c>
      <c r="C314" s="1" t="s">
        <v>256</v>
      </c>
      <c r="D314" s="52">
        <v>46032.152777777781</v>
      </c>
      <c r="E314" s="52">
        <v>46032.152777777781</v>
      </c>
      <c r="F314" s="52">
        <v>46032.324305555558</v>
      </c>
      <c r="G314" s="53">
        <f t="shared" si="19"/>
        <v>0.17152777777664596</v>
      </c>
      <c r="H314" s="1" t="s">
        <v>260</v>
      </c>
      <c r="J314" s="1" t="s">
        <v>262</v>
      </c>
      <c r="K314" s="1" t="s">
        <v>263</v>
      </c>
      <c r="L314" s="1" t="s">
        <v>390</v>
      </c>
      <c r="M314" s="1" t="s">
        <v>391</v>
      </c>
      <c r="N314" s="1" t="s">
        <v>266</v>
      </c>
      <c r="O314" s="1" t="s">
        <v>392</v>
      </c>
      <c r="P314" s="1" t="str">
        <f t="shared" si="22"/>
        <v>BC Camarao1.5215KTL-H3(MBUS-15)46032,152777777846032,152777777846032,3243055556</v>
      </c>
      <c r="Q314" s="1" t="str">
        <f t="shared" si="21"/>
        <v>LIGCOM</v>
      </c>
    </row>
    <row r="315" spans="2:17">
      <c r="B315" s="1" t="s">
        <v>388</v>
      </c>
      <c r="C315" s="1" t="s">
        <v>254</v>
      </c>
      <c r="D315" s="52">
        <v>46032.152777777781</v>
      </c>
      <c r="E315" s="52">
        <v>46032.152777777781</v>
      </c>
      <c r="F315" s="52">
        <v>46032.324305555558</v>
      </c>
      <c r="G315" s="53">
        <f t="shared" si="19"/>
        <v>0.17152777777664596</v>
      </c>
      <c r="H315" s="1" t="s">
        <v>260</v>
      </c>
      <c r="J315" s="1" t="s">
        <v>262</v>
      </c>
      <c r="K315" s="1" t="s">
        <v>263</v>
      </c>
      <c r="L315" s="1" t="s">
        <v>390</v>
      </c>
      <c r="M315" s="1" t="s">
        <v>391</v>
      </c>
      <c r="N315" s="1" t="s">
        <v>266</v>
      </c>
      <c r="O315" s="1" t="s">
        <v>392</v>
      </c>
      <c r="P315" s="1" t="str">
        <f t="shared" si="22"/>
        <v>BC Camarao1.5215KTL-H3(MBUS-13)46032,152777777846032,152777777846032,3243055556</v>
      </c>
      <c r="Q315" s="1" t="str">
        <f t="shared" si="21"/>
        <v>LIGCOM</v>
      </c>
    </row>
    <row r="316" spans="2:17">
      <c r="B316" s="1" t="s">
        <v>388</v>
      </c>
      <c r="C316" s="1" t="s">
        <v>247</v>
      </c>
      <c r="D316" s="52">
        <v>46032.152777777781</v>
      </c>
      <c r="E316" s="52">
        <v>46032.152777777781</v>
      </c>
      <c r="F316" s="52">
        <v>46032.324305555558</v>
      </c>
      <c r="G316" s="53">
        <f t="shared" si="19"/>
        <v>0.17152777777664596</v>
      </c>
      <c r="H316" s="1" t="s">
        <v>260</v>
      </c>
      <c r="J316" s="1" t="s">
        <v>262</v>
      </c>
      <c r="K316" s="1" t="s">
        <v>263</v>
      </c>
      <c r="L316" s="1" t="s">
        <v>390</v>
      </c>
      <c r="M316" s="1" t="s">
        <v>391</v>
      </c>
      <c r="N316" s="1" t="s">
        <v>266</v>
      </c>
      <c r="O316" s="1" t="s">
        <v>392</v>
      </c>
      <c r="P316" s="1" t="str">
        <f t="shared" si="22"/>
        <v>BC Camarao1.5215KTL-H3(MBUS-12)46032,152777777846032,152777777846032,3243055556</v>
      </c>
      <c r="Q316" s="1" t="str">
        <f t="shared" si="21"/>
        <v>LIGCOM</v>
      </c>
    </row>
    <row r="317" spans="2:17">
      <c r="B317" s="1" t="s">
        <v>388</v>
      </c>
      <c r="C317" s="1" t="s">
        <v>389</v>
      </c>
      <c r="D317" s="52">
        <v>46032.152777777781</v>
      </c>
      <c r="E317" s="52">
        <v>46032.152777777781</v>
      </c>
      <c r="F317" s="52">
        <v>46032.324305555558</v>
      </c>
      <c r="G317" s="53">
        <f t="shared" si="19"/>
        <v>0.17152777777664596</v>
      </c>
      <c r="H317" s="1" t="s">
        <v>260</v>
      </c>
      <c r="J317" s="1" t="s">
        <v>262</v>
      </c>
      <c r="K317" s="1" t="s">
        <v>263</v>
      </c>
      <c r="L317" s="1" t="s">
        <v>390</v>
      </c>
      <c r="M317" s="1" t="s">
        <v>391</v>
      </c>
      <c r="N317" s="1" t="s">
        <v>266</v>
      </c>
      <c r="O317" s="1" t="s">
        <v>392</v>
      </c>
      <c r="P317" s="1" t="str">
        <f t="shared" si="22"/>
        <v>BC Camarao1.5215KTL-H3(MBUS-1)46032,152777777846032,152777777846032,3243055556</v>
      </c>
      <c r="Q317" s="1" t="str">
        <f t="shared" si="21"/>
        <v>LIGCOM</v>
      </c>
    </row>
    <row r="318" spans="2:17">
      <c r="B318" s="1" t="s">
        <v>388</v>
      </c>
      <c r="C318" s="1" t="s">
        <v>255</v>
      </c>
      <c r="D318" s="52">
        <v>46032.152777777781</v>
      </c>
      <c r="E318" s="52">
        <v>46032.152777777781</v>
      </c>
      <c r="F318" s="52">
        <v>46032.324305555558</v>
      </c>
      <c r="G318" s="53">
        <f t="shared" ref="G318:G381" si="23">F318-E318</f>
        <v>0.17152777777664596</v>
      </c>
      <c r="H318" s="1" t="s">
        <v>260</v>
      </c>
      <c r="J318" s="1" t="s">
        <v>262</v>
      </c>
      <c r="K318" s="1" t="s">
        <v>263</v>
      </c>
      <c r="L318" s="1" t="s">
        <v>390</v>
      </c>
      <c r="M318" s="1" t="s">
        <v>391</v>
      </c>
      <c r="N318" s="1" t="s">
        <v>266</v>
      </c>
      <c r="O318" s="1" t="s">
        <v>392</v>
      </c>
      <c r="P318" s="1" t="str">
        <f t="shared" si="22"/>
        <v>BC Camarao1.5215KTL-H3(MBUS-14)46032,152777777846032,152777777846032,3243055556</v>
      </c>
      <c r="Q318" s="1" t="str">
        <f t="shared" si="21"/>
        <v>LIGCOM</v>
      </c>
    </row>
    <row r="319" spans="2:17">
      <c r="B319" s="1" t="s">
        <v>383</v>
      </c>
      <c r="C319" s="1" t="s">
        <v>328</v>
      </c>
      <c r="D319" s="52">
        <v>46033.513888888891</v>
      </c>
      <c r="E319" s="52">
        <v>46033.513888888891</v>
      </c>
      <c r="F319" s="52">
        <v>46033.5625</v>
      </c>
      <c r="G319" s="53">
        <f t="shared" si="23"/>
        <v>4.8611111109494232E-2</v>
      </c>
      <c r="H319" s="1" t="s">
        <v>248</v>
      </c>
      <c r="J319" s="1" t="s">
        <v>249</v>
      </c>
      <c r="K319" s="1" t="s">
        <v>349</v>
      </c>
      <c r="L319" s="1" t="s">
        <v>393</v>
      </c>
      <c r="M319" s="1" t="s">
        <v>251</v>
      </c>
      <c r="N319" s="1" t="s">
        <v>252</v>
      </c>
      <c r="O319" s="1" t="s">
        <v>331</v>
      </c>
      <c r="P319" s="1" t="str">
        <f t="shared" si="20"/>
        <v>BC Camarao1.2Inverter(MBUS-1)46033,513888888946033,513888888946033,5625</v>
      </c>
      <c r="Q319" s="1" t="str">
        <f t="shared" si="21"/>
        <v>DAURDE</v>
      </c>
    </row>
    <row r="320" spans="2:17">
      <c r="B320" s="1" t="s">
        <v>383</v>
      </c>
      <c r="C320" s="1" t="s">
        <v>384</v>
      </c>
      <c r="D320" s="52">
        <v>46033.513888888891</v>
      </c>
      <c r="E320" s="52">
        <v>46033.513888888891</v>
      </c>
      <c r="F320" s="52">
        <v>46033.5625</v>
      </c>
      <c r="G320" s="53">
        <f t="shared" si="23"/>
        <v>4.8611111109494232E-2</v>
      </c>
      <c r="H320" s="1" t="s">
        <v>248</v>
      </c>
      <c r="J320" s="1" t="s">
        <v>249</v>
      </c>
      <c r="K320" s="1" t="s">
        <v>349</v>
      </c>
      <c r="L320" s="1" t="s">
        <v>393</v>
      </c>
      <c r="M320" s="1" t="s">
        <v>251</v>
      </c>
      <c r="N320" s="1" t="s">
        <v>252</v>
      </c>
      <c r="O320" s="1" t="s">
        <v>331</v>
      </c>
      <c r="P320" s="1" t="str">
        <f t="shared" si="20"/>
        <v>BC Camarao1.2Inv. 346033,513888888946033,513888888946033,5625</v>
      </c>
      <c r="Q320" s="1" t="str">
        <f t="shared" si="21"/>
        <v>DAURDE</v>
      </c>
    </row>
    <row r="321" spans="2:18">
      <c r="B321" s="1" t="s">
        <v>383</v>
      </c>
      <c r="C321" s="1" t="s">
        <v>385</v>
      </c>
      <c r="D321" s="52">
        <v>46033.513888888891</v>
      </c>
      <c r="E321" s="52">
        <v>46033.513888888891</v>
      </c>
      <c r="F321" s="52">
        <v>46033.5625</v>
      </c>
      <c r="G321" s="53">
        <f t="shared" si="23"/>
        <v>4.8611111109494232E-2</v>
      </c>
      <c r="H321" s="1" t="s">
        <v>248</v>
      </c>
      <c r="J321" s="1" t="s">
        <v>249</v>
      </c>
      <c r="K321" s="1" t="s">
        <v>349</v>
      </c>
      <c r="L321" s="1" t="s">
        <v>393</v>
      </c>
      <c r="M321" s="1" t="s">
        <v>251</v>
      </c>
      <c r="N321" s="1" t="s">
        <v>252</v>
      </c>
      <c r="O321" s="1" t="s">
        <v>331</v>
      </c>
      <c r="P321" s="1" t="str">
        <f t="shared" si="20"/>
        <v>BC Camarao1.2Inv. 446033,513888888946033,513888888946033,5625</v>
      </c>
      <c r="Q321" s="1" t="str">
        <f t="shared" si="21"/>
        <v>DAURDE</v>
      </c>
    </row>
    <row r="322" spans="2:18">
      <c r="B322" s="1" t="s">
        <v>383</v>
      </c>
      <c r="C322" s="1" t="s">
        <v>386</v>
      </c>
      <c r="D322" s="52">
        <v>46033.513888888891</v>
      </c>
      <c r="E322" s="52">
        <v>46033.513888888891</v>
      </c>
      <c r="F322" s="52">
        <v>46033.5625</v>
      </c>
      <c r="G322" s="53">
        <f t="shared" si="23"/>
        <v>4.8611111109494232E-2</v>
      </c>
      <c r="H322" s="1" t="s">
        <v>248</v>
      </c>
      <c r="J322" s="1" t="s">
        <v>249</v>
      </c>
      <c r="K322" s="1" t="s">
        <v>349</v>
      </c>
      <c r="L322" s="1" t="s">
        <v>393</v>
      </c>
      <c r="M322" s="1" t="s">
        <v>251</v>
      </c>
      <c r="N322" s="1" t="s">
        <v>252</v>
      </c>
      <c r="O322" s="1" t="s">
        <v>331</v>
      </c>
      <c r="P322" s="1" t="str">
        <f t="shared" si="20"/>
        <v>BC Camarao1.2Inverter(MBUS-16)46033,513888888946033,513888888946033,5625</v>
      </c>
      <c r="Q322" s="1" t="str">
        <f t="shared" si="21"/>
        <v>DAURDE</v>
      </c>
    </row>
    <row r="323" spans="2:18">
      <c r="B323" s="1" t="s">
        <v>383</v>
      </c>
      <c r="C323" s="1" t="s">
        <v>354</v>
      </c>
      <c r="D323" s="52">
        <v>46033.513888888891</v>
      </c>
      <c r="E323" s="52">
        <v>46033.513888888891</v>
      </c>
      <c r="F323" s="52">
        <v>46033.5625</v>
      </c>
      <c r="G323" s="53">
        <f t="shared" si="23"/>
        <v>4.8611111109494232E-2</v>
      </c>
      <c r="H323" s="1" t="s">
        <v>248</v>
      </c>
      <c r="J323" s="1" t="s">
        <v>249</v>
      </c>
      <c r="K323" s="1" t="s">
        <v>349</v>
      </c>
      <c r="L323" s="1" t="s">
        <v>393</v>
      </c>
      <c r="M323" s="1" t="s">
        <v>251</v>
      </c>
      <c r="N323" s="1" t="s">
        <v>252</v>
      </c>
      <c r="O323" s="1" t="s">
        <v>331</v>
      </c>
      <c r="P323" s="1" t="str">
        <f t="shared" si="20"/>
        <v>BC Camarao1.2Inverter(MBUS-12)46033,513888888946033,513888888946033,5625</v>
      </c>
      <c r="Q323" s="1" t="str">
        <f t="shared" si="21"/>
        <v>DAURDE</v>
      </c>
    </row>
    <row r="324" spans="2:18">
      <c r="B324" s="1" t="s">
        <v>382</v>
      </c>
      <c r="C324" s="1" t="s">
        <v>328</v>
      </c>
      <c r="D324" s="52">
        <v>46035.395833333336</v>
      </c>
      <c r="E324" s="52">
        <v>46035.395833333336</v>
      </c>
      <c r="F324" s="52">
        <v>46035.465277777781</v>
      </c>
      <c r="G324" s="53">
        <f t="shared" si="23"/>
        <v>6.9444444445252884E-2</v>
      </c>
      <c r="H324" s="1" t="s">
        <v>248</v>
      </c>
      <c r="J324" s="1" t="s">
        <v>249</v>
      </c>
      <c r="K324" s="1" t="s">
        <v>349</v>
      </c>
      <c r="L324" s="1" t="s">
        <v>381</v>
      </c>
      <c r="M324" s="1" t="s">
        <v>251</v>
      </c>
      <c r="N324" s="1" t="s">
        <v>330</v>
      </c>
      <c r="O324" s="1" t="s">
        <v>331</v>
      </c>
      <c r="P324" s="1" t="str">
        <f t="shared" si="20"/>
        <v>BC Camarao1.1Inverter(MBUS-1)46035,395833333346035,395833333346035,4652777778</v>
      </c>
      <c r="Q324" s="1" t="str">
        <f t="shared" si="21"/>
        <v>DAURDE</v>
      </c>
      <c r="R324" s="1"/>
    </row>
    <row r="325" spans="2:18">
      <c r="B325" s="1" t="s">
        <v>382</v>
      </c>
      <c r="C325" s="1" t="s">
        <v>247</v>
      </c>
      <c r="D325" s="52">
        <v>46035.395833333336</v>
      </c>
      <c r="E325" s="52">
        <v>46035.395833333336</v>
      </c>
      <c r="F325" s="52">
        <v>46035.465277777781</v>
      </c>
      <c r="G325" s="53">
        <f t="shared" si="23"/>
        <v>6.9444444445252884E-2</v>
      </c>
      <c r="H325" s="1" t="s">
        <v>248</v>
      </c>
      <c r="J325" s="1" t="s">
        <v>249</v>
      </c>
      <c r="K325" s="1" t="s">
        <v>349</v>
      </c>
      <c r="L325" s="1" t="s">
        <v>381</v>
      </c>
      <c r="M325" s="1" t="s">
        <v>251</v>
      </c>
      <c r="N325" s="1" t="s">
        <v>330</v>
      </c>
      <c r="O325" s="1" t="s">
        <v>331</v>
      </c>
      <c r="P325" s="1" t="str">
        <f t="shared" si="20"/>
        <v>BC Camarao1.1215KTL-H3(MBUS-12)46035,395833333346035,395833333346035,4652777778</v>
      </c>
      <c r="Q325" s="1" t="str">
        <f t="shared" si="21"/>
        <v>DAURDE</v>
      </c>
    </row>
    <row r="326" spans="2:18">
      <c r="B326" s="1" t="s">
        <v>382</v>
      </c>
      <c r="C326" s="1" t="s">
        <v>254</v>
      </c>
      <c r="D326" s="52">
        <v>46035.395833333336</v>
      </c>
      <c r="E326" s="52">
        <v>46035.395833333336</v>
      </c>
      <c r="F326" s="52">
        <v>46035.465277777781</v>
      </c>
      <c r="G326" s="53">
        <f t="shared" si="23"/>
        <v>6.9444444445252884E-2</v>
      </c>
      <c r="H326" s="1" t="s">
        <v>248</v>
      </c>
      <c r="J326" s="1" t="s">
        <v>249</v>
      </c>
      <c r="K326" s="1" t="s">
        <v>349</v>
      </c>
      <c r="L326" s="1" t="s">
        <v>381</v>
      </c>
      <c r="M326" s="1" t="s">
        <v>251</v>
      </c>
      <c r="N326" s="1" t="s">
        <v>330</v>
      </c>
      <c r="O326" s="1" t="s">
        <v>331</v>
      </c>
      <c r="P326" s="1" t="str">
        <f t="shared" si="20"/>
        <v>BC Camarao1.1215KTL-H3(MBUS-13)46035,395833333346035,395833333346035,4652777778</v>
      </c>
      <c r="Q326" s="1" t="str">
        <f t="shared" si="21"/>
        <v>DAURDE</v>
      </c>
    </row>
    <row r="327" spans="2:18">
      <c r="B327" s="1" t="s">
        <v>382</v>
      </c>
      <c r="C327" s="1" t="s">
        <v>257</v>
      </c>
      <c r="D327" s="52">
        <v>46035.395833333336</v>
      </c>
      <c r="E327" s="52">
        <v>46035.395833333336</v>
      </c>
      <c r="F327" s="52">
        <v>46035.465277777781</v>
      </c>
      <c r="G327" s="53">
        <f t="shared" si="23"/>
        <v>6.9444444445252884E-2</v>
      </c>
      <c r="H327" s="1" t="s">
        <v>248</v>
      </c>
      <c r="J327" s="1" t="s">
        <v>249</v>
      </c>
      <c r="K327" s="1" t="s">
        <v>349</v>
      </c>
      <c r="L327" s="1" t="s">
        <v>381</v>
      </c>
      <c r="M327" s="1" t="s">
        <v>251</v>
      </c>
      <c r="N327" s="1" t="s">
        <v>330</v>
      </c>
      <c r="O327" s="1" t="s">
        <v>331</v>
      </c>
      <c r="P327" s="1" t="str">
        <f t="shared" si="20"/>
        <v>BC Camarao1.1215KTL-H3(MBUS-16)46035,395833333346035,395833333346035,4652777778</v>
      </c>
      <c r="Q327" s="1" t="str">
        <f t="shared" si="21"/>
        <v>DAURDE</v>
      </c>
    </row>
    <row r="328" spans="2:18">
      <c r="B328" s="1" t="s">
        <v>382</v>
      </c>
      <c r="C328" s="1" t="s">
        <v>256</v>
      </c>
      <c r="D328" s="52">
        <v>46035.395833333336</v>
      </c>
      <c r="E328" s="52">
        <v>46035.395833333336</v>
      </c>
      <c r="F328" s="52">
        <v>46035.465277777781</v>
      </c>
      <c r="G328" s="53">
        <f t="shared" si="23"/>
        <v>6.9444444445252884E-2</v>
      </c>
      <c r="H328" s="1" t="s">
        <v>248</v>
      </c>
      <c r="J328" s="1" t="s">
        <v>249</v>
      </c>
      <c r="K328" s="1" t="s">
        <v>349</v>
      </c>
      <c r="L328" s="1" t="s">
        <v>381</v>
      </c>
      <c r="M328" s="1" t="s">
        <v>251</v>
      </c>
      <c r="N328" s="1" t="s">
        <v>330</v>
      </c>
      <c r="O328" s="1" t="s">
        <v>331</v>
      </c>
      <c r="P328" s="1" t="str">
        <f t="shared" ref="P328:P332" si="24">_xlfn.CONCAT(B328,C328,D328,E328,F328)</f>
        <v>BC Camarao1.1215KTL-H3(MBUS-15)46035,395833333346035,395833333346035,4652777778</v>
      </c>
      <c r="Q328" s="1" t="str">
        <f t="shared" ref="Q328:Q331" si="25">_xlfn.CONCAT(H328,I328,J328)</f>
        <v>DAURDE</v>
      </c>
    </row>
    <row r="329" spans="2:18">
      <c r="B329" s="1" t="s">
        <v>383</v>
      </c>
      <c r="C329" s="1" t="s">
        <v>328</v>
      </c>
      <c r="D329" s="52">
        <v>46035.395833333336</v>
      </c>
      <c r="E329" s="52">
        <v>46035.395833333336</v>
      </c>
      <c r="F329" s="52">
        <v>46035.465277777781</v>
      </c>
      <c r="G329" s="53">
        <f t="shared" si="23"/>
        <v>6.9444444445252884E-2</v>
      </c>
      <c r="H329" s="1" t="s">
        <v>248</v>
      </c>
      <c r="J329" s="1" t="s">
        <v>249</v>
      </c>
      <c r="K329" s="1" t="s">
        <v>349</v>
      </c>
      <c r="L329" s="1" t="s">
        <v>381</v>
      </c>
      <c r="M329" s="1" t="s">
        <v>251</v>
      </c>
      <c r="N329" s="1" t="s">
        <v>330</v>
      </c>
      <c r="O329" s="1" t="s">
        <v>331</v>
      </c>
      <c r="P329" s="1" t="str">
        <f t="shared" si="24"/>
        <v>BC Camarao1.2Inverter(MBUS-1)46035,395833333346035,395833333346035,4652777778</v>
      </c>
      <c r="Q329" s="1" t="str">
        <f t="shared" si="25"/>
        <v>DAURDE</v>
      </c>
    </row>
    <row r="330" spans="2:18">
      <c r="B330" s="1" t="s">
        <v>383</v>
      </c>
      <c r="C330" s="1" t="s">
        <v>384</v>
      </c>
      <c r="D330" s="52">
        <v>46035.395833333336</v>
      </c>
      <c r="E330" s="52">
        <v>46035.395833333336</v>
      </c>
      <c r="F330" s="52">
        <v>46035.465277777781</v>
      </c>
      <c r="G330" s="53">
        <f t="shared" si="23"/>
        <v>6.9444444445252884E-2</v>
      </c>
      <c r="H330" s="1" t="s">
        <v>248</v>
      </c>
      <c r="J330" s="1" t="s">
        <v>249</v>
      </c>
      <c r="K330" s="1" t="s">
        <v>349</v>
      </c>
      <c r="L330" s="1" t="s">
        <v>381</v>
      </c>
      <c r="M330" s="1" t="s">
        <v>251</v>
      </c>
      <c r="N330" s="1" t="s">
        <v>330</v>
      </c>
      <c r="O330" s="1" t="s">
        <v>331</v>
      </c>
      <c r="P330" s="1" t="str">
        <f t="shared" si="24"/>
        <v>BC Camarao1.2Inv. 346035,395833333346035,395833333346035,4652777778</v>
      </c>
      <c r="Q330" s="1" t="str">
        <f t="shared" si="25"/>
        <v>DAURDE</v>
      </c>
    </row>
    <row r="331" spans="2:18">
      <c r="B331" s="1" t="s">
        <v>383</v>
      </c>
      <c r="C331" s="1" t="s">
        <v>385</v>
      </c>
      <c r="D331" s="52">
        <v>46035.395833333336</v>
      </c>
      <c r="E331" s="52">
        <v>46035.395833333336</v>
      </c>
      <c r="F331" s="52">
        <v>46035.465277777781</v>
      </c>
      <c r="G331" s="53">
        <f t="shared" si="23"/>
        <v>6.9444444445252884E-2</v>
      </c>
      <c r="H331" s="1" t="s">
        <v>248</v>
      </c>
      <c r="J331" s="1" t="s">
        <v>249</v>
      </c>
      <c r="K331" s="1" t="s">
        <v>349</v>
      </c>
      <c r="L331" s="1" t="s">
        <v>381</v>
      </c>
      <c r="M331" s="1" t="s">
        <v>251</v>
      </c>
      <c r="N331" s="1" t="s">
        <v>330</v>
      </c>
      <c r="O331" s="1" t="s">
        <v>331</v>
      </c>
      <c r="P331" s="1" t="str">
        <f t="shared" si="24"/>
        <v>BC Camarao1.2Inv. 446035,395833333346035,395833333346035,4652777778</v>
      </c>
      <c r="Q331" s="1" t="str">
        <f t="shared" si="25"/>
        <v>DAURDE</v>
      </c>
    </row>
    <row r="332" spans="2:18">
      <c r="B332" s="1" t="s">
        <v>383</v>
      </c>
      <c r="C332" s="1" t="s">
        <v>386</v>
      </c>
      <c r="D332" s="52">
        <v>46035.395833333336</v>
      </c>
      <c r="E332" s="52">
        <v>46035.395833333336</v>
      </c>
      <c r="F332" s="52">
        <v>46035.465277777781</v>
      </c>
      <c r="G332" s="53">
        <f t="shared" si="23"/>
        <v>6.9444444445252884E-2</v>
      </c>
      <c r="H332" s="1" t="s">
        <v>248</v>
      </c>
      <c r="J332" s="1" t="s">
        <v>249</v>
      </c>
      <c r="K332" s="1" t="s">
        <v>349</v>
      </c>
      <c r="L332" s="1" t="s">
        <v>381</v>
      </c>
      <c r="M332" s="1" t="s">
        <v>251</v>
      </c>
      <c r="N332" s="1" t="s">
        <v>330</v>
      </c>
      <c r="O332" s="1" t="s">
        <v>331</v>
      </c>
      <c r="P332" s="1" t="str">
        <f t="shared" si="24"/>
        <v>BC Camarao1.2Inverter(MBUS-16)46035,395833333346035,395833333346035,4652777778</v>
      </c>
      <c r="Q332" s="1" t="str">
        <f t="shared" ref="Q328:Q391" si="26">_xlfn.CONCAT(H332,I332,J332)</f>
        <v>DAURDE</v>
      </c>
    </row>
    <row r="333" spans="2:18">
      <c r="B333" s="1" t="s">
        <v>383</v>
      </c>
      <c r="C333" s="1" t="s">
        <v>354</v>
      </c>
      <c r="D333" s="52">
        <v>46035.395833333336</v>
      </c>
      <c r="E333" s="52">
        <v>46035.395833333336</v>
      </c>
      <c r="F333" s="52">
        <v>46035.465277777781</v>
      </c>
      <c r="G333" s="53">
        <f t="shared" si="23"/>
        <v>6.9444444445252884E-2</v>
      </c>
      <c r="H333" s="1" t="s">
        <v>248</v>
      </c>
      <c r="J333" s="1" t="s">
        <v>249</v>
      </c>
      <c r="K333" s="1" t="s">
        <v>349</v>
      </c>
      <c r="L333" s="1" t="s">
        <v>381</v>
      </c>
      <c r="M333" s="1" t="s">
        <v>251</v>
      </c>
      <c r="N333" s="1" t="s">
        <v>330</v>
      </c>
      <c r="O333" s="1" t="s">
        <v>331</v>
      </c>
      <c r="P333" s="1" t="str">
        <f t="shared" ref="P328:P391" si="27">_xlfn.CONCAT(B333,C333,D333,E333,F333)</f>
        <v>BC Camarao1.2Inverter(MBUS-12)46035,395833333346035,395833333346035,4652777778</v>
      </c>
      <c r="Q333" s="1" t="str">
        <f t="shared" si="26"/>
        <v>DAURDE</v>
      </c>
    </row>
    <row r="334" spans="2:18">
      <c r="B334" s="1" t="s">
        <v>387</v>
      </c>
      <c r="C334" s="1" t="s">
        <v>257</v>
      </c>
      <c r="D334" s="52">
        <v>46035.395833333336</v>
      </c>
      <c r="E334" s="52">
        <v>46035.395833333336</v>
      </c>
      <c r="F334" s="52">
        <v>46035.465277777781</v>
      </c>
      <c r="G334" s="53">
        <f t="shared" si="23"/>
        <v>6.9444444445252884E-2</v>
      </c>
      <c r="H334" s="1" t="s">
        <v>248</v>
      </c>
      <c r="J334" s="1" t="s">
        <v>249</v>
      </c>
      <c r="K334" s="1" t="s">
        <v>349</v>
      </c>
      <c r="L334" s="1" t="s">
        <v>381</v>
      </c>
      <c r="M334" s="1" t="s">
        <v>251</v>
      </c>
      <c r="N334" s="1" t="s">
        <v>330</v>
      </c>
      <c r="O334" s="1" t="s">
        <v>331</v>
      </c>
      <c r="P334" s="1" t="str">
        <f t="shared" si="27"/>
        <v>BC Camarao1.3215KTL-H3(MBUS-16)46035,395833333346035,395833333346035,4652777778</v>
      </c>
      <c r="Q334" s="1" t="str">
        <f t="shared" si="26"/>
        <v>DAURDE</v>
      </c>
    </row>
    <row r="335" spans="2:18">
      <c r="B335" s="1" t="s">
        <v>387</v>
      </c>
      <c r="C335" s="1" t="s">
        <v>255</v>
      </c>
      <c r="D335" s="52">
        <v>46035.395833333336</v>
      </c>
      <c r="E335" s="52">
        <v>46035.395833333336</v>
      </c>
      <c r="F335" s="52">
        <v>46035.465277777781</v>
      </c>
      <c r="G335" s="53">
        <f t="shared" si="23"/>
        <v>6.9444444445252884E-2</v>
      </c>
      <c r="H335" s="1" t="s">
        <v>248</v>
      </c>
      <c r="J335" s="1" t="s">
        <v>249</v>
      </c>
      <c r="K335" s="1" t="s">
        <v>349</v>
      </c>
      <c r="L335" s="1" t="s">
        <v>381</v>
      </c>
      <c r="M335" s="1" t="s">
        <v>251</v>
      </c>
      <c r="N335" s="1" t="s">
        <v>330</v>
      </c>
      <c r="O335" s="1" t="s">
        <v>331</v>
      </c>
      <c r="P335" s="1" t="str">
        <f t="shared" si="27"/>
        <v>BC Camarao1.3215KTL-H3(MBUS-14)46035,395833333346035,395833333346035,4652777778</v>
      </c>
      <c r="Q335" s="1" t="str">
        <f t="shared" si="26"/>
        <v>DAURDE</v>
      </c>
    </row>
    <row r="336" spans="2:18">
      <c r="B336" s="1" t="s">
        <v>387</v>
      </c>
      <c r="C336" s="1" t="s">
        <v>256</v>
      </c>
      <c r="D336" s="52">
        <v>46035.395833333336</v>
      </c>
      <c r="E336" s="52">
        <v>46035.395833333336</v>
      </c>
      <c r="F336" s="52">
        <v>46035.465277777781</v>
      </c>
      <c r="G336" s="53">
        <f t="shared" si="23"/>
        <v>6.9444444445252884E-2</v>
      </c>
      <c r="H336" s="1" t="s">
        <v>248</v>
      </c>
      <c r="J336" s="1" t="s">
        <v>249</v>
      </c>
      <c r="K336" s="1" t="s">
        <v>349</v>
      </c>
      <c r="L336" s="1" t="s">
        <v>381</v>
      </c>
      <c r="M336" s="1" t="s">
        <v>251</v>
      </c>
      <c r="N336" s="1" t="s">
        <v>330</v>
      </c>
      <c r="O336" s="1" t="s">
        <v>331</v>
      </c>
      <c r="P336" s="1" t="str">
        <f t="shared" si="27"/>
        <v>BC Camarao1.3215KTL-H3(MBUS-15)46035,395833333346035,395833333346035,4652777778</v>
      </c>
      <c r="Q336" s="1" t="str">
        <f t="shared" si="26"/>
        <v>DAURDE</v>
      </c>
    </row>
    <row r="337" spans="2:17">
      <c r="B337" s="1" t="s">
        <v>387</v>
      </c>
      <c r="C337" s="1" t="s">
        <v>247</v>
      </c>
      <c r="D337" s="52">
        <v>46035.395833333336</v>
      </c>
      <c r="E337" s="52">
        <v>46035.395833333336</v>
      </c>
      <c r="F337" s="52">
        <v>46035.465277777781</v>
      </c>
      <c r="G337" s="53">
        <f t="shared" si="23"/>
        <v>6.9444444445252884E-2</v>
      </c>
      <c r="H337" s="1" t="s">
        <v>248</v>
      </c>
      <c r="J337" s="1" t="s">
        <v>249</v>
      </c>
      <c r="K337" s="1" t="s">
        <v>349</v>
      </c>
      <c r="L337" s="1" t="s">
        <v>381</v>
      </c>
      <c r="M337" s="1" t="s">
        <v>251</v>
      </c>
      <c r="N337" s="1" t="s">
        <v>330</v>
      </c>
      <c r="O337" s="1" t="s">
        <v>331</v>
      </c>
      <c r="P337" s="1" t="str">
        <f t="shared" si="27"/>
        <v>BC Camarao1.3215KTL-H3(MBUS-12)46035,395833333346035,395833333346035,4652777778</v>
      </c>
      <c r="Q337" s="1" t="str">
        <f t="shared" si="26"/>
        <v>DAURDE</v>
      </c>
    </row>
    <row r="338" spans="2:17">
      <c r="B338" s="1" t="s">
        <v>387</v>
      </c>
      <c r="C338" s="1" t="s">
        <v>254</v>
      </c>
      <c r="D338" s="52">
        <v>46035.395833333336</v>
      </c>
      <c r="E338" s="52">
        <v>46035.395833333336</v>
      </c>
      <c r="F338" s="52">
        <v>46035.465277777781</v>
      </c>
      <c r="G338" s="53">
        <f t="shared" si="23"/>
        <v>6.9444444445252884E-2</v>
      </c>
      <c r="H338" s="1" t="s">
        <v>248</v>
      </c>
      <c r="J338" s="1" t="s">
        <v>249</v>
      </c>
      <c r="K338" s="1" t="s">
        <v>349</v>
      </c>
      <c r="L338" s="1" t="s">
        <v>381</v>
      </c>
      <c r="M338" s="1" t="s">
        <v>251</v>
      </c>
      <c r="N338" s="1" t="s">
        <v>330</v>
      </c>
      <c r="O338" s="1" t="s">
        <v>331</v>
      </c>
      <c r="P338" s="1" t="str">
        <f t="shared" si="27"/>
        <v>BC Camarao1.3215KTL-H3(MBUS-13)46035,395833333346035,395833333346035,4652777778</v>
      </c>
      <c r="Q338" s="1" t="str">
        <f t="shared" si="26"/>
        <v>DAURDE</v>
      </c>
    </row>
    <row r="339" spans="2:17">
      <c r="B339" s="1" t="s">
        <v>379</v>
      </c>
      <c r="C339" s="1" t="s">
        <v>380</v>
      </c>
      <c r="D339" s="52">
        <v>46035.395833333336</v>
      </c>
      <c r="E339" s="52">
        <v>46035.395833333336</v>
      </c>
      <c r="F339" s="52">
        <v>46035.465277777781</v>
      </c>
      <c r="G339" s="53">
        <f t="shared" si="23"/>
        <v>6.9444444445252884E-2</v>
      </c>
      <c r="H339" s="1" t="s">
        <v>248</v>
      </c>
      <c r="J339" s="1" t="s">
        <v>249</v>
      </c>
      <c r="K339" s="1" t="s">
        <v>349</v>
      </c>
      <c r="L339" s="1" t="s">
        <v>381</v>
      </c>
      <c r="M339" s="1" t="s">
        <v>251</v>
      </c>
      <c r="N339" s="1" t="s">
        <v>330</v>
      </c>
      <c r="O339" s="1" t="s">
        <v>331</v>
      </c>
      <c r="P339" s="1" t="str">
        <f t="shared" si="27"/>
        <v>BC Camarao1.4INV-6T22A904138146035,395833333346035,395833333346035,4652777778</v>
      </c>
      <c r="Q339" s="1" t="str">
        <f t="shared" si="26"/>
        <v>DAURDE</v>
      </c>
    </row>
    <row r="340" spans="2:17">
      <c r="B340" s="1" t="s">
        <v>379</v>
      </c>
      <c r="C340" s="1" t="s">
        <v>255</v>
      </c>
      <c r="D340" s="52">
        <v>46035.395833333336</v>
      </c>
      <c r="E340" s="52">
        <v>46035.395833333336</v>
      </c>
      <c r="F340" s="52">
        <v>46035.465277777781</v>
      </c>
      <c r="G340" s="53">
        <f t="shared" si="23"/>
        <v>6.9444444445252884E-2</v>
      </c>
      <c r="H340" s="1" t="s">
        <v>248</v>
      </c>
      <c r="J340" s="1" t="s">
        <v>249</v>
      </c>
      <c r="K340" s="1" t="s">
        <v>349</v>
      </c>
      <c r="L340" s="1" t="s">
        <v>381</v>
      </c>
      <c r="M340" s="1" t="s">
        <v>251</v>
      </c>
      <c r="N340" s="1" t="s">
        <v>330</v>
      </c>
      <c r="O340" s="1" t="s">
        <v>331</v>
      </c>
      <c r="P340" s="1" t="str">
        <f t="shared" si="27"/>
        <v>BC Camarao1.4215KTL-H3(MBUS-14)46035,395833333346035,395833333346035,4652777778</v>
      </c>
      <c r="Q340" s="1" t="str">
        <f t="shared" si="26"/>
        <v>DAURDE</v>
      </c>
    </row>
    <row r="341" spans="2:17">
      <c r="B341" s="1" t="s">
        <v>379</v>
      </c>
      <c r="C341" s="1" t="s">
        <v>254</v>
      </c>
      <c r="D341" s="52">
        <v>46035.395833333336</v>
      </c>
      <c r="E341" s="52">
        <v>46035.395833333336</v>
      </c>
      <c r="F341" s="52">
        <v>46035.465277777781</v>
      </c>
      <c r="G341" s="53">
        <f t="shared" si="23"/>
        <v>6.9444444445252884E-2</v>
      </c>
      <c r="H341" s="1" t="s">
        <v>248</v>
      </c>
      <c r="J341" s="1" t="s">
        <v>249</v>
      </c>
      <c r="K341" s="1" t="s">
        <v>349</v>
      </c>
      <c r="L341" s="1" t="s">
        <v>381</v>
      </c>
      <c r="M341" s="1" t="s">
        <v>251</v>
      </c>
      <c r="N341" s="1" t="s">
        <v>330</v>
      </c>
      <c r="O341" s="1" t="s">
        <v>331</v>
      </c>
      <c r="P341" s="1" t="str">
        <f t="shared" si="27"/>
        <v>BC Camarao1.4215KTL-H3(MBUS-13)46035,395833333346035,395833333346035,4652777778</v>
      </c>
      <c r="Q341" s="1" t="str">
        <f t="shared" si="26"/>
        <v>DAURDE</v>
      </c>
    </row>
    <row r="342" spans="2:17">
      <c r="B342" s="1" t="s">
        <v>379</v>
      </c>
      <c r="C342" s="1" t="s">
        <v>257</v>
      </c>
      <c r="D342" s="52">
        <v>46035.395833333336</v>
      </c>
      <c r="E342" s="52">
        <v>46035.395833333336</v>
      </c>
      <c r="F342" s="52">
        <v>46035.465277777781</v>
      </c>
      <c r="G342" s="53">
        <f t="shared" si="23"/>
        <v>6.9444444445252884E-2</v>
      </c>
      <c r="H342" s="1" t="s">
        <v>248</v>
      </c>
      <c r="J342" s="1" t="s">
        <v>249</v>
      </c>
      <c r="K342" s="1" t="s">
        <v>349</v>
      </c>
      <c r="L342" s="1" t="s">
        <v>381</v>
      </c>
      <c r="M342" s="1" t="s">
        <v>251</v>
      </c>
      <c r="N342" s="1" t="s">
        <v>330</v>
      </c>
      <c r="O342" s="1" t="s">
        <v>331</v>
      </c>
      <c r="P342" s="1" t="str">
        <f t="shared" si="27"/>
        <v>BC Camarao1.4215KTL-H3(MBUS-16)46035,395833333346035,395833333346035,4652777778</v>
      </c>
      <c r="Q342" s="1" t="str">
        <f t="shared" si="26"/>
        <v>DAURDE</v>
      </c>
    </row>
    <row r="343" spans="2:17">
      <c r="B343" s="1" t="s">
        <v>379</v>
      </c>
      <c r="C343" s="1" t="s">
        <v>256</v>
      </c>
      <c r="D343" s="52">
        <v>46035.395833333336</v>
      </c>
      <c r="E343" s="52">
        <v>46035.395833333336</v>
      </c>
      <c r="F343" s="52">
        <v>46035.465277777781</v>
      </c>
      <c r="G343" s="53">
        <f t="shared" si="23"/>
        <v>6.9444444445252884E-2</v>
      </c>
      <c r="H343" s="1" t="s">
        <v>248</v>
      </c>
      <c r="J343" s="1" t="s">
        <v>249</v>
      </c>
      <c r="K343" s="1" t="s">
        <v>349</v>
      </c>
      <c r="L343" s="1" t="s">
        <v>381</v>
      </c>
      <c r="M343" s="1" t="s">
        <v>251</v>
      </c>
      <c r="N343" s="1" t="s">
        <v>330</v>
      </c>
      <c r="O343" s="1" t="s">
        <v>331</v>
      </c>
      <c r="P343" s="1" t="str">
        <f t="shared" si="27"/>
        <v>BC Camarao1.4215KTL-H3(MBUS-15)46035,395833333346035,395833333346035,4652777778</v>
      </c>
      <c r="Q343" s="1" t="str">
        <f t="shared" si="26"/>
        <v>DAURDE</v>
      </c>
    </row>
    <row r="344" spans="2:17">
      <c r="B344" s="1" t="s">
        <v>388</v>
      </c>
      <c r="C344" s="1" t="s">
        <v>256</v>
      </c>
      <c r="D344" s="52">
        <v>46035.395833333336</v>
      </c>
      <c r="E344" s="52">
        <v>46035.395833333336</v>
      </c>
      <c r="F344" s="52">
        <v>46035.465277777781</v>
      </c>
      <c r="G344" s="53">
        <f t="shared" si="23"/>
        <v>6.9444444445252884E-2</v>
      </c>
      <c r="H344" s="1" t="s">
        <v>248</v>
      </c>
      <c r="J344" s="1" t="s">
        <v>249</v>
      </c>
      <c r="K344" s="1" t="s">
        <v>349</v>
      </c>
      <c r="L344" s="1" t="s">
        <v>381</v>
      </c>
      <c r="M344" s="1" t="s">
        <v>251</v>
      </c>
      <c r="N344" s="1" t="s">
        <v>330</v>
      </c>
      <c r="O344" s="1" t="s">
        <v>331</v>
      </c>
      <c r="P344" s="1" t="str">
        <f t="shared" si="27"/>
        <v>BC Camarao1.5215KTL-H3(MBUS-15)46035,395833333346035,395833333346035,4652777778</v>
      </c>
      <c r="Q344" s="1" t="str">
        <f t="shared" si="26"/>
        <v>DAURDE</v>
      </c>
    </row>
    <row r="345" spans="2:17">
      <c r="B345" s="1" t="s">
        <v>388</v>
      </c>
      <c r="C345" s="1" t="s">
        <v>254</v>
      </c>
      <c r="D345" s="52">
        <v>46035.395833333336</v>
      </c>
      <c r="E345" s="52">
        <v>46035.395833333336</v>
      </c>
      <c r="F345" s="52">
        <v>46035.465277777781</v>
      </c>
      <c r="G345" s="53">
        <f t="shared" si="23"/>
        <v>6.9444444445252884E-2</v>
      </c>
      <c r="H345" s="1" t="s">
        <v>248</v>
      </c>
      <c r="J345" s="1" t="s">
        <v>249</v>
      </c>
      <c r="K345" s="1" t="s">
        <v>349</v>
      </c>
      <c r="L345" s="1" t="s">
        <v>381</v>
      </c>
      <c r="M345" s="1" t="s">
        <v>251</v>
      </c>
      <c r="N345" s="1" t="s">
        <v>330</v>
      </c>
      <c r="O345" s="1" t="s">
        <v>331</v>
      </c>
      <c r="P345" s="1" t="str">
        <f t="shared" si="27"/>
        <v>BC Camarao1.5215KTL-H3(MBUS-13)46035,395833333346035,395833333346035,4652777778</v>
      </c>
      <c r="Q345" s="1" t="str">
        <f t="shared" si="26"/>
        <v>DAURDE</v>
      </c>
    </row>
    <row r="346" spans="2:17">
      <c r="B346" s="1" t="s">
        <v>388</v>
      </c>
      <c r="C346" s="1" t="s">
        <v>247</v>
      </c>
      <c r="D346" s="52">
        <v>46035.395833333336</v>
      </c>
      <c r="E346" s="52">
        <v>46035.395833333336</v>
      </c>
      <c r="F346" s="52">
        <v>46035.465277777781</v>
      </c>
      <c r="G346" s="53">
        <f t="shared" si="23"/>
        <v>6.9444444445252884E-2</v>
      </c>
      <c r="H346" s="1" t="s">
        <v>248</v>
      </c>
      <c r="J346" s="1" t="s">
        <v>249</v>
      </c>
      <c r="K346" s="1" t="s">
        <v>349</v>
      </c>
      <c r="L346" s="1" t="s">
        <v>381</v>
      </c>
      <c r="M346" s="1" t="s">
        <v>251</v>
      </c>
      <c r="N346" s="1" t="s">
        <v>330</v>
      </c>
      <c r="O346" s="1" t="s">
        <v>331</v>
      </c>
      <c r="P346" s="1" t="str">
        <f t="shared" si="27"/>
        <v>BC Camarao1.5215KTL-H3(MBUS-12)46035,395833333346035,395833333346035,4652777778</v>
      </c>
      <c r="Q346" s="1" t="str">
        <f t="shared" si="26"/>
        <v>DAURDE</v>
      </c>
    </row>
    <row r="347" spans="2:17">
      <c r="B347" s="1" t="s">
        <v>388</v>
      </c>
      <c r="C347" s="1" t="s">
        <v>389</v>
      </c>
      <c r="D347" s="52">
        <v>46035.395833333336</v>
      </c>
      <c r="E347" s="52">
        <v>46035.395833333336</v>
      </c>
      <c r="F347" s="52">
        <v>46035.465277777781</v>
      </c>
      <c r="G347" s="53">
        <f t="shared" si="23"/>
        <v>6.9444444445252884E-2</v>
      </c>
      <c r="H347" s="1" t="s">
        <v>248</v>
      </c>
      <c r="J347" s="1" t="s">
        <v>249</v>
      </c>
      <c r="K347" s="1" t="s">
        <v>349</v>
      </c>
      <c r="L347" s="1" t="s">
        <v>381</v>
      </c>
      <c r="M347" s="1" t="s">
        <v>251</v>
      </c>
      <c r="N347" s="1" t="s">
        <v>330</v>
      </c>
      <c r="O347" s="1" t="s">
        <v>331</v>
      </c>
      <c r="P347" s="1" t="str">
        <f t="shared" si="27"/>
        <v>BC Camarao1.5215KTL-H3(MBUS-1)46035,395833333346035,395833333346035,4652777778</v>
      </c>
      <c r="Q347" s="1" t="str">
        <f t="shared" si="26"/>
        <v>DAURDE</v>
      </c>
    </row>
    <row r="348" spans="2:17">
      <c r="B348" s="1" t="s">
        <v>388</v>
      </c>
      <c r="C348" s="1" t="s">
        <v>255</v>
      </c>
      <c r="D348" s="52">
        <v>46035.395833333336</v>
      </c>
      <c r="E348" s="52">
        <v>46035.395833333336</v>
      </c>
      <c r="F348" s="52">
        <v>46035.465277777781</v>
      </c>
      <c r="G348" s="53">
        <f t="shared" si="23"/>
        <v>6.9444444445252884E-2</v>
      </c>
      <c r="H348" s="1" t="s">
        <v>248</v>
      </c>
      <c r="J348" s="1" t="s">
        <v>249</v>
      </c>
      <c r="K348" s="1" t="s">
        <v>349</v>
      </c>
      <c r="L348" s="1" t="s">
        <v>381</v>
      </c>
      <c r="M348" s="1" t="s">
        <v>251</v>
      </c>
      <c r="N348" s="1" t="s">
        <v>330</v>
      </c>
      <c r="O348" s="1" t="s">
        <v>331</v>
      </c>
      <c r="P348" s="1" t="str">
        <f t="shared" si="27"/>
        <v>BC Camarao1.5215KTL-H3(MBUS-14)46035,395833333346035,395833333346035,4652777778</v>
      </c>
      <c r="Q348" s="1" t="str">
        <f t="shared" si="26"/>
        <v>DAURDE</v>
      </c>
    </row>
    <row r="349" spans="2:17">
      <c r="B349" s="1" t="s">
        <v>382</v>
      </c>
      <c r="C349" s="1" t="s">
        <v>328</v>
      </c>
      <c r="D349" s="52">
        <v>46035.285416666666</v>
      </c>
      <c r="E349" s="52">
        <v>46035.285416666666</v>
      </c>
      <c r="F349" s="52">
        <v>46035.34375</v>
      </c>
      <c r="G349" s="53">
        <f t="shared" si="23"/>
        <v>5.8333333334303461E-2</v>
      </c>
      <c r="H349" s="1" t="s">
        <v>248</v>
      </c>
      <c r="J349" s="1" t="s">
        <v>249</v>
      </c>
      <c r="K349" s="1" t="s">
        <v>349</v>
      </c>
      <c r="L349" s="1" t="s">
        <v>381</v>
      </c>
      <c r="M349" s="1" t="s">
        <v>251</v>
      </c>
      <c r="N349" s="1" t="s">
        <v>330</v>
      </c>
      <c r="O349" s="1" t="s">
        <v>331</v>
      </c>
      <c r="P349" s="1" t="str">
        <f t="shared" si="27"/>
        <v>BC Camarao1.1Inverter(MBUS-1)46035,285416666746035,285416666746035,34375</v>
      </c>
      <c r="Q349" s="1" t="str">
        <f t="shared" si="26"/>
        <v>DAURDE</v>
      </c>
    </row>
    <row r="350" spans="2:17">
      <c r="B350" s="1" t="s">
        <v>382</v>
      </c>
      <c r="C350" s="1" t="s">
        <v>247</v>
      </c>
      <c r="D350" s="52">
        <v>46035.285416666666</v>
      </c>
      <c r="E350" s="52">
        <v>46035.285416666666</v>
      </c>
      <c r="F350" s="52">
        <v>46035.34375</v>
      </c>
      <c r="G350" s="53">
        <f t="shared" si="23"/>
        <v>5.8333333334303461E-2</v>
      </c>
      <c r="H350" s="1" t="s">
        <v>248</v>
      </c>
      <c r="J350" s="1" t="s">
        <v>249</v>
      </c>
      <c r="K350" s="1" t="s">
        <v>349</v>
      </c>
      <c r="L350" s="1" t="s">
        <v>381</v>
      </c>
      <c r="M350" s="1" t="s">
        <v>251</v>
      </c>
      <c r="N350" s="1" t="s">
        <v>330</v>
      </c>
      <c r="O350" s="1" t="s">
        <v>331</v>
      </c>
      <c r="P350" s="1" t="str">
        <f t="shared" si="27"/>
        <v>BC Camarao1.1215KTL-H3(MBUS-12)46035,285416666746035,285416666746035,34375</v>
      </c>
      <c r="Q350" s="1" t="str">
        <f t="shared" si="26"/>
        <v>DAURDE</v>
      </c>
    </row>
    <row r="351" spans="2:17">
      <c r="B351" s="1" t="s">
        <v>382</v>
      </c>
      <c r="C351" s="1" t="s">
        <v>254</v>
      </c>
      <c r="D351" s="52">
        <v>46035.285416666666</v>
      </c>
      <c r="E351" s="52">
        <v>46035.285416666666</v>
      </c>
      <c r="F351" s="52">
        <v>46035.34375</v>
      </c>
      <c r="G351" s="53">
        <f t="shared" si="23"/>
        <v>5.8333333334303461E-2</v>
      </c>
      <c r="H351" s="1" t="s">
        <v>248</v>
      </c>
      <c r="J351" s="1" t="s">
        <v>249</v>
      </c>
      <c r="K351" s="1" t="s">
        <v>349</v>
      </c>
      <c r="L351" s="1" t="s">
        <v>381</v>
      </c>
      <c r="M351" s="1" t="s">
        <v>251</v>
      </c>
      <c r="N351" s="1" t="s">
        <v>330</v>
      </c>
      <c r="O351" s="1" t="s">
        <v>331</v>
      </c>
      <c r="P351" s="1" t="str">
        <f t="shared" si="27"/>
        <v>BC Camarao1.1215KTL-H3(MBUS-13)46035,285416666746035,285416666746035,34375</v>
      </c>
      <c r="Q351" s="1" t="str">
        <f t="shared" si="26"/>
        <v>DAURDE</v>
      </c>
    </row>
    <row r="352" spans="2:17">
      <c r="B352" s="1" t="s">
        <v>382</v>
      </c>
      <c r="C352" s="1" t="s">
        <v>257</v>
      </c>
      <c r="D352" s="52">
        <v>46035.285416666666</v>
      </c>
      <c r="E352" s="52">
        <v>46035.285416666666</v>
      </c>
      <c r="F352" s="52">
        <v>46035.34375</v>
      </c>
      <c r="G352" s="53">
        <f t="shared" si="23"/>
        <v>5.8333333334303461E-2</v>
      </c>
      <c r="H352" s="1" t="s">
        <v>248</v>
      </c>
      <c r="J352" s="1" t="s">
        <v>249</v>
      </c>
      <c r="K352" s="1" t="s">
        <v>349</v>
      </c>
      <c r="L352" s="1" t="s">
        <v>381</v>
      </c>
      <c r="M352" s="1" t="s">
        <v>251</v>
      </c>
      <c r="N352" s="1" t="s">
        <v>330</v>
      </c>
      <c r="O352" s="1" t="s">
        <v>331</v>
      </c>
      <c r="P352" s="1" t="str">
        <f t="shared" si="27"/>
        <v>BC Camarao1.1215KTL-H3(MBUS-16)46035,285416666746035,285416666746035,34375</v>
      </c>
      <c r="Q352" s="1" t="str">
        <f t="shared" si="26"/>
        <v>DAURDE</v>
      </c>
    </row>
    <row r="353" spans="2:17">
      <c r="B353" s="1" t="s">
        <v>382</v>
      </c>
      <c r="C353" s="1" t="s">
        <v>256</v>
      </c>
      <c r="D353" s="52">
        <v>46035.285416666666</v>
      </c>
      <c r="E353" s="52">
        <v>46035.285416666666</v>
      </c>
      <c r="F353" s="52">
        <v>46035.34375</v>
      </c>
      <c r="G353" s="53">
        <f t="shared" si="23"/>
        <v>5.8333333334303461E-2</v>
      </c>
      <c r="H353" s="1" t="s">
        <v>248</v>
      </c>
      <c r="J353" s="1" t="s">
        <v>249</v>
      </c>
      <c r="K353" s="1" t="s">
        <v>349</v>
      </c>
      <c r="L353" s="1" t="s">
        <v>381</v>
      </c>
      <c r="M353" s="1" t="s">
        <v>251</v>
      </c>
      <c r="N353" s="1" t="s">
        <v>330</v>
      </c>
      <c r="O353" s="1" t="s">
        <v>331</v>
      </c>
      <c r="P353" s="1" t="str">
        <f t="shared" si="27"/>
        <v>BC Camarao1.1215KTL-H3(MBUS-15)46035,285416666746035,285416666746035,34375</v>
      </c>
      <c r="Q353" s="1" t="str">
        <f t="shared" si="26"/>
        <v>DAURDE</v>
      </c>
    </row>
    <row r="354" spans="2:17">
      <c r="B354" s="1" t="s">
        <v>383</v>
      </c>
      <c r="C354" s="1" t="s">
        <v>328</v>
      </c>
      <c r="D354" s="52">
        <v>46035.285416666666</v>
      </c>
      <c r="E354" s="52">
        <v>46035.285416666666</v>
      </c>
      <c r="F354" s="52">
        <v>46035.34375</v>
      </c>
      <c r="G354" s="53">
        <f t="shared" si="23"/>
        <v>5.8333333334303461E-2</v>
      </c>
      <c r="H354" s="1" t="s">
        <v>248</v>
      </c>
      <c r="J354" s="1" t="s">
        <v>249</v>
      </c>
      <c r="K354" s="1" t="s">
        <v>349</v>
      </c>
      <c r="L354" s="1" t="s">
        <v>381</v>
      </c>
      <c r="M354" s="1" t="s">
        <v>251</v>
      </c>
      <c r="N354" s="1" t="s">
        <v>330</v>
      </c>
      <c r="O354" s="1" t="s">
        <v>331</v>
      </c>
      <c r="P354" s="1" t="str">
        <f t="shared" si="27"/>
        <v>BC Camarao1.2Inverter(MBUS-1)46035,285416666746035,285416666746035,34375</v>
      </c>
      <c r="Q354" s="1" t="str">
        <f t="shared" si="26"/>
        <v>DAURDE</v>
      </c>
    </row>
    <row r="355" spans="2:17">
      <c r="B355" s="1" t="s">
        <v>383</v>
      </c>
      <c r="C355" s="1" t="s">
        <v>384</v>
      </c>
      <c r="D355" s="52">
        <v>46035.285416666666</v>
      </c>
      <c r="E355" s="52">
        <v>46035.285416666666</v>
      </c>
      <c r="F355" s="52">
        <v>46035.34375</v>
      </c>
      <c r="G355" s="53">
        <f t="shared" si="23"/>
        <v>5.8333333334303461E-2</v>
      </c>
      <c r="H355" s="1" t="s">
        <v>248</v>
      </c>
      <c r="J355" s="1" t="s">
        <v>249</v>
      </c>
      <c r="K355" s="1" t="s">
        <v>349</v>
      </c>
      <c r="L355" s="1" t="s">
        <v>381</v>
      </c>
      <c r="M355" s="1" t="s">
        <v>251</v>
      </c>
      <c r="N355" s="1" t="s">
        <v>330</v>
      </c>
      <c r="O355" s="1" t="s">
        <v>331</v>
      </c>
      <c r="P355" s="1" t="str">
        <f t="shared" si="27"/>
        <v>BC Camarao1.2Inv. 346035,285416666746035,285416666746035,34375</v>
      </c>
      <c r="Q355" s="1" t="str">
        <f t="shared" si="26"/>
        <v>DAURDE</v>
      </c>
    </row>
    <row r="356" spans="2:17">
      <c r="B356" s="1" t="s">
        <v>383</v>
      </c>
      <c r="C356" s="1" t="s">
        <v>385</v>
      </c>
      <c r="D356" s="52">
        <v>46035.285416666666</v>
      </c>
      <c r="E356" s="52">
        <v>46035.285416666666</v>
      </c>
      <c r="F356" s="52">
        <v>46035.34375</v>
      </c>
      <c r="G356" s="53">
        <f t="shared" si="23"/>
        <v>5.8333333334303461E-2</v>
      </c>
      <c r="H356" s="1" t="s">
        <v>248</v>
      </c>
      <c r="J356" s="1" t="s">
        <v>249</v>
      </c>
      <c r="K356" s="1" t="s">
        <v>349</v>
      </c>
      <c r="L356" s="1" t="s">
        <v>381</v>
      </c>
      <c r="M356" s="1" t="s">
        <v>251</v>
      </c>
      <c r="N356" s="1" t="s">
        <v>330</v>
      </c>
      <c r="O356" s="1" t="s">
        <v>331</v>
      </c>
      <c r="P356" s="1" t="str">
        <f t="shared" si="27"/>
        <v>BC Camarao1.2Inv. 446035,285416666746035,285416666746035,34375</v>
      </c>
      <c r="Q356" s="1" t="str">
        <f t="shared" si="26"/>
        <v>DAURDE</v>
      </c>
    </row>
    <row r="357" spans="2:17">
      <c r="B357" s="1" t="s">
        <v>383</v>
      </c>
      <c r="C357" s="1" t="s">
        <v>386</v>
      </c>
      <c r="D357" s="52">
        <v>46035.285416666666</v>
      </c>
      <c r="E357" s="52">
        <v>46035.285416666666</v>
      </c>
      <c r="F357" s="52">
        <v>46035.34375</v>
      </c>
      <c r="G357" s="53">
        <f t="shared" si="23"/>
        <v>5.8333333334303461E-2</v>
      </c>
      <c r="H357" s="1" t="s">
        <v>248</v>
      </c>
      <c r="J357" s="1" t="s">
        <v>249</v>
      </c>
      <c r="K357" s="1" t="s">
        <v>349</v>
      </c>
      <c r="L357" s="1" t="s">
        <v>381</v>
      </c>
      <c r="M357" s="1" t="s">
        <v>251</v>
      </c>
      <c r="N357" s="1" t="s">
        <v>330</v>
      </c>
      <c r="O357" s="1" t="s">
        <v>331</v>
      </c>
      <c r="P357" s="1" t="str">
        <f t="shared" si="27"/>
        <v>BC Camarao1.2Inverter(MBUS-16)46035,285416666746035,285416666746035,34375</v>
      </c>
      <c r="Q357" s="1" t="str">
        <f t="shared" si="26"/>
        <v>DAURDE</v>
      </c>
    </row>
    <row r="358" spans="2:17">
      <c r="B358" s="1" t="s">
        <v>383</v>
      </c>
      <c r="C358" s="1" t="s">
        <v>354</v>
      </c>
      <c r="D358" s="52">
        <v>46035.285416666666</v>
      </c>
      <c r="E358" s="52">
        <v>46035.285416666666</v>
      </c>
      <c r="F358" s="52">
        <v>46035.34375</v>
      </c>
      <c r="G358" s="53">
        <f t="shared" si="23"/>
        <v>5.8333333334303461E-2</v>
      </c>
      <c r="H358" s="1" t="s">
        <v>248</v>
      </c>
      <c r="J358" s="1" t="s">
        <v>249</v>
      </c>
      <c r="K358" s="1" t="s">
        <v>349</v>
      </c>
      <c r="L358" s="1" t="s">
        <v>381</v>
      </c>
      <c r="M358" s="1" t="s">
        <v>251</v>
      </c>
      <c r="N358" s="1" t="s">
        <v>330</v>
      </c>
      <c r="O358" s="1" t="s">
        <v>331</v>
      </c>
      <c r="P358" s="1" t="str">
        <f t="shared" si="27"/>
        <v>BC Camarao1.2Inverter(MBUS-12)46035,285416666746035,285416666746035,34375</v>
      </c>
      <c r="Q358" s="1" t="str">
        <f t="shared" si="26"/>
        <v>DAURDE</v>
      </c>
    </row>
    <row r="359" spans="2:17">
      <c r="B359" s="1" t="s">
        <v>387</v>
      </c>
      <c r="C359" s="1" t="s">
        <v>257</v>
      </c>
      <c r="D359" s="52">
        <v>46035.285416666666</v>
      </c>
      <c r="E359" s="52">
        <v>46035.285416666666</v>
      </c>
      <c r="F359" s="52">
        <v>46035.34375</v>
      </c>
      <c r="G359" s="53">
        <f t="shared" si="23"/>
        <v>5.8333333334303461E-2</v>
      </c>
      <c r="H359" s="1" t="s">
        <v>248</v>
      </c>
      <c r="J359" s="1" t="s">
        <v>249</v>
      </c>
      <c r="K359" s="1" t="s">
        <v>349</v>
      </c>
      <c r="L359" s="1" t="s">
        <v>381</v>
      </c>
      <c r="M359" s="1" t="s">
        <v>251</v>
      </c>
      <c r="N359" s="1" t="s">
        <v>330</v>
      </c>
      <c r="O359" s="1" t="s">
        <v>331</v>
      </c>
      <c r="P359" s="1" t="str">
        <f t="shared" si="27"/>
        <v>BC Camarao1.3215KTL-H3(MBUS-16)46035,285416666746035,285416666746035,34375</v>
      </c>
      <c r="Q359" s="1" t="str">
        <f t="shared" si="26"/>
        <v>DAURDE</v>
      </c>
    </row>
    <row r="360" spans="2:17">
      <c r="B360" s="1" t="s">
        <v>387</v>
      </c>
      <c r="C360" s="1" t="s">
        <v>255</v>
      </c>
      <c r="D360" s="52">
        <v>46035.285416666666</v>
      </c>
      <c r="E360" s="52">
        <v>46035.285416666666</v>
      </c>
      <c r="F360" s="52">
        <v>46035.34375</v>
      </c>
      <c r="G360" s="53">
        <f t="shared" si="23"/>
        <v>5.8333333334303461E-2</v>
      </c>
      <c r="H360" s="1" t="s">
        <v>248</v>
      </c>
      <c r="J360" s="1" t="s">
        <v>249</v>
      </c>
      <c r="K360" s="1" t="s">
        <v>349</v>
      </c>
      <c r="L360" s="1" t="s">
        <v>381</v>
      </c>
      <c r="M360" s="1" t="s">
        <v>251</v>
      </c>
      <c r="N360" s="1" t="s">
        <v>330</v>
      </c>
      <c r="O360" s="1" t="s">
        <v>331</v>
      </c>
      <c r="P360" s="1" t="str">
        <f t="shared" si="27"/>
        <v>BC Camarao1.3215KTL-H3(MBUS-14)46035,285416666746035,285416666746035,34375</v>
      </c>
      <c r="Q360" s="1" t="str">
        <f t="shared" si="26"/>
        <v>DAURDE</v>
      </c>
    </row>
    <row r="361" spans="2:17">
      <c r="B361" s="1" t="s">
        <v>387</v>
      </c>
      <c r="C361" s="1" t="s">
        <v>256</v>
      </c>
      <c r="D361" s="52">
        <v>46035.285416666666</v>
      </c>
      <c r="E361" s="52">
        <v>46035.285416666666</v>
      </c>
      <c r="F361" s="52">
        <v>46035.34375</v>
      </c>
      <c r="G361" s="53">
        <f t="shared" si="23"/>
        <v>5.8333333334303461E-2</v>
      </c>
      <c r="H361" s="1" t="s">
        <v>248</v>
      </c>
      <c r="J361" s="1" t="s">
        <v>249</v>
      </c>
      <c r="K361" s="1" t="s">
        <v>349</v>
      </c>
      <c r="L361" s="1" t="s">
        <v>381</v>
      </c>
      <c r="M361" s="1" t="s">
        <v>251</v>
      </c>
      <c r="N361" s="1" t="s">
        <v>330</v>
      </c>
      <c r="O361" s="1" t="s">
        <v>331</v>
      </c>
      <c r="P361" s="1" t="str">
        <f t="shared" si="27"/>
        <v>BC Camarao1.3215KTL-H3(MBUS-15)46035,285416666746035,285416666746035,34375</v>
      </c>
      <c r="Q361" s="1" t="str">
        <f t="shared" si="26"/>
        <v>DAURDE</v>
      </c>
    </row>
    <row r="362" spans="2:17">
      <c r="B362" s="1" t="s">
        <v>387</v>
      </c>
      <c r="C362" s="1" t="s">
        <v>247</v>
      </c>
      <c r="D362" s="52">
        <v>46035.285416666666</v>
      </c>
      <c r="E362" s="52">
        <v>46035.285416666666</v>
      </c>
      <c r="F362" s="52">
        <v>46035.34375</v>
      </c>
      <c r="G362" s="53">
        <f t="shared" si="23"/>
        <v>5.8333333334303461E-2</v>
      </c>
      <c r="H362" s="1" t="s">
        <v>248</v>
      </c>
      <c r="J362" s="1" t="s">
        <v>249</v>
      </c>
      <c r="K362" s="1" t="s">
        <v>349</v>
      </c>
      <c r="L362" s="1" t="s">
        <v>381</v>
      </c>
      <c r="M362" s="1" t="s">
        <v>251</v>
      </c>
      <c r="N362" s="1" t="s">
        <v>330</v>
      </c>
      <c r="O362" s="1" t="s">
        <v>331</v>
      </c>
      <c r="P362" s="1" t="str">
        <f t="shared" si="27"/>
        <v>BC Camarao1.3215KTL-H3(MBUS-12)46035,285416666746035,285416666746035,34375</v>
      </c>
      <c r="Q362" s="1" t="str">
        <f t="shared" si="26"/>
        <v>DAURDE</v>
      </c>
    </row>
    <row r="363" spans="2:17">
      <c r="B363" s="1" t="s">
        <v>387</v>
      </c>
      <c r="C363" s="1" t="s">
        <v>254</v>
      </c>
      <c r="D363" s="52">
        <v>46035.285416666666</v>
      </c>
      <c r="E363" s="52">
        <v>46035.285416666666</v>
      </c>
      <c r="F363" s="52">
        <v>46035.34375</v>
      </c>
      <c r="G363" s="53">
        <f t="shared" si="23"/>
        <v>5.8333333334303461E-2</v>
      </c>
      <c r="H363" s="1" t="s">
        <v>248</v>
      </c>
      <c r="J363" s="1" t="s">
        <v>249</v>
      </c>
      <c r="K363" s="1" t="s">
        <v>349</v>
      </c>
      <c r="L363" s="1" t="s">
        <v>381</v>
      </c>
      <c r="M363" s="1" t="s">
        <v>251</v>
      </c>
      <c r="N363" s="1" t="s">
        <v>330</v>
      </c>
      <c r="O363" s="1" t="s">
        <v>331</v>
      </c>
      <c r="P363" s="1" t="str">
        <f t="shared" si="27"/>
        <v>BC Camarao1.3215KTL-H3(MBUS-13)46035,285416666746035,285416666746035,34375</v>
      </c>
      <c r="Q363" s="1" t="str">
        <f t="shared" si="26"/>
        <v>DAURDE</v>
      </c>
    </row>
    <row r="364" spans="2:17">
      <c r="B364" s="1" t="s">
        <v>379</v>
      </c>
      <c r="C364" s="1" t="s">
        <v>380</v>
      </c>
      <c r="D364" s="52">
        <v>46035.285416666666</v>
      </c>
      <c r="E364" s="52">
        <v>46035.285416666666</v>
      </c>
      <c r="F364" s="52">
        <v>46035.34375</v>
      </c>
      <c r="G364" s="53">
        <f t="shared" si="23"/>
        <v>5.8333333334303461E-2</v>
      </c>
      <c r="H364" s="1" t="s">
        <v>248</v>
      </c>
      <c r="J364" s="1" t="s">
        <v>249</v>
      </c>
      <c r="K364" s="1" t="s">
        <v>349</v>
      </c>
      <c r="L364" s="1" t="s">
        <v>381</v>
      </c>
      <c r="M364" s="1" t="s">
        <v>251</v>
      </c>
      <c r="N364" s="1" t="s">
        <v>330</v>
      </c>
      <c r="O364" s="1" t="s">
        <v>331</v>
      </c>
      <c r="P364" s="1" t="str">
        <f t="shared" si="27"/>
        <v>BC Camarao1.4INV-6T22A904138146035,285416666746035,285416666746035,34375</v>
      </c>
      <c r="Q364" s="1" t="str">
        <f t="shared" si="26"/>
        <v>DAURDE</v>
      </c>
    </row>
    <row r="365" spans="2:17">
      <c r="B365" s="1" t="s">
        <v>379</v>
      </c>
      <c r="C365" s="1" t="s">
        <v>255</v>
      </c>
      <c r="D365" s="52">
        <v>46035.285416666666</v>
      </c>
      <c r="E365" s="52">
        <v>46035.285416666666</v>
      </c>
      <c r="F365" s="52">
        <v>46035.34375</v>
      </c>
      <c r="G365" s="53">
        <f t="shared" si="23"/>
        <v>5.8333333334303461E-2</v>
      </c>
      <c r="H365" s="1" t="s">
        <v>248</v>
      </c>
      <c r="J365" s="1" t="s">
        <v>249</v>
      </c>
      <c r="K365" s="1" t="s">
        <v>349</v>
      </c>
      <c r="L365" s="1" t="s">
        <v>381</v>
      </c>
      <c r="M365" s="1" t="s">
        <v>251</v>
      </c>
      <c r="N365" s="1" t="s">
        <v>330</v>
      </c>
      <c r="O365" s="1" t="s">
        <v>331</v>
      </c>
      <c r="P365" s="1" t="str">
        <f t="shared" si="27"/>
        <v>BC Camarao1.4215KTL-H3(MBUS-14)46035,285416666746035,285416666746035,34375</v>
      </c>
      <c r="Q365" s="1" t="str">
        <f t="shared" si="26"/>
        <v>DAURDE</v>
      </c>
    </row>
    <row r="366" spans="2:17">
      <c r="B366" s="1" t="s">
        <v>379</v>
      </c>
      <c r="C366" s="1" t="s">
        <v>254</v>
      </c>
      <c r="D366" s="52">
        <v>46035.285416666666</v>
      </c>
      <c r="E366" s="52">
        <v>46035.285416666666</v>
      </c>
      <c r="F366" s="52">
        <v>46035.34375</v>
      </c>
      <c r="G366" s="53">
        <f t="shared" si="23"/>
        <v>5.8333333334303461E-2</v>
      </c>
      <c r="H366" s="1" t="s">
        <v>248</v>
      </c>
      <c r="J366" s="1" t="s">
        <v>249</v>
      </c>
      <c r="K366" s="1" t="s">
        <v>349</v>
      </c>
      <c r="L366" s="1" t="s">
        <v>381</v>
      </c>
      <c r="M366" s="1" t="s">
        <v>251</v>
      </c>
      <c r="N366" s="1" t="s">
        <v>330</v>
      </c>
      <c r="O366" s="1" t="s">
        <v>331</v>
      </c>
      <c r="P366" s="1" t="str">
        <f t="shared" si="27"/>
        <v>BC Camarao1.4215KTL-H3(MBUS-13)46035,285416666746035,285416666746035,34375</v>
      </c>
      <c r="Q366" s="1" t="str">
        <f t="shared" si="26"/>
        <v>DAURDE</v>
      </c>
    </row>
    <row r="367" spans="2:17">
      <c r="B367" s="1" t="s">
        <v>379</v>
      </c>
      <c r="C367" s="1" t="s">
        <v>257</v>
      </c>
      <c r="D367" s="52">
        <v>46035.285416666666</v>
      </c>
      <c r="E367" s="52">
        <v>46035.285416666666</v>
      </c>
      <c r="F367" s="52">
        <v>46035.34375</v>
      </c>
      <c r="G367" s="53">
        <f t="shared" si="23"/>
        <v>5.8333333334303461E-2</v>
      </c>
      <c r="H367" s="1" t="s">
        <v>248</v>
      </c>
      <c r="J367" s="1" t="s">
        <v>249</v>
      </c>
      <c r="K367" s="1" t="s">
        <v>349</v>
      </c>
      <c r="L367" s="1" t="s">
        <v>381</v>
      </c>
      <c r="M367" s="1" t="s">
        <v>251</v>
      </c>
      <c r="N367" s="1" t="s">
        <v>330</v>
      </c>
      <c r="O367" s="1" t="s">
        <v>331</v>
      </c>
      <c r="P367" s="1" t="str">
        <f t="shared" si="27"/>
        <v>BC Camarao1.4215KTL-H3(MBUS-16)46035,285416666746035,285416666746035,34375</v>
      </c>
      <c r="Q367" s="1" t="str">
        <f t="shared" si="26"/>
        <v>DAURDE</v>
      </c>
    </row>
    <row r="368" spans="2:17">
      <c r="B368" s="1" t="s">
        <v>379</v>
      </c>
      <c r="C368" s="1" t="s">
        <v>256</v>
      </c>
      <c r="D368" s="52">
        <v>46035.285416666666</v>
      </c>
      <c r="E368" s="52">
        <v>46035.285416666666</v>
      </c>
      <c r="F368" s="52">
        <v>46035.34375</v>
      </c>
      <c r="G368" s="53">
        <f t="shared" si="23"/>
        <v>5.8333333334303461E-2</v>
      </c>
      <c r="H368" s="1" t="s">
        <v>248</v>
      </c>
      <c r="J368" s="1" t="s">
        <v>249</v>
      </c>
      <c r="K368" s="1" t="s">
        <v>349</v>
      </c>
      <c r="L368" s="1" t="s">
        <v>381</v>
      </c>
      <c r="M368" s="1" t="s">
        <v>251</v>
      </c>
      <c r="N368" s="1" t="s">
        <v>330</v>
      </c>
      <c r="O368" s="1" t="s">
        <v>331</v>
      </c>
      <c r="P368" s="1" t="str">
        <f t="shared" si="27"/>
        <v>BC Camarao1.4215KTL-H3(MBUS-15)46035,285416666746035,285416666746035,34375</v>
      </c>
      <c r="Q368" s="1" t="str">
        <f t="shared" si="26"/>
        <v>DAURDE</v>
      </c>
    </row>
    <row r="369" spans="2:17">
      <c r="B369" s="1" t="s">
        <v>388</v>
      </c>
      <c r="C369" s="1" t="s">
        <v>256</v>
      </c>
      <c r="D369" s="52">
        <v>46035.285416666666</v>
      </c>
      <c r="E369" s="52">
        <v>46035.285416666666</v>
      </c>
      <c r="F369" s="52">
        <v>46035.34375</v>
      </c>
      <c r="G369" s="53">
        <f t="shared" si="23"/>
        <v>5.8333333334303461E-2</v>
      </c>
      <c r="H369" s="1" t="s">
        <v>248</v>
      </c>
      <c r="J369" s="1" t="s">
        <v>249</v>
      </c>
      <c r="K369" s="1" t="s">
        <v>349</v>
      </c>
      <c r="L369" s="1" t="s">
        <v>381</v>
      </c>
      <c r="M369" s="1" t="s">
        <v>251</v>
      </c>
      <c r="N369" s="1" t="s">
        <v>330</v>
      </c>
      <c r="O369" s="1" t="s">
        <v>331</v>
      </c>
      <c r="P369" s="1" t="str">
        <f t="shared" si="27"/>
        <v>BC Camarao1.5215KTL-H3(MBUS-15)46035,285416666746035,285416666746035,34375</v>
      </c>
      <c r="Q369" s="1" t="str">
        <f t="shared" si="26"/>
        <v>DAURDE</v>
      </c>
    </row>
    <row r="370" spans="2:17">
      <c r="B370" s="1" t="s">
        <v>388</v>
      </c>
      <c r="C370" s="1" t="s">
        <v>254</v>
      </c>
      <c r="D370" s="52">
        <v>46035.285416666666</v>
      </c>
      <c r="E370" s="52">
        <v>46035.285416666666</v>
      </c>
      <c r="F370" s="52">
        <v>46035.34375</v>
      </c>
      <c r="G370" s="53">
        <f t="shared" si="23"/>
        <v>5.8333333334303461E-2</v>
      </c>
      <c r="H370" s="1" t="s">
        <v>248</v>
      </c>
      <c r="J370" s="1" t="s">
        <v>249</v>
      </c>
      <c r="K370" s="1" t="s">
        <v>349</v>
      </c>
      <c r="L370" s="1" t="s">
        <v>381</v>
      </c>
      <c r="M370" s="1" t="s">
        <v>251</v>
      </c>
      <c r="N370" s="1" t="s">
        <v>330</v>
      </c>
      <c r="O370" s="1" t="s">
        <v>331</v>
      </c>
      <c r="P370" s="1" t="str">
        <f t="shared" si="27"/>
        <v>BC Camarao1.5215KTL-H3(MBUS-13)46035,285416666746035,285416666746035,34375</v>
      </c>
      <c r="Q370" s="1" t="str">
        <f t="shared" si="26"/>
        <v>DAURDE</v>
      </c>
    </row>
    <row r="371" spans="2:17">
      <c r="B371" s="1" t="s">
        <v>388</v>
      </c>
      <c r="C371" s="1" t="s">
        <v>247</v>
      </c>
      <c r="D371" s="52">
        <v>46035.285416666666</v>
      </c>
      <c r="E371" s="52">
        <v>46035.285416666666</v>
      </c>
      <c r="F371" s="52">
        <v>46035.34375</v>
      </c>
      <c r="G371" s="53">
        <f t="shared" si="23"/>
        <v>5.8333333334303461E-2</v>
      </c>
      <c r="H371" s="1" t="s">
        <v>248</v>
      </c>
      <c r="J371" s="1" t="s">
        <v>249</v>
      </c>
      <c r="K371" s="1" t="s">
        <v>349</v>
      </c>
      <c r="L371" s="1" t="s">
        <v>381</v>
      </c>
      <c r="M371" s="1" t="s">
        <v>251</v>
      </c>
      <c r="N371" s="1" t="s">
        <v>330</v>
      </c>
      <c r="O371" s="1" t="s">
        <v>331</v>
      </c>
      <c r="P371" s="1" t="str">
        <f t="shared" si="27"/>
        <v>BC Camarao1.5215KTL-H3(MBUS-12)46035,285416666746035,285416666746035,34375</v>
      </c>
      <c r="Q371" s="1" t="str">
        <f t="shared" si="26"/>
        <v>DAURDE</v>
      </c>
    </row>
    <row r="372" spans="2:17">
      <c r="B372" s="1" t="s">
        <v>388</v>
      </c>
      <c r="C372" s="1" t="s">
        <v>389</v>
      </c>
      <c r="D372" s="52">
        <v>46035.285416666666</v>
      </c>
      <c r="E372" s="52">
        <v>46035.285416666666</v>
      </c>
      <c r="F372" s="52">
        <v>46035.34375</v>
      </c>
      <c r="G372" s="53">
        <f t="shared" si="23"/>
        <v>5.8333333334303461E-2</v>
      </c>
      <c r="H372" s="1" t="s">
        <v>248</v>
      </c>
      <c r="J372" s="1" t="s">
        <v>249</v>
      </c>
      <c r="K372" s="1" t="s">
        <v>349</v>
      </c>
      <c r="L372" s="1" t="s">
        <v>381</v>
      </c>
      <c r="M372" s="1" t="s">
        <v>251</v>
      </c>
      <c r="N372" s="1" t="s">
        <v>330</v>
      </c>
      <c r="O372" s="1" t="s">
        <v>331</v>
      </c>
      <c r="P372" s="1" t="str">
        <f t="shared" si="27"/>
        <v>BC Camarao1.5215KTL-H3(MBUS-1)46035,285416666746035,285416666746035,34375</v>
      </c>
      <c r="Q372" s="1" t="str">
        <f t="shared" si="26"/>
        <v>DAURDE</v>
      </c>
    </row>
    <row r="373" spans="2:17">
      <c r="B373" s="1" t="s">
        <v>388</v>
      </c>
      <c r="C373" s="1" t="s">
        <v>255</v>
      </c>
      <c r="D373" s="52">
        <v>46035.285416666666</v>
      </c>
      <c r="E373" s="52">
        <v>46035.285416666666</v>
      </c>
      <c r="F373" s="52">
        <v>46035.34375</v>
      </c>
      <c r="G373" s="53">
        <f t="shared" si="23"/>
        <v>5.8333333334303461E-2</v>
      </c>
      <c r="H373" s="1" t="s">
        <v>248</v>
      </c>
      <c r="J373" s="1" t="s">
        <v>249</v>
      </c>
      <c r="K373" s="1" t="s">
        <v>349</v>
      </c>
      <c r="L373" s="1" t="s">
        <v>381</v>
      </c>
      <c r="M373" s="1" t="s">
        <v>251</v>
      </c>
      <c r="N373" s="1" t="s">
        <v>330</v>
      </c>
      <c r="O373" s="1" t="s">
        <v>331</v>
      </c>
      <c r="P373" s="1" t="str">
        <f t="shared" si="27"/>
        <v>BC Camarao1.5215KTL-H3(MBUS-14)46035,285416666746035,285416666746035,34375</v>
      </c>
      <c r="Q373" s="1" t="str">
        <f t="shared" si="26"/>
        <v>DAURDE</v>
      </c>
    </row>
    <row r="374" spans="2:17">
      <c r="B374" s="1" t="s">
        <v>382</v>
      </c>
      <c r="C374" s="1" t="s">
        <v>328</v>
      </c>
      <c r="D374" s="52">
        <v>46036.020833333336</v>
      </c>
      <c r="E374" s="52">
        <v>46036.020833333336</v>
      </c>
      <c r="F374" s="52">
        <v>46036.07916666667</v>
      </c>
      <c r="G374" s="53">
        <f t="shared" si="23"/>
        <v>5.8333333334303461E-2</v>
      </c>
      <c r="H374" s="1" t="s">
        <v>248</v>
      </c>
      <c r="J374" s="1" t="s">
        <v>249</v>
      </c>
      <c r="K374" s="1" t="s">
        <v>349</v>
      </c>
      <c r="L374" s="1" t="s">
        <v>381</v>
      </c>
      <c r="M374" s="1" t="s">
        <v>251</v>
      </c>
      <c r="N374" s="1" t="s">
        <v>330</v>
      </c>
      <c r="O374" s="1" t="s">
        <v>331</v>
      </c>
      <c r="P374" s="1" t="str">
        <f t="shared" si="27"/>
        <v>BC Camarao1.1Inverter(MBUS-1)46036,020833333346036,020833333346036,0791666667</v>
      </c>
      <c r="Q374" s="1" t="str">
        <f t="shared" si="26"/>
        <v>DAURDE</v>
      </c>
    </row>
    <row r="375" spans="2:17">
      <c r="B375" s="1" t="s">
        <v>382</v>
      </c>
      <c r="C375" s="1" t="s">
        <v>247</v>
      </c>
      <c r="D375" s="52">
        <v>46036.020833333336</v>
      </c>
      <c r="E375" s="52">
        <v>46036.020833333336</v>
      </c>
      <c r="F375" s="52">
        <v>46036.07916666667</v>
      </c>
      <c r="G375" s="53">
        <f t="shared" si="23"/>
        <v>5.8333333334303461E-2</v>
      </c>
      <c r="H375" s="1" t="s">
        <v>248</v>
      </c>
      <c r="J375" s="1" t="s">
        <v>249</v>
      </c>
      <c r="K375" s="1" t="s">
        <v>349</v>
      </c>
      <c r="L375" s="1" t="s">
        <v>381</v>
      </c>
      <c r="M375" s="1" t="s">
        <v>251</v>
      </c>
      <c r="N375" s="1" t="s">
        <v>330</v>
      </c>
      <c r="O375" s="1" t="s">
        <v>331</v>
      </c>
      <c r="P375" s="1" t="str">
        <f t="shared" si="27"/>
        <v>BC Camarao1.1215KTL-H3(MBUS-12)46036,020833333346036,020833333346036,0791666667</v>
      </c>
      <c r="Q375" s="1" t="str">
        <f t="shared" si="26"/>
        <v>DAURDE</v>
      </c>
    </row>
    <row r="376" spans="2:17">
      <c r="B376" s="1" t="s">
        <v>382</v>
      </c>
      <c r="C376" s="1" t="s">
        <v>254</v>
      </c>
      <c r="D376" s="52">
        <v>46036.020833333336</v>
      </c>
      <c r="E376" s="52">
        <v>46036.020833333336</v>
      </c>
      <c r="F376" s="52">
        <v>46036.07916666667</v>
      </c>
      <c r="G376" s="53">
        <f t="shared" si="23"/>
        <v>5.8333333334303461E-2</v>
      </c>
      <c r="H376" s="1" t="s">
        <v>248</v>
      </c>
      <c r="J376" s="1" t="s">
        <v>249</v>
      </c>
      <c r="K376" s="1" t="s">
        <v>349</v>
      </c>
      <c r="L376" s="1" t="s">
        <v>381</v>
      </c>
      <c r="M376" s="1" t="s">
        <v>251</v>
      </c>
      <c r="N376" s="1" t="s">
        <v>330</v>
      </c>
      <c r="O376" s="1" t="s">
        <v>331</v>
      </c>
      <c r="P376" s="1" t="str">
        <f t="shared" si="27"/>
        <v>BC Camarao1.1215KTL-H3(MBUS-13)46036,020833333346036,020833333346036,0791666667</v>
      </c>
      <c r="Q376" s="1" t="str">
        <f t="shared" si="26"/>
        <v>DAURDE</v>
      </c>
    </row>
    <row r="377" spans="2:17">
      <c r="B377" s="1" t="s">
        <v>382</v>
      </c>
      <c r="C377" s="1" t="s">
        <v>257</v>
      </c>
      <c r="D377" s="52">
        <v>46036.020833333336</v>
      </c>
      <c r="E377" s="52">
        <v>46036.020833333336</v>
      </c>
      <c r="F377" s="52">
        <v>46036.07916666667</v>
      </c>
      <c r="G377" s="53">
        <f t="shared" si="23"/>
        <v>5.8333333334303461E-2</v>
      </c>
      <c r="H377" s="1" t="s">
        <v>248</v>
      </c>
      <c r="J377" s="1" t="s">
        <v>249</v>
      </c>
      <c r="K377" s="1" t="s">
        <v>349</v>
      </c>
      <c r="L377" s="1" t="s">
        <v>381</v>
      </c>
      <c r="M377" s="1" t="s">
        <v>251</v>
      </c>
      <c r="N377" s="1" t="s">
        <v>330</v>
      </c>
      <c r="O377" s="1" t="s">
        <v>331</v>
      </c>
      <c r="P377" s="1" t="str">
        <f t="shared" si="27"/>
        <v>BC Camarao1.1215KTL-H3(MBUS-16)46036,020833333346036,020833333346036,0791666667</v>
      </c>
      <c r="Q377" s="1" t="str">
        <f t="shared" si="26"/>
        <v>DAURDE</v>
      </c>
    </row>
    <row r="378" spans="2:17">
      <c r="B378" s="1" t="s">
        <v>382</v>
      </c>
      <c r="C378" s="1" t="s">
        <v>256</v>
      </c>
      <c r="D378" s="52">
        <v>46036.020833333336</v>
      </c>
      <c r="E378" s="52">
        <v>46036.020833333336</v>
      </c>
      <c r="F378" s="52">
        <v>46036.07916666667</v>
      </c>
      <c r="G378" s="53">
        <f t="shared" si="23"/>
        <v>5.8333333334303461E-2</v>
      </c>
      <c r="H378" s="1" t="s">
        <v>248</v>
      </c>
      <c r="J378" s="1" t="s">
        <v>249</v>
      </c>
      <c r="K378" s="1" t="s">
        <v>349</v>
      </c>
      <c r="L378" s="1" t="s">
        <v>381</v>
      </c>
      <c r="M378" s="1" t="s">
        <v>251</v>
      </c>
      <c r="N378" s="1" t="s">
        <v>330</v>
      </c>
      <c r="O378" s="1" t="s">
        <v>331</v>
      </c>
      <c r="P378" s="1" t="str">
        <f t="shared" si="27"/>
        <v>BC Camarao1.1215KTL-H3(MBUS-15)46036,020833333346036,020833333346036,0791666667</v>
      </c>
      <c r="Q378" s="1" t="str">
        <f t="shared" si="26"/>
        <v>DAURDE</v>
      </c>
    </row>
    <row r="379" spans="2:17">
      <c r="B379" s="1" t="s">
        <v>383</v>
      </c>
      <c r="C379" s="1" t="s">
        <v>328</v>
      </c>
      <c r="D379" s="52">
        <v>46036.020833333336</v>
      </c>
      <c r="E379" s="52">
        <v>46036.020833333336</v>
      </c>
      <c r="F379" s="52">
        <v>46036.07916666667</v>
      </c>
      <c r="G379" s="53">
        <f t="shared" si="23"/>
        <v>5.8333333334303461E-2</v>
      </c>
      <c r="H379" s="1" t="s">
        <v>248</v>
      </c>
      <c r="J379" s="1" t="s">
        <v>249</v>
      </c>
      <c r="K379" s="1" t="s">
        <v>349</v>
      </c>
      <c r="L379" s="1" t="s">
        <v>381</v>
      </c>
      <c r="M379" s="1" t="s">
        <v>251</v>
      </c>
      <c r="N379" s="1" t="s">
        <v>330</v>
      </c>
      <c r="O379" s="1" t="s">
        <v>331</v>
      </c>
      <c r="P379" s="1" t="str">
        <f t="shared" si="27"/>
        <v>BC Camarao1.2Inverter(MBUS-1)46036,020833333346036,020833333346036,0791666667</v>
      </c>
      <c r="Q379" s="1" t="str">
        <f t="shared" si="26"/>
        <v>DAURDE</v>
      </c>
    </row>
    <row r="380" spans="2:17">
      <c r="B380" s="1" t="s">
        <v>383</v>
      </c>
      <c r="C380" s="1" t="s">
        <v>384</v>
      </c>
      <c r="D380" s="52">
        <v>46036.020833333336</v>
      </c>
      <c r="E380" s="52">
        <v>46036.020833333336</v>
      </c>
      <c r="F380" s="52">
        <v>46036.07916666667</v>
      </c>
      <c r="G380" s="53">
        <f t="shared" si="23"/>
        <v>5.8333333334303461E-2</v>
      </c>
      <c r="H380" s="1" t="s">
        <v>248</v>
      </c>
      <c r="J380" s="1" t="s">
        <v>249</v>
      </c>
      <c r="K380" s="1" t="s">
        <v>349</v>
      </c>
      <c r="L380" s="1" t="s">
        <v>381</v>
      </c>
      <c r="M380" s="1" t="s">
        <v>251</v>
      </c>
      <c r="N380" s="1" t="s">
        <v>330</v>
      </c>
      <c r="O380" s="1" t="s">
        <v>331</v>
      </c>
      <c r="P380" s="1" t="str">
        <f t="shared" si="27"/>
        <v>BC Camarao1.2Inv. 346036,020833333346036,020833333346036,0791666667</v>
      </c>
      <c r="Q380" s="1" t="str">
        <f t="shared" si="26"/>
        <v>DAURDE</v>
      </c>
    </row>
    <row r="381" spans="2:17">
      <c r="B381" s="1" t="s">
        <v>383</v>
      </c>
      <c r="C381" s="1" t="s">
        <v>385</v>
      </c>
      <c r="D381" s="52">
        <v>46036.020833333336</v>
      </c>
      <c r="E381" s="52">
        <v>46036.020833333336</v>
      </c>
      <c r="F381" s="52">
        <v>46036.07916666667</v>
      </c>
      <c r="G381" s="53">
        <f t="shared" si="23"/>
        <v>5.8333333334303461E-2</v>
      </c>
      <c r="H381" s="1" t="s">
        <v>248</v>
      </c>
      <c r="J381" s="1" t="s">
        <v>249</v>
      </c>
      <c r="K381" s="1" t="s">
        <v>349</v>
      </c>
      <c r="L381" s="1" t="s">
        <v>381</v>
      </c>
      <c r="M381" s="1" t="s">
        <v>251</v>
      </c>
      <c r="N381" s="1" t="s">
        <v>330</v>
      </c>
      <c r="O381" s="1" t="s">
        <v>331</v>
      </c>
      <c r="P381" s="1" t="str">
        <f t="shared" si="27"/>
        <v>BC Camarao1.2Inv. 446036,020833333346036,020833333346036,0791666667</v>
      </c>
      <c r="Q381" s="1" t="str">
        <f t="shared" si="26"/>
        <v>DAURDE</v>
      </c>
    </row>
    <row r="382" spans="2:17">
      <c r="B382" s="1" t="s">
        <v>383</v>
      </c>
      <c r="C382" s="1" t="s">
        <v>386</v>
      </c>
      <c r="D382" s="52">
        <v>46036.020833333336</v>
      </c>
      <c r="E382" s="52">
        <v>46036.020833333336</v>
      </c>
      <c r="F382" s="52">
        <v>46036.07916666667</v>
      </c>
      <c r="G382" s="53">
        <f t="shared" ref="G382:G445" si="28">F382-E382</f>
        <v>5.8333333334303461E-2</v>
      </c>
      <c r="H382" s="1" t="s">
        <v>248</v>
      </c>
      <c r="J382" s="1" t="s">
        <v>249</v>
      </c>
      <c r="K382" s="1" t="s">
        <v>349</v>
      </c>
      <c r="L382" s="1" t="s">
        <v>381</v>
      </c>
      <c r="M382" s="1" t="s">
        <v>251</v>
      </c>
      <c r="N382" s="1" t="s">
        <v>330</v>
      </c>
      <c r="O382" s="1" t="s">
        <v>331</v>
      </c>
      <c r="P382" s="1" t="str">
        <f t="shared" si="27"/>
        <v>BC Camarao1.2Inverter(MBUS-16)46036,020833333346036,020833333346036,0791666667</v>
      </c>
      <c r="Q382" s="1" t="str">
        <f t="shared" si="26"/>
        <v>DAURDE</v>
      </c>
    </row>
    <row r="383" spans="2:17">
      <c r="B383" s="1" t="s">
        <v>383</v>
      </c>
      <c r="C383" s="1" t="s">
        <v>354</v>
      </c>
      <c r="D383" s="52">
        <v>46036.020833333336</v>
      </c>
      <c r="E383" s="52">
        <v>46036.020833333336</v>
      </c>
      <c r="F383" s="52">
        <v>46036.07916666667</v>
      </c>
      <c r="G383" s="53">
        <f t="shared" si="28"/>
        <v>5.8333333334303461E-2</v>
      </c>
      <c r="H383" s="1" t="s">
        <v>248</v>
      </c>
      <c r="J383" s="1" t="s">
        <v>249</v>
      </c>
      <c r="K383" s="1" t="s">
        <v>349</v>
      </c>
      <c r="L383" s="1" t="s">
        <v>381</v>
      </c>
      <c r="M383" s="1" t="s">
        <v>251</v>
      </c>
      <c r="N383" s="1" t="s">
        <v>330</v>
      </c>
      <c r="O383" s="1" t="s">
        <v>331</v>
      </c>
      <c r="P383" s="1" t="str">
        <f t="shared" si="27"/>
        <v>BC Camarao1.2Inverter(MBUS-12)46036,020833333346036,020833333346036,0791666667</v>
      </c>
      <c r="Q383" s="1" t="str">
        <f t="shared" si="26"/>
        <v>DAURDE</v>
      </c>
    </row>
    <row r="384" spans="2:17">
      <c r="B384" s="1" t="s">
        <v>387</v>
      </c>
      <c r="C384" s="1" t="s">
        <v>257</v>
      </c>
      <c r="D384" s="52">
        <v>46036.020833333336</v>
      </c>
      <c r="E384" s="52">
        <v>46036.020833333336</v>
      </c>
      <c r="F384" s="52">
        <v>46036.07916666667</v>
      </c>
      <c r="G384" s="53">
        <f t="shared" si="28"/>
        <v>5.8333333334303461E-2</v>
      </c>
      <c r="H384" s="1" t="s">
        <v>248</v>
      </c>
      <c r="J384" s="1" t="s">
        <v>249</v>
      </c>
      <c r="K384" s="1" t="s">
        <v>349</v>
      </c>
      <c r="L384" s="1" t="s">
        <v>381</v>
      </c>
      <c r="M384" s="1" t="s">
        <v>251</v>
      </c>
      <c r="N384" s="1" t="s">
        <v>330</v>
      </c>
      <c r="O384" s="1" t="s">
        <v>331</v>
      </c>
      <c r="P384" s="1" t="str">
        <f t="shared" si="27"/>
        <v>BC Camarao1.3215KTL-H3(MBUS-16)46036,020833333346036,020833333346036,0791666667</v>
      </c>
      <c r="Q384" s="1" t="str">
        <f t="shared" si="26"/>
        <v>DAURDE</v>
      </c>
    </row>
    <row r="385" spans="2:17">
      <c r="B385" s="1" t="s">
        <v>387</v>
      </c>
      <c r="C385" s="1" t="s">
        <v>255</v>
      </c>
      <c r="D385" s="52">
        <v>46036.020833333336</v>
      </c>
      <c r="E385" s="52">
        <v>46036.020833333336</v>
      </c>
      <c r="F385" s="52">
        <v>46036.07916666667</v>
      </c>
      <c r="G385" s="53">
        <f t="shared" si="28"/>
        <v>5.8333333334303461E-2</v>
      </c>
      <c r="H385" s="1" t="s">
        <v>248</v>
      </c>
      <c r="J385" s="1" t="s">
        <v>249</v>
      </c>
      <c r="K385" s="1" t="s">
        <v>349</v>
      </c>
      <c r="L385" s="1" t="s">
        <v>381</v>
      </c>
      <c r="M385" s="1" t="s">
        <v>251</v>
      </c>
      <c r="N385" s="1" t="s">
        <v>330</v>
      </c>
      <c r="O385" s="1" t="s">
        <v>331</v>
      </c>
      <c r="P385" s="1" t="str">
        <f t="shared" si="27"/>
        <v>BC Camarao1.3215KTL-H3(MBUS-14)46036,020833333346036,020833333346036,0791666667</v>
      </c>
      <c r="Q385" s="1" t="str">
        <f t="shared" si="26"/>
        <v>DAURDE</v>
      </c>
    </row>
    <row r="386" spans="2:17">
      <c r="B386" s="1" t="s">
        <v>387</v>
      </c>
      <c r="C386" s="1" t="s">
        <v>256</v>
      </c>
      <c r="D386" s="52">
        <v>46036.020833333336</v>
      </c>
      <c r="E386" s="52">
        <v>46036.020833333336</v>
      </c>
      <c r="F386" s="52">
        <v>46036.07916666667</v>
      </c>
      <c r="G386" s="53">
        <f t="shared" si="28"/>
        <v>5.8333333334303461E-2</v>
      </c>
      <c r="H386" s="1" t="s">
        <v>248</v>
      </c>
      <c r="J386" s="1" t="s">
        <v>249</v>
      </c>
      <c r="K386" s="1" t="s">
        <v>349</v>
      </c>
      <c r="L386" s="1" t="s">
        <v>381</v>
      </c>
      <c r="M386" s="1" t="s">
        <v>251</v>
      </c>
      <c r="N386" s="1" t="s">
        <v>330</v>
      </c>
      <c r="O386" s="1" t="s">
        <v>331</v>
      </c>
      <c r="P386" s="1" t="str">
        <f t="shared" si="27"/>
        <v>BC Camarao1.3215KTL-H3(MBUS-15)46036,020833333346036,020833333346036,0791666667</v>
      </c>
      <c r="Q386" s="1" t="str">
        <f t="shared" si="26"/>
        <v>DAURDE</v>
      </c>
    </row>
    <row r="387" spans="2:17">
      <c r="B387" s="1" t="s">
        <v>387</v>
      </c>
      <c r="C387" s="1" t="s">
        <v>247</v>
      </c>
      <c r="D387" s="52">
        <v>46036.020833333336</v>
      </c>
      <c r="E387" s="52">
        <v>46036.020833333336</v>
      </c>
      <c r="F387" s="52">
        <v>46036.07916666667</v>
      </c>
      <c r="G387" s="53">
        <f t="shared" si="28"/>
        <v>5.8333333334303461E-2</v>
      </c>
      <c r="H387" s="1" t="s">
        <v>248</v>
      </c>
      <c r="J387" s="1" t="s">
        <v>249</v>
      </c>
      <c r="K387" s="1" t="s">
        <v>349</v>
      </c>
      <c r="L387" s="1" t="s">
        <v>381</v>
      </c>
      <c r="M387" s="1" t="s">
        <v>251</v>
      </c>
      <c r="N387" s="1" t="s">
        <v>330</v>
      </c>
      <c r="O387" s="1" t="s">
        <v>331</v>
      </c>
      <c r="P387" s="1" t="str">
        <f t="shared" si="27"/>
        <v>BC Camarao1.3215KTL-H3(MBUS-12)46036,020833333346036,020833333346036,0791666667</v>
      </c>
      <c r="Q387" s="1" t="str">
        <f t="shared" si="26"/>
        <v>DAURDE</v>
      </c>
    </row>
    <row r="388" spans="2:17">
      <c r="B388" s="1" t="s">
        <v>387</v>
      </c>
      <c r="C388" s="1" t="s">
        <v>254</v>
      </c>
      <c r="D388" s="52">
        <v>46036.020833333336</v>
      </c>
      <c r="E388" s="52">
        <v>46036.020833333336</v>
      </c>
      <c r="F388" s="52">
        <v>46036.07916666667</v>
      </c>
      <c r="G388" s="53">
        <f t="shared" si="28"/>
        <v>5.8333333334303461E-2</v>
      </c>
      <c r="H388" s="1" t="s">
        <v>248</v>
      </c>
      <c r="J388" s="1" t="s">
        <v>249</v>
      </c>
      <c r="K388" s="1" t="s">
        <v>349</v>
      </c>
      <c r="L388" s="1" t="s">
        <v>381</v>
      </c>
      <c r="M388" s="1" t="s">
        <v>251</v>
      </c>
      <c r="N388" s="1" t="s">
        <v>330</v>
      </c>
      <c r="O388" s="1" t="s">
        <v>331</v>
      </c>
      <c r="P388" s="1" t="str">
        <f t="shared" si="27"/>
        <v>BC Camarao1.3215KTL-H3(MBUS-13)46036,020833333346036,020833333346036,0791666667</v>
      </c>
      <c r="Q388" s="1" t="str">
        <f t="shared" si="26"/>
        <v>DAURDE</v>
      </c>
    </row>
    <row r="389" spans="2:17">
      <c r="B389" s="1" t="s">
        <v>379</v>
      </c>
      <c r="C389" s="1" t="s">
        <v>380</v>
      </c>
      <c r="D389" s="52">
        <v>46036.020833333336</v>
      </c>
      <c r="E389" s="52">
        <v>46036.020833333336</v>
      </c>
      <c r="F389" s="52">
        <v>46036.07916666667</v>
      </c>
      <c r="G389" s="53">
        <f t="shared" si="28"/>
        <v>5.8333333334303461E-2</v>
      </c>
      <c r="H389" s="1" t="s">
        <v>248</v>
      </c>
      <c r="J389" s="1" t="s">
        <v>249</v>
      </c>
      <c r="K389" s="1" t="s">
        <v>349</v>
      </c>
      <c r="L389" s="1" t="s">
        <v>381</v>
      </c>
      <c r="M389" s="1" t="s">
        <v>251</v>
      </c>
      <c r="N389" s="1" t="s">
        <v>330</v>
      </c>
      <c r="O389" s="1" t="s">
        <v>331</v>
      </c>
      <c r="P389" s="1" t="str">
        <f t="shared" si="27"/>
        <v>BC Camarao1.4INV-6T22A904138146036,020833333346036,020833333346036,0791666667</v>
      </c>
      <c r="Q389" s="1" t="str">
        <f t="shared" si="26"/>
        <v>DAURDE</v>
      </c>
    </row>
    <row r="390" spans="2:17">
      <c r="B390" s="1" t="s">
        <v>379</v>
      </c>
      <c r="C390" s="1" t="s">
        <v>255</v>
      </c>
      <c r="D390" s="52">
        <v>46036.020833333336</v>
      </c>
      <c r="E390" s="52">
        <v>46036.020833333336</v>
      </c>
      <c r="F390" s="52">
        <v>46036.07916666667</v>
      </c>
      <c r="G390" s="53">
        <f t="shared" si="28"/>
        <v>5.8333333334303461E-2</v>
      </c>
      <c r="H390" s="1" t="s">
        <v>248</v>
      </c>
      <c r="J390" s="1" t="s">
        <v>249</v>
      </c>
      <c r="K390" s="1" t="s">
        <v>349</v>
      </c>
      <c r="L390" s="1" t="s">
        <v>381</v>
      </c>
      <c r="M390" s="1" t="s">
        <v>251</v>
      </c>
      <c r="N390" s="1" t="s">
        <v>330</v>
      </c>
      <c r="O390" s="1" t="s">
        <v>331</v>
      </c>
      <c r="P390" s="1" t="str">
        <f t="shared" si="27"/>
        <v>BC Camarao1.4215KTL-H3(MBUS-14)46036,020833333346036,020833333346036,0791666667</v>
      </c>
      <c r="Q390" s="1" t="str">
        <f t="shared" si="26"/>
        <v>DAURDE</v>
      </c>
    </row>
    <row r="391" spans="2:17">
      <c r="B391" s="1" t="s">
        <v>379</v>
      </c>
      <c r="C391" s="1" t="s">
        <v>254</v>
      </c>
      <c r="D391" s="52">
        <v>46036.020833333336</v>
      </c>
      <c r="E391" s="52">
        <v>46036.020833333336</v>
      </c>
      <c r="F391" s="52">
        <v>46036.07916666667</v>
      </c>
      <c r="G391" s="53">
        <f t="shared" si="28"/>
        <v>5.8333333334303461E-2</v>
      </c>
      <c r="H391" s="1" t="s">
        <v>248</v>
      </c>
      <c r="J391" s="1" t="s">
        <v>249</v>
      </c>
      <c r="K391" s="1" t="s">
        <v>349</v>
      </c>
      <c r="L391" s="1" t="s">
        <v>381</v>
      </c>
      <c r="M391" s="1" t="s">
        <v>251</v>
      </c>
      <c r="N391" s="1" t="s">
        <v>330</v>
      </c>
      <c r="O391" s="1" t="s">
        <v>331</v>
      </c>
      <c r="P391" s="1" t="str">
        <f t="shared" si="27"/>
        <v>BC Camarao1.4215KTL-H3(MBUS-13)46036,020833333346036,020833333346036,0791666667</v>
      </c>
      <c r="Q391" s="1" t="str">
        <f t="shared" si="26"/>
        <v>DAURDE</v>
      </c>
    </row>
    <row r="392" spans="2:17">
      <c r="B392" s="1" t="s">
        <v>379</v>
      </c>
      <c r="C392" s="1" t="s">
        <v>257</v>
      </c>
      <c r="D392" s="52">
        <v>46036.020833333336</v>
      </c>
      <c r="E392" s="52">
        <v>46036.020833333336</v>
      </c>
      <c r="F392" s="52">
        <v>46036.07916666667</v>
      </c>
      <c r="G392" s="53">
        <f t="shared" si="28"/>
        <v>5.8333333334303461E-2</v>
      </c>
      <c r="H392" s="1" t="s">
        <v>248</v>
      </c>
      <c r="J392" s="1" t="s">
        <v>249</v>
      </c>
      <c r="K392" s="1" t="s">
        <v>349</v>
      </c>
      <c r="L392" s="1" t="s">
        <v>381</v>
      </c>
      <c r="M392" s="1" t="s">
        <v>251</v>
      </c>
      <c r="N392" s="1" t="s">
        <v>330</v>
      </c>
      <c r="O392" s="1" t="s">
        <v>331</v>
      </c>
      <c r="P392" s="1" t="str">
        <f t="shared" ref="P392:P455" si="29">_xlfn.CONCAT(B392,C392,D392,E392,F392)</f>
        <v>BC Camarao1.4215KTL-H3(MBUS-16)46036,020833333346036,020833333346036,0791666667</v>
      </c>
      <c r="Q392" s="1" t="str">
        <f t="shared" ref="Q392:Q455" si="30">_xlfn.CONCAT(H392,I392,J392)</f>
        <v>DAURDE</v>
      </c>
    </row>
    <row r="393" spans="2:17">
      <c r="B393" s="1" t="s">
        <v>379</v>
      </c>
      <c r="C393" s="1" t="s">
        <v>256</v>
      </c>
      <c r="D393" s="52">
        <v>46036.020833333336</v>
      </c>
      <c r="E393" s="52">
        <v>46036.020833333336</v>
      </c>
      <c r="F393" s="52">
        <v>46036.07916666667</v>
      </c>
      <c r="G393" s="53">
        <f t="shared" si="28"/>
        <v>5.8333333334303461E-2</v>
      </c>
      <c r="H393" s="1" t="s">
        <v>248</v>
      </c>
      <c r="J393" s="1" t="s">
        <v>249</v>
      </c>
      <c r="K393" s="1" t="s">
        <v>349</v>
      </c>
      <c r="L393" s="1" t="s">
        <v>381</v>
      </c>
      <c r="M393" s="1" t="s">
        <v>251</v>
      </c>
      <c r="N393" s="1" t="s">
        <v>330</v>
      </c>
      <c r="O393" s="1" t="s">
        <v>331</v>
      </c>
      <c r="P393" s="1" t="str">
        <f t="shared" si="29"/>
        <v>BC Camarao1.4215KTL-H3(MBUS-15)46036,020833333346036,020833333346036,0791666667</v>
      </c>
      <c r="Q393" s="1" t="str">
        <f t="shared" si="30"/>
        <v>DAURDE</v>
      </c>
    </row>
    <row r="394" spans="2:17">
      <c r="B394" s="1" t="s">
        <v>388</v>
      </c>
      <c r="C394" s="1" t="s">
        <v>256</v>
      </c>
      <c r="D394" s="52">
        <v>46036.020833333336</v>
      </c>
      <c r="E394" s="52">
        <v>46036.020833333336</v>
      </c>
      <c r="F394" s="52">
        <v>46036.07916666667</v>
      </c>
      <c r="G394" s="53">
        <f t="shared" si="28"/>
        <v>5.8333333334303461E-2</v>
      </c>
      <c r="H394" s="1" t="s">
        <v>248</v>
      </c>
      <c r="J394" s="1" t="s">
        <v>249</v>
      </c>
      <c r="K394" s="1" t="s">
        <v>349</v>
      </c>
      <c r="L394" s="1" t="s">
        <v>381</v>
      </c>
      <c r="M394" s="1" t="s">
        <v>251</v>
      </c>
      <c r="N394" s="1" t="s">
        <v>330</v>
      </c>
      <c r="O394" s="1" t="s">
        <v>331</v>
      </c>
      <c r="P394" s="1" t="str">
        <f t="shared" si="29"/>
        <v>BC Camarao1.5215KTL-H3(MBUS-15)46036,020833333346036,020833333346036,0791666667</v>
      </c>
      <c r="Q394" s="1" t="str">
        <f t="shared" si="30"/>
        <v>DAURDE</v>
      </c>
    </row>
    <row r="395" spans="2:17">
      <c r="B395" s="1" t="s">
        <v>388</v>
      </c>
      <c r="C395" s="1" t="s">
        <v>254</v>
      </c>
      <c r="D395" s="52">
        <v>46036.020833333336</v>
      </c>
      <c r="E395" s="52">
        <v>46036.020833333336</v>
      </c>
      <c r="F395" s="52">
        <v>46036.07916666667</v>
      </c>
      <c r="G395" s="53">
        <f t="shared" si="28"/>
        <v>5.8333333334303461E-2</v>
      </c>
      <c r="H395" s="1" t="s">
        <v>248</v>
      </c>
      <c r="J395" s="1" t="s">
        <v>249</v>
      </c>
      <c r="K395" s="1" t="s">
        <v>349</v>
      </c>
      <c r="L395" s="1" t="s">
        <v>381</v>
      </c>
      <c r="M395" s="1" t="s">
        <v>251</v>
      </c>
      <c r="N395" s="1" t="s">
        <v>330</v>
      </c>
      <c r="O395" s="1" t="s">
        <v>331</v>
      </c>
      <c r="P395" s="1" t="str">
        <f t="shared" si="29"/>
        <v>BC Camarao1.5215KTL-H3(MBUS-13)46036,020833333346036,020833333346036,0791666667</v>
      </c>
      <c r="Q395" s="1" t="str">
        <f t="shared" si="30"/>
        <v>DAURDE</v>
      </c>
    </row>
    <row r="396" spans="2:17">
      <c r="B396" s="1" t="s">
        <v>388</v>
      </c>
      <c r="C396" s="1" t="s">
        <v>247</v>
      </c>
      <c r="D396" s="52">
        <v>46036.020833333336</v>
      </c>
      <c r="E396" s="52">
        <v>46036.020833333336</v>
      </c>
      <c r="F396" s="52">
        <v>46036.07916666667</v>
      </c>
      <c r="G396" s="53">
        <f t="shared" si="28"/>
        <v>5.8333333334303461E-2</v>
      </c>
      <c r="H396" s="1" t="s">
        <v>248</v>
      </c>
      <c r="J396" s="1" t="s">
        <v>249</v>
      </c>
      <c r="K396" s="1" t="s">
        <v>349</v>
      </c>
      <c r="L396" s="1" t="s">
        <v>381</v>
      </c>
      <c r="M396" s="1" t="s">
        <v>251</v>
      </c>
      <c r="N396" s="1" t="s">
        <v>330</v>
      </c>
      <c r="O396" s="1" t="s">
        <v>331</v>
      </c>
      <c r="P396" s="1" t="str">
        <f t="shared" si="29"/>
        <v>BC Camarao1.5215KTL-H3(MBUS-12)46036,020833333346036,020833333346036,0791666667</v>
      </c>
      <c r="Q396" s="1" t="str">
        <f t="shared" si="30"/>
        <v>DAURDE</v>
      </c>
    </row>
    <row r="397" spans="2:17">
      <c r="B397" s="1" t="s">
        <v>388</v>
      </c>
      <c r="C397" s="1" t="s">
        <v>389</v>
      </c>
      <c r="D397" s="52">
        <v>46036.020833333336</v>
      </c>
      <c r="E397" s="52">
        <v>46036.020833333336</v>
      </c>
      <c r="F397" s="52">
        <v>46036.07916666667</v>
      </c>
      <c r="G397" s="53">
        <f t="shared" si="28"/>
        <v>5.8333333334303461E-2</v>
      </c>
      <c r="H397" s="1" t="s">
        <v>248</v>
      </c>
      <c r="J397" s="1" t="s">
        <v>249</v>
      </c>
      <c r="K397" s="1" t="s">
        <v>349</v>
      </c>
      <c r="L397" s="1" t="s">
        <v>381</v>
      </c>
      <c r="M397" s="1" t="s">
        <v>251</v>
      </c>
      <c r="N397" s="1" t="s">
        <v>330</v>
      </c>
      <c r="O397" s="1" t="s">
        <v>331</v>
      </c>
      <c r="P397" s="1" t="str">
        <f t="shared" si="29"/>
        <v>BC Camarao1.5215KTL-H3(MBUS-1)46036,020833333346036,020833333346036,0791666667</v>
      </c>
      <c r="Q397" s="1" t="str">
        <f t="shared" si="30"/>
        <v>DAURDE</v>
      </c>
    </row>
    <row r="398" spans="2:17">
      <c r="B398" s="1" t="s">
        <v>388</v>
      </c>
      <c r="C398" s="1" t="s">
        <v>255</v>
      </c>
      <c r="D398" s="52">
        <v>46036.020833333336</v>
      </c>
      <c r="E398" s="52">
        <v>46036.020833333336</v>
      </c>
      <c r="F398" s="52">
        <v>46036.07916666667</v>
      </c>
      <c r="G398" s="53">
        <f t="shared" si="28"/>
        <v>5.8333333334303461E-2</v>
      </c>
      <c r="H398" s="1" t="s">
        <v>248</v>
      </c>
      <c r="J398" s="1" t="s">
        <v>249</v>
      </c>
      <c r="K398" s="1" t="s">
        <v>349</v>
      </c>
      <c r="L398" s="1" t="s">
        <v>381</v>
      </c>
      <c r="M398" s="1" t="s">
        <v>251</v>
      </c>
      <c r="N398" s="1" t="s">
        <v>330</v>
      </c>
      <c r="O398" s="1" t="s">
        <v>331</v>
      </c>
      <c r="P398" s="1" t="str">
        <f t="shared" si="29"/>
        <v>BC Camarao1.5215KTL-H3(MBUS-14)46036,020833333346036,020833333346036,0791666667</v>
      </c>
      <c r="Q398" s="1" t="str">
        <f t="shared" si="30"/>
        <v>DAURDE</v>
      </c>
    </row>
    <row r="399" spans="2:17">
      <c r="B399" s="1" t="s">
        <v>394</v>
      </c>
      <c r="C399" s="1" t="s">
        <v>395</v>
      </c>
      <c r="D399" s="52">
        <v>46031.447916666664</v>
      </c>
      <c r="E399" s="52">
        <v>46031.447916666664</v>
      </c>
      <c r="F399" s="52">
        <v>46032.423611111109</v>
      </c>
      <c r="G399" s="53">
        <f t="shared" si="28"/>
        <v>0.97569444444525288</v>
      </c>
      <c r="J399" s="1" t="s">
        <v>396</v>
      </c>
      <c r="K399" s="1" t="s">
        <v>397</v>
      </c>
      <c r="L399" s="1" t="s">
        <v>398</v>
      </c>
      <c r="O399" s="1" t="s">
        <v>399</v>
      </c>
      <c r="P399" s="1" t="str">
        <f t="shared" si="29"/>
        <v>BC Corumba1.1U01.I0146031,447916666746031,447916666746032,4236111111</v>
      </c>
      <c r="Q399" s="1" t="str">
        <f t="shared" si="30"/>
        <v>PRT</v>
      </c>
    </row>
    <row r="400" spans="2:17">
      <c r="B400" s="1" t="s">
        <v>394</v>
      </c>
      <c r="C400" s="1" t="s">
        <v>400</v>
      </c>
      <c r="D400" s="52">
        <v>46031.447916666664</v>
      </c>
      <c r="E400" s="52">
        <v>46031.447916666664</v>
      </c>
      <c r="F400" s="52">
        <v>46032.423611111109</v>
      </c>
      <c r="G400" s="53">
        <f t="shared" si="28"/>
        <v>0.97569444444525288</v>
      </c>
      <c r="J400" s="1" t="s">
        <v>396</v>
      </c>
      <c r="K400" s="1" t="s">
        <v>397</v>
      </c>
      <c r="L400" s="1" t="s">
        <v>398</v>
      </c>
      <c r="O400" s="1" t="s">
        <v>399</v>
      </c>
      <c r="P400" s="1" t="str">
        <f t="shared" si="29"/>
        <v>BC Corumba1.1U01.I0246031,447916666746031,447916666746032,4236111111</v>
      </c>
      <c r="Q400" s="1" t="str">
        <f t="shared" si="30"/>
        <v>PRT</v>
      </c>
    </row>
    <row r="401" spans="2:17">
      <c r="B401" s="1" t="s">
        <v>394</v>
      </c>
      <c r="C401" s="1" t="s">
        <v>401</v>
      </c>
      <c r="D401" s="52">
        <v>46031.447916666664</v>
      </c>
      <c r="E401" s="52">
        <v>46031.447916666664</v>
      </c>
      <c r="F401" s="52">
        <v>46032.423611111109</v>
      </c>
      <c r="G401" s="53">
        <f t="shared" si="28"/>
        <v>0.97569444444525288</v>
      </c>
      <c r="J401" s="1" t="s">
        <v>396</v>
      </c>
      <c r="K401" s="1" t="s">
        <v>397</v>
      </c>
      <c r="L401" s="1" t="s">
        <v>398</v>
      </c>
      <c r="O401" s="1" t="s">
        <v>399</v>
      </c>
      <c r="P401" s="1" t="str">
        <f t="shared" si="29"/>
        <v>BC Corumba1.1U01.I0346031,447916666746031,447916666746032,4236111111</v>
      </c>
      <c r="Q401" s="1" t="str">
        <f t="shared" si="30"/>
        <v>PRT</v>
      </c>
    </row>
    <row r="402" spans="2:17">
      <c r="B402" s="1" t="s">
        <v>394</v>
      </c>
      <c r="C402" s="1" t="s">
        <v>402</v>
      </c>
      <c r="D402" s="52">
        <v>46031.447916666664</v>
      </c>
      <c r="E402" s="52">
        <v>46031.447916666664</v>
      </c>
      <c r="F402" s="52">
        <v>46032.423611111109</v>
      </c>
      <c r="G402" s="53">
        <f t="shared" si="28"/>
        <v>0.97569444444525288</v>
      </c>
      <c r="J402" s="1" t="s">
        <v>396</v>
      </c>
      <c r="K402" s="1" t="s">
        <v>397</v>
      </c>
      <c r="L402" s="1" t="s">
        <v>398</v>
      </c>
      <c r="O402" s="1" t="s">
        <v>399</v>
      </c>
      <c r="P402" s="1" t="str">
        <f t="shared" si="29"/>
        <v>BC Corumba1.1U01.I0446031,447916666746031,447916666746032,4236111111</v>
      </c>
      <c r="Q402" s="1" t="str">
        <f t="shared" si="30"/>
        <v>PRT</v>
      </c>
    </row>
    <row r="403" spans="2:17">
      <c r="B403" s="1" t="s">
        <v>394</v>
      </c>
      <c r="C403" s="1" t="s">
        <v>403</v>
      </c>
      <c r="D403" s="52">
        <v>46031.447916666664</v>
      </c>
      <c r="E403" s="52">
        <v>46031.447916666664</v>
      </c>
      <c r="F403" s="52">
        <v>46032.423611111109</v>
      </c>
      <c r="G403" s="53">
        <f t="shared" si="28"/>
        <v>0.97569444444525288</v>
      </c>
      <c r="J403" s="1" t="s">
        <v>396</v>
      </c>
      <c r="K403" s="1" t="s">
        <v>397</v>
      </c>
      <c r="L403" s="1" t="s">
        <v>398</v>
      </c>
      <c r="O403" s="1" t="s">
        <v>399</v>
      </c>
      <c r="P403" s="1" t="str">
        <f t="shared" si="29"/>
        <v>BC Corumba1.1U01.I0546031,447916666746031,447916666746032,4236111111</v>
      </c>
      <c r="Q403" s="1" t="str">
        <f t="shared" si="30"/>
        <v>PRT</v>
      </c>
    </row>
    <row r="404" spans="2:17">
      <c r="B404" s="1" t="s">
        <v>394</v>
      </c>
      <c r="C404" s="1" t="s">
        <v>395</v>
      </c>
      <c r="D404" s="52">
        <v>46036.638888888891</v>
      </c>
      <c r="E404" s="52">
        <v>46036.638888888891</v>
      </c>
      <c r="F404" s="52">
        <v>46036.715277777781</v>
      </c>
      <c r="G404" s="53">
        <f t="shared" si="28"/>
        <v>7.6388888890505768E-2</v>
      </c>
      <c r="H404" s="1" t="s">
        <v>260</v>
      </c>
      <c r="I404" s="1" t="s">
        <v>261</v>
      </c>
      <c r="J404" s="1" t="s">
        <v>262</v>
      </c>
      <c r="K404" s="1" t="str">
        <f>_xlfn.XLOOKUP(J404,REF!$D$2:$D$12,REF!$E$2:$E$12)</f>
        <v>Comunicação</v>
      </c>
      <c r="L404" s="1" t="s">
        <v>404</v>
      </c>
      <c r="M404" s="1" t="s">
        <v>265</v>
      </c>
      <c r="N404" s="1" t="s">
        <v>266</v>
      </c>
      <c r="O404" s="1" t="s">
        <v>405</v>
      </c>
      <c r="P404" s="1" t="str">
        <f t="shared" si="29"/>
        <v>BC Corumba1.1U01.I0146036,638888888946036,638888888946036,7152777778</v>
      </c>
      <c r="Q404" s="1" t="str">
        <f t="shared" si="30"/>
        <v>LIGRFOCOM</v>
      </c>
    </row>
    <row r="405" spans="2:17">
      <c r="B405" s="1" t="s">
        <v>394</v>
      </c>
      <c r="C405" s="1" t="s">
        <v>400</v>
      </c>
      <c r="D405" s="52">
        <v>46036.638888888891</v>
      </c>
      <c r="E405" s="52">
        <v>46036.638888888891</v>
      </c>
      <c r="F405" s="52">
        <v>46036.715277777781</v>
      </c>
      <c r="G405" s="53">
        <f t="shared" si="28"/>
        <v>7.6388888890505768E-2</v>
      </c>
      <c r="H405" s="1" t="s">
        <v>260</v>
      </c>
      <c r="I405" s="1" t="s">
        <v>261</v>
      </c>
      <c r="J405" s="1" t="s">
        <v>262</v>
      </c>
      <c r="K405" s="1" t="str">
        <f>_xlfn.XLOOKUP(J405,REF!$D$2:$D$12,REF!$E$2:$E$12)</f>
        <v>Comunicação</v>
      </c>
      <c r="L405" s="1" t="s">
        <v>404</v>
      </c>
      <c r="M405" s="1" t="s">
        <v>265</v>
      </c>
      <c r="N405" s="1" t="s">
        <v>266</v>
      </c>
      <c r="O405" s="1" t="s">
        <v>405</v>
      </c>
      <c r="P405" s="1" t="str">
        <f t="shared" si="29"/>
        <v>BC Corumba1.1U01.I0246036,638888888946036,638888888946036,7152777778</v>
      </c>
      <c r="Q405" s="1" t="str">
        <f t="shared" si="30"/>
        <v>LIGRFOCOM</v>
      </c>
    </row>
    <row r="406" spans="2:17">
      <c r="B406" s="1" t="s">
        <v>394</v>
      </c>
      <c r="C406" s="1" t="s">
        <v>401</v>
      </c>
      <c r="D406" s="52">
        <v>46036.638888888891</v>
      </c>
      <c r="E406" s="52">
        <v>46036.638888888891</v>
      </c>
      <c r="F406" s="52">
        <v>46036.715277777781</v>
      </c>
      <c r="G406" s="53">
        <f t="shared" si="28"/>
        <v>7.6388888890505768E-2</v>
      </c>
      <c r="H406" s="1" t="s">
        <v>260</v>
      </c>
      <c r="I406" s="1" t="s">
        <v>261</v>
      </c>
      <c r="J406" s="1" t="s">
        <v>262</v>
      </c>
      <c r="K406" s="1" t="str">
        <f>_xlfn.XLOOKUP(J406,REF!$D$2:$D$12,REF!$E$2:$E$12)</f>
        <v>Comunicação</v>
      </c>
      <c r="L406" s="1" t="s">
        <v>404</v>
      </c>
      <c r="M406" s="1" t="s">
        <v>265</v>
      </c>
      <c r="N406" s="1" t="s">
        <v>266</v>
      </c>
      <c r="O406" s="1" t="s">
        <v>405</v>
      </c>
      <c r="P406" s="1" t="str">
        <f t="shared" si="29"/>
        <v>BC Corumba1.1U01.I0346036,638888888946036,638888888946036,7152777778</v>
      </c>
      <c r="Q406" s="1" t="str">
        <f t="shared" si="30"/>
        <v>LIGRFOCOM</v>
      </c>
    </row>
    <row r="407" spans="2:17">
      <c r="B407" s="1" t="s">
        <v>394</v>
      </c>
      <c r="C407" s="1" t="s">
        <v>402</v>
      </c>
      <c r="D407" s="52">
        <v>46036.638888888891</v>
      </c>
      <c r="E407" s="52">
        <v>46036.638888888891</v>
      </c>
      <c r="F407" s="52">
        <v>46036.715277777781</v>
      </c>
      <c r="G407" s="53">
        <f t="shared" si="28"/>
        <v>7.6388888890505768E-2</v>
      </c>
      <c r="H407" s="1" t="s">
        <v>260</v>
      </c>
      <c r="I407" s="1" t="s">
        <v>261</v>
      </c>
      <c r="J407" s="1" t="s">
        <v>262</v>
      </c>
      <c r="K407" s="1" t="str">
        <f>_xlfn.XLOOKUP(J407,REF!$D$2:$D$12,REF!$E$2:$E$12)</f>
        <v>Comunicação</v>
      </c>
      <c r="L407" s="1" t="s">
        <v>404</v>
      </c>
      <c r="M407" s="1" t="s">
        <v>265</v>
      </c>
      <c r="N407" s="1" t="s">
        <v>266</v>
      </c>
      <c r="O407" s="1" t="s">
        <v>405</v>
      </c>
      <c r="P407" s="1" t="str">
        <f t="shared" si="29"/>
        <v>BC Corumba1.1U01.I0446036,638888888946036,638888888946036,7152777778</v>
      </c>
      <c r="Q407" s="1" t="str">
        <f t="shared" si="30"/>
        <v>LIGRFOCOM</v>
      </c>
    </row>
    <row r="408" spans="2:17">
      <c r="B408" s="1" t="s">
        <v>394</v>
      </c>
      <c r="C408" s="1" t="s">
        <v>403</v>
      </c>
      <c r="D408" s="52">
        <v>46036.638888888891</v>
      </c>
      <c r="E408" s="52">
        <v>46036.638888888891</v>
      </c>
      <c r="F408" s="52">
        <v>46036.715277777781</v>
      </c>
      <c r="G408" s="53">
        <f t="shared" si="28"/>
        <v>7.6388888890505768E-2</v>
      </c>
      <c r="H408" s="1" t="s">
        <v>260</v>
      </c>
      <c r="I408" s="1" t="s">
        <v>261</v>
      </c>
      <c r="J408" s="1" t="s">
        <v>262</v>
      </c>
      <c r="K408" s="1" t="str">
        <f>_xlfn.XLOOKUP(J408,REF!$D$2:$D$12,REF!$E$2:$E$12)</f>
        <v>Comunicação</v>
      </c>
      <c r="L408" s="1" t="s">
        <v>404</v>
      </c>
      <c r="M408" s="1" t="s">
        <v>265</v>
      </c>
      <c r="N408" s="1" t="s">
        <v>266</v>
      </c>
      <c r="O408" s="1" t="s">
        <v>405</v>
      </c>
      <c r="P408" s="1" t="str">
        <f t="shared" si="29"/>
        <v>BC Corumba1.1U01.I0546036,638888888946036,638888888946036,7152777778</v>
      </c>
      <c r="Q408" s="1" t="str">
        <f t="shared" si="30"/>
        <v>LIGRFOCOM</v>
      </c>
    </row>
    <row r="409" spans="2:17">
      <c r="B409" s="1" t="s">
        <v>406</v>
      </c>
      <c r="C409" s="1" t="s">
        <v>407</v>
      </c>
      <c r="D409" s="52">
        <v>46036.638888888891</v>
      </c>
      <c r="E409" s="52">
        <v>46036.638888888891</v>
      </c>
      <c r="F409" s="52">
        <v>46036.715277777781</v>
      </c>
      <c r="G409" s="53">
        <f t="shared" si="28"/>
        <v>7.6388888890505768E-2</v>
      </c>
      <c r="H409" s="1" t="s">
        <v>260</v>
      </c>
      <c r="I409" s="1" t="s">
        <v>261</v>
      </c>
      <c r="J409" s="1" t="s">
        <v>262</v>
      </c>
      <c r="K409" s="1" t="str">
        <f>_xlfn.XLOOKUP(J409,REF!$D$2:$D$12,REF!$E$2:$E$12)</f>
        <v>Comunicação</v>
      </c>
      <c r="L409" s="1" t="s">
        <v>404</v>
      </c>
      <c r="M409" s="1" t="s">
        <v>265</v>
      </c>
      <c r="N409" s="1" t="s">
        <v>266</v>
      </c>
      <c r="O409" s="1" t="s">
        <v>405</v>
      </c>
      <c r="P409" s="1" t="str">
        <f t="shared" si="29"/>
        <v>BC Corumba1.2U02.I0146036,638888888946036,638888888946036,7152777778</v>
      </c>
      <c r="Q409" s="1" t="str">
        <f t="shared" si="30"/>
        <v>LIGRFOCOM</v>
      </c>
    </row>
    <row r="410" spans="2:17">
      <c r="B410" s="1" t="s">
        <v>406</v>
      </c>
      <c r="C410" s="1" t="s">
        <v>408</v>
      </c>
      <c r="D410" s="52">
        <v>46036.638888888891</v>
      </c>
      <c r="E410" s="52">
        <v>46036.638888888891</v>
      </c>
      <c r="F410" s="52">
        <v>46036.715277777781</v>
      </c>
      <c r="G410" s="53">
        <f t="shared" si="28"/>
        <v>7.6388888890505768E-2</v>
      </c>
      <c r="H410" s="1" t="s">
        <v>260</v>
      </c>
      <c r="I410" s="1" t="s">
        <v>261</v>
      </c>
      <c r="J410" s="1" t="s">
        <v>262</v>
      </c>
      <c r="K410" s="1" t="str">
        <f>_xlfn.XLOOKUP(J410,REF!$D$2:$D$12,REF!$E$2:$E$12)</f>
        <v>Comunicação</v>
      </c>
      <c r="L410" s="1" t="s">
        <v>404</v>
      </c>
      <c r="M410" s="1" t="s">
        <v>265</v>
      </c>
      <c r="N410" s="1" t="s">
        <v>266</v>
      </c>
      <c r="O410" s="1" t="s">
        <v>405</v>
      </c>
      <c r="P410" s="1" t="str">
        <f t="shared" si="29"/>
        <v>BC Corumba1.2U02.I0246036,638888888946036,638888888946036,7152777778</v>
      </c>
      <c r="Q410" s="1" t="str">
        <f t="shared" si="30"/>
        <v>LIGRFOCOM</v>
      </c>
    </row>
    <row r="411" spans="2:17">
      <c r="B411" s="1" t="s">
        <v>406</v>
      </c>
      <c r="C411" s="1" t="s">
        <v>409</v>
      </c>
      <c r="D411" s="52">
        <v>46036.638888888891</v>
      </c>
      <c r="E411" s="52">
        <v>46036.638888888891</v>
      </c>
      <c r="F411" s="52">
        <v>46036.715277777781</v>
      </c>
      <c r="G411" s="53">
        <f t="shared" si="28"/>
        <v>7.6388888890505768E-2</v>
      </c>
      <c r="H411" s="1" t="s">
        <v>260</v>
      </c>
      <c r="I411" s="1" t="s">
        <v>261</v>
      </c>
      <c r="J411" s="1" t="s">
        <v>262</v>
      </c>
      <c r="K411" s="1" t="str">
        <f>_xlfn.XLOOKUP(J411,REF!$D$2:$D$12,REF!$E$2:$E$12)</f>
        <v>Comunicação</v>
      </c>
      <c r="L411" s="1" t="s">
        <v>404</v>
      </c>
      <c r="M411" s="1" t="s">
        <v>265</v>
      </c>
      <c r="N411" s="1" t="s">
        <v>266</v>
      </c>
      <c r="O411" s="1" t="s">
        <v>405</v>
      </c>
      <c r="P411" s="1" t="str">
        <f t="shared" si="29"/>
        <v>BC Corumba1.2U02.I0346036,638888888946036,638888888946036,7152777778</v>
      </c>
      <c r="Q411" s="1" t="str">
        <f t="shared" si="30"/>
        <v>LIGRFOCOM</v>
      </c>
    </row>
    <row r="412" spans="2:17">
      <c r="B412" s="1" t="s">
        <v>406</v>
      </c>
      <c r="C412" s="1" t="s">
        <v>410</v>
      </c>
      <c r="D412" s="52">
        <v>46036.638888888891</v>
      </c>
      <c r="E412" s="52">
        <v>46036.638888888891</v>
      </c>
      <c r="F412" s="52">
        <v>46036.715277777781</v>
      </c>
      <c r="G412" s="53">
        <f t="shared" si="28"/>
        <v>7.6388888890505768E-2</v>
      </c>
      <c r="H412" s="1" t="s">
        <v>260</v>
      </c>
      <c r="I412" s="1" t="s">
        <v>261</v>
      </c>
      <c r="J412" s="1" t="s">
        <v>262</v>
      </c>
      <c r="K412" s="1" t="str">
        <f>_xlfn.XLOOKUP(J412,REF!$D$2:$D$12,REF!$E$2:$E$12)</f>
        <v>Comunicação</v>
      </c>
      <c r="L412" s="1" t="s">
        <v>404</v>
      </c>
      <c r="M412" s="1" t="s">
        <v>265</v>
      </c>
      <c r="N412" s="1" t="s">
        <v>266</v>
      </c>
      <c r="O412" s="1" t="s">
        <v>405</v>
      </c>
      <c r="P412" s="1" t="str">
        <f t="shared" si="29"/>
        <v>BC Corumba1.2U02.I0446036,638888888946036,638888888946036,7152777778</v>
      </c>
      <c r="Q412" s="1" t="str">
        <f t="shared" si="30"/>
        <v>LIGRFOCOM</v>
      </c>
    </row>
    <row r="413" spans="2:17">
      <c r="B413" s="1" t="s">
        <v>406</v>
      </c>
      <c r="C413" s="1" t="s">
        <v>411</v>
      </c>
      <c r="D413" s="52">
        <v>46036.638888888891</v>
      </c>
      <c r="E413" s="52">
        <v>46036.638888888891</v>
      </c>
      <c r="F413" s="52">
        <v>46036.715277777781</v>
      </c>
      <c r="G413" s="53">
        <f t="shared" si="28"/>
        <v>7.6388888890505768E-2</v>
      </c>
      <c r="H413" s="1" t="s">
        <v>260</v>
      </c>
      <c r="I413" s="1" t="s">
        <v>261</v>
      </c>
      <c r="J413" s="1" t="s">
        <v>262</v>
      </c>
      <c r="K413" s="1" t="str">
        <f>_xlfn.XLOOKUP(J413,REF!$D$2:$D$12,REF!$E$2:$E$12)</f>
        <v>Comunicação</v>
      </c>
      <c r="L413" s="1" t="s">
        <v>404</v>
      </c>
      <c r="M413" s="1" t="s">
        <v>265</v>
      </c>
      <c r="N413" s="1" t="s">
        <v>266</v>
      </c>
      <c r="O413" s="1" t="s">
        <v>405</v>
      </c>
      <c r="P413" s="1" t="str">
        <f t="shared" si="29"/>
        <v>BC Corumba1.2U02.I0546036,638888888946036,638888888946036,7152777778</v>
      </c>
      <c r="Q413" s="1" t="str">
        <f t="shared" si="30"/>
        <v>LIGRFOCOM</v>
      </c>
    </row>
    <row r="414" spans="2:17">
      <c r="B414" s="1" t="s">
        <v>412</v>
      </c>
      <c r="C414" s="1" t="s">
        <v>413</v>
      </c>
      <c r="D414" s="52">
        <v>46036.638888888891</v>
      </c>
      <c r="E414" s="52">
        <v>46036.638888888891</v>
      </c>
      <c r="F414" s="52">
        <v>46036.715277777781</v>
      </c>
      <c r="G414" s="53">
        <f t="shared" si="28"/>
        <v>7.6388888890505768E-2</v>
      </c>
      <c r="H414" s="1" t="s">
        <v>260</v>
      </c>
      <c r="I414" s="1" t="s">
        <v>261</v>
      </c>
      <c r="J414" s="1" t="s">
        <v>262</v>
      </c>
      <c r="K414" s="1" t="str">
        <f>_xlfn.XLOOKUP(J414,REF!$D$2:$D$12,REF!$E$2:$E$12)</f>
        <v>Comunicação</v>
      </c>
      <c r="L414" s="1" t="s">
        <v>404</v>
      </c>
      <c r="M414" s="1" t="s">
        <v>265</v>
      </c>
      <c r="N414" s="1" t="s">
        <v>266</v>
      </c>
      <c r="O414" s="1" t="s">
        <v>405</v>
      </c>
      <c r="P414" s="1" t="str">
        <f t="shared" si="29"/>
        <v>BC Corumba1.3U03.I0146036,638888888946036,638888888946036,7152777778</v>
      </c>
      <c r="Q414" s="1" t="str">
        <f t="shared" si="30"/>
        <v>LIGRFOCOM</v>
      </c>
    </row>
    <row r="415" spans="2:17">
      <c r="B415" s="1" t="s">
        <v>412</v>
      </c>
      <c r="C415" s="1" t="s">
        <v>414</v>
      </c>
      <c r="D415" s="52">
        <v>46036.638888888891</v>
      </c>
      <c r="E415" s="52">
        <v>46036.638888888891</v>
      </c>
      <c r="F415" s="52">
        <v>46036.715277777781</v>
      </c>
      <c r="G415" s="53">
        <f t="shared" si="28"/>
        <v>7.6388888890505768E-2</v>
      </c>
      <c r="H415" s="1" t="s">
        <v>260</v>
      </c>
      <c r="I415" s="1" t="s">
        <v>261</v>
      </c>
      <c r="J415" s="1" t="s">
        <v>262</v>
      </c>
      <c r="K415" s="1" t="str">
        <f>_xlfn.XLOOKUP(J415,REF!$D$2:$D$12,REF!$E$2:$E$12)</f>
        <v>Comunicação</v>
      </c>
      <c r="L415" s="1" t="s">
        <v>404</v>
      </c>
      <c r="M415" s="1" t="s">
        <v>265</v>
      </c>
      <c r="N415" s="1" t="s">
        <v>266</v>
      </c>
      <c r="O415" s="1" t="s">
        <v>405</v>
      </c>
      <c r="P415" s="1" t="str">
        <f t="shared" si="29"/>
        <v>BC Corumba1.3U03.I0246036,638888888946036,638888888946036,7152777778</v>
      </c>
      <c r="Q415" s="1" t="str">
        <f t="shared" si="30"/>
        <v>LIGRFOCOM</v>
      </c>
    </row>
    <row r="416" spans="2:17">
      <c r="B416" s="1" t="s">
        <v>412</v>
      </c>
      <c r="C416" s="1" t="s">
        <v>415</v>
      </c>
      <c r="D416" s="52">
        <v>46036.638888888891</v>
      </c>
      <c r="E416" s="52">
        <v>46036.638888888891</v>
      </c>
      <c r="F416" s="52">
        <v>46036.715277777781</v>
      </c>
      <c r="G416" s="53">
        <f t="shared" si="28"/>
        <v>7.6388888890505768E-2</v>
      </c>
      <c r="H416" s="1" t="s">
        <v>260</v>
      </c>
      <c r="I416" s="1" t="s">
        <v>261</v>
      </c>
      <c r="J416" s="1" t="s">
        <v>262</v>
      </c>
      <c r="K416" s="1" t="str">
        <f>_xlfn.XLOOKUP(J416,REF!$D$2:$D$12,REF!$E$2:$E$12)</f>
        <v>Comunicação</v>
      </c>
      <c r="L416" s="1" t="s">
        <v>404</v>
      </c>
      <c r="M416" s="1" t="s">
        <v>265</v>
      </c>
      <c r="N416" s="1" t="s">
        <v>266</v>
      </c>
      <c r="O416" s="1" t="s">
        <v>405</v>
      </c>
      <c r="P416" s="1" t="str">
        <f t="shared" si="29"/>
        <v>BC Corumba1.3U03.I0346036,638888888946036,638888888946036,7152777778</v>
      </c>
      <c r="Q416" s="1" t="str">
        <f t="shared" si="30"/>
        <v>LIGRFOCOM</v>
      </c>
    </row>
    <row r="417" spans="2:17">
      <c r="B417" s="1" t="s">
        <v>416</v>
      </c>
      <c r="C417" s="1" t="s">
        <v>358</v>
      </c>
      <c r="D417" s="52">
        <v>46036.638888888891</v>
      </c>
      <c r="E417" s="52">
        <v>46036.638888888891</v>
      </c>
      <c r="F417" s="52">
        <v>46036.715277777781</v>
      </c>
      <c r="G417" s="53">
        <f t="shared" si="28"/>
        <v>7.6388888890505768E-2</v>
      </c>
      <c r="H417" s="1" t="s">
        <v>260</v>
      </c>
      <c r="I417" s="1" t="s">
        <v>261</v>
      </c>
      <c r="J417" s="1" t="s">
        <v>262</v>
      </c>
      <c r="K417" s="1" t="str">
        <f>_xlfn.XLOOKUP(J417,REF!$D$2:$D$12,REF!$E$2:$E$12)</f>
        <v>Comunicação</v>
      </c>
      <c r="L417" s="1" t="s">
        <v>404</v>
      </c>
      <c r="M417" s="1" t="s">
        <v>265</v>
      </c>
      <c r="N417" s="1" t="s">
        <v>266</v>
      </c>
      <c r="O417" s="1" t="s">
        <v>405</v>
      </c>
      <c r="P417" s="1" t="str">
        <f t="shared" si="29"/>
        <v>BC Corumba2.1Inverter(MBUS-14)46036,638888888946036,638888888946036,7152777778</v>
      </c>
      <c r="Q417" s="1" t="str">
        <f t="shared" si="30"/>
        <v>LIGRFOCOM</v>
      </c>
    </row>
    <row r="418" spans="2:17">
      <c r="B418" s="1" t="s">
        <v>416</v>
      </c>
      <c r="C418" s="1" t="s">
        <v>359</v>
      </c>
      <c r="D418" s="52">
        <v>46036.638888888891</v>
      </c>
      <c r="E418" s="52">
        <v>46036.638888888891</v>
      </c>
      <c r="F418" s="52">
        <v>46036.715277777781</v>
      </c>
      <c r="G418" s="53">
        <f t="shared" si="28"/>
        <v>7.6388888890505768E-2</v>
      </c>
      <c r="H418" s="1" t="s">
        <v>260</v>
      </c>
      <c r="I418" s="1" t="s">
        <v>261</v>
      </c>
      <c r="J418" s="1" t="s">
        <v>262</v>
      </c>
      <c r="K418" s="1" t="str">
        <f>_xlfn.XLOOKUP(J418,REF!$D$2:$D$12,REF!$E$2:$E$12)</f>
        <v>Comunicação</v>
      </c>
      <c r="L418" s="1" t="s">
        <v>404</v>
      </c>
      <c r="M418" s="1" t="s">
        <v>265</v>
      </c>
      <c r="N418" s="1" t="s">
        <v>266</v>
      </c>
      <c r="O418" s="1" t="s">
        <v>405</v>
      </c>
      <c r="P418" s="1" t="str">
        <f t="shared" si="29"/>
        <v>BC Corumba2.1Inverter(MBUS-15)46036,638888888946036,638888888946036,7152777778</v>
      </c>
      <c r="Q418" s="1" t="str">
        <f t="shared" si="30"/>
        <v>LIGRFOCOM</v>
      </c>
    </row>
    <row r="419" spans="2:17">
      <c r="B419" s="1" t="s">
        <v>416</v>
      </c>
      <c r="C419" s="1" t="s">
        <v>386</v>
      </c>
      <c r="D419" s="52">
        <v>46036.638888888891</v>
      </c>
      <c r="E419" s="52">
        <v>46036.638888888891</v>
      </c>
      <c r="F419" s="52">
        <v>46036.715277777781</v>
      </c>
      <c r="G419" s="53">
        <f t="shared" si="28"/>
        <v>7.6388888890505768E-2</v>
      </c>
      <c r="H419" s="1" t="s">
        <v>260</v>
      </c>
      <c r="I419" s="1" t="s">
        <v>261</v>
      </c>
      <c r="J419" s="1" t="s">
        <v>262</v>
      </c>
      <c r="K419" s="1" t="str">
        <f>_xlfn.XLOOKUP(J419,REF!$D$2:$D$12,REF!$E$2:$E$12)</f>
        <v>Comunicação</v>
      </c>
      <c r="L419" s="1" t="s">
        <v>404</v>
      </c>
      <c r="M419" s="1" t="s">
        <v>265</v>
      </c>
      <c r="N419" s="1" t="s">
        <v>266</v>
      </c>
      <c r="O419" s="1" t="s">
        <v>405</v>
      </c>
      <c r="P419" s="1" t="str">
        <f t="shared" si="29"/>
        <v>BC Corumba2.1Inverter(MBUS-16)46036,638888888946036,638888888946036,7152777778</v>
      </c>
      <c r="Q419" s="1" t="str">
        <f t="shared" si="30"/>
        <v>LIGRFOCOM</v>
      </c>
    </row>
    <row r="420" spans="2:17">
      <c r="B420" s="1" t="s">
        <v>416</v>
      </c>
      <c r="C420" s="1" t="s">
        <v>417</v>
      </c>
      <c r="D420" s="52">
        <v>46036.638888888891</v>
      </c>
      <c r="E420" s="52">
        <v>46036.638888888891</v>
      </c>
      <c r="F420" s="52">
        <v>46036.715277777781</v>
      </c>
      <c r="G420" s="53">
        <f t="shared" si="28"/>
        <v>7.6388888890505768E-2</v>
      </c>
      <c r="H420" s="1" t="s">
        <v>260</v>
      </c>
      <c r="I420" s="1" t="s">
        <v>261</v>
      </c>
      <c r="J420" s="1" t="s">
        <v>262</v>
      </c>
      <c r="K420" s="1" t="str">
        <f>_xlfn.XLOOKUP(J420,REF!$D$2:$D$12,REF!$E$2:$E$12)</f>
        <v>Comunicação</v>
      </c>
      <c r="L420" s="1" t="s">
        <v>404</v>
      </c>
      <c r="M420" s="1" t="s">
        <v>265</v>
      </c>
      <c r="N420" s="1" t="s">
        <v>266</v>
      </c>
      <c r="O420" s="1" t="s">
        <v>405</v>
      </c>
      <c r="P420" s="1" t="str">
        <f t="shared" si="29"/>
        <v>BC Corumba2.1U01. I0146036,638888888946036,638888888946036,7152777778</v>
      </c>
      <c r="Q420" s="1" t="str">
        <f t="shared" si="30"/>
        <v>LIGRFOCOM</v>
      </c>
    </row>
    <row r="421" spans="2:17">
      <c r="B421" s="1" t="s">
        <v>416</v>
      </c>
      <c r="C421" s="1" t="s">
        <v>418</v>
      </c>
      <c r="D421" s="52">
        <v>46036.638888888891</v>
      </c>
      <c r="E421" s="52">
        <v>46036.638888888891</v>
      </c>
      <c r="F421" s="52">
        <v>46036.715277777781</v>
      </c>
      <c r="G421" s="53">
        <f t="shared" si="28"/>
        <v>7.6388888890505768E-2</v>
      </c>
      <c r="H421" s="1" t="s">
        <v>260</v>
      </c>
      <c r="I421" s="1" t="s">
        <v>261</v>
      </c>
      <c r="J421" s="1" t="s">
        <v>262</v>
      </c>
      <c r="K421" s="1" t="str">
        <f>_xlfn.XLOOKUP(J421,REF!$D$2:$D$12,REF!$E$2:$E$12)</f>
        <v>Comunicação</v>
      </c>
      <c r="L421" s="1" t="s">
        <v>404</v>
      </c>
      <c r="M421" s="1" t="s">
        <v>265</v>
      </c>
      <c r="N421" s="1" t="s">
        <v>266</v>
      </c>
      <c r="O421" s="1" t="s">
        <v>405</v>
      </c>
      <c r="P421" s="1" t="str">
        <f t="shared" si="29"/>
        <v>BC Corumba2.1U01. I0246036,638888888946036,638888888946036,7152777778</v>
      </c>
      <c r="Q421" s="1" t="str">
        <f t="shared" si="30"/>
        <v>LIGRFOCOM</v>
      </c>
    </row>
    <row r="422" spans="2:17">
      <c r="B422" s="1" t="s">
        <v>419</v>
      </c>
      <c r="C422" s="1" t="s">
        <v>407</v>
      </c>
      <c r="D422" s="52">
        <v>46036.638888888891</v>
      </c>
      <c r="E422" s="52">
        <v>46036.638888888891</v>
      </c>
      <c r="F422" s="52">
        <v>46036.715277777781</v>
      </c>
      <c r="G422" s="53">
        <f t="shared" si="28"/>
        <v>7.6388888890505768E-2</v>
      </c>
      <c r="H422" s="1" t="s">
        <v>260</v>
      </c>
      <c r="I422" s="1" t="s">
        <v>261</v>
      </c>
      <c r="J422" s="1" t="s">
        <v>262</v>
      </c>
      <c r="K422" s="1" t="str">
        <f>_xlfn.XLOOKUP(J422,REF!$D$2:$D$12,REF!$E$2:$E$12)</f>
        <v>Comunicação</v>
      </c>
      <c r="L422" s="1" t="s">
        <v>404</v>
      </c>
      <c r="M422" s="1" t="s">
        <v>265</v>
      </c>
      <c r="N422" s="1" t="s">
        <v>266</v>
      </c>
      <c r="O422" s="1" t="s">
        <v>405</v>
      </c>
      <c r="P422" s="1" t="str">
        <f t="shared" si="29"/>
        <v>BC Corumba2.2U02.I0146036,638888888946036,638888888946036,7152777778</v>
      </c>
      <c r="Q422" s="1" t="str">
        <f t="shared" si="30"/>
        <v>LIGRFOCOM</v>
      </c>
    </row>
    <row r="423" spans="2:17">
      <c r="B423" s="1" t="s">
        <v>419</v>
      </c>
      <c r="C423" s="1" t="s">
        <v>408</v>
      </c>
      <c r="D423" s="52">
        <v>46036.638888888891</v>
      </c>
      <c r="E423" s="52">
        <v>46036.638888888891</v>
      </c>
      <c r="F423" s="52">
        <v>46036.715277777781</v>
      </c>
      <c r="G423" s="53">
        <f t="shared" si="28"/>
        <v>7.6388888890505768E-2</v>
      </c>
      <c r="H423" s="1" t="s">
        <v>260</v>
      </c>
      <c r="I423" s="1" t="s">
        <v>261</v>
      </c>
      <c r="J423" s="1" t="s">
        <v>262</v>
      </c>
      <c r="K423" s="1" t="str">
        <f>_xlfn.XLOOKUP(J423,REF!$D$2:$D$12,REF!$E$2:$E$12)</f>
        <v>Comunicação</v>
      </c>
      <c r="L423" s="1" t="s">
        <v>404</v>
      </c>
      <c r="M423" s="1" t="s">
        <v>265</v>
      </c>
      <c r="N423" s="1" t="s">
        <v>266</v>
      </c>
      <c r="O423" s="1" t="s">
        <v>405</v>
      </c>
      <c r="P423" s="1" t="str">
        <f t="shared" si="29"/>
        <v>BC Corumba2.2U02.I0246036,638888888946036,638888888946036,7152777778</v>
      </c>
      <c r="Q423" s="1" t="str">
        <f t="shared" si="30"/>
        <v>LIGRFOCOM</v>
      </c>
    </row>
    <row r="424" spans="2:17">
      <c r="B424" s="1" t="s">
        <v>419</v>
      </c>
      <c r="C424" s="1" t="s">
        <v>409</v>
      </c>
      <c r="D424" s="52">
        <v>46036.638888888891</v>
      </c>
      <c r="E424" s="52">
        <v>46036.638888888891</v>
      </c>
      <c r="F424" s="52">
        <v>46036.715277777781</v>
      </c>
      <c r="G424" s="53">
        <f t="shared" si="28"/>
        <v>7.6388888890505768E-2</v>
      </c>
      <c r="H424" s="1" t="s">
        <v>260</v>
      </c>
      <c r="I424" s="1" t="s">
        <v>261</v>
      </c>
      <c r="J424" s="1" t="s">
        <v>262</v>
      </c>
      <c r="K424" s="1" t="str">
        <f>_xlfn.XLOOKUP(J424,REF!$D$2:$D$12,REF!$E$2:$E$12)</f>
        <v>Comunicação</v>
      </c>
      <c r="L424" s="1" t="s">
        <v>404</v>
      </c>
      <c r="M424" s="1" t="s">
        <v>265</v>
      </c>
      <c r="N424" s="1" t="s">
        <v>266</v>
      </c>
      <c r="O424" s="1" t="s">
        <v>405</v>
      </c>
      <c r="P424" s="1" t="str">
        <f t="shared" si="29"/>
        <v>BC Corumba2.2U02.I0346036,638888888946036,638888888946036,7152777778</v>
      </c>
      <c r="Q424" s="1" t="str">
        <f t="shared" si="30"/>
        <v>LIGRFOCOM</v>
      </c>
    </row>
    <row r="425" spans="2:17">
      <c r="B425" s="1" t="s">
        <v>419</v>
      </c>
      <c r="C425" s="1" t="s">
        <v>410</v>
      </c>
      <c r="D425" s="52">
        <v>46036.638888888891</v>
      </c>
      <c r="E425" s="52">
        <v>46036.638888888891</v>
      </c>
      <c r="F425" s="52">
        <v>46036.715277777781</v>
      </c>
      <c r="G425" s="53">
        <f t="shared" si="28"/>
        <v>7.6388888890505768E-2</v>
      </c>
      <c r="H425" s="1" t="s">
        <v>260</v>
      </c>
      <c r="I425" s="1" t="s">
        <v>261</v>
      </c>
      <c r="J425" s="1" t="s">
        <v>262</v>
      </c>
      <c r="K425" s="1" t="str">
        <f>_xlfn.XLOOKUP(J425,REF!$D$2:$D$12,REF!$E$2:$E$12)</f>
        <v>Comunicação</v>
      </c>
      <c r="L425" s="1" t="s">
        <v>404</v>
      </c>
      <c r="M425" s="1" t="s">
        <v>265</v>
      </c>
      <c r="N425" s="1" t="s">
        <v>266</v>
      </c>
      <c r="O425" s="1" t="s">
        <v>405</v>
      </c>
      <c r="P425" s="1" t="str">
        <f t="shared" si="29"/>
        <v>BC Corumba2.2U02.I0446036,638888888946036,638888888946036,7152777778</v>
      </c>
      <c r="Q425" s="1" t="str">
        <f t="shared" si="30"/>
        <v>LIGRFOCOM</v>
      </c>
    </row>
    <row r="426" spans="2:17">
      <c r="B426" s="1" t="s">
        <v>419</v>
      </c>
      <c r="C426" s="1" t="s">
        <v>411</v>
      </c>
      <c r="D426" s="52">
        <v>46036.638888888891</v>
      </c>
      <c r="E426" s="52">
        <v>46036.638888888891</v>
      </c>
      <c r="F426" s="52">
        <v>46036.715277777781</v>
      </c>
      <c r="G426" s="53">
        <f t="shared" si="28"/>
        <v>7.6388888890505768E-2</v>
      </c>
      <c r="H426" s="1" t="s">
        <v>260</v>
      </c>
      <c r="I426" s="1" t="s">
        <v>261</v>
      </c>
      <c r="J426" s="1" t="s">
        <v>262</v>
      </c>
      <c r="K426" s="1" t="str">
        <f>_xlfn.XLOOKUP(J426,REF!$D$2:$D$12,REF!$E$2:$E$12)</f>
        <v>Comunicação</v>
      </c>
      <c r="L426" s="1" t="s">
        <v>404</v>
      </c>
      <c r="M426" s="1" t="s">
        <v>265</v>
      </c>
      <c r="N426" s="1" t="s">
        <v>266</v>
      </c>
      <c r="O426" s="1" t="s">
        <v>405</v>
      </c>
      <c r="P426" s="1" t="str">
        <f t="shared" si="29"/>
        <v>BC Corumba2.2U02.I0546036,638888888946036,638888888946036,7152777778</v>
      </c>
      <c r="Q426" s="1" t="str">
        <f t="shared" si="30"/>
        <v>LIGRFOCOM</v>
      </c>
    </row>
    <row r="427" spans="2:17">
      <c r="B427" s="1" t="s">
        <v>420</v>
      </c>
      <c r="C427" s="1" t="s">
        <v>413</v>
      </c>
      <c r="D427" s="52">
        <v>46036.638888888891</v>
      </c>
      <c r="E427" s="52">
        <v>46036.638888888891</v>
      </c>
      <c r="F427" s="52">
        <v>46036.715277777781</v>
      </c>
      <c r="G427" s="53">
        <f t="shared" si="28"/>
        <v>7.6388888890505768E-2</v>
      </c>
      <c r="H427" s="1" t="s">
        <v>260</v>
      </c>
      <c r="I427" s="1" t="s">
        <v>261</v>
      </c>
      <c r="J427" s="1" t="s">
        <v>262</v>
      </c>
      <c r="K427" s="1" t="str">
        <f>_xlfn.XLOOKUP(J427,REF!$D$2:$D$12,REF!$E$2:$E$12)</f>
        <v>Comunicação</v>
      </c>
      <c r="L427" s="1" t="s">
        <v>404</v>
      </c>
      <c r="M427" s="1" t="s">
        <v>265</v>
      </c>
      <c r="N427" s="1" t="s">
        <v>266</v>
      </c>
      <c r="O427" s="1" t="s">
        <v>405</v>
      </c>
      <c r="P427" s="1" t="str">
        <f t="shared" si="29"/>
        <v>BC Corumba2.3U03.I0146036,638888888946036,638888888946036,7152777778</v>
      </c>
      <c r="Q427" s="1" t="str">
        <f t="shared" si="30"/>
        <v>LIGRFOCOM</v>
      </c>
    </row>
    <row r="428" spans="2:17">
      <c r="B428" s="1" t="s">
        <v>420</v>
      </c>
      <c r="C428" s="1" t="s">
        <v>414</v>
      </c>
      <c r="D428" s="52">
        <v>46036.638888888891</v>
      </c>
      <c r="E428" s="52">
        <v>46036.638888888891</v>
      </c>
      <c r="F428" s="52">
        <v>46036.715277777781</v>
      </c>
      <c r="G428" s="53">
        <f t="shared" si="28"/>
        <v>7.6388888890505768E-2</v>
      </c>
      <c r="H428" s="1" t="s">
        <v>260</v>
      </c>
      <c r="I428" s="1" t="s">
        <v>261</v>
      </c>
      <c r="J428" s="1" t="s">
        <v>262</v>
      </c>
      <c r="K428" s="1" t="str">
        <f>_xlfn.XLOOKUP(J428,REF!$D$2:$D$12,REF!$E$2:$E$12)</f>
        <v>Comunicação</v>
      </c>
      <c r="L428" s="1" t="s">
        <v>404</v>
      </c>
      <c r="M428" s="1" t="s">
        <v>265</v>
      </c>
      <c r="N428" s="1" t="s">
        <v>266</v>
      </c>
      <c r="O428" s="1" t="s">
        <v>405</v>
      </c>
      <c r="P428" s="1" t="str">
        <f t="shared" si="29"/>
        <v>BC Corumba2.3U03.I0246036,638888888946036,638888888946036,7152777778</v>
      </c>
      <c r="Q428" s="1" t="str">
        <f t="shared" si="30"/>
        <v>LIGRFOCOM</v>
      </c>
    </row>
    <row r="429" spans="2:17">
      <c r="B429" s="1" t="s">
        <v>420</v>
      </c>
      <c r="C429" s="1" t="s">
        <v>415</v>
      </c>
      <c r="D429" s="52">
        <v>46036.638888888891</v>
      </c>
      <c r="E429" s="52">
        <v>46036.638888888891</v>
      </c>
      <c r="F429" s="52">
        <v>46036.715277777781</v>
      </c>
      <c r="G429" s="53">
        <f t="shared" si="28"/>
        <v>7.6388888890505768E-2</v>
      </c>
      <c r="H429" s="1" t="s">
        <v>260</v>
      </c>
      <c r="I429" s="1" t="s">
        <v>261</v>
      </c>
      <c r="J429" s="1" t="s">
        <v>262</v>
      </c>
      <c r="K429" s="1" t="str">
        <f>_xlfn.XLOOKUP(J429,REF!$D$2:$D$12,REF!$E$2:$E$12)</f>
        <v>Comunicação</v>
      </c>
      <c r="L429" s="1" t="s">
        <v>404</v>
      </c>
      <c r="M429" s="1" t="s">
        <v>265</v>
      </c>
      <c r="N429" s="1" t="s">
        <v>266</v>
      </c>
      <c r="O429" s="1" t="s">
        <v>405</v>
      </c>
      <c r="P429" s="1" t="str">
        <f t="shared" si="29"/>
        <v>BC Corumba2.3U03.I0346036,638888888946036,638888888946036,7152777778</v>
      </c>
      <c r="Q429" s="1" t="str">
        <f t="shared" si="30"/>
        <v>LIGRFOCOM</v>
      </c>
    </row>
    <row r="430" spans="2:17">
      <c r="B430" s="1" t="s">
        <v>421</v>
      </c>
      <c r="C430" s="1" t="s">
        <v>357</v>
      </c>
      <c r="D430" s="52">
        <v>46023.425694444442</v>
      </c>
      <c r="E430" s="52">
        <v>46023.425694444442</v>
      </c>
      <c r="F430" s="52">
        <v>46024.395833333336</v>
      </c>
      <c r="G430" s="53">
        <f t="shared" si="28"/>
        <v>0.97013888889341615</v>
      </c>
      <c r="H430" s="1" t="s">
        <v>248</v>
      </c>
      <c r="J430" s="1" t="s">
        <v>249</v>
      </c>
      <c r="K430" s="1" t="s">
        <v>349</v>
      </c>
      <c r="L430" s="1" t="s">
        <v>422</v>
      </c>
      <c r="M430" s="1" t="s">
        <v>251</v>
      </c>
      <c r="N430" s="1" t="s">
        <v>330</v>
      </c>
      <c r="O430" s="1" t="s">
        <v>331</v>
      </c>
      <c r="P430" s="1" t="str">
        <f t="shared" si="29"/>
        <v>BC Formoso1.2Inverter(MBUS-13)46023,425694444446023,425694444446024,3958333333</v>
      </c>
      <c r="Q430" s="1" t="str">
        <f t="shared" si="30"/>
        <v>DAURDE</v>
      </c>
    </row>
    <row r="431" spans="2:17">
      <c r="B431" s="1" t="s">
        <v>421</v>
      </c>
      <c r="C431" s="1" t="s">
        <v>354</v>
      </c>
      <c r="D431" s="52">
        <v>46023.425694444442</v>
      </c>
      <c r="E431" s="52">
        <v>46023.425694444442</v>
      </c>
      <c r="F431" s="52">
        <v>46024.395833333336</v>
      </c>
      <c r="G431" s="53">
        <f t="shared" si="28"/>
        <v>0.97013888889341615</v>
      </c>
      <c r="H431" s="1" t="s">
        <v>248</v>
      </c>
      <c r="J431" s="1" t="s">
        <v>249</v>
      </c>
      <c r="K431" s="1" t="s">
        <v>349</v>
      </c>
      <c r="L431" s="1" t="s">
        <v>422</v>
      </c>
      <c r="M431" s="1" t="s">
        <v>251</v>
      </c>
      <c r="N431" s="1" t="s">
        <v>330</v>
      </c>
      <c r="O431" s="1" t="s">
        <v>331</v>
      </c>
      <c r="P431" s="1" t="str">
        <f t="shared" si="29"/>
        <v>BC Formoso1.2Inverter(MBUS-12)46023,425694444446023,425694444446024,3958333333</v>
      </c>
      <c r="Q431" s="1" t="str">
        <f t="shared" si="30"/>
        <v>DAURDE</v>
      </c>
    </row>
    <row r="432" spans="2:17">
      <c r="B432" s="1" t="s">
        <v>421</v>
      </c>
      <c r="C432" s="1" t="s">
        <v>359</v>
      </c>
      <c r="D432" s="52">
        <v>46023.425694444442</v>
      </c>
      <c r="E432" s="52">
        <v>46023.425694444442</v>
      </c>
      <c r="F432" s="52">
        <v>46024.395833333336</v>
      </c>
      <c r="G432" s="53">
        <f t="shared" si="28"/>
        <v>0.97013888889341615</v>
      </c>
      <c r="H432" s="1" t="s">
        <v>248</v>
      </c>
      <c r="J432" s="1" t="s">
        <v>249</v>
      </c>
      <c r="K432" s="1" t="s">
        <v>349</v>
      </c>
      <c r="L432" s="1" t="s">
        <v>422</v>
      </c>
      <c r="M432" s="1" t="s">
        <v>251</v>
      </c>
      <c r="N432" s="1" t="s">
        <v>330</v>
      </c>
      <c r="O432" s="1" t="s">
        <v>331</v>
      </c>
      <c r="P432" s="1" t="str">
        <f t="shared" si="29"/>
        <v>BC Formoso1.2Inverter(MBUS-15)46023,425694444446023,425694444446024,3958333333</v>
      </c>
      <c r="Q432" s="1" t="str">
        <f t="shared" si="30"/>
        <v>DAURDE</v>
      </c>
    </row>
    <row r="433" spans="2:17">
      <c r="B433" s="1" t="s">
        <v>421</v>
      </c>
      <c r="C433" s="1" t="s">
        <v>358</v>
      </c>
      <c r="D433" s="52">
        <v>46023.425694444442</v>
      </c>
      <c r="E433" s="52">
        <v>46023.425694444442</v>
      </c>
      <c r="F433" s="52">
        <v>46024.395833333336</v>
      </c>
      <c r="G433" s="53">
        <f t="shared" si="28"/>
        <v>0.97013888889341615</v>
      </c>
      <c r="H433" s="1" t="s">
        <v>248</v>
      </c>
      <c r="J433" s="1" t="s">
        <v>249</v>
      </c>
      <c r="K433" s="1" t="s">
        <v>349</v>
      </c>
      <c r="L433" s="1" t="s">
        <v>422</v>
      </c>
      <c r="M433" s="1" t="s">
        <v>251</v>
      </c>
      <c r="N433" s="1" t="s">
        <v>330</v>
      </c>
      <c r="O433" s="1" t="s">
        <v>331</v>
      </c>
      <c r="P433" s="1" t="str">
        <f t="shared" si="29"/>
        <v>BC Formoso1.2Inverter(MBUS-14)46023,425694444446023,425694444446024,3958333333</v>
      </c>
      <c r="Q433" s="1" t="str">
        <f t="shared" si="30"/>
        <v>DAURDE</v>
      </c>
    </row>
    <row r="434" spans="2:17">
      <c r="B434" s="1" t="s">
        <v>423</v>
      </c>
      <c r="C434" s="1" t="s">
        <v>354</v>
      </c>
      <c r="D434" s="52">
        <v>46023.425694444442</v>
      </c>
      <c r="E434" s="52">
        <v>46023.425694444442</v>
      </c>
      <c r="F434" s="52">
        <v>46024.395833333336</v>
      </c>
      <c r="G434" s="53">
        <f t="shared" si="28"/>
        <v>0.97013888889341615</v>
      </c>
      <c r="H434" s="1" t="s">
        <v>248</v>
      </c>
      <c r="J434" s="1" t="s">
        <v>249</v>
      </c>
      <c r="K434" s="1" t="s">
        <v>349</v>
      </c>
      <c r="L434" s="1" t="s">
        <v>422</v>
      </c>
      <c r="M434" s="1" t="s">
        <v>251</v>
      </c>
      <c r="N434" s="1" t="s">
        <v>330</v>
      </c>
      <c r="O434" s="1" t="s">
        <v>331</v>
      </c>
      <c r="P434" s="1" t="str">
        <f t="shared" si="29"/>
        <v>BC Formoso2.1Inverter(MBUS-12)46023,425694444446023,425694444446024,3958333333</v>
      </c>
      <c r="Q434" s="1" t="str">
        <f t="shared" si="30"/>
        <v>DAURDE</v>
      </c>
    </row>
    <row r="435" spans="2:17">
      <c r="B435" s="1" t="s">
        <v>423</v>
      </c>
      <c r="C435" s="1" t="s">
        <v>358</v>
      </c>
      <c r="D435" s="52">
        <v>46023.425694444442</v>
      </c>
      <c r="E435" s="52">
        <v>46023.425694444442</v>
      </c>
      <c r="F435" s="52">
        <v>46024.395833333336</v>
      </c>
      <c r="G435" s="53">
        <f t="shared" si="28"/>
        <v>0.97013888889341615</v>
      </c>
      <c r="H435" s="1" t="s">
        <v>248</v>
      </c>
      <c r="J435" s="1" t="s">
        <v>249</v>
      </c>
      <c r="K435" s="1" t="s">
        <v>349</v>
      </c>
      <c r="L435" s="1" t="s">
        <v>422</v>
      </c>
      <c r="M435" s="1" t="s">
        <v>251</v>
      </c>
      <c r="N435" s="1" t="s">
        <v>330</v>
      </c>
      <c r="O435" s="1" t="s">
        <v>331</v>
      </c>
      <c r="P435" s="1" t="str">
        <f t="shared" si="29"/>
        <v>BC Formoso2.1Inverter(MBUS-14)46023,425694444446023,425694444446024,3958333333</v>
      </c>
      <c r="Q435" s="1" t="str">
        <f t="shared" si="30"/>
        <v>DAURDE</v>
      </c>
    </row>
    <row r="436" spans="2:17">
      <c r="B436" s="1" t="s">
        <v>423</v>
      </c>
      <c r="C436" s="1" t="s">
        <v>357</v>
      </c>
      <c r="D436" s="52">
        <v>46023.425694444442</v>
      </c>
      <c r="E436" s="52">
        <v>46023.425694444442</v>
      </c>
      <c r="F436" s="52">
        <v>46024.395833333336</v>
      </c>
      <c r="G436" s="53">
        <f t="shared" si="28"/>
        <v>0.97013888889341615</v>
      </c>
      <c r="H436" s="1" t="s">
        <v>248</v>
      </c>
      <c r="J436" s="1" t="s">
        <v>249</v>
      </c>
      <c r="K436" s="1" t="s">
        <v>349</v>
      </c>
      <c r="L436" s="1" t="s">
        <v>422</v>
      </c>
      <c r="M436" s="1" t="s">
        <v>251</v>
      </c>
      <c r="N436" s="1" t="s">
        <v>330</v>
      </c>
      <c r="O436" s="1" t="s">
        <v>331</v>
      </c>
      <c r="P436" s="1" t="str">
        <f t="shared" si="29"/>
        <v>BC Formoso2.1Inverter(MBUS-13)46023,425694444446023,425694444446024,3958333333</v>
      </c>
      <c r="Q436" s="1" t="str">
        <f t="shared" si="30"/>
        <v>DAURDE</v>
      </c>
    </row>
    <row r="437" spans="2:17">
      <c r="B437" s="1" t="s">
        <v>423</v>
      </c>
      <c r="C437" s="1" t="s">
        <v>328</v>
      </c>
      <c r="D437" s="52">
        <v>46023.425694444442</v>
      </c>
      <c r="E437" s="52">
        <v>46023.425694444442</v>
      </c>
      <c r="F437" s="52">
        <v>46024.395833333336</v>
      </c>
      <c r="G437" s="53">
        <f t="shared" si="28"/>
        <v>0.97013888889341615</v>
      </c>
      <c r="H437" s="1" t="s">
        <v>248</v>
      </c>
      <c r="J437" s="1" t="s">
        <v>249</v>
      </c>
      <c r="K437" s="1" t="s">
        <v>349</v>
      </c>
      <c r="L437" s="1" t="s">
        <v>422</v>
      </c>
      <c r="M437" s="1" t="s">
        <v>251</v>
      </c>
      <c r="N437" s="1" t="s">
        <v>330</v>
      </c>
      <c r="O437" s="1" t="s">
        <v>331</v>
      </c>
      <c r="P437" s="1" t="str">
        <f t="shared" si="29"/>
        <v>BC Formoso2.1Inverter(MBUS-1)46023,425694444446023,425694444446024,3958333333</v>
      </c>
      <c r="Q437" s="1" t="str">
        <f t="shared" si="30"/>
        <v>DAURDE</v>
      </c>
    </row>
    <row r="438" spans="2:17">
      <c r="B438" s="1" t="s">
        <v>424</v>
      </c>
      <c r="C438" s="1" t="s">
        <v>358</v>
      </c>
      <c r="D438" s="52">
        <v>46023.425694444442</v>
      </c>
      <c r="E438" s="52">
        <v>46023.425694444442</v>
      </c>
      <c r="F438" s="52">
        <v>46024.395833333336</v>
      </c>
      <c r="G438" s="53">
        <f t="shared" si="28"/>
        <v>0.97013888889341615</v>
      </c>
      <c r="H438" s="1" t="s">
        <v>248</v>
      </c>
      <c r="J438" s="1" t="s">
        <v>249</v>
      </c>
      <c r="K438" s="1" t="s">
        <v>349</v>
      </c>
      <c r="L438" s="1" t="s">
        <v>422</v>
      </c>
      <c r="M438" s="1" t="s">
        <v>251</v>
      </c>
      <c r="N438" s="1" t="s">
        <v>330</v>
      </c>
      <c r="O438" s="1" t="s">
        <v>331</v>
      </c>
      <c r="P438" s="1" t="str">
        <f t="shared" si="29"/>
        <v>BC Formoso2.2Inverter(MBUS-14)46023,425694444446023,425694444446024,3958333333</v>
      </c>
      <c r="Q438" s="1" t="str">
        <f t="shared" si="30"/>
        <v>DAURDE</v>
      </c>
    </row>
    <row r="439" spans="2:17">
      <c r="B439" s="1" t="s">
        <v>424</v>
      </c>
      <c r="C439" s="1" t="s">
        <v>357</v>
      </c>
      <c r="D439" s="52">
        <v>46023.425694444442</v>
      </c>
      <c r="E439" s="52">
        <v>46023.425694444442</v>
      </c>
      <c r="F439" s="52">
        <v>46024.395833333336</v>
      </c>
      <c r="G439" s="53">
        <f t="shared" si="28"/>
        <v>0.97013888889341615</v>
      </c>
      <c r="H439" s="1" t="s">
        <v>248</v>
      </c>
      <c r="J439" s="1" t="s">
        <v>249</v>
      </c>
      <c r="K439" s="1" t="s">
        <v>349</v>
      </c>
      <c r="L439" s="1" t="s">
        <v>422</v>
      </c>
      <c r="M439" s="1" t="s">
        <v>251</v>
      </c>
      <c r="N439" s="1" t="s">
        <v>330</v>
      </c>
      <c r="O439" s="1" t="s">
        <v>331</v>
      </c>
      <c r="P439" s="1" t="str">
        <f t="shared" si="29"/>
        <v>BC Formoso2.2Inverter(MBUS-13)46023,425694444446023,425694444446024,3958333333</v>
      </c>
      <c r="Q439" s="1" t="str">
        <f t="shared" si="30"/>
        <v>DAURDE</v>
      </c>
    </row>
    <row r="440" spans="2:17">
      <c r="B440" s="1" t="s">
        <v>424</v>
      </c>
      <c r="C440" s="1" t="s">
        <v>354</v>
      </c>
      <c r="D440" s="52">
        <v>46023.425694444442</v>
      </c>
      <c r="E440" s="52">
        <v>46023.425694444442</v>
      </c>
      <c r="F440" s="52">
        <v>46024.395833333336</v>
      </c>
      <c r="G440" s="53">
        <f t="shared" si="28"/>
        <v>0.97013888889341615</v>
      </c>
      <c r="H440" s="1" t="s">
        <v>248</v>
      </c>
      <c r="J440" s="1" t="s">
        <v>249</v>
      </c>
      <c r="K440" s="1" t="s">
        <v>349</v>
      </c>
      <c r="L440" s="1" t="s">
        <v>422</v>
      </c>
      <c r="M440" s="1" t="s">
        <v>251</v>
      </c>
      <c r="N440" s="1" t="s">
        <v>330</v>
      </c>
      <c r="O440" s="1" t="s">
        <v>331</v>
      </c>
      <c r="P440" s="1" t="str">
        <f t="shared" si="29"/>
        <v>BC Formoso2.2Inverter(MBUS-12)46023,425694444446023,425694444446024,3958333333</v>
      </c>
      <c r="Q440" s="1" t="str">
        <f t="shared" si="30"/>
        <v>DAURDE</v>
      </c>
    </row>
    <row r="441" spans="2:17">
      <c r="B441" s="1" t="s">
        <v>424</v>
      </c>
      <c r="C441" s="1" t="s">
        <v>328</v>
      </c>
      <c r="D441" s="52">
        <v>46023.425694444442</v>
      </c>
      <c r="E441" s="52">
        <v>46023.425694444442</v>
      </c>
      <c r="F441" s="52">
        <v>46024.395833333336</v>
      </c>
      <c r="G441" s="53">
        <f t="shared" si="28"/>
        <v>0.97013888889341615</v>
      </c>
      <c r="H441" s="1" t="s">
        <v>248</v>
      </c>
      <c r="J441" s="1" t="s">
        <v>249</v>
      </c>
      <c r="K441" s="1" t="s">
        <v>349</v>
      </c>
      <c r="L441" s="1" t="s">
        <v>422</v>
      </c>
      <c r="M441" s="1" t="s">
        <v>251</v>
      </c>
      <c r="N441" s="1" t="s">
        <v>330</v>
      </c>
      <c r="O441" s="1" t="s">
        <v>331</v>
      </c>
      <c r="P441" s="1" t="str">
        <f t="shared" si="29"/>
        <v>BC Formoso2.2Inverter(MBUS-1)46023,425694444446023,425694444446024,3958333333</v>
      </c>
      <c r="Q441" s="1" t="str">
        <f t="shared" si="30"/>
        <v>DAURDE</v>
      </c>
    </row>
    <row r="442" spans="2:17">
      <c r="B442" s="1" t="s">
        <v>425</v>
      </c>
      <c r="C442" s="1" t="s">
        <v>357</v>
      </c>
      <c r="D442" s="52">
        <v>46023.425694444442</v>
      </c>
      <c r="E442" s="52">
        <v>46023.425694444442</v>
      </c>
      <c r="F442" s="52">
        <v>46024.395833333336</v>
      </c>
      <c r="G442" s="53">
        <f t="shared" si="28"/>
        <v>0.97013888889341615</v>
      </c>
      <c r="H442" s="1" t="s">
        <v>248</v>
      </c>
      <c r="J442" s="1" t="s">
        <v>249</v>
      </c>
      <c r="K442" s="1" t="s">
        <v>349</v>
      </c>
      <c r="L442" s="1" t="s">
        <v>422</v>
      </c>
      <c r="M442" s="1" t="s">
        <v>251</v>
      </c>
      <c r="N442" s="1" t="s">
        <v>330</v>
      </c>
      <c r="O442" s="1" t="s">
        <v>331</v>
      </c>
      <c r="P442" s="1" t="str">
        <f t="shared" si="29"/>
        <v>BC Formoso2.3Inverter(MBUS-13)46023,425694444446023,425694444446024,3958333333</v>
      </c>
      <c r="Q442" s="1" t="str">
        <f t="shared" si="30"/>
        <v>DAURDE</v>
      </c>
    </row>
    <row r="443" spans="2:17">
      <c r="B443" s="1" t="s">
        <v>425</v>
      </c>
      <c r="C443" s="1" t="s">
        <v>354</v>
      </c>
      <c r="D443" s="52">
        <v>46023.425694444442</v>
      </c>
      <c r="E443" s="52">
        <v>46023.425694444442</v>
      </c>
      <c r="F443" s="52">
        <v>46024.395833333336</v>
      </c>
      <c r="G443" s="53">
        <f t="shared" si="28"/>
        <v>0.97013888889341615</v>
      </c>
      <c r="H443" s="1" t="s">
        <v>248</v>
      </c>
      <c r="J443" s="1" t="s">
        <v>249</v>
      </c>
      <c r="K443" s="1" t="s">
        <v>349</v>
      </c>
      <c r="L443" s="1" t="s">
        <v>422</v>
      </c>
      <c r="M443" s="1" t="s">
        <v>251</v>
      </c>
      <c r="N443" s="1" t="s">
        <v>330</v>
      </c>
      <c r="O443" s="1" t="s">
        <v>331</v>
      </c>
      <c r="P443" s="1" t="str">
        <f t="shared" si="29"/>
        <v>BC Formoso2.3Inverter(MBUS-12)46023,425694444446023,425694444446024,3958333333</v>
      </c>
      <c r="Q443" s="1" t="str">
        <f t="shared" si="30"/>
        <v>DAURDE</v>
      </c>
    </row>
    <row r="444" spans="2:17">
      <c r="B444" s="1" t="s">
        <v>425</v>
      </c>
      <c r="C444" s="1" t="s">
        <v>357</v>
      </c>
      <c r="D444" s="52">
        <v>46024.444444444445</v>
      </c>
      <c r="E444" s="52">
        <v>46024.444444444445</v>
      </c>
      <c r="F444" s="52">
        <v>46024.666666666664</v>
      </c>
      <c r="G444" s="53">
        <f t="shared" si="28"/>
        <v>0.22222222221898846</v>
      </c>
      <c r="H444" s="1" t="s">
        <v>248</v>
      </c>
      <c r="J444" s="1" t="s">
        <v>249</v>
      </c>
      <c r="K444" s="1" t="s">
        <v>349</v>
      </c>
      <c r="L444" s="1" t="s">
        <v>377</v>
      </c>
      <c r="M444" s="1" t="s">
        <v>251</v>
      </c>
      <c r="N444" s="1" t="s">
        <v>330</v>
      </c>
      <c r="O444" s="1" t="s">
        <v>253</v>
      </c>
      <c r="P444" s="1" t="str">
        <f t="shared" si="29"/>
        <v>BC Formoso2.3Inverter(MBUS-13)46024,444444444446024,444444444446024,6666666667</v>
      </c>
      <c r="Q444" s="1" t="str">
        <f t="shared" si="30"/>
        <v>DAURDE</v>
      </c>
    </row>
    <row r="445" spans="2:17">
      <c r="B445" s="1" t="s">
        <v>425</v>
      </c>
      <c r="C445" s="1" t="s">
        <v>354</v>
      </c>
      <c r="D445" s="52">
        <v>46024.444444444445</v>
      </c>
      <c r="E445" s="52">
        <v>46024.444444444445</v>
      </c>
      <c r="F445" s="52">
        <v>46024.666666666664</v>
      </c>
      <c r="G445" s="53">
        <f t="shared" ref="G445" si="31">F445-E445</f>
        <v>0.22222222221898846</v>
      </c>
      <c r="H445" s="1" t="s">
        <v>248</v>
      </c>
      <c r="J445" s="1" t="s">
        <v>249</v>
      </c>
      <c r="K445" s="1" t="s">
        <v>349</v>
      </c>
      <c r="L445" s="1" t="s">
        <v>377</v>
      </c>
      <c r="M445" s="1" t="s">
        <v>251</v>
      </c>
      <c r="N445" s="1" t="s">
        <v>330</v>
      </c>
      <c r="O445" s="1" t="s">
        <v>253</v>
      </c>
      <c r="P445" s="1" t="str">
        <f t="shared" si="29"/>
        <v>BC Formoso2.3Inverter(MBUS-12)46024,444444444446024,444444444446024,6666666667</v>
      </c>
      <c r="Q445" s="1" t="str">
        <f t="shared" si="30"/>
        <v>DAURDE</v>
      </c>
    </row>
    <row r="446" spans="2:17">
      <c r="B446" s="1" t="s">
        <v>424</v>
      </c>
      <c r="C446" s="1" t="s">
        <v>358</v>
      </c>
      <c r="D446" s="52">
        <v>46026.267361111109</v>
      </c>
      <c r="E446" s="52">
        <v>46026.267361111109</v>
      </c>
      <c r="F446" s="52">
        <v>46027.305555555555</v>
      </c>
      <c r="G446" s="53">
        <f t="shared" ref="G446:G508" si="32">F446-E446</f>
        <v>1.0381944444452529</v>
      </c>
      <c r="H446" s="1" t="s">
        <v>260</v>
      </c>
      <c r="I446" s="1" t="s">
        <v>261</v>
      </c>
      <c r="J446" s="1" t="s">
        <v>262</v>
      </c>
      <c r="K446" s="1" t="str">
        <f>_xlfn.XLOOKUP(J446,REF!$D$2:$D$12,REF!$E$2:$E$12)</f>
        <v>Comunicação</v>
      </c>
      <c r="L446" s="1" t="s">
        <v>426</v>
      </c>
      <c r="M446" s="1" t="s">
        <v>391</v>
      </c>
      <c r="N446" s="1" t="s">
        <v>266</v>
      </c>
      <c r="O446" s="1" t="s">
        <v>392</v>
      </c>
      <c r="P446" s="1" t="str">
        <f t="shared" si="29"/>
        <v>BC Formoso2.2Inverter(MBUS-14)46026,267361111146026,267361111146027,3055555556</v>
      </c>
      <c r="Q446" s="1" t="str">
        <f t="shared" si="30"/>
        <v>LIGRFOCOM</v>
      </c>
    </row>
    <row r="447" spans="2:17">
      <c r="B447" s="1" t="s">
        <v>424</v>
      </c>
      <c r="C447" s="1" t="s">
        <v>357</v>
      </c>
      <c r="D447" s="52">
        <v>46026.267361111109</v>
      </c>
      <c r="E447" s="52">
        <v>46026.267361111109</v>
      </c>
      <c r="F447" s="52">
        <v>46027.305555555555</v>
      </c>
      <c r="G447" s="53">
        <f t="shared" si="32"/>
        <v>1.0381944444452529</v>
      </c>
      <c r="H447" s="1" t="s">
        <v>260</v>
      </c>
      <c r="I447" s="1" t="s">
        <v>261</v>
      </c>
      <c r="J447" s="1" t="s">
        <v>262</v>
      </c>
      <c r="K447" s="1" t="str">
        <f>_xlfn.XLOOKUP(J447,REF!$D$2:$D$12,REF!$E$2:$E$12)</f>
        <v>Comunicação</v>
      </c>
      <c r="L447" s="1" t="s">
        <v>426</v>
      </c>
      <c r="M447" s="1" t="s">
        <v>391</v>
      </c>
      <c r="N447" s="1" t="s">
        <v>266</v>
      </c>
      <c r="O447" s="1" t="s">
        <v>392</v>
      </c>
      <c r="P447" s="1" t="str">
        <f t="shared" si="29"/>
        <v>BC Formoso2.2Inverter(MBUS-13)46026,267361111146026,267361111146027,3055555556</v>
      </c>
      <c r="Q447" s="1" t="str">
        <f t="shared" si="30"/>
        <v>LIGRFOCOM</v>
      </c>
    </row>
    <row r="448" spans="2:17">
      <c r="B448" s="1" t="s">
        <v>424</v>
      </c>
      <c r="C448" s="1" t="s">
        <v>354</v>
      </c>
      <c r="D448" s="52">
        <v>46026.267361111109</v>
      </c>
      <c r="E448" s="52">
        <v>46026.267361111109</v>
      </c>
      <c r="F448" s="52">
        <v>46027.305555555555</v>
      </c>
      <c r="G448" s="53">
        <f t="shared" si="32"/>
        <v>1.0381944444452529</v>
      </c>
      <c r="H448" s="1" t="s">
        <v>260</v>
      </c>
      <c r="I448" s="1" t="s">
        <v>261</v>
      </c>
      <c r="J448" s="1" t="s">
        <v>262</v>
      </c>
      <c r="K448" s="1" t="str">
        <f>_xlfn.XLOOKUP(J448,REF!$D$2:$D$12,REF!$E$2:$E$12)</f>
        <v>Comunicação</v>
      </c>
      <c r="L448" s="1" t="s">
        <v>426</v>
      </c>
      <c r="M448" s="1" t="s">
        <v>391</v>
      </c>
      <c r="N448" s="1" t="s">
        <v>266</v>
      </c>
      <c r="O448" s="1" t="s">
        <v>392</v>
      </c>
      <c r="P448" s="1" t="str">
        <f t="shared" si="29"/>
        <v>BC Formoso2.2Inverter(MBUS-12)46026,267361111146026,267361111146027,3055555556</v>
      </c>
      <c r="Q448" s="1" t="str">
        <f t="shared" si="30"/>
        <v>LIGRFOCOM</v>
      </c>
    </row>
    <row r="449" spans="2:17">
      <c r="B449" s="1" t="s">
        <v>424</v>
      </c>
      <c r="C449" s="1" t="s">
        <v>328</v>
      </c>
      <c r="D449" s="52">
        <v>46026.267361111109</v>
      </c>
      <c r="E449" s="52">
        <v>46026.267361111109</v>
      </c>
      <c r="F449" s="52">
        <v>46027.305555555555</v>
      </c>
      <c r="G449" s="53">
        <f t="shared" si="32"/>
        <v>1.0381944444452529</v>
      </c>
      <c r="H449" s="1" t="s">
        <v>260</v>
      </c>
      <c r="I449" s="1" t="s">
        <v>261</v>
      </c>
      <c r="J449" s="1" t="s">
        <v>262</v>
      </c>
      <c r="K449" s="1" t="str">
        <f>_xlfn.XLOOKUP(J449,REF!$D$2:$D$12,REF!$E$2:$E$12)</f>
        <v>Comunicação</v>
      </c>
      <c r="L449" s="1" t="s">
        <v>426</v>
      </c>
      <c r="M449" s="1" t="s">
        <v>391</v>
      </c>
      <c r="N449" s="1" t="s">
        <v>266</v>
      </c>
      <c r="O449" s="1" t="s">
        <v>392</v>
      </c>
      <c r="P449" s="1" t="str">
        <f t="shared" si="29"/>
        <v>BC Formoso2.2Inverter(MBUS-1)46026,267361111146026,267361111146027,3055555556</v>
      </c>
      <c r="Q449" s="1" t="str">
        <f t="shared" si="30"/>
        <v>LIGRFOCOM</v>
      </c>
    </row>
    <row r="450" spans="2:17">
      <c r="B450" s="1" t="s">
        <v>421</v>
      </c>
      <c r="C450" s="1" t="s">
        <v>357</v>
      </c>
      <c r="D450" s="52">
        <v>46030.027777777781</v>
      </c>
      <c r="E450" s="52">
        <v>46030.027777777781</v>
      </c>
      <c r="F450" s="52">
        <v>46030.303472222222</v>
      </c>
      <c r="G450" s="53">
        <f t="shared" si="32"/>
        <v>0.27569444444088731</v>
      </c>
      <c r="H450" s="1" t="s">
        <v>248</v>
      </c>
      <c r="J450" s="1" t="s">
        <v>249</v>
      </c>
      <c r="K450" s="1" t="s">
        <v>349</v>
      </c>
      <c r="L450" s="1" t="s">
        <v>381</v>
      </c>
      <c r="M450" s="1" t="s">
        <v>251</v>
      </c>
      <c r="N450" s="1" t="s">
        <v>330</v>
      </c>
      <c r="O450" s="1" t="s">
        <v>331</v>
      </c>
      <c r="P450" s="1" t="str">
        <f t="shared" si="29"/>
        <v>BC Formoso1.2Inverter(MBUS-13)46030,027777777846030,027777777846030,3034722222</v>
      </c>
      <c r="Q450" s="1" t="str">
        <f t="shared" si="30"/>
        <v>DAURDE</v>
      </c>
    </row>
    <row r="451" spans="2:17">
      <c r="B451" s="1" t="s">
        <v>421</v>
      </c>
      <c r="C451" s="1" t="s">
        <v>354</v>
      </c>
      <c r="D451" s="52">
        <v>46030.027777777781</v>
      </c>
      <c r="E451" s="52">
        <v>46030.027777777781</v>
      </c>
      <c r="F451" s="52">
        <v>46030.303472222222</v>
      </c>
      <c r="G451" s="53">
        <f t="shared" si="32"/>
        <v>0.27569444444088731</v>
      </c>
      <c r="H451" s="1" t="s">
        <v>248</v>
      </c>
      <c r="J451" s="1" t="s">
        <v>249</v>
      </c>
      <c r="K451" s="1" t="s">
        <v>349</v>
      </c>
      <c r="L451" s="1" t="s">
        <v>381</v>
      </c>
      <c r="M451" s="1" t="s">
        <v>251</v>
      </c>
      <c r="N451" s="1" t="s">
        <v>330</v>
      </c>
      <c r="O451" s="1" t="s">
        <v>331</v>
      </c>
      <c r="P451" s="1" t="str">
        <f t="shared" si="29"/>
        <v>BC Formoso1.2Inverter(MBUS-12)46030,027777777846030,027777777846030,3034722222</v>
      </c>
      <c r="Q451" s="1" t="str">
        <f t="shared" si="30"/>
        <v>DAURDE</v>
      </c>
    </row>
    <row r="452" spans="2:17">
      <c r="B452" s="1" t="s">
        <v>421</v>
      </c>
      <c r="C452" s="1" t="s">
        <v>359</v>
      </c>
      <c r="D452" s="52">
        <v>46030.027777777781</v>
      </c>
      <c r="E452" s="52">
        <v>46030.027777777781</v>
      </c>
      <c r="F452" s="52">
        <v>46030.303472222222</v>
      </c>
      <c r="G452" s="53">
        <f t="shared" si="32"/>
        <v>0.27569444444088731</v>
      </c>
      <c r="H452" s="1" t="s">
        <v>248</v>
      </c>
      <c r="J452" s="1" t="s">
        <v>249</v>
      </c>
      <c r="K452" s="1" t="s">
        <v>349</v>
      </c>
      <c r="L452" s="1" t="s">
        <v>381</v>
      </c>
      <c r="M452" s="1" t="s">
        <v>251</v>
      </c>
      <c r="N452" s="1" t="s">
        <v>330</v>
      </c>
      <c r="O452" s="1" t="s">
        <v>331</v>
      </c>
      <c r="P452" s="1" t="str">
        <f t="shared" si="29"/>
        <v>BC Formoso1.2Inverter(MBUS-15)46030,027777777846030,027777777846030,3034722222</v>
      </c>
      <c r="Q452" s="1" t="str">
        <f t="shared" si="30"/>
        <v>DAURDE</v>
      </c>
    </row>
    <row r="453" spans="2:17">
      <c r="B453" s="1" t="s">
        <v>421</v>
      </c>
      <c r="C453" s="1" t="s">
        <v>358</v>
      </c>
      <c r="D453" s="52">
        <v>46030.027777777781</v>
      </c>
      <c r="E453" s="52">
        <v>46030.027777777781</v>
      </c>
      <c r="F453" s="52">
        <v>46030.303472222222</v>
      </c>
      <c r="G453" s="53">
        <f t="shared" si="32"/>
        <v>0.27569444444088731</v>
      </c>
      <c r="H453" s="1" t="s">
        <v>248</v>
      </c>
      <c r="J453" s="1" t="s">
        <v>249</v>
      </c>
      <c r="K453" s="1" t="s">
        <v>349</v>
      </c>
      <c r="L453" s="1" t="s">
        <v>381</v>
      </c>
      <c r="M453" s="1" t="s">
        <v>251</v>
      </c>
      <c r="N453" s="1" t="s">
        <v>330</v>
      </c>
      <c r="O453" s="1" t="s">
        <v>331</v>
      </c>
      <c r="P453" s="1" t="str">
        <f t="shared" si="29"/>
        <v>BC Formoso1.2Inverter(MBUS-14)46030,027777777846030,027777777846030,3034722222</v>
      </c>
      <c r="Q453" s="1" t="str">
        <f t="shared" si="30"/>
        <v>DAURDE</v>
      </c>
    </row>
    <row r="454" spans="2:17">
      <c r="B454" s="1" t="s">
        <v>421</v>
      </c>
      <c r="C454" s="1" t="s">
        <v>357</v>
      </c>
      <c r="D454" s="52">
        <v>46030.725694444445</v>
      </c>
      <c r="E454" s="52">
        <v>46030.725694444445</v>
      </c>
      <c r="F454" s="52">
        <v>46031.319444444445</v>
      </c>
      <c r="G454" s="53">
        <f t="shared" si="32"/>
        <v>0.59375</v>
      </c>
      <c r="H454" s="1" t="s">
        <v>248</v>
      </c>
      <c r="J454" s="1" t="s">
        <v>249</v>
      </c>
      <c r="K454" s="1" t="s">
        <v>349</v>
      </c>
      <c r="L454" s="1" t="s">
        <v>427</v>
      </c>
      <c r="M454" s="1" t="s">
        <v>251</v>
      </c>
      <c r="N454" s="1" t="s">
        <v>330</v>
      </c>
      <c r="O454" s="1" t="s">
        <v>428</v>
      </c>
      <c r="P454" s="1" t="str">
        <f t="shared" si="29"/>
        <v>BC Formoso1.2Inverter(MBUS-13)46030,725694444446030,725694444446031,3194444444</v>
      </c>
      <c r="Q454" s="1" t="str">
        <f t="shared" si="30"/>
        <v>DAURDE</v>
      </c>
    </row>
    <row r="455" spans="2:17">
      <c r="B455" s="1" t="s">
        <v>421</v>
      </c>
      <c r="C455" s="1" t="s">
        <v>354</v>
      </c>
      <c r="D455" s="52">
        <v>46030.725694444445</v>
      </c>
      <c r="E455" s="52">
        <v>46030.725694444445</v>
      </c>
      <c r="F455" s="52">
        <v>46031.319444444445</v>
      </c>
      <c r="G455" s="53">
        <f t="shared" si="32"/>
        <v>0.59375</v>
      </c>
      <c r="H455" s="1" t="s">
        <v>248</v>
      </c>
      <c r="J455" s="1" t="s">
        <v>249</v>
      </c>
      <c r="K455" s="1" t="s">
        <v>349</v>
      </c>
      <c r="L455" s="1" t="s">
        <v>427</v>
      </c>
      <c r="M455" s="1" t="s">
        <v>251</v>
      </c>
      <c r="N455" s="1" t="s">
        <v>330</v>
      </c>
      <c r="O455" s="1" t="s">
        <v>428</v>
      </c>
      <c r="P455" s="1" t="str">
        <f t="shared" si="29"/>
        <v>BC Formoso1.2Inverter(MBUS-12)46030,725694444446030,725694444446031,3194444444</v>
      </c>
      <c r="Q455" s="1" t="str">
        <f t="shared" si="30"/>
        <v>DAURDE</v>
      </c>
    </row>
    <row r="456" spans="2:17">
      <c r="B456" s="1" t="s">
        <v>421</v>
      </c>
      <c r="C456" s="1" t="s">
        <v>359</v>
      </c>
      <c r="D456" s="52">
        <v>46030.725694444445</v>
      </c>
      <c r="E456" s="52">
        <v>46030.725694444445</v>
      </c>
      <c r="F456" s="52">
        <v>46031.319444444445</v>
      </c>
      <c r="G456" s="53">
        <f t="shared" si="32"/>
        <v>0.59375</v>
      </c>
      <c r="H456" s="1" t="s">
        <v>248</v>
      </c>
      <c r="J456" s="1" t="s">
        <v>249</v>
      </c>
      <c r="K456" s="1" t="s">
        <v>349</v>
      </c>
      <c r="L456" s="1" t="s">
        <v>427</v>
      </c>
      <c r="M456" s="1" t="s">
        <v>251</v>
      </c>
      <c r="N456" s="1" t="s">
        <v>330</v>
      </c>
      <c r="O456" s="1" t="s">
        <v>428</v>
      </c>
      <c r="P456" s="1" t="str">
        <f t="shared" ref="P456:P518" si="33">_xlfn.CONCAT(B456,C456,D456,E456,F456)</f>
        <v>BC Formoso1.2Inverter(MBUS-15)46030,725694444446030,725694444446031,3194444444</v>
      </c>
      <c r="Q456" s="1" t="str">
        <f t="shared" ref="Q456:Q518" si="34">_xlfn.CONCAT(H456,I456,J456)</f>
        <v>DAURDE</v>
      </c>
    </row>
    <row r="457" spans="2:17">
      <c r="B457" s="1" t="s">
        <v>421</v>
      </c>
      <c r="C457" s="1" t="s">
        <v>358</v>
      </c>
      <c r="D457" s="52">
        <v>46030.725694444445</v>
      </c>
      <c r="E457" s="52">
        <v>46030.725694444445</v>
      </c>
      <c r="F457" s="52">
        <v>46031.319444444445</v>
      </c>
      <c r="G457" s="53">
        <f t="shared" si="32"/>
        <v>0.59375</v>
      </c>
      <c r="H457" s="1" t="s">
        <v>248</v>
      </c>
      <c r="J457" s="1" t="s">
        <v>249</v>
      </c>
      <c r="K457" s="1" t="s">
        <v>349</v>
      </c>
      <c r="L457" s="1" t="s">
        <v>427</v>
      </c>
      <c r="M457" s="1" t="s">
        <v>251</v>
      </c>
      <c r="N457" s="1" t="s">
        <v>330</v>
      </c>
      <c r="O457" s="1" t="s">
        <v>428</v>
      </c>
      <c r="P457" s="1" t="str">
        <f t="shared" si="33"/>
        <v>BC Formoso1.2Inverter(MBUS-14)46030,725694444446030,725694444446031,3194444444</v>
      </c>
      <c r="Q457" s="1" t="str">
        <f t="shared" si="34"/>
        <v>DAURDE</v>
      </c>
    </row>
    <row r="458" spans="2:17">
      <c r="B458" s="1" t="s">
        <v>424</v>
      </c>
      <c r="C458" s="1" t="s">
        <v>358</v>
      </c>
      <c r="D458" s="52">
        <v>46030.725694444445</v>
      </c>
      <c r="E458" s="52">
        <v>46030.725694444445</v>
      </c>
      <c r="F458" s="52">
        <v>46031.319444444445</v>
      </c>
      <c r="G458" s="53">
        <f t="shared" si="32"/>
        <v>0.59375</v>
      </c>
      <c r="H458" s="1" t="s">
        <v>248</v>
      </c>
      <c r="J458" s="1" t="s">
        <v>249</v>
      </c>
      <c r="K458" s="1" t="s">
        <v>349</v>
      </c>
      <c r="L458" s="1" t="s">
        <v>427</v>
      </c>
      <c r="M458" s="1" t="s">
        <v>251</v>
      </c>
      <c r="N458" s="1" t="s">
        <v>330</v>
      </c>
      <c r="O458" s="1" t="s">
        <v>428</v>
      </c>
      <c r="P458" s="1" t="str">
        <f t="shared" si="33"/>
        <v>BC Formoso2.2Inverter(MBUS-14)46030,725694444446030,725694444446031,3194444444</v>
      </c>
      <c r="Q458" s="1" t="str">
        <f t="shared" si="34"/>
        <v>DAURDE</v>
      </c>
    </row>
    <row r="459" spans="2:17">
      <c r="B459" s="1" t="s">
        <v>424</v>
      </c>
      <c r="C459" s="1" t="s">
        <v>357</v>
      </c>
      <c r="D459" s="52">
        <v>46030.725694444445</v>
      </c>
      <c r="E459" s="52">
        <v>46030.725694444445</v>
      </c>
      <c r="F459" s="52">
        <v>46031.319444444445</v>
      </c>
      <c r="G459" s="53">
        <f t="shared" si="32"/>
        <v>0.59375</v>
      </c>
      <c r="H459" s="1" t="s">
        <v>248</v>
      </c>
      <c r="J459" s="1" t="s">
        <v>249</v>
      </c>
      <c r="K459" s="1" t="s">
        <v>349</v>
      </c>
      <c r="L459" s="1" t="s">
        <v>427</v>
      </c>
      <c r="M459" s="1" t="s">
        <v>251</v>
      </c>
      <c r="N459" s="1" t="s">
        <v>330</v>
      </c>
      <c r="O459" s="1" t="s">
        <v>428</v>
      </c>
      <c r="P459" s="1" t="str">
        <f t="shared" si="33"/>
        <v>BC Formoso2.2Inverter(MBUS-13)46030,725694444446030,725694444446031,3194444444</v>
      </c>
      <c r="Q459" s="1" t="str">
        <f t="shared" si="34"/>
        <v>DAURDE</v>
      </c>
    </row>
    <row r="460" spans="2:17">
      <c r="B460" s="1" t="s">
        <v>424</v>
      </c>
      <c r="C460" s="1" t="s">
        <v>354</v>
      </c>
      <c r="D460" s="52">
        <v>46030.725694444445</v>
      </c>
      <c r="E460" s="52">
        <v>46030.725694444445</v>
      </c>
      <c r="F460" s="52">
        <v>46031.319444444445</v>
      </c>
      <c r="G460" s="53">
        <f t="shared" si="32"/>
        <v>0.59375</v>
      </c>
      <c r="H460" s="1" t="s">
        <v>248</v>
      </c>
      <c r="J460" s="1" t="s">
        <v>249</v>
      </c>
      <c r="K460" s="1" t="s">
        <v>349</v>
      </c>
      <c r="L460" s="1" t="s">
        <v>427</v>
      </c>
      <c r="M460" s="1" t="s">
        <v>251</v>
      </c>
      <c r="N460" s="1" t="s">
        <v>330</v>
      </c>
      <c r="O460" s="1" t="s">
        <v>428</v>
      </c>
      <c r="P460" s="1" t="str">
        <f t="shared" si="33"/>
        <v>BC Formoso2.2Inverter(MBUS-12)46030,725694444446030,725694444446031,3194444444</v>
      </c>
      <c r="Q460" s="1" t="str">
        <f t="shared" si="34"/>
        <v>DAURDE</v>
      </c>
    </row>
    <row r="461" spans="2:17">
      <c r="B461" s="1" t="s">
        <v>424</v>
      </c>
      <c r="C461" s="1" t="s">
        <v>328</v>
      </c>
      <c r="D461" s="52">
        <v>46030.725694444445</v>
      </c>
      <c r="E461" s="52">
        <v>46030.725694444445</v>
      </c>
      <c r="F461" s="52">
        <v>46031.319444444445</v>
      </c>
      <c r="G461" s="53">
        <f t="shared" si="32"/>
        <v>0.59375</v>
      </c>
      <c r="H461" s="1" t="s">
        <v>248</v>
      </c>
      <c r="J461" s="1" t="s">
        <v>249</v>
      </c>
      <c r="K461" s="1" t="s">
        <v>349</v>
      </c>
      <c r="L461" s="1" t="s">
        <v>427</v>
      </c>
      <c r="M461" s="1" t="s">
        <v>251</v>
      </c>
      <c r="N461" s="1" t="s">
        <v>330</v>
      </c>
      <c r="O461" s="1" t="s">
        <v>428</v>
      </c>
      <c r="P461" s="1" t="str">
        <f t="shared" si="33"/>
        <v>BC Formoso2.2Inverter(MBUS-1)46030,725694444446030,725694444446031,3194444444</v>
      </c>
      <c r="Q461" s="1" t="str">
        <f t="shared" si="34"/>
        <v>DAURDE</v>
      </c>
    </row>
    <row r="462" spans="2:17">
      <c r="B462" s="1" t="s">
        <v>429</v>
      </c>
      <c r="C462" s="1" t="s">
        <v>357</v>
      </c>
      <c r="D462" s="52">
        <v>46032.152777777781</v>
      </c>
      <c r="E462" s="52">
        <v>46032.152777777781</v>
      </c>
      <c r="F462" s="52">
        <v>46034.413888888892</v>
      </c>
      <c r="G462" s="53">
        <f t="shared" si="32"/>
        <v>2.2611111111109494</v>
      </c>
      <c r="H462" s="1" t="s">
        <v>248</v>
      </c>
      <c r="J462" s="1" t="s">
        <v>249</v>
      </c>
      <c r="K462" s="1" t="s">
        <v>349</v>
      </c>
      <c r="L462" s="1" t="s">
        <v>427</v>
      </c>
      <c r="M462" s="1" t="s">
        <v>251</v>
      </c>
      <c r="N462" s="1" t="s">
        <v>330</v>
      </c>
      <c r="O462" s="1" t="s">
        <v>428</v>
      </c>
      <c r="P462" s="1" t="str">
        <f t="shared" si="33"/>
        <v>BC Formoso1.1Inverter(MBUS-13)46032,152777777846032,152777777846034,4138888889</v>
      </c>
      <c r="Q462" s="1" t="str">
        <f t="shared" si="34"/>
        <v>DAURDE</v>
      </c>
    </row>
    <row r="463" spans="2:17">
      <c r="B463" s="1" t="s">
        <v>429</v>
      </c>
      <c r="C463" s="1" t="s">
        <v>354</v>
      </c>
      <c r="D463" s="52">
        <v>46032.152777777781</v>
      </c>
      <c r="E463" s="52">
        <v>46032.152777777781</v>
      </c>
      <c r="F463" s="52">
        <v>46034.413888888892</v>
      </c>
      <c r="G463" s="53">
        <f t="shared" si="32"/>
        <v>2.2611111111109494</v>
      </c>
      <c r="H463" s="1" t="s">
        <v>248</v>
      </c>
      <c r="J463" s="1" t="s">
        <v>249</v>
      </c>
      <c r="K463" s="1" t="s">
        <v>349</v>
      </c>
      <c r="L463" s="1" t="s">
        <v>427</v>
      </c>
      <c r="M463" s="1" t="s">
        <v>251</v>
      </c>
      <c r="N463" s="1" t="s">
        <v>330</v>
      </c>
      <c r="O463" s="1" t="s">
        <v>428</v>
      </c>
      <c r="P463" s="1" t="str">
        <f t="shared" si="33"/>
        <v>BC Formoso1.1Inverter(MBUS-12)46032,152777777846032,152777777846034,4138888889</v>
      </c>
      <c r="Q463" s="1" t="str">
        <f t="shared" si="34"/>
        <v>DAURDE</v>
      </c>
    </row>
    <row r="464" spans="2:17">
      <c r="B464" s="1" t="s">
        <v>429</v>
      </c>
      <c r="C464" s="1" t="s">
        <v>359</v>
      </c>
      <c r="D464" s="52">
        <v>46032.152777777781</v>
      </c>
      <c r="E464" s="52">
        <v>46032.152777777781</v>
      </c>
      <c r="F464" s="52">
        <v>46034.413888888892</v>
      </c>
      <c r="G464" s="53">
        <f t="shared" si="32"/>
        <v>2.2611111111109494</v>
      </c>
      <c r="H464" s="1" t="s">
        <v>248</v>
      </c>
      <c r="J464" s="1" t="s">
        <v>249</v>
      </c>
      <c r="K464" s="1" t="s">
        <v>349</v>
      </c>
      <c r="L464" s="1" t="s">
        <v>427</v>
      </c>
      <c r="M464" s="1" t="s">
        <v>251</v>
      </c>
      <c r="N464" s="1" t="s">
        <v>330</v>
      </c>
      <c r="O464" s="1" t="s">
        <v>428</v>
      </c>
      <c r="P464" s="1" t="str">
        <f t="shared" si="33"/>
        <v>BC Formoso1.1Inverter(MBUS-15)46032,152777777846032,152777777846034,4138888889</v>
      </c>
      <c r="Q464" s="1" t="str">
        <f t="shared" si="34"/>
        <v>DAURDE</v>
      </c>
    </row>
    <row r="465" spans="2:17">
      <c r="B465" s="1" t="s">
        <v>429</v>
      </c>
      <c r="C465" s="1" t="s">
        <v>358</v>
      </c>
      <c r="D465" s="52">
        <v>46032.152777777781</v>
      </c>
      <c r="E465" s="52">
        <v>46032.152777777781</v>
      </c>
      <c r="F465" s="52">
        <v>46034.413888888892</v>
      </c>
      <c r="G465" s="53">
        <f t="shared" si="32"/>
        <v>2.2611111111109494</v>
      </c>
      <c r="H465" s="1" t="s">
        <v>248</v>
      </c>
      <c r="J465" s="1" t="s">
        <v>249</v>
      </c>
      <c r="K465" s="1" t="s">
        <v>349</v>
      </c>
      <c r="L465" s="1" t="s">
        <v>427</v>
      </c>
      <c r="M465" s="1" t="s">
        <v>251</v>
      </c>
      <c r="N465" s="1" t="s">
        <v>330</v>
      </c>
      <c r="O465" s="1" t="s">
        <v>428</v>
      </c>
      <c r="P465" s="1" t="str">
        <f t="shared" si="33"/>
        <v>BC Formoso1.1Inverter(MBUS-14)46032,152777777846032,152777777846034,4138888889</v>
      </c>
      <c r="Q465" s="1" t="str">
        <f t="shared" si="34"/>
        <v>DAURDE</v>
      </c>
    </row>
    <row r="466" spans="2:17">
      <c r="B466" s="1" t="s">
        <v>421</v>
      </c>
      <c r="C466" s="1" t="s">
        <v>357</v>
      </c>
      <c r="D466" s="52">
        <v>46032.152777777781</v>
      </c>
      <c r="E466" s="52">
        <v>46032.152777777781</v>
      </c>
      <c r="F466" s="52">
        <v>46034.413888888892</v>
      </c>
      <c r="G466" s="53">
        <f t="shared" si="32"/>
        <v>2.2611111111109494</v>
      </c>
      <c r="H466" s="1" t="s">
        <v>248</v>
      </c>
      <c r="J466" s="1" t="s">
        <v>249</v>
      </c>
      <c r="K466" s="1" t="s">
        <v>349</v>
      </c>
      <c r="L466" s="1" t="s">
        <v>427</v>
      </c>
      <c r="M466" s="1" t="s">
        <v>251</v>
      </c>
      <c r="N466" s="1" t="s">
        <v>330</v>
      </c>
      <c r="O466" s="1" t="s">
        <v>428</v>
      </c>
      <c r="P466" s="1" t="str">
        <f t="shared" si="33"/>
        <v>BC Formoso1.2Inverter(MBUS-13)46032,152777777846032,152777777846034,4138888889</v>
      </c>
      <c r="Q466" s="1" t="str">
        <f t="shared" si="34"/>
        <v>DAURDE</v>
      </c>
    </row>
    <row r="467" spans="2:17">
      <c r="B467" s="1" t="s">
        <v>421</v>
      </c>
      <c r="C467" s="1" t="s">
        <v>354</v>
      </c>
      <c r="D467" s="52">
        <v>46032.152777777781</v>
      </c>
      <c r="E467" s="52">
        <v>46032.152777777781</v>
      </c>
      <c r="F467" s="52">
        <v>46034.413888888892</v>
      </c>
      <c r="G467" s="53">
        <f t="shared" si="32"/>
        <v>2.2611111111109494</v>
      </c>
      <c r="H467" s="1" t="s">
        <v>248</v>
      </c>
      <c r="J467" s="1" t="s">
        <v>249</v>
      </c>
      <c r="K467" s="1" t="s">
        <v>349</v>
      </c>
      <c r="L467" s="1" t="s">
        <v>427</v>
      </c>
      <c r="M467" s="1" t="s">
        <v>251</v>
      </c>
      <c r="N467" s="1" t="s">
        <v>330</v>
      </c>
      <c r="O467" s="1" t="s">
        <v>428</v>
      </c>
      <c r="P467" s="1" t="str">
        <f t="shared" si="33"/>
        <v>BC Formoso1.2Inverter(MBUS-12)46032,152777777846032,152777777846034,4138888889</v>
      </c>
      <c r="Q467" s="1" t="str">
        <f t="shared" si="34"/>
        <v>DAURDE</v>
      </c>
    </row>
    <row r="468" spans="2:17">
      <c r="B468" s="1" t="s">
        <v>421</v>
      </c>
      <c r="C468" s="1" t="s">
        <v>359</v>
      </c>
      <c r="D468" s="52">
        <v>46032.152777777781</v>
      </c>
      <c r="E468" s="52">
        <v>46032.152777777781</v>
      </c>
      <c r="F468" s="52">
        <v>46034.413888888892</v>
      </c>
      <c r="G468" s="53">
        <f t="shared" si="32"/>
        <v>2.2611111111109494</v>
      </c>
      <c r="H468" s="1" t="s">
        <v>248</v>
      </c>
      <c r="J468" s="1" t="s">
        <v>249</v>
      </c>
      <c r="K468" s="1" t="s">
        <v>349</v>
      </c>
      <c r="L468" s="1" t="s">
        <v>427</v>
      </c>
      <c r="M468" s="1" t="s">
        <v>251</v>
      </c>
      <c r="N468" s="1" t="s">
        <v>330</v>
      </c>
      <c r="O468" s="1" t="s">
        <v>428</v>
      </c>
      <c r="P468" s="1" t="str">
        <f t="shared" si="33"/>
        <v>BC Formoso1.2Inverter(MBUS-15)46032,152777777846032,152777777846034,4138888889</v>
      </c>
      <c r="Q468" s="1" t="str">
        <f t="shared" si="34"/>
        <v>DAURDE</v>
      </c>
    </row>
    <row r="469" spans="2:17">
      <c r="B469" s="1" t="s">
        <v>421</v>
      </c>
      <c r="C469" s="1" t="s">
        <v>358</v>
      </c>
      <c r="D469" s="52">
        <v>46032.152777777781</v>
      </c>
      <c r="E469" s="52">
        <v>46032.152777777781</v>
      </c>
      <c r="F469" s="52">
        <v>46034.413888888892</v>
      </c>
      <c r="G469" s="53">
        <f t="shared" si="32"/>
        <v>2.2611111111109494</v>
      </c>
      <c r="H469" s="1" t="s">
        <v>248</v>
      </c>
      <c r="J469" s="1" t="s">
        <v>249</v>
      </c>
      <c r="K469" s="1" t="s">
        <v>349</v>
      </c>
      <c r="L469" s="1" t="s">
        <v>427</v>
      </c>
      <c r="M469" s="1" t="s">
        <v>251</v>
      </c>
      <c r="N469" s="1" t="s">
        <v>330</v>
      </c>
      <c r="O469" s="1" t="s">
        <v>428</v>
      </c>
      <c r="P469" s="1" t="str">
        <f t="shared" si="33"/>
        <v>BC Formoso1.2Inverter(MBUS-14)46032,152777777846032,152777777846034,4138888889</v>
      </c>
      <c r="Q469" s="1" t="str">
        <f t="shared" si="34"/>
        <v>DAURDE</v>
      </c>
    </row>
    <row r="470" spans="2:17">
      <c r="B470" s="1" t="s">
        <v>430</v>
      </c>
      <c r="C470" s="1" t="s">
        <v>357</v>
      </c>
      <c r="D470" s="52">
        <v>46032.152777777781</v>
      </c>
      <c r="E470" s="52">
        <v>46032.152777777781</v>
      </c>
      <c r="F470" s="52">
        <v>46034.413888888892</v>
      </c>
      <c r="G470" s="53">
        <f t="shared" si="32"/>
        <v>2.2611111111109494</v>
      </c>
      <c r="H470" s="1" t="s">
        <v>248</v>
      </c>
      <c r="J470" s="1" t="s">
        <v>249</v>
      </c>
      <c r="K470" s="1" t="s">
        <v>349</v>
      </c>
      <c r="L470" s="1" t="s">
        <v>427</v>
      </c>
      <c r="M470" s="1" t="s">
        <v>251</v>
      </c>
      <c r="N470" s="1" t="s">
        <v>330</v>
      </c>
      <c r="O470" s="1" t="s">
        <v>428</v>
      </c>
      <c r="P470" s="1" t="str">
        <f t="shared" si="33"/>
        <v>BC Formoso1.3Inverter(MBUS-13)46032,152777777846032,152777777846034,4138888889</v>
      </c>
      <c r="Q470" s="1" t="str">
        <f t="shared" si="34"/>
        <v>DAURDE</v>
      </c>
    </row>
    <row r="471" spans="2:17">
      <c r="B471" s="1" t="s">
        <v>430</v>
      </c>
      <c r="C471" s="1" t="s">
        <v>354</v>
      </c>
      <c r="D471" s="52">
        <v>46032.152777777781</v>
      </c>
      <c r="E471" s="52">
        <v>46032.152777777781</v>
      </c>
      <c r="F471" s="52">
        <v>46034.413888888892</v>
      </c>
      <c r="G471" s="53">
        <f t="shared" si="32"/>
        <v>2.2611111111109494</v>
      </c>
      <c r="H471" s="1" t="s">
        <v>248</v>
      </c>
      <c r="J471" s="1" t="s">
        <v>249</v>
      </c>
      <c r="K471" s="1" t="s">
        <v>349</v>
      </c>
      <c r="L471" s="1" t="s">
        <v>427</v>
      </c>
      <c r="M471" s="1" t="s">
        <v>251</v>
      </c>
      <c r="N471" s="1" t="s">
        <v>330</v>
      </c>
      <c r="O471" s="1" t="s">
        <v>428</v>
      </c>
      <c r="P471" s="1" t="str">
        <f t="shared" si="33"/>
        <v>BC Formoso1.3Inverter(MBUS-12)46032,152777777846032,152777777846034,4138888889</v>
      </c>
      <c r="Q471" s="1" t="str">
        <f t="shared" si="34"/>
        <v>DAURDE</v>
      </c>
    </row>
    <row r="472" spans="2:17">
      <c r="B472" s="1" t="s">
        <v>423</v>
      </c>
      <c r="C472" s="1" t="s">
        <v>354</v>
      </c>
      <c r="D472" s="52">
        <v>46032.152777777781</v>
      </c>
      <c r="E472" s="52">
        <v>46032.152777777781</v>
      </c>
      <c r="F472" s="52">
        <v>46034.413888888892</v>
      </c>
      <c r="G472" s="53">
        <f t="shared" si="32"/>
        <v>2.2611111111109494</v>
      </c>
      <c r="H472" s="1" t="s">
        <v>248</v>
      </c>
      <c r="J472" s="1" t="s">
        <v>249</v>
      </c>
      <c r="K472" s="1" t="s">
        <v>349</v>
      </c>
      <c r="L472" s="1" t="s">
        <v>427</v>
      </c>
      <c r="M472" s="1" t="s">
        <v>251</v>
      </c>
      <c r="N472" s="1" t="s">
        <v>330</v>
      </c>
      <c r="O472" s="1" t="s">
        <v>428</v>
      </c>
      <c r="P472" s="1" t="str">
        <f t="shared" si="33"/>
        <v>BC Formoso2.1Inverter(MBUS-12)46032,152777777846032,152777777846034,4138888889</v>
      </c>
      <c r="Q472" s="1" t="str">
        <f t="shared" si="34"/>
        <v>DAURDE</v>
      </c>
    </row>
    <row r="473" spans="2:17">
      <c r="B473" s="1" t="s">
        <v>423</v>
      </c>
      <c r="C473" s="1" t="s">
        <v>358</v>
      </c>
      <c r="D473" s="52">
        <v>46032.152777777781</v>
      </c>
      <c r="E473" s="52">
        <v>46032.152777777781</v>
      </c>
      <c r="F473" s="52">
        <v>46034.413888888892</v>
      </c>
      <c r="G473" s="53">
        <f t="shared" si="32"/>
        <v>2.2611111111109494</v>
      </c>
      <c r="H473" s="1" t="s">
        <v>248</v>
      </c>
      <c r="J473" s="1" t="s">
        <v>249</v>
      </c>
      <c r="K473" s="1" t="s">
        <v>349</v>
      </c>
      <c r="L473" s="1" t="s">
        <v>427</v>
      </c>
      <c r="M473" s="1" t="s">
        <v>251</v>
      </c>
      <c r="N473" s="1" t="s">
        <v>330</v>
      </c>
      <c r="O473" s="1" t="s">
        <v>428</v>
      </c>
      <c r="P473" s="1" t="str">
        <f t="shared" si="33"/>
        <v>BC Formoso2.1Inverter(MBUS-14)46032,152777777846032,152777777846034,4138888889</v>
      </c>
      <c r="Q473" s="1" t="str">
        <f t="shared" si="34"/>
        <v>DAURDE</v>
      </c>
    </row>
    <row r="474" spans="2:17">
      <c r="B474" s="1" t="s">
        <v>423</v>
      </c>
      <c r="C474" s="1" t="s">
        <v>357</v>
      </c>
      <c r="D474" s="52">
        <v>46032.152777777781</v>
      </c>
      <c r="E474" s="52">
        <v>46032.152777777781</v>
      </c>
      <c r="F474" s="52">
        <v>46034.413888888892</v>
      </c>
      <c r="G474" s="53">
        <f t="shared" si="32"/>
        <v>2.2611111111109494</v>
      </c>
      <c r="H474" s="1" t="s">
        <v>248</v>
      </c>
      <c r="J474" s="1" t="s">
        <v>249</v>
      </c>
      <c r="K474" s="1" t="s">
        <v>349</v>
      </c>
      <c r="L474" s="1" t="s">
        <v>427</v>
      </c>
      <c r="M474" s="1" t="s">
        <v>251</v>
      </c>
      <c r="N474" s="1" t="s">
        <v>330</v>
      </c>
      <c r="O474" s="1" t="s">
        <v>428</v>
      </c>
      <c r="P474" s="1" t="str">
        <f t="shared" si="33"/>
        <v>BC Formoso2.1Inverter(MBUS-13)46032,152777777846032,152777777846034,4138888889</v>
      </c>
      <c r="Q474" s="1" t="str">
        <f t="shared" si="34"/>
        <v>DAURDE</v>
      </c>
    </row>
    <row r="475" spans="2:17">
      <c r="B475" s="1" t="s">
        <v>423</v>
      </c>
      <c r="C475" s="1" t="s">
        <v>328</v>
      </c>
      <c r="D475" s="52">
        <v>46032.152777777781</v>
      </c>
      <c r="E475" s="52">
        <v>46032.152777777781</v>
      </c>
      <c r="F475" s="52">
        <v>46034.413888888892</v>
      </c>
      <c r="G475" s="53">
        <f t="shared" si="32"/>
        <v>2.2611111111109494</v>
      </c>
      <c r="H475" s="1" t="s">
        <v>248</v>
      </c>
      <c r="J475" s="1" t="s">
        <v>249</v>
      </c>
      <c r="K475" s="1" t="s">
        <v>349</v>
      </c>
      <c r="L475" s="1" t="s">
        <v>427</v>
      </c>
      <c r="M475" s="1" t="s">
        <v>251</v>
      </c>
      <c r="N475" s="1" t="s">
        <v>330</v>
      </c>
      <c r="O475" s="1" t="s">
        <v>428</v>
      </c>
      <c r="P475" s="1" t="str">
        <f t="shared" si="33"/>
        <v>BC Formoso2.1Inverter(MBUS-1)46032,152777777846032,152777777846034,4138888889</v>
      </c>
      <c r="Q475" s="1" t="str">
        <f t="shared" si="34"/>
        <v>DAURDE</v>
      </c>
    </row>
    <row r="476" spans="2:17">
      <c r="B476" s="1" t="s">
        <v>424</v>
      </c>
      <c r="C476" s="1" t="s">
        <v>358</v>
      </c>
      <c r="D476" s="52">
        <v>46032.152777777781</v>
      </c>
      <c r="E476" s="52">
        <v>46032.152777777781</v>
      </c>
      <c r="F476" s="52">
        <v>46034.413888888892</v>
      </c>
      <c r="G476" s="53">
        <f t="shared" si="32"/>
        <v>2.2611111111109494</v>
      </c>
      <c r="H476" s="1" t="s">
        <v>248</v>
      </c>
      <c r="J476" s="1" t="s">
        <v>249</v>
      </c>
      <c r="K476" s="1" t="s">
        <v>349</v>
      </c>
      <c r="L476" s="1" t="s">
        <v>427</v>
      </c>
      <c r="M476" s="1" t="s">
        <v>251</v>
      </c>
      <c r="N476" s="1" t="s">
        <v>330</v>
      </c>
      <c r="O476" s="1" t="s">
        <v>428</v>
      </c>
      <c r="P476" s="1" t="str">
        <f t="shared" si="33"/>
        <v>BC Formoso2.2Inverter(MBUS-14)46032,152777777846032,152777777846034,4138888889</v>
      </c>
      <c r="Q476" s="1" t="str">
        <f t="shared" si="34"/>
        <v>DAURDE</v>
      </c>
    </row>
    <row r="477" spans="2:17">
      <c r="B477" s="1" t="s">
        <v>424</v>
      </c>
      <c r="C477" s="1" t="s">
        <v>357</v>
      </c>
      <c r="D477" s="52">
        <v>46032.152777777781</v>
      </c>
      <c r="E477" s="52">
        <v>46032.152777777781</v>
      </c>
      <c r="F477" s="52">
        <v>46034.413888888892</v>
      </c>
      <c r="G477" s="53">
        <f t="shared" si="32"/>
        <v>2.2611111111109494</v>
      </c>
      <c r="H477" s="1" t="s">
        <v>248</v>
      </c>
      <c r="J477" s="1" t="s">
        <v>249</v>
      </c>
      <c r="K477" s="1" t="s">
        <v>349</v>
      </c>
      <c r="L477" s="1" t="s">
        <v>427</v>
      </c>
      <c r="M477" s="1" t="s">
        <v>251</v>
      </c>
      <c r="N477" s="1" t="s">
        <v>330</v>
      </c>
      <c r="O477" s="1" t="s">
        <v>428</v>
      </c>
      <c r="P477" s="1" t="str">
        <f t="shared" si="33"/>
        <v>BC Formoso2.2Inverter(MBUS-13)46032,152777777846032,152777777846034,4138888889</v>
      </c>
      <c r="Q477" s="1" t="str">
        <f t="shared" si="34"/>
        <v>DAURDE</v>
      </c>
    </row>
    <row r="478" spans="2:17">
      <c r="B478" s="1" t="s">
        <v>424</v>
      </c>
      <c r="C478" s="1" t="s">
        <v>354</v>
      </c>
      <c r="D478" s="52">
        <v>46032.152777777781</v>
      </c>
      <c r="E478" s="52">
        <v>46032.152777777781</v>
      </c>
      <c r="F478" s="52">
        <v>46034.413888888892</v>
      </c>
      <c r="G478" s="53">
        <f t="shared" si="32"/>
        <v>2.2611111111109494</v>
      </c>
      <c r="H478" s="1" t="s">
        <v>248</v>
      </c>
      <c r="J478" s="1" t="s">
        <v>249</v>
      </c>
      <c r="K478" s="1" t="s">
        <v>349</v>
      </c>
      <c r="L478" s="1" t="s">
        <v>427</v>
      </c>
      <c r="M478" s="1" t="s">
        <v>251</v>
      </c>
      <c r="N478" s="1" t="s">
        <v>330</v>
      </c>
      <c r="O478" s="1" t="s">
        <v>428</v>
      </c>
      <c r="P478" s="1" t="str">
        <f t="shared" si="33"/>
        <v>BC Formoso2.2Inverter(MBUS-12)46032,152777777846032,152777777846034,4138888889</v>
      </c>
      <c r="Q478" s="1" t="str">
        <f t="shared" si="34"/>
        <v>DAURDE</v>
      </c>
    </row>
    <row r="479" spans="2:17">
      <c r="B479" s="1" t="s">
        <v>424</v>
      </c>
      <c r="C479" s="1" t="s">
        <v>328</v>
      </c>
      <c r="D479" s="52">
        <v>46032.152777777781</v>
      </c>
      <c r="E479" s="52">
        <v>46032.152777777781</v>
      </c>
      <c r="F479" s="52">
        <v>46034.413888888892</v>
      </c>
      <c r="G479" s="53">
        <f t="shared" si="32"/>
        <v>2.2611111111109494</v>
      </c>
      <c r="H479" s="1" t="s">
        <v>248</v>
      </c>
      <c r="J479" s="1" t="s">
        <v>249</v>
      </c>
      <c r="K479" s="1" t="s">
        <v>349</v>
      </c>
      <c r="L479" s="1" t="s">
        <v>427</v>
      </c>
      <c r="M479" s="1" t="s">
        <v>251</v>
      </c>
      <c r="N479" s="1" t="s">
        <v>330</v>
      </c>
      <c r="O479" s="1" t="s">
        <v>428</v>
      </c>
      <c r="P479" s="1" t="str">
        <f t="shared" si="33"/>
        <v>BC Formoso2.2Inverter(MBUS-1)46032,152777777846032,152777777846034,4138888889</v>
      </c>
      <c r="Q479" s="1" t="str">
        <f t="shared" si="34"/>
        <v>DAURDE</v>
      </c>
    </row>
    <row r="480" spans="2:17">
      <c r="B480" s="1" t="s">
        <v>425</v>
      </c>
      <c r="C480" s="1" t="s">
        <v>357</v>
      </c>
      <c r="D480" s="52">
        <v>46032.152777777781</v>
      </c>
      <c r="E480" s="52">
        <v>46032.152777777781</v>
      </c>
      <c r="F480" s="52">
        <v>46034.413888888892</v>
      </c>
      <c r="G480" s="53">
        <f t="shared" si="32"/>
        <v>2.2611111111109494</v>
      </c>
      <c r="H480" s="1" t="s">
        <v>248</v>
      </c>
      <c r="J480" s="1" t="s">
        <v>249</v>
      </c>
      <c r="K480" s="1" t="s">
        <v>349</v>
      </c>
      <c r="L480" s="1" t="s">
        <v>427</v>
      </c>
      <c r="M480" s="1" t="s">
        <v>251</v>
      </c>
      <c r="N480" s="1" t="s">
        <v>330</v>
      </c>
      <c r="O480" s="1" t="s">
        <v>428</v>
      </c>
      <c r="P480" s="1" t="str">
        <f t="shared" si="33"/>
        <v>BC Formoso2.3Inverter(MBUS-13)46032,152777777846032,152777777846034,4138888889</v>
      </c>
      <c r="Q480" s="1" t="str">
        <f t="shared" si="34"/>
        <v>DAURDE</v>
      </c>
    </row>
    <row r="481" spans="2:17">
      <c r="B481" s="1" t="s">
        <v>425</v>
      </c>
      <c r="C481" s="1" t="s">
        <v>354</v>
      </c>
      <c r="D481" s="52">
        <v>46032.152777777781</v>
      </c>
      <c r="E481" s="52">
        <v>46032.152777777781</v>
      </c>
      <c r="F481" s="52">
        <v>46034.413888888892</v>
      </c>
      <c r="G481" s="53">
        <f t="shared" si="32"/>
        <v>2.2611111111109494</v>
      </c>
      <c r="H481" s="1" t="s">
        <v>248</v>
      </c>
      <c r="J481" s="1" t="s">
        <v>249</v>
      </c>
      <c r="K481" s="1" t="s">
        <v>349</v>
      </c>
      <c r="L481" s="1" t="s">
        <v>427</v>
      </c>
      <c r="M481" s="1" t="s">
        <v>251</v>
      </c>
      <c r="N481" s="1" t="s">
        <v>330</v>
      </c>
      <c r="O481" s="1" t="s">
        <v>428</v>
      </c>
      <c r="P481" s="1" t="str">
        <f t="shared" si="33"/>
        <v>BC Formoso2.3Inverter(MBUS-12)46032,152777777846032,152777777846034,4138888889</v>
      </c>
      <c r="Q481" s="1" t="str">
        <f t="shared" si="34"/>
        <v>DAURDE</v>
      </c>
    </row>
    <row r="482" spans="2:17">
      <c r="B482" s="1" t="s">
        <v>423</v>
      </c>
      <c r="C482" s="1" t="s">
        <v>358</v>
      </c>
      <c r="D482" s="52">
        <v>46035.296527777777</v>
      </c>
      <c r="E482" s="52">
        <v>46035.296527777777</v>
      </c>
      <c r="F482" s="52">
        <v>46036.444444444445</v>
      </c>
      <c r="G482" s="53">
        <f t="shared" si="32"/>
        <v>1.1479166666686069</v>
      </c>
      <c r="H482" s="1" t="s">
        <v>248</v>
      </c>
      <c r="J482" s="1" t="s">
        <v>300</v>
      </c>
      <c r="K482" s="1" t="s">
        <v>350</v>
      </c>
      <c r="L482" s="1" t="s">
        <v>431</v>
      </c>
      <c r="M482" s="1" t="s">
        <v>375</v>
      </c>
      <c r="N482" s="1" t="s">
        <v>266</v>
      </c>
      <c r="O482" s="1" t="s">
        <v>432</v>
      </c>
      <c r="P482" s="1" t="str">
        <f t="shared" si="33"/>
        <v>BC Formoso2.1Inverter(MBUS-14)46035,296527777846035,296527777846036,4444444444</v>
      </c>
      <c r="Q482" s="1" t="str">
        <f t="shared" si="34"/>
        <v>DAUINV</v>
      </c>
    </row>
    <row r="483" spans="2:17">
      <c r="B483" s="1" t="s">
        <v>429</v>
      </c>
      <c r="C483" s="1" t="s">
        <v>357</v>
      </c>
      <c r="D483" s="52">
        <v>46036.719444444447</v>
      </c>
      <c r="E483" s="52">
        <v>46036.719444444447</v>
      </c>
      <c r="F483" s="52">
        <v>46036.818055555559</v>
      </c>
      <c r="G483" s="53">
        <f t="shared" si="32"/>
        <v>9.8611111112404615E-2</v>
      </c>
      <c r="H483" s="1" t="s">
        <v>260</v>
      </c>
      <c r="I483" s="1" t="s">
        <v>261</v>
      </c>
      <c r="J483" s="1" t="s">
        <v>262</v>
      </c>
      <c r="K483" s="1" t="str">
        <f>_xlfn.XLOOKUP(J483,REF!$D$2:$D$12,REF!$E$2:$E$12)</f>
        <v>Comunicação</v>
      </c>
      <c r="L483" s="1" t="s">
        <v>426</v>
      </c>
      <c r="M483" s="1" t="s">
        <v>391</v>
      </c>
      <c r="N483" s="1" t="s">
        <v>433</v>
      </c>
      <c r="O483" s="1" t="s">
        <v>434</v>
      </c>
      <c r="P483" s="1" t="str">
        <f t="shared" si="33"/>
        <v>BC Formoso1.1Inverter(MBUS-13)46036,719444444446036,719444444446036,8180555556</v>
      </c>
      <c r="Q483" s="1" t="str">
        <f t="shared" si="34"/>
        <v>LIGRFOCOM</v>
      </c>
    </row>
    <row r="484" spans="2:17">
      <c r="B484" s="1" t="s">
        <v>429</v>
      </c>
      <c r="C484" s="1" t="s">
        <v>354</v>
      </c>
      <c r="D484" s="52">
        <v>46036.719444444447</v>
      </c>
      <c r="E484" s="52">
        <v>46036.719444444447</v>
      </c>
      <c r="F484" s="52">
        <v>46036.818055555559</v>
      </c>
      <c r="G484" s="53">
        <f t="shared" si="32"/>
        <v>9.8611111112404615E-2</v>
      </c>
      <c r="H484" s="1" t="s">
        <v>260</v>
      </c>
      <c r="I484" s="1" t="s">
        <v>261</v>
      </c>
      <c r="J484" s="1" t="s">
        <v>262</v>
      </c>
      <c r="K484" s="1" t="str">
        <f>_xlfn.XLOOKUP(J484,REF!$D$2:$D$12,REF!$E$2:$E$12)</f>
        <v>Comunicação</v>
      </c>
      <c r="L484" s="1" t="s">
        <v>426</v>
      </c>
      <c r="M484" s="1" t="s">
        <v>391</v>
      </c>
      <c r="N484" s="1" t="s">
        <v>433</v>
      </c>
      <c r="O484" s="1" t="s">
        <v>434</v>
      </c>
      <c r="P484" s="1" t="str">
        <f t="shared" si="33"/>
        <v>BC Formoso1.1Inverter(MBUS-12)46036,719444444446036,719444444446036,8180555556</v>
      </c>
      <c r="Q484" s="1" t="str">
        <f t="shared" si="34"/>
        <v>LIGRFOCOM</v>
      </c>
    </row>
    <row r="485" spans="2:17">
      <c r="B485" s="1" t="s">
        <v>429</v>
      </c>
      <c r="C485" s="1" t="s">
        <v>359</v>
      </c>
      <c r="D485" s="52">
        <v>46036.719444444447</v>
      </c>
      <c r="E485" s="52">
        <v>46036.719444444447</v>
      </c>
      <c r="F485" s="52">
        <v>46036.818055555559</v>
      </c>
      <c r="G485" s="53">
        <f t="shared" si="32"/>
        <v>9.8611111112404615E-2</v>
      </c>
      <c r="H485" s="1" t="s">
        <v>260</v>
      </c>
      <c r="I485" s="1" t="s">
        <v>261</v>
      </c>
      <c r="J485" s="1" t="s">
        <v>262</v>
      </c>
      <c r="K485" s="1" t="str">
        <f>_xlfn.XLOOKUP(J485,REF!$D$2:$D$12,REF!$E$2:$E$12)</f>
        <v>Comunicação</v>
      </c>
      <c r="L485" s="1" t="s">
        <v>426</v>
      </c>
      <c r="M485" s="1" t="s">
        <v>391</v>
      </c>
      <c r="N485" s="1" t="s">
        <v>433</v>
      </c>
      <c r="O485" s="1" t="s">
        <v>434</v>
      </c>
      <c r="P485" s="1" t="str">
        <f t="shared" si="33"/>
        <v>BC Formoso1.1Inverter(MBUS-15)46036,719444444446036,719444444446036,8180555556</v>
      </c>
      <c r="Q485" s="1" t="str">
        <f t="shared" si="34"/>
        <v>LIGRFOCOM</v>
      </c>
    </row>
    <row r="486" spans="2:17">
      <c r="B486" s="1" t="s">
        <v>429</v>
      </c>
      <c r="C486" s="1" t="s">
        <v>358</v>
      </c>
      <c r="D486" s="52">
        <v>46036.719444444447</v>
      </c>
      <c r="E486" s="52">
        <v>46036.719444444447</v>
      </c>
      <c r="F486" s="52">
        <v>46036.818055555559</v>
      </c>
      <c r="G486" s="53">
        <f t="shared" si="32"/>
        <v>9.8611111112404615E-2</v>
      </c>
      <c r="H486" s="1" t="s">
        <v>260</v>
      </c>
      <c r="I486" s="1" t="s">
        <v>261</v>
      </c>
      <c r="J486" s="1" t="s">
        <v>262</v>
      </c>
      <c r="K486" s="1" t="str">
        <f>_xlfn.XLOOKUP(J486,REF!$D$2:$D$12,REF!$E$2:$E$12)</f>
        <v>Comunicação</v>
      </c>
      <c r="L486" s="1" t="s">
        <v>426</v>
      </c>
      <c r="M486" s="1" t="s">
        <v>391</v>
      </c>
      <c r="N486" s="1" t="s">
        <v>433</v>
      </c>
      <c r="O486" s="1" t="s">
        <v>434</v>
      </c>
      <c r="P486" s="1" t="str">
        <f t="shared" si="33"/>
        <v>BC Formoso1.1Inverter(MBUS-14)46036,719444444446036,719444444446036,8180555556</v>
      </c>
      <c r="Q486" s="1" t="str">
        <f t="shared" si="34"/>
        <v>LIGRFOCOM</v>
      </c>
    </row>
    <row r="487" spans="2:17">
      <c r="B487" s="1" t="s">
        <v>421</v>
      </c>
      <c r="C487" s="1" t="s">
        <v>357</v>
      </c>
      <c r="D487" s="52">
        <v>46036.719444444447</v>
      </c>
      <c r="E487" s="52">
        <v>46036.719444444447</v>
      </c>
      <c r="F487" s="52">
        <v>46036.818055555559</v>
      </c>
      <c r="G487" s="53">
        <f t="shared" si="32"/>
        <v>9.8611111112404615E-2</v>
      </c>
      <c r="H487" s="1" t="s">
        <v>260</v>
      </c>
      <c r="I487" s="1" t="s">
        <v>261</v>
      </c>
      <c r="J487" s="1" t="s">
        <v>262</v>
      </c>
      <c r="K487" s="1" t="str">
        <f>_xlfn.XLOOKUP(J487,REF!$D$2:$D$12,REF!$E$2:$E$12)</f>
        <v>Comunicação</v>
      </c>
      <c r="L487" s="1" t="s">
        <v>426</v>
      </c>
      <c r="M487" s="1" t="s">
        <v>391</v>
      </c>
      <c r="N487" s="1" t="s">
        <v>433</v>
      </c>
      <c r="O487" s="1" t="s">
        <v>434</v>
      </c>
      <c r="P487" s="1" t="str">
        <f t="shared" si="33"/>
        <v>BC Formoso1.2Inverter(MBUS-13)46036,719444444446036,719444444446036,8180555556</v>
      </c>
      <c r="Q487" s="1" t="str">
        <f t="shared" si="34"/>
        <v>LIGRFOCOM</v>
      </c>
    </row>
    <row r="488" spans="2:17">
      <c r="B488" s="1" t="s">
        <v>421</v>
      </c>
      <c r="C488" s="1" t="s">
        <v>354</v>
      </c>
      <c r="D488" s="52">
        <v>46036.719444444447</v>
      </c>
      <c r="E488" s="52">
        <v>46036.719444444447</v>
      </c>
      <c r="F488" s="52">
        <v>46036.818055555559</v>
      </c>
      <c r="G488" s="53">
        <f t="shared" si="32"/>
        <v>9.8611111112404615E-2</v>
      </c>
      <c r="H488" s="1" t="s">
        <v>260</v>
      </c>
      <c r="I488" s="1" t="s">
        <v>261</v>
      </c>
      <c r="J488" s="1" t="s">
        <v>262</v>
      </c>
      <c r="K488" s="1" t="str">
        <f>_xlfn.XLOOKUP(J488,REF!$D$2:$D$12,REF!$E$2:$E$12)</f>
        <v>Comunicação</v>
      </c>
      <c r="L488" s="1" t="s">
        <v>426</v>
      </c>
      <c r="M488" s="1" t="s">
        <v>391</v>
      </c>
      <c r="N488" s="1" t="s">
        <v>433</v>
      </c>
      <c r="O488" s="1" t="s">
        <v>434</v>
      </c>
      <c r="P488" s="1" t="str">
        <f t="shared" si="33"/>
        <v>BC Formoso1.2Inverter(MBUS-12)46036,719444444446036,719444444446036,8180555556</v>
      </c>
      <c r="Q488" s="1" t="str">
        <f t="shared" si="34"/>
        <v>LIGRFOCOM</v>
      </c>
    </row>
    <row r="489" spans="2:17">
      <c r="B489" s="1" t="s">
        <v>421</v>
      </c>
      <c r="C489" s="1" t="s">
        <v>359</v>
      </c>
      <c r="D489" s="52">
        <v>46036.719444444447</v>
      </c>
      <c r="E489" s="52">
        <v>46036.719444444447</v>
      </c>
      <c r="F489" s="52">
        <v>46036.818055555559</v>
      </c>
      <c r="G489" s="53">
        <f t="shared" si="32"/>
        <v>9.8611111112404615E-2</v>
      </c>
      <c r="H489" s="1" t="s">
        <v>260</v>
      </c>
      <c r="I489" s="1" t="s">
        <v>261</v>
      </c>
      <c r="J489" s="1" t="s">
        <v>262</v>
      </c>
      <c r="K489" s="1" t="str">
        <f>_xlfn.XLOOKUP(J489,REF!$D$2:$D$12,REF!$E$2:$E$12)</f>
        <v>Comunicação</v>
      </c>
      <c r="L489" s="1" t="s">
        <v>426</v>
      </c>
      <c r="M489" s="1" t="s">
        <v>391</v>
      </c>
      <c r="N489" s="1" t="s">
        <v>433</v>
      </c>
      <c r="O489" s="1" t="s">
        <v>434</v>
      </c>
      <c r="P489" s="1" t="str">
        <f t="shared" si="33"/>
        <v>BC Formoso1.2Inverter(MBUS-15)46036,719444444446036,719444444446036,8180555556</v>
      </c>
      <c r="Q489" s="1" t="str">
        <f t="shared" si="34"/>
        <v>LIGRFOCOM</v>
      </c>
    </row>
    <row r="490" spans="2:17">
      <c r="B490" s="1" t="s">
        <v>421</v>
      </c>
      <c r="C490" s="1" t="s">
        <v>358</v>
      </c>
      <c r="D490" s="52">
        <v>46036.719444444447</v>
      </c>
      <c r="E490" s="52">
        <v>46036.719444444447</v>
      </c>
      <c r="F490" s="52">
        <v>46036.818055555559</v>
      </c>
      <c r="G490" s="53">
        <f t="shared" si="32"/>
        <v>9.8611111112404615E-2</v>
      </c>
      <c r="H490" s="1" t="s">
        <v>260</v>
      </c>
      <c r="I490" s="1" t="s">
        <v>261</v>
      </c>
      <c r="J490" s="1" t="s">
        <v>262</v>
      </c>
      <c r="K490" s="1" t="str">
        <f>_xlfn.XLOOKUP(J490,REF!$D$2:$D$12,REF!$E$2:$E$12)</f>
        <v>Comunicação</v>
      </c>
      <c r="L490" s="1" t="s">
        <v>426</v>
      </c>
      <c r="M490" s="1" t="s">
        <v>391</v>
      </c>
      <c r="N490" s="1" t="s">
        <v>433</v>
      </c>
      <c r="O490" s="1" t="s">
        <v>434</v>
      </c>
      <c r="P490" s="1" t="str">
        <f t="shared" si="33"/>
        <v>BC Formoso1.2Inverter(MBUS-14)46036,719444444446036,719444444446036,8180555556</v>
      </c>
      <c r="Q490" s="1" t="str">
        <f t="shared" si="34"/>
        <v>LIGRFOCOM</v>
      </c>
    </row>
    <row r="491" spans="2:17">
      <c r="B491" s="1" t="s">
        <v>430</v>
      </c>
      <c r="C491" s="1" t="s">
        <v>357</v>
      </c>
      <c r="D491" s="52">
        <v>46036.719444444447</v>
      </c>
      <c r="E491" s="52">
        <v>46036.719444444447</v>
      </c>
      <c r="F491" s="52">
        <v>46036.818055555559</v>
      </c>
      <c r="G491" s="53">
        <f t="shared" si="32"/>
        <v>9.8611111112404615E-2</v>
      </c>
      <c r="H491" s="1" t="s">
        <v>260</v>
      </c>
      <c r="I491" s="1" t="s">
        <v>261</v>
      </c>
      <c r="J491" s="1" t="s">
        <v>262</v>
      </c>
      <c r="K491" s="1" t="str">
        <f>_xlfn.XLOOKUP(J491,REF!$D$2:$D$12,REF!$E$2:$E$12)</f>
        <v>Comunicação</v>
      </c>
      <c r="L491" s="1" t="s">
        <v>426</v>
      </c>
      <c r="M491" s="1" t="s">
        <v>391</v>
      </c>
      <c r="N491" s="1" t="s">
        <v>433</v>
      </c>
      <c r="O491" s="1" t="s">
        <v>434</v>
      </c>
      <c r="P491" s="1" t="str">
        <f t="shared" si="33"/>
        <v>BC Formoso1.3Inverter(MBUS-13)46036,719444444446036,719444444446036,8180555556</v>
      </c>
      <c r="Q491" s="1" t="str">
        <f t="shared" si="34"/>
        <v>LIGRFOCOM</v>
      </c>
    </row>
    <row r="492" spans="2:17">
      <c r="B492" s="1" t="s">
        <v>430</v>
      </c>
      <c r="C492" s="1" t="s">
        <v>354</v>
      </c>
      <c r="D492" s="52">
        <v>46036.719444444447</v>
      </c>
      <c r="E492" s="52">
        <v>46036.719444444447</v>
      </c>
      <c r="F492" s="52">
        <v>46036.818055555559</v>
      </c>
      <c r="G492" s="53">
        <f t="shared" si="32"/>
        <v>9.8611111112404615E-2</v>
      </c>
      <c r="H492" s="1" t="s">
        <v>260</v>
      </c>
      <c r="I492" s="1" t="s">
        <v>261</v>
      </c>
      <c r="J492" s="1" t="s">
        <v>262</v>
      </c>
      <c r="K492" s="1" t="str">
        <f>_xlfn.XLOOKUP(J492,REF!$D$2:$D$12,REF!$E$2:$E$12)</f>
        <v>Comunicação</v>
      </c>
      <c r="L492" s="1" t="s">
        <v>426</v>
      </c>
      <c r="M492" s="1" t="s">
        <v>391</v>
      </c>
      <c r="N492" s="1" t="s">
        <v>433</v>
      </c>
      <c r="O492" s="1" t="s">
        <v>434</v>
      </c>
      <c r="P492" s="1" t="str">
        <f t="shared" si="33"/>
        <v>BC Formoso1.3Inverter(MBUS-12)46036,719444444446036,719444444446036,8180555556</v>
      </c>
      <c r="Q492" s="1" t="str">
        <f t="shared" si="34"/>
        <v>LIGRFOCOM</v>
      </c>
    </row>
    <row r="493" spans="2:17">
      <c r="B493" s="1" t="s">
        <v>423</v>
      </c>
      <c r="C493" s="1" t="s">
        <v>354</v>
      </c>
      <c r="D493" s="52">
        <v>46036.719444444447</v>
      </c>
      <c r="E493" s="52">
        <v>46036.719444444447</v>
      </c>
      <c r="F493" s="52">
        <v>46036.818055555559</v>
      </c>
      <c r="G493" s="53">
        <f t="shared" si="32"/>
        <v>9.8611111112404615E-2</v>
      </c>
      <c r="H493" s="1" t="s">
        <v>260</v>
      </c>
      <c r="I493" s="1" t="s">
        <v>261</v>
      </c>
      <c r="J493" s="1" t="s">
        <v>262</v>
      </c>
      <c r="K493" s="1" t="str">
        <f>_xlfn.XLOOKUP(J493,REF!$D$2:$D$12,REF!$E$2:$E$12)</f>
        <v>Comunicação</v>
      </c>
      <c r="L493" s="1" t="s">
        <v>426</v>
      </c>
      <c r="M493" s="1" t="s">
        <v>391</v>
      </c>
      <c r="N493" s="1" t="s">
        <v>433</v>
      </c>
      <c r="O493" s="1" t="s">
        <v>434</v>
      </c>
      <c r="P493" s="1" t="str">
        <f t="shared" si="33"/>
        <v>BC Formoso2.1Inverter(MBUS-12)46036,719444444446036,719444444446036,8180555556</v>
      </c>
      <c r="Q493" s="1" t="str">
        <f t="shared" si="34"/>
        <v>LIGRFOCOM</v>
      </c>
    </row>
    <row r="494" spans="2:17">
      <c r="B494" s="1" t="s">
        <v>423</v>
      </c>
      <c r="C494" s="1" t="s">
        <v>358</v>
      </c>
      <c r="D494" s="52">
        <v>46036.719444444447</v>
      </c>
      <c r="E494" s="52">
        <v>46036.719444444447</v>
      </c>
      <c r="F494" s="52">
        <v>46036.818055555559</v>
      </c>
      <c r="G494" s="53">
        <f t="shared" si="32"/>
        <v>9.8611111112404615E-2</v>
      </c>
      <c r="H494" s="1" t="s">
        <v>260</v>
      </c>
      <c r="I494" s="1" t="s">
        <v>261</v>
      </c>
      <c r="J494" s="1" t="s">
        <v>262</v>
      </c>
      <c r="K494" s="1" t="str">
        <f>_xlfn.XLOOKUP(J494,REF!$D$2:$D$12,REF!$E$2:$E$12)</f>
        <v>Comunicação</v>
      </c>
      <c r="L494" s="1" t="s">
        <v>426</v>
      </c>
      <c r="M494" s="1" t="s">
        <v>391</v>
      </c>
      <c r="N494" s="1" t="s">
        <v>433</v>
      </c>
      <c r="O494" s="1" t="s">
        <v>434</v>
      </c>
      <c r="P494" s="1" t="str">
        <f t="shared" si="33"/>
        <v>BC Formoso2.1Inverter(MBUS-14)46036,719444444446036,719444444446036,8180555556</v>
      </c>
      <c r="Q494" s="1" t="str">
        <f t="shared" si="34"/>
        <v>LIGRFOCOM</v>
      </c>
    </row>
    <row r="495" spans="2:17">
      <c r="B495" s="1" t="s">
        <v>423</v>
      </c>
      <c r="C495" s="1" t="s">
        <v>357</v>
      </c>
      <c r="D495" s="52">
        <v>46036.719444444447</v>
      </c>
      <c r="E495" s="52">
        <v>46036.719444444447</v>
      </c>
      <c r="F495" s="52">
        <v>46036.818055555559</v>
      </c>
      <c r="G495" s="53">
        <f t="shared" si="32"/>
        <v>9.8611111112404615E-2</v>
      </c>
      <c r="H495" s="1" t="s">
        <v>260</v>
      </c>
      <c r="I495" s="1" t="s">
        <v>261</v>
      </c>
      <c r="J495" s="1" t="s">
        <v>262</v>
      </c>
      <c r="K495" s="1" t="str">
        <f>_xlfn.XLOOKUP(J495,REF!$D$2:$D$12,REF!$E$2:$E$12)</f>
        <v>Comunicação</v>
      </c>
      <c r="L495" s="1" t="s">
        <v>426</v>
      </c>
      <c r="M495" s="1" t="s">
        <v>391</v>
      </c>
      <c r="N495" s="1" t="s">
        <v>433</v>
      </c>
      <c r="O495" s="1" t="s">
        <v>434</v>
      </c>
      <c r="P495" s="1" t="str">
        <f t="shared" si="33"/>
        <v>BC Formoso2.1Inverter(MBUS-13)46036,719444444446036,719444444446036,8180555556</v>
      </c>
      <c r="Q495" s="1" t="str">
        <f t="shared" si="34"/>
        <v>LIGRFOCOM</v>
      </c>
    </row>
    <row r="496" spans="2:17">
      <c r="B496" s="1" t="s">
        <v>423</v>
      </c>
      <c r="C496" s="1" t="s">
        <v>328</v>
      </c>
      <c r="D496" s="52">
        <v>46036.719444444447</v>
      </c>
      <c r="E496" s="52">
        <v>46036.719444444447</v>
      </c>
      <c r="F496" s="52">
        <v>46036.818055555559</v>
      </c>
      <c r="G496" s="53">
        <f t="shared" si="32"/>
        <v>9.8611111112404615E-2</v>
      </c>
      <c r="H496" s="1" t="s">
        <v>260</v>
      </c>
      <c r="I496" s="1" t="s">
        <v>261</v>
      </c>
      <c r="J496" s="1" t="s">
        <v>262</v>
      </c>
      <c r="K496" s="1" t="str">
        <f>_xlfn.XLOOKUP(J496,REF!$D$2:$D$12,REF!$E$2:$E$12)</f>
        <v>Comunicação</v>
      </c>
      <c r="L496" s="1" t="s">
        <v>426</v>
      </c>
      <c r="M496" s="1" t="s">
        <v>391</v>
      </c>
      <c r="N496" s="1" t="s">
        <v>433</v>
      </c>
      <c r="O496" s="1" t="s">
        <v>434</v>
      </c>
      <c r="P496" s="1" t="str">
        <f t="shared" si="33"/>
        <v>BC Formoso2.1Inverter(MBUS-1)46036,719444444446036,719444444446036,8180555556</v>
      </c>
      <c r="Q496" s="1" t="str">
        <f t="shared" si="34"/>
        <v>LIGRFOCOM</v>
      </c>
    </row>
    <row r="497" spans="2:17">
      <c r="B497" s="1" t="s">
        <v>424</v>
      </c>
      <c r="C497" s="1" t="s">
        <v>358</v>
      </c>
      <c r="D497" s="52">
        <v>46036.719444444447</v>
      </c>
      <c r="E497" s="52">
        <v>46036.719444444447</v>
      </c>
      <c r="F497" s="52">
        <v>46036.818055555559</v>
      </c>
      <c r="G497" s="53">
        <f t="shared" si="32"/>
        <v>9.8611111112404615E-2</v>
      </c>
      <c r="H497" s="1" t="s">
        <v>260</v>
      </c>
      <c r="I497" s="1" t="s">
        <v>261</v>
      </c>
      <c r="J497" s="1" t="s">
        <v>262</v>
      </c>
      <c r="K497" s="1" t="str">
        <f>_xlfn.XLOOKUP(J497,REF!$D$2:$D$12,REF!$E$2:$E$12)</f>
        <v>Comunicação</v>
      </c>
      <c r="L497" s="1" t="s">
        <v>426</v>
      </c>
      <c r="M497" s="1" t="s">
        <v>391</v>
      </c>
      <c r="N497" s="1" t="s">
        <v>433</v>
      </c>
      <c r="O497" s="1" t="s">
        <v>434</v>
      </c>
      <c r="P497" s="1" t="str">
        <f t="shared" si="33"/>
        <v>BC Formoso2.2Inverter(MBUS-14)46036,719444444446036,719444444446036,8180555556</v>
      </c>
      <c r="Q497" s="1" t="str">
        <f t="shared" si="34"/>
        <v>LIGRFOCOM</v>
      </c>
    </row>
    <row r="498" spans="2:17">
      <c r="B498" s="1" t="s">
        <v>424</v>
      </c>
      <c r="C498" s="1" t="s">
        <v>357</v>
      </c>
      <c r="D498" s="52">
        <v>46036.719444444447</v>
      </c>
      <c r="E498" s="52">
        <v>46036.719444444447</v>
      </c>
      <c r="F498" s="52">
        <v>46036.818055555559</v>
      </c>
      <c r="G498" s="53">
        <f t="shared" si="32"/>
        <v>9.8611111112404615E-2</v>
      </c>
      <c r="H498" s="1" t="s">
        <v>260</v>
      </c>
      <c r="I498" s="1" t="s">
        <v>261</v>
      </c>
      <c r="J498" s="1" t="s">
        <v>262</v>
      </c>
      <c r="K498" s="1" t="str">
        <f>_xlfn.XLOOKUP(J498,REF!$D$2:$D$12,REF!$E$2:$E$12)</f>
        <v>Comunicação</v>
      </c>
      <c r="L498" s="1" t="s">
        <v>426</v>
      </c>
      <c r="M498" s="1" t="s">
        <v>391</v>
      </c>
      <c r="N498" s="1" t="s">
        <v>433</v>
      </c>
      <c r="O498" s="1" t="s">
        <v>434</v>
      </c>
      <c r="P498" s="1" t="str">
        <f t="shared" si="33"/>
        <v>BC Formoso2.2Inverter(MBUS-13)46036,719444444446036,719444444446036,8180555556</v>
      </c>
      <c r="Q498" s="1" t="str">
        <f t="shared" si="34"/>
        <v>LIGRFOCOM</v>
      </c>
    </row>
    <row r="499" spans="2:17">
      <c r="B499" s="1" t="s">
        <v>424</v>
      </c>
      <c r="C499" s="1" t="s">
        <v>354</v>
      </c>
      <c r="D499" s="52">
        <v>46036.719444444447</v>
      </c>
      <c r="E499" s="52">
        <v>46036.719444444447</v>
      </c>
      <c r="F499" s="52">
        <v>46036.818055555559</v>
      </c>
      <c r="G499" s="53">
        <f t="shared" si="32"/>
        <v>9.8611111112404615E-2</v>
      </c>
      <c r="H499" s="1" t="s">
        <v>260</v>
      </c>
      <c r="I499" s="1" t="s">
        <v>261</v>
      </c>
      <c r="J499" s="1" t="s">
        <v>262</v>
      </c>
      <c r="K499" s="1" t="str">
        <f>_xlfn.XLOOKUP(J499,REF!$D$2:$D$12,REF!$E$2:$E$12)</f>
        <v>Comunicação</v>
      </c>
      <c r="L499" s="1" t="s">
        <v>426</v>
      </c>
      <c r="M499" s="1" t="s">
        <v>391</v>
      </c>
      <c r="N499" s="1" t="s">
        <v>433</v>
      </c>
      <c r="O499" s="1" t="s">
        <v>434</v>
      </c>
      <c r="P499" s="1" t="str">
        <f t="shared" si="33"/>
        <v>BC Formoso2.2Inverter(MBUS-12)46036,719444444446036,719444444446036,8180555556</v>
      </c>
      <c r="Q499" s="1" t="str">
        <f t="shared" si="34"/>
        <v>LIGRFOCOM</v>
      </c>
    </row>
    <row r="500" spans="2:17">
      <c r="B500" s="1" t="s">
        <v>424</v>
      </c>
      <c r="C500" s="1" t="s">
        <v>328</v>
      </c>
      <c r="D500" s="52">
        <v>46036.719444444447</v>
      </c>
      <c r="E500" s="52">
        <v>46036.719444444447</v>
      </c>
      <c r="F500" s="52">
        <v>46036.818055555559</v>
      </c>
      <c r="G500" s="53">
        <f t="shared" si="32"/>
        <v>9.8611111112404615E-2</v>
      </c>
      <c r="H500" s="1" t="s">
        <v>260</v>
      </c>
      <c r="I500" s="1" t="s">
        <v>261</v>
      </c>
      <c r="J500" s="1" t="s">
        <v>262</v>
      </c>
      <c r="K500" s="1" t="str">
        <f>_xlfn.XLOOKUP(J500,REF!$D$2:$D$12,REF!$E$2:$E$12)</f>
        <v>Comunicação</v>
      </c>
      <c r="L500" s="1" t="s">
        <v>426</v>
      </c>
      <c r="M500" s="1" t="s">
        <v>391</v>
      </c>
      <c r="N500" s="1" t="s">
        <v>433</v>
      </c>
      <c r="O500" s="1" t="s">
        <v>434</v>
      </c>
      <c r="P500" s="1" t="str">
        <f t="shared" si="33"/>
        <v>BC Formoso2.2Inverter(MBUS-1)46036,719444444446036,719444444446036,8180555556</v>
      </c>
      <c r="Q500" s="1" t="str">
        <f t="shared" si="34"/>
        <v>LIGRFOCOM</v>
      </c>
    </row>
    <row r="501" spans="2:17">
      <c r="B501" s="1" t="s">
        <v>425</v>
      </c>
      <c r="C501" s="1" t="s">
        <v>357</v>
      </c>
      <c r="D501" s="52">
        <v>46036.719444444447</v>
      </c>
      <c r="E501" s="52">
        <v>46036.719444444447</v>
      </c>
      <c r="F501" s="52">
        <v>46036.818055555559</v>
      </c>
      <c r="G501" s="53">
        <f t="shared" si="32"/>
        <v>9.8611111112404615E-2</v>
      </c>
      <c r="H501" s="1" t="s">
        <v>260</v>
      </c>
      <c r="I501" s="1" t="s">
        <v>261</v>
      </c>
      <c r="J501" s="1" t="s">
        <v>262</v>
      </c>
      <c r="K501" s="1" t="str">
        <f>_xlfn.XLOOKUP(J501,REF!$D$2:$D$12,REF!$E$2:$E$12)</f>
        <v>Comunicação</v>
      </c>
      <c r="L501" s="1" t="s">
        <v>426</v>
      </c>
      <c r="M501" s="1" t="s">
        <v>391</v>
      </c>
      <c r="N501" s="1" t="s">
        <v>433</v>
      </c>
      <c r="O501" s="1" t="s">
        <v>434</v>
      </c>
      <c r="P501" s="1" t="str">
        <f t="shared" si="33"/>
        <v>BC Formoso2.3Inverter(MBUS-13)46036,719444444446036,719444444446036,8180555556</v>
      </c>
      <c r="Q501" s="1" t="str">
        <f t="shared" si="34"/>
        <v>LIGRFOCOM</v>
      </c>
    </row>
    <row r="502" spans="2:17">
      <c r="B502" s="1" t="s">
        <v>425</v>
      </c>
      <c r="C502" s="1" t="s">
        <v>354</v>
      </c>
      <c r="D502" s="52">
        <v>46036.719444444447</v>
      </c>
      <c r="E502" s="52">
        <v>46036.719444444447</v>
      </c>
      <c r="F502" s="52">
        <v>46036.818055555559</v>
      </c>
      <c r="G502" s="53">
        <f t="shared" si="32"/>
        <v>9.8611111112404615E-2</v>
      </c>
      <c r="H502" s="1" t="s">
        <v>260</v>
      </c>
      <c r="I502" s="1" t="s">
        <v>261</v>
      </c>
      <c r="J502" s="1" t="s">
        <v>262</v>
      </c>
      <c r="K502" s="1" t="str">
        <f>_xlfn.XLOOKUP(J502,REF!$D$2:$D$12,REF!$E$2:$E$12)</f>
        <v>Comunicação</v>
      </c>
      <c r="L502" s="1" t="s">
        <v>426</v>
      </c>
      <c r="M502" s="1" t="s">
        <v>265</v>
      </c>
      <c r="N502" s="1" t="s">
        <v>266</v>
      </c>
      <c r="O502" s="1" t="s">
        <v>434</v>
      </c>
      <c r="P502" s="1" t="str">
        <f t="shared" si="33"/>
        <v>BC Formoso2.3Inverter(MBUS-12)46036,719444444446036,719444444446036,8180555556</v>
      </c>
      <c r="Q502" s="1" t="str">
        <f t="shared" si="34"/>
        <v>LIGRFOCOM</v>
      </c>
    </row>
    <row r="503" spans="2:17">
      <c r="B503" s="1" t="s">
        <v>429</v>
      </c>
      <c r="C503" s="1" t="s">
        <v>357</v>
      </c>
      <c r="D503" s="52">
        <v>46037.206250000003</v>
      </c>
      <c r="E503" s="52">
        <v>46037.206250000003</v>
      </c>
      <c r="F503" s="52">
        <v>46037.326388888891</v>
      </c>
      <c r="G503" s="53">
        <f t="shared" si="32"/>
        <v>0.12013888888759539</v>
      </c>
      <c r="H503" s="1" t="s">
        <v>260</v>
      </c>
      <c r="I503" s="1" t="s">
        <v>261</v>
      </c>
      <c r="J503" s="1" t="s">
        <v>262</v>
      </c>
      <c r="K503" s="1" t="str">
        <f>_xlfn.XLOOKUP(J503,REF!$D$2:$D$12,REF!$E$2:$E$12)</f>
        <v>Comunicação</v>
      </c>
      <c r="L503" s="1" t="s">
        <v>426</v>
      </c>
      <c r="M503" s="1" t="s">
        <v>265</v>
      </c>
      <c r="N503" s="1" t="s">
        <v>266</v>
      </c>
      <c r="O503" s="1" t="s">
        <v>435</v>
      </c>
      <c r="P503" s="1" t="str">
        <f t="shared" si="33"/>
        <v>BC Formoso1.1Inverter(MBUS-13)46037,2062546037,2062546037,3263888889</v>
      </c>
      <c r="Q503" s="1" t="str">
        <f t="shared" si="34"/>
        <v>LIGRFOCOM</v>
      </c>
    </row>
    <row r="504" spans="2:17">
      <c r="B504" s="1" t="s">
        <v>429</v>
      </c>
      <c r="C504" s="1" t="s">
        <v>354</v>
      </c>
      <c r="D504" s="52">
        <v>46037.206250000003</v>
      </c>
      <c r="E504" s="52">
        <v>46037.206250000003</v>
      </c>
      <c r="F504" s="52">
        <v>46037.326388888891</v>
      </c>
      <c r="G504" s="53">
        <f t="shared" si="32"/>
        <v>0.12013888888759539</v>
      </c>
      <c r="H504" s="1" t="s">
        <v>260</v>
      </c>
      <c r="I504" s="1" t="s">
        <v>261</v>
      </c>
      <c r="J504" s="1" t="s">
        <v>262</v>
      </c>
      <c r="K504" s="1" t="str">
        <f>_xlfn.XLOOKUP(J504,REF!$D$2:$D$12,REF!$E$2:$E$12)</f>
        <v>Comunicação</v>
      </c>
      <c r="L504" s="1" t="s">
        <v>426</v>
      </c>
      <c r="M504" s="1" t="s">
        <v>265</v>
      </c>
      <c r="N504" s="1" t="s">
        <v>266</v>
      </c>
      <c r="O504" s="1" t="s">
        <v>435</v>
      </c>
      <c r="P504" s="1" t="str">
        <f t="shared" si="33"/>
        <v>BC Formoso1.1Inverter(MBUS-12)46037,2062546037,2062546037,3263888889</v>
      </c>
      <c r="Q504" s="1" t="str">
        <f t="shared" si="34"/>
        <v>LIGRFOCOM</v>
      </c>
    </row>
    <row r="505" spans="2:17">
      <c r="B505" s="1" t="s">
        <v>429</v>
      </c>
      <c r="C505" s="1" t="s">
        <v>359</v>
      </c>
      <c r="D505" s="52">
        <v>46037.206250000003</v>
      </c>
      <c r="E505" s="52">
        <v>46037.206250000003</v>
      </c>
      <c r="F505" s="52">
        <v>46037.326388888891</v>
      </c>
      <c r="G505" s="53">
        <f t="shared" si="32"/>
        <v>0.12013888888759539</v>
      </c>
      <c r="H505" s="1" t="s">
        <v>260</v>
      </c>
      <c r="I505" s="1" t="s">
        <v>261</v>
      </c>
      <c r="J505" s="1" t="s">
        <v>262</v>
      </c>
      <c r="K505" s="1" t="str">
        <f>_xlfn.XLOOKUP(J505,REF!$D$2:$D$12,REF!$E$2:$E$12)</f>
        <v>Comunicação</v>
      </c>
      <c r="L505" s="1" t="s">
        <v>426</v>
      </c>
      <c r="M505" s="1" t="s">
        <v>265</v>
      </c>
      <c r="N505" s="1" t="s">
        <v>266</v>
      </c>
      <c r="O505" s="1" t="s">
        <v>435</v>
      </c>
      <c r="P505" s="1" t="str">
        <f t="shared" si="33"/>
        <v>BC Formoso1.1Inverter(MBUS-15)46037,2062546037,2062546037,3263888889</v>
      </c>
      <c r="Q505" s="1" t="str">
        <f t="shared" si="34"/>
        <v>LIGRFOCOM</v>
      </c>
    </row>
    <row r="506" spans="2:17">
      <c r="B506" s="1" t="s">
        <v>429</v>
      </c>
      <c r="C506" s="1" t="s">
        <v>358</v>
      </c>
      <c r="D506" s="52">
        <v>46037.206250000003</v>
      </c>
      <c r="E506" s="52">
        <v>46037.206250000003</v>
      </c>
      <c r="F506" s="52">
        <v>46037.326388888891</v>
      </c>
      <c r="G506" s="53">
        <f t="shared" si="32"/>
        <v>0.12013888888759539</v>
      </c>
      <c r="H506" s="1" t="s">
        <v>260</v>
      </c>
      <c r="I506" s="1" t="s">
        <v>261</v>
      </c>
      <c r="J506" s="1" t="s">
        <v>262</v>
      </c>
      <c r="K506" s="1" t="str">
        <f>_xlfn.XLOOKUP(J506,REF!$D$2:$D$12,REF!$E$2:$E$12)</f>
        <v>Comunicação</v>
      </c>
      <c r="L506" s="1" t="s">
        <v>426</v>
      </c>
      <c r="M506" s="1" t="s">
        <v>265</v>
      </c>
      <c r="N506" s="1" t="s">
        <v>266</v>
      </c>
      <c r="O506" s="1" t="s">
        <v>435</v>
      </c>
      <c r="P506" s="1" t="str">
        <f t="shared" si="33"/>
        <v>BC Formoso1.1Inverter(MBUS-14)46037,2062546037,2062546037,3263888889</v>
      </c>
      <c r="Q506" s="1" t="str">
        <f t="shared" si="34"/>
        <v>LIGRFOCOM</v>
      </c>
    </row>
    <row r="507" spans="2:17">
      <c r="B507" s="1" t="s">
        <v>423</v>
      </c>
      <c r="C507" s="1" t="s">
        <v>354</v>
      </c>
      <c r="D507" s="52">
        <v>46037.206250000003</v>
      </c>
      <c r="E507" s="52">
        <v>46037.206250000003</v>
      </c>
      <c r="F507" s="52">
        <v>46037.326388888891</v>
      </c>
      <c r="G507" s="53">
        <f t="shared" si="32"/>
        <v>0.12013888888759539</v>
      </c>
      <c r="H507" s="1" t="s">
        <v>248</v>
      </c>
      <c r="J507" s="1" t="s">
        <v>249</v>
      </c>
      <c r="K507" s="1" t="s">
        <v>349</v>
      </c>
      <c r="L507" s="1" t="s">
        <v>436</v>
      </c>
      <c r="M507" s="1" t="s">
        <v>251</v>
      </c>
      <c r="N507" s="1" t="s">
        <v>330</v>
      </c>
      <c r="O507" s="1" t="s">
        <v>331</v>
      </c>
      <c r="P507" s="1" t="str">
        <f t="shared" si="33"/>
        <v>BC Formoso2.1Inverter(MBUS-12)46037,2062546037,2062546037,3263888889</v>
      </c>
      <c r="Q507" s="1" t="str">
        <f t="shared" si="34"/>
        <v>DAURDE</v>
      </c>
    </row>
    <row r="508" spans="2:17">
      <c r="B508" s="1" t="s">
        <v>423</v>
      </c>
      <c r="C508" s="1" t="s">
        <v>358</v>
      </c>
      <c r="D508" s="52">
        <v>46037.206250000003</v>
      </c>
      <c r="E508" s="52">
        <v>46037.206250000003</v>
      </c>
      <c r="F508" s="52">
        <v>46037.326388888891</v>
      </c>
      <c r="G508" s="53">
        <f t="shared" si="32"/>
        <v>0.12013888888759539</v>
      </c>
      <c r="H508" s="1" t="s">
        <v>248</v>
      </c>
      <c r="J508" s="1" t="s">
        <v>249</v>
      </c>
      <c r="K508" s="1" t="s">
        <v>349</v>
      </c>
      <c r="L508" s="1" t="s">
        <v>436</v>
      </c>
      <c r="M508" s="1" t="s">
        <v>251</v>
      </c>
      <c r="N508" s="1" t="s">
        <v>330</v>
      </c>
      <c r="O508" s="1" t="s">
        <v>331</v>
      </c>
      <c r="P508" s="1" t="str">
        <f t="shared" si="33"/>
        <v>BC Formoso2.1Inverter(MBUS-14)46037,2062546037,2062546037,3263888889</v>
      </c>
      <c r="Q508" s="1" t="str">
        <f t="shared" si="34"/>
        <v>DAURDE</v>
      </c>
    </row>
    <row r="509" spans="2:17">
      <c r="B509" s="1" t="s">
        <v>423</v>
      </c>
      <c r="C509" s="1" t="s">
        <v>357</v>
      </c>
      <c r="D509" s="52">
        <v>46037.206250000003</v>
      </c>
      <c r="E509" s="52">
        <v>46037.206250000003</v>
      </c>
      <c r="F509" s="52">
        <v>46037.326388888891</v>
      </c>
      <c r="G509" s="53">
        <f t="shared" ref="G509:G572" si="35">F509-E509</f>
        <v>0.12013888888759539</v>
      </c>
      <c r="H509" s="1" t="s">
        <v>248</v>
      </c>
      <c r="J509" s="1" t="s">
        <v>249</v>
      </c>
      <c r="K509" s="1" t="s">
        <v>349</v>
      </c>
      <c r="L509" s="1" t="s">
        <v>436</v>
      </c>
      <c r="M509" s="1" t="s">
        <v>251</v>
      </c>
      <c r="N509" s="1" t="s">
        <v>330</v>
      </c>
      <c r="O509" s="1" t="s">
        <v>331</v>
      </c>
      <c r="P509" s="1" t="str">
        <f t="shared" si="33"/>
        <v>BC Formoso2.1Inverter(MBUS-13)46037,2062546037,2062546037,3263888889</v>
      </c>
      <c r="Q509" s="1" t="str">
        <f t="shared" si="34"/>
        <v>DAURDE</v>
      </c>
    </row>
    <row r="510" spans="2:17">
      <c r="B510" s="1" t="s">
        <v>423</v>
      </c>
      <c r="C510" s="1" t="s">
        <v>328</v>
      </c>
      <c r="D510" s="52">
        <v>46037.206250000003</v>
      </c>
      <c r="E510" s="52">
        <v>46037.206250000003</v>
      </c>
      <c r="F510" s="52">
        <v>46037.326388888891</v>
      </c>
      <c r="G510" s="53">
        <f t="shared" si="35"/>
        <v>0.12013888888759539</v>
      </c>
      <c r="H510" s="1" t="s">
        <v>248</v>
      </c>
      <c r="J510" s="1" t="s">
        <v>249</v>
      </c>
      <c r="K510" s="1" t="s">
        <v>349</v>
      </c>
      <c r="L510" s="1" t="s">
        <v>436</v>
      </c>
      <c r="M510" s="1" t="s">
        <v>251</v>
      </c>
      <c r="N510" s="1" t="s">
        <v>330</v>
      </c>
      <c r="O510" s="1" t="s">
        <v>331</v>
      </c>
      <c r="P510" s="1" t="str">
        <f t="shared" si="33"/>
        <v>BC Formoso2.1Inverter(MBUS-1)46037,2062546037,2062546037,3263888889</v>
      </c>
      <c r="Q510" s="1" t="str">
        <f t="shared" si="34"/>
        <v>DAURDE</v>
      </c>
    </row>
    <row r="511" spans="2:17">
      <c r="B511" s="1" t="s">
        <v>437</v>
      </c>
      <c r="C511" s="1" t="s">
        <v>354</v>
      </c>
      <c r="D511" s="52">
        <v>46023.320833333331</v>
      </c>
      <c r="E511" s="52">
        <v>46023.320833333331</v>
      </c>
      <c r="F511" s="52">
        <v>46028.520833333336</v>
      </c>
      <c r="G511" s="53">
        <f t="shared" si="35"/>
        <v>5.2000000000043656</v>
      </c>
      <c r="H511" s="1" t="s">
        <v>248</v>
      </c>
      <c r="J511" s="1" t="s">
        <v>249</v>
      </c>
      <c r="K511" s="1" t="s">
        <v>349</v>
      </c>
      <c r="L511" s="1" t="s">
        <v>438</v>
      </c>
      <c r="M511" s="1" t="s">
        <v>251</v>
      </c>
      <c r="N511" s="1" t="s">
        <v>330</v>
      </c>
      <c r="O511" s="1" t="s">
        <v>331</v>
      </c>
      <c r="P511" s="1" t="str">
        <f t="shared" si="33"/>
        <v>BC Ibiuna 1.1Inverter(MBUS-12)46023,320833333346023,320833333346028,5208333333</v>
      </c>
      <c r="Q511" s="1" t="str">
        <f t="shared" si="34"/>
        <v>DAURDE</v>
      </c>
    </row>
    <row r="512" spans="2:17">
      <c r="B512" s="1" t="s">
        <v>437</v>
      </c>
      <c r="C512" s="1" t="s">
        <v>357</v>
      </c>
      <c r="D512" s="52">
        <v>46023.320833333331</v>
      </c>
      <c r="E512" s="52">
        <v>46023.320833333331</v>
      </c>
      <c r="F512" s="52">
        <v>46028.520833333336</v>
      </c>
      <c r="G512" s="53">
        <f t="shared" si="35"/>
        <v>5.2000000000043656</v>
      </c>
      <c r="H512" s="1" t="s">
        <v>248</v>
      </c>
      <c r="J512" s="1" t="s">
        <v>249</v>
      </c>
      <c r="K512" s="1" t="s">
        <v>349</v>
      </c>
      <c r="L512" s="1" t="s">
        <v>438</v>
      </c>
      <c r="M512" s="1" t="s">
        <v>251</v>
      </c>
      <c r="N512" s="1" t="s">
        <v>330</v>
      </c>
      <c r="O512" s="1" t="s">
        <v>331</v>
      </c>
      <c r="P512" s="1" t="str">
        <f t="shared" si="33"/>
        <v>BC Ibiuna 1.1Inverter(MBUS-13)46023,320833333346023,320833333346028,5208333333</v>
      </c>
      <c r="Q512" s="1" t="str">
        <f t="shared" si="34"/>
        <v>DAURDE</v>
      </c>
    </row>
    <row r="513" spans="2:17">
      <c r="B513" s="1" t="s">
        <v>437</v>
      </c>
      <c r="C513" s="1" t="s">
        <v>358</v>
      </c>
      <c r="D513" s="52">
        <v>46023.320833333331</v>
      </c>
      <c r="E513" s="52">
        <v>46023.320833333331</v>
      </c>
      <c r="F513" s="52">
        <v>46028.520833333336</v>
      </c>
      <c r="G513" s="53">
        <f t="shared" si="35"/>
        <v>5.2000000000043656</v>
      </c>
      <c r="H513" s="1" t="s">
        <v>248</v>
      </c>
      <c r="J513" s="1" t="s">
        <v>249</v>
      </c>
      <c r="K513" s="1" t="s">
        <v>349</v>
      </c>
      <c r="L513" s="1" t="s">
        <v>438</v>
      </c>
      <c r="M513" s="1" t="s">
        <v>251</v>
      </c>
      <c r="N513" s="1" t="s">
        <v>330</v>
      </c>
      <c r="O513" s="1" t="s">
        <v>331</v>
      </c>
      <c r="P513" s="1" t="str">
        <f t="shared" si="33"/>
        <v>BC Ibiuna 1.1Inverter(MBUS-14)46023,320833333346023,320833333346028,5208333333</v>
      </c>
      <c r="Q513" s="1" t="str">
        <f t="shared" si="34"/>
        <v>DAURDE</v>
      </c>
    </row>
    <row r="514" spans="2:17">
      <c r="B514" s="1" t="s">
        <v>437</v>
      </c>
      <c r="C514" s="1" t="s">
        <v>359</v>
      </c>
      <c r="D514" s="52">
        <v>46023.320833333331</v>
      </c>
      <c r="E514" s="52">
        <v>46023.320833333331</v>
      </c>
      <c r="F514" s="52">
        <v>46028.520833333336</v>
      </c>
      <c r="G514" s="53">
        <f t="shared" si="35"/>
        <v>5.2000000000043656</v>
      </c>
      <c r="H514" s="1" t="s">
        <v>248</v>
      </c>
      <c r="J514" s="1" t="s">
        <v>249</v>
      </c>
      <c r="K514" s="1" t="s">
        <v>349</v>
      </c>
      <c r="L514" s="1" t="s">
        <v>438</v>
      </c>
      <c r="M514" s="1" t="s">
        <v>251</v>
      </c>
      <c r="N514" s="1" t="s">
        <v>330</v>
      </c>
      <c r="O514" s="1" t="s">
        <v>331</v>
      </c>
      <c r="P514" s="1" t="str">
        <f t="shared" si="33"/>
        <v>BC Ibiuna 1.1Inverter(MBUS-15)46023,320833333346023,320833333346028,5208333333</v>
      </c>
      <c r="Q514" s="1" t="str">
        <f t="shared" si="34"/>
        <v>DAURDE</v>
      </c>
    </row>
    <row r="515" spans="2:17">
      <c r="B515" s="1" t="s">
        <v>439</v>
      </c>
      <c r="C515" s="1" t="s">
        <v>354</v>
      </c>
      <c r="D515" s="52">
        <v>46023.320833333331</v>
      </c>
      <c r="E515" s="52">
        <v>46023.320833333331</v>
      </c>
      <c r="F515" s="52">
        <v>46028.520833333336</v>
      </c>
      <c r="G515" s="53">
        <f t="shared" si="35"/>
        <v>5.2000000000043656</v>
      </c>
      <c r="H515" s="1" t="s">
        <v>248</v>
      </c>
      <c r="J515" s="1" t="s">
        <v>249</v>
      </c>
      <c r="K515" s="1" t="s">
        <v>349</v>
      </c>
      <c r="L515" s="1" t="s">
        <v>440</v>
      </c>
      <c r="M515" s="1" t="s">
        <v>251</v>
      </c>
      <c r="N515" s="1" t="s">
        <v>330</v>
      </c>
      <c r="O515" s="1" t="s">
        <v>331</v>
      </c>
      <c r="P515" s="1" t="str">
        <f t="shared" si="33"/>
        <v>BC Ibiuna 1.2Inverter(MBUS-12)46023,320833333346023,320833333346028,5208333333</v>
      </c>
      <c r="Q515" s="1" t="str">
        <f t="shared" si="34"/>
        <v>DAURDE</v>
      </c>
    </row>
    <row r="516" spans="2:17">
      <c r="B516" s="1" t="s">
        <v>439</v>
      </c>
      <c r="C516" s="1" t="s">
        <v>357</v>
      </c>
      <c r="D516" s="52">
        <v>46023.320833333331</v>
      </c>
      <c r="E516" s="52">
        <v>46023.320833333331</v>
      </c>
      <c r="F516" s="52">
        <v>46028.520833333336</v>
      </c>
      <c r="G516" s="53">
        <f t="shared" si="35"/>
        <v>5.2000000000043656</v>
      </c>
      <c r="H516" s="1" t="s">
        <v>248</v>
      </c>
      <c r="J516" s="1" t="s">
        <v>249</v>
      </c>
      <c r="K516" s="1" t="s">
        <v>349</v>
      </c>
      <c r="L516" s="1" t="s">
        <v>440</v>
      </c>
      <c r="M516" s="1" t="s">
        <v>251</v>
      </c>
      <c r="N516" s="1" t="s">
        <v>330</v>
      </c>
      <c r="O516" s="1" t="s">
        <v>331</v>
      </c>
      <c r="P516" s="1" t="str">
        <f t="shared" si="33"/>
        <v>BC Ibiuna 1.2Inverter(MBUS-13)46023,320833333346023,320833333346028,5208333333</v>
      </c>
      <c r="Q516" s="1" t="str">
        <f t="shared" si="34"/>
        <v>DAURDE</v>
      </c>
    </row>
    <row r="517" spans="2:17">
      <c r="B517" s="1" t="s">
        <v>439</v>
      </c>
      <c r="C517" s="1" t="s">
        <v>358</v>
      </c>
      <c r="D517" s="52">
        <v>46023.320833333331</v>
      </c>
      <c r="E517" s="52">
        <v>46023.320833333331</v>
      </c>
      <c r="F517" s="52">
        <v>46028.520833333336</v>
      </c>
      <c r="G517" s="53">
        <f t="shared" si="35"/>
        <v>5.2000000000043656</v>
      </c>
      <c r="H517" s="1" t="s">
        <v>248</v>
      </c>
      <c r="J517" s="1" t="s">
        <v>249</v>
      </c>
      <c r="K517" s="1" t="s">
        <v>349</v>
      </c>
      <c r="L517" s="1" t="s">
        <v>440</v>
      </c>
      <c r="M517" s="1" t="s">
        <v>251</v>
      </c>
      <c r="N517" s="1" t="s">
        <v>330</v>
      </c>
      <c r="O517" s="1" t="s">
        <v>331</v>
      </c>
      <c r="P517" s="1" t="str">
        <f t="shared" si="33"/>
        <v>BC Ibiuna 1.2Inverter(MBUS-14)46023,320833333346023,320833333346028,5208333333</v>
      </c>
      <c r="Q517" s="1" t="str">
        <f t="shared" si="34"/>
        <v>DAURDE</v>
      </c>
    </row>
    <row r="518" spans="2:17">
      <c r="B518" s="1" t="s">
        <v>439</v>
      </c>
      <c r="C518" s="1" t="s">
        <v>359</v>
      </c>
      <c r="D518" s="52">
        <v>46023.320833333331</v>
      </c>
      <c r="E518" s="52">
        <v>46023.320833333331</v>
      </c>
      <c r="F518" s="52">
        <v>46028.520833333336</v>
      </c>
      <c r="G518" s="53">
        <f t="shared" si="35"/>
        <v>5.2000000000043656</v>
      </c>
      <c r="H518" s="1" t="s">
        <v>248</v>
      </c>
      <c r="J518" s="1" t="s">
        <v>249</v>
      </c>
      <c r="K518" s="1" t="s">
        <v>349</v>
      </c>
      <c r="L518" s="1" t="s">
        <v>440</v>
      </c>
      <c r="M518" s="1" t="s">
        <v>251</v>
      </c>
      <c r="N518" s="1" t="s">
        <v>330</v>
      </c>
      <c r="O518" s="1" t="s">
        <v>331</v>
      </c>
      <c r="P518" s="1" t="str">
        <f t="shared" si="33"/>
        <v>BC Ibiuna 1.2Inverter(MBUS-15)46023,320833333346023,320833333346028,5208333333</v>
      </c>
      <c r="Q518" s="1" t="str">
        <f t="shared" si="34"/>
        <v>DAURDE</v>
      </c>
    </row>
    <row r="519" spans="2:17">
      <c r="B519" s="1" t="s">
        <v>437</v>
      </c>
      <c r="C519" s="1" t="s">
        <v>354</v>
      </c>
      <c r="D519" s="52">
        <v>46029.673611111109</v>
      </c>
      <c r="E519" s="52">
        <v>46029.673611111109</v>
      </c>
      <c r="F519" s="52">
        <v>46030.416666666664</v>
      </c>
      <c r="G519" s="53">
        <f t="shared" si="35"/>
        <v>0.74305555555474712</v>
      </c>
      <c r="H519" s="1" t="s">
        <v>248</v>
      </c>
      <c r="J519" s="1" t="s">
        <v>249</v>
      </c>
      <c r="K519" s="1" t="s">
        <v>349</v>
      </c>
      <c r="L519" s="1" t="s">
        <v>441</v>
      </c>
      <c r="M519" s="1" t="s">
        <v>251</v>
      </c>
      <c r="N519" s="1" t="s">
        <v>330</v>
      </c>
      <c r="O519" s="1" t="s">
        <v>331</v>
      </c>
      <c r="P519" s="1" t="str">
        <f t="shared" ref="P519:P582" si="36">_xlfn.CONCAT(B519,C519,D519,E519,F519)</f>
        <v>BC Ibiuna 1.1Inverter(MBUS-12)46029,673611111146029,673611111146030,4166666667</v>
      </c>
      <c r="Q519" s="1" t="str">
        <f t="shared" ref="Q519:Q582" si="37">_xlfn.CONCAT(H519,I519,J519)</f>
        <v>DAURDE</v>
      </c>
    </row>
    <row r="520" spans="2:17">
      <c r="B520" s="1" t="s">
        <v>437</v>
      </c>
      <c r="C520" s="1" t="s">
        <v>357</v>
      </c>
      <c r="D520" s="52">
        <v>46029.673611111109</v>
      </c>
      <c r="E520" s="52">
        <v>46029.673611111109</v>
      </c>
      <c r="F520" s="52">
        <v>46030.416666666664</v>
      </c>
      <c r="G520" s="53">
        <f t="shared" si="35"/>
        <v>0.74305555555474712</v>
      </c>
      <c r="H520" s="1" t="s">
        <v>248</v>
      </c>
      <c r="J520" s="1" t="s">
        <v>249</v>
      </c>
      <c r="K520" s="1" t="s">
        <v>349</v>
      </c>
      <c r="L520" s="1" t="s">
        <v>441</v>
      </c>
      <c r="M520" s="1" t="s">
        <v>251</v>
      </c>
      <c r="N520" s="1" t="s">
        <v>330</v>
      </c>
      <c r="O520" s="1" t="s">
        <v>331</v>
      </c>
      <c r="P520" s="1" t="str">
        <f t="shared" si="36"/>
        <v>BC Ibiuna 1.1Inverter(MBUS-13)46029,673611111146029,673611111146030,4166666667</v>
      </c>
      <c r="Q520" s="1" t="str">
        <f t="shared" si="37"/>
        <v>DAURDE</v>
      </c>
    </row>
    <row r="521" spans="2:17">
      <c r="B521" s="1" t="s">
        <v>437</v>
      </c>
      <c r="C521" s="1" t="s">
        <v>358</v>
      </c>
      <c r="D521" s="52">
        <v>46029.673611111109</v>
      </c>
      <c r="E521" s="52">
        <v>46029.673611111109</v>
      </c>
      <c r="F521" s="52">
        <v>46030.416666666664</v>
      </c>
      <c r="G521" s="53">
        <f t="shared" si="35"/>
        <v>0.74305555555474712</v>
      </c>
      <c r="H521" s="1" t="s">
        <v>248</v>
      </c>
      <c r="J521" s="1" t="s">
        <v>249</v>
      </c>
      <c r="K521" s="1" t="s">
        <v>349</v>
      </c>
      <c r="L521" s="1" t="s">
        <v>441</v>
      </c>
      <c r="M521" s="1" t="s">
        <v>251</v>
      </c>
      <c r="N521" s="1" t="s">
        <v>330</v>
      </c>
      <c r="O521" s="1" t="s">
        <v>331</v>
      </c>
      <c r="P521" s="1" t="str">
        <f t="shared" si="36"/>
        <v>BC Ibiuna 1.1Inverter(MBUS-14)46029,673611111146029,673611111146030,4166666667</v>
      </c>
      <c r="Q521" s="1" t="str">
        <f t="shared" si="37"/>
        <v>DAURDE</v>
      </c>
    </row>
    <row r="522" spans="2:17">
      <c r="B522" s="1" t="s">
        <v>437</v>
      </c>
      <c r="C522" s="1" t="s">
        <v>359</v>
      </c>
      <c r="D522" s="52">
        <v>46029.673611111109</v>
      </c>
      <c r="E522" s="52">
        <v>46029.673611111109</v>
      </c>
      <c r="F522" s="52">
        <v>46030.416666666664</v>
      </c>
      <c r="G522" s="53">
        <f t="shared" si="35"/>
        <v>0.74305555555474712</v>
      </c>
      <c r="H522" s="1" t="s">
        <v>248</v>
      </c>
      <c r="J522" s="1" t="s">
        <v>249</v>
      </c>
      <c r="K522" s="1" t="s">
        <v>349</v>
      </c>
      <c r="L522" s="1" t="s">
        <v>441</v>
      </c>
      <c r="M522" s="1" t="s">
        <v>251</v>
      </c>
      <c r="N522" s="1" t="s">
        <v>330</v>
      </c>
      <c r="O522" s="1" t="s">
        <v>331</v>
      </c>
      <c r="P522" s="1" t="str">
        <f t="shared" si="36"/>
        <v>BC Ibiuna 1.1Inverter(MBUS-15)46029,673611111146029,673611111146030,4166666667</v>
      </c>
      <c r="Q522" s="1" t="str">
        <f t="shared" si="37"/>
        <v>DAURDE</v>
      </c>
    </row>
    <row r="523" spans="2:17">
      <c r="B523" s="1" t="s">
        <v>439</v>
      </c>
      <c r="C523" s="1" t="s">
        <v>354</v>
      </c>
      <c r="D523" s="52">
        <v>46029.673611111109</v>
      </c>
      <c r="E523" s="52">
        <v>46029.673611111109</v>
      </c>
      <c r="F523" s="52">
        <v>46030.416666666664</v>
      </c>
      <c r="G523" s="53">
        <f t="shared" si="35"/>
        <v>0.74305555555474712</v>
      </c>
      <c r="H523" s="1" t="s">
        <v>248</v>
      </c>
      <c r="J523" s="1" t="s">
        <v>249</v>
      </c>
      <c r="K523" s="1" t="s">
        <v>349</v>
      </c>
      <c r="L523" s="1" t="s">
        <v>442</v>
      </c>
      <c r="M523" s="1" t="s">
        <v>251</v>
      </c>
      <c r="N523" s="1" t="s">
        <v>330</v>
      </c>
      <c r="O523" s="1" t="s">
        <v>331</v>
      </c>
      <c r="P523" s="1" t="str">
        <f t="shared" si="36"/>
        <v>BC Ibiuna 1.2Inverter(MBUS-12)46029,673611111146029,673611111146030,4166666667</v>
      </c>
      <c r="Q523" s="1" t="str">
        <f t="shared" si="37"/>
        <v>DAURDE</v>
      </c>
    </row>
    <row r="524" spans="2:17">
      <c r="B524" s="1" t="s">
        <v>439</v>
      </c>
      <c r="C524" s="1" t="s">
        <v>357</v>
      </c>
      <c r="D524" s="52">
        <v>46029.673611111109</v>
      </c>
      <c r="E524" s="52">
        <v>46029.673611111109</v>
      </c>
      <c r="F524" s="52">
        <v>46030.416666666664</v>
      </c>
      <c r="G524" s="53">
        <f t="shared" si="35"/>
        <v>0.74305555555474712</v>
      </c>
      <c r="H524" s="1" t="s">
        <v>248</v>
      </c>
      <c r="J524" s="1" t="s">
        <v>249</v>
      </c>
      <c r="K524" s="1" t="s">
        <v>349</v>
      </c>
      <c r="L524" s="1" t="s">
        <v>442</v>
      </c>
      <c r="M524" s="1" t="s">
        <v>251</v>
      </c>
      <c r="N524" s="1" t="s">
        <v>330</v>
      </c>
      <c r="O524" s="1" t="s">
        <v>331</v>
      </c>
      <c r="P524" s="1" t="str">
        <f t="shared" si="36"/>
        <v>BC Ibiuna 1.2Inverter(MBUS-13)46029,673611111146029,673611111146030,4166666667</v>
      </c>
      <c r="Q524" s="1" t="str">
        <f t="shared" si="37"/>
        <v>DAURDE</v>
      </c>
    </row>
    <row r="525" spans="2:17">
      <c r="B525" s="1" t="s">
        <v>439</v>
      </c>
      <c r="C525" s="1" t="s">
        <v>358</v>
      </c>
      <c r="D525" s="52">
        <v>46029.673611111109</v>
      </c>
      <c r="E525" s="52">
        <v>46029.673611111109</v>
      </c>
      <c r="F525" s="52">
        <v>46030.416666666664</v>
      </c>
      <c r="G525" s="53">
        <f t="shared" si="35"/>
        <v>0.74305555555474712</v>
      </c>
      <c r="H525" s="1" t="s">
        <v>248</v>
      </c>
      <c r="J525" s="1" t="s">
        <v>249</v>
      </c>
      <c r="K525" s="1" t="s">
        <v>349</v>
      </c>
      <c r="L525" s="1" t="s">
        <v>442</v>
      </c>
      <c r="M525" s="1" t="s">
        <v>251</v>
      </c>
      <c r="N525" s="1" t="s">
        <v>330</v>
      </c>
      <c r="O525" s="1" t="s">
        <v>331</v>
      </c>
      <c r="P525" s="1" t="str">
        <f t="shared" si="36"/>
        <v>BC Ibiuna 1.2Inverter(MBUS-14)46029,673611111146029,673611111146030,4166666667</v>
      </c>
      <c r="Q525" s="1" t="str">
        <f t="shared" si="37"/>
        <v>DAURDE</v>
      </c>
    </row>
    <row r="526" spans="2:17">
      <c r="B526" s="1" t="s">
        <v>439</v>
      </c>
      <c r="C526" s="1" t="s">
        <v>359</v>
      </c>
      <c r="D526" s="52">
        <v>46029.673611111109</v>
      </c>
      <c r="E526" s="52">
        <v>46029.673611111109</v>
      </c>
      <c r="F526" s="52">
        <v>46030.416666666664</v>
      </c>
      <c r="G526" s="53">
        <f t="shared" si="35"/>
        <v>0.74305555555474712</v>
      </c>
      <c r="H526" s="1" t="s">
        <v>248</v>
      </c>
      <c r="J526" s="1" t="s">
        <v>249</v>
      </c>
      <c r="K526" s="1" t="s">
        <v>349</v>
      </c>
      <c r="L526" s="1" t="s">
        <v>442</v>
      </c>
      <c r="M526" s="1" t="s">
        <v>251</v>
      </c>
      <c r="N526" s="1" t="s">
        <v>330</v>
      </c>
      <c r="O526" s="1" t="s">
        <v>331</v>
      </c>
      <c r="P526" s="1" t="str">
        <f t="shared" si="36"/>
        <v>BC Ibiuna 1.2Inverter(MBUS-15)46029,673611111146029,673611111146030,4166666667</v>
      </c>
      <c r="Q526" s="1" t="str">
        <f t="shared" si="37"/>
        <v>DAURDE</v>
      </c>
    </row>
    <row r="527" spans="2:17">
      <c r="B527" s="1" t="s">
        <v>439</v>
      </c>
      <c r="C527" s="1" t="s">
        <v>354</v>
      </c>
      <c r="D527" s="52">
        <v>46030.541666666664</v>
      </c>
      <c r="E527" s="52">
        <v>46030.541666666664</v>
      </c>
      <c r="F527" s="52">
        <v>46030.548611111109</v>
      </c>
      <c r="G527" s="53">
        <f t="shared" si="35"/>
        <v>6.9444444452528842E-3</v>
      </c>
      <c r="H527" s="1" t="s">
        <v>248</v>
      </c>
      <c r="J527" s="1" t="s">
        <v>249</v>
      </c>
      <c r="K527" s="1" t="s">
        <v>349</v>
      </c>
      <c r="L527" s="1" t="s">
        <v>442</v>
      </c>
      <c r="M527" s="1" t="s">
        <v>251</v>
      </c>
      <c r="N527" s="1" t="s">
        <v>330</v>
      </c>
      <c r="O527" s="1" t="s">
        <v>331</v>
      </c>
      <c r="P527" s="1" t="str">
        <f t="shared" si="36"/>
        <v>BC Ibiuna 1.2Inverter(MBUS-12)46030,541666666746030,541666666746030,5486111111</v>
      </c>
      <c r="Q527" s="1" t="str">
        <f t="shared" si="37"/>
        <v>DAURDE</v>
      </c>
    </row>
    <row r="528" spans="2:17">
      <c r="B528" s="1" t="s">
        <v>439</v>
      </c>
      <c r="C528" s="1" t="s">
        <v>357</v>
      </c>
      <c r="D528" s="52">
        <v>46030.541666666664</v>
      </c>
      <c r="E528" s="52">
        <v>46030.541666666664</v>
      </c>
      <c r="F528" s="52">
        <v>46030.548611111109</v>
      </c>
      <c r="G528" s="53">
        <f t="shared" si="35"/>
        <v>6.9444444452528842E-3</v>
      </c>
      <c r="H528" s="1" t="s">
        <v>248</v>
      </c>
      <c r="J528" s="1" t="s">
        <v>249</v>
      </c>
      <c r="K528" s="1" t="s">
        <v>349</v>
      </c>
      <c r="L528" s="1" t="s">
        <v>442</v>
      </c>
      <c r="M528" s="1" t="s">
        <v>251</v>
      </c>
      <c r="N528" s="1" t="s">
        <v>330</v>
      </c>
      <c r="O528" s="1" t="s">
        <v>331</v>
      </c>
      <c r="P528" s="1" t="str">
        <f t="shared" si="36"/>
        <v>BC Ibiuna 1.2Inverter(MBUS-13)46030,541666666746030,541666666746030,5486111111</v>
      </c>
      <c r="Q528" s="1" t="str">
        <f t="shared" si="37"/>
        <v>DAURDE</v>
      </c>
    </row>
    <row r="529" spans="2:17">
      <c r="B529" s="1" t="s">
        <v>439</v>
      </c>
      <c r="C529" s="1" t="s">
        <v>358</v>
      </c>
      <c r="D529" s="52">
        <v>46030.541666666664</v>
      </c>
      <c r="E529" s="52">
        <v>46030.541666666664</v>
      </c>
      <c r="F529" s="52">
        <v>46030.548611111109</v>
      </c>
      <c r="G529" s="53">
        <f t="shared" si="35"/>
        <v>6.9444444452528842E-3</v>
      </c>
      <c r="H529" s="1" t="s">
        <v>248</v>
      </c>
      <c r="J529" s="1" t="s">
        <v>249</v>
      </c>
      <c r="K529" s="1" t="s">
        <v>349</v>
      </c>
      <c r="L529" s="1" t="s">
        <v>442</v>
      </c>
      <c r="M529" s="1" t="s">
        <v>251</v>
      </c>
      <c r="N529" s="1" t="s">
        <v>330</v>
      </c>
      <c r="O529" s="1" t="s">
        <v>331</v>
      </c>
      <c r="P529" s="1" t="str">
        <f t="shared" si="36"/>
        <v>BC Ibiuna 1.2Inverter(MBUS-14)46030,541666666746030,541666666746030,5486111111</v>
      </c>
      <c r="Q529" s="1" t="str">
        <f t="shared" si="37"/>
        <v>DAURDE</v>
      </c>
    </row>
    <row r="530" spans="2:17">
      <c r="B530" s="1" t="s">
        <v>439</v>
      </c>
      <c r="C530" s="1" t="s">
        <v>359</v>
      </c>
      <c r="D530" s="52">
        <v>46030.541666666664</v>
      </c>
      <c r="E530" s="52">
        <v>46030.541666666664</v>
      </c>
      <c r="F530" s="52">
        <v>46030.548611111109</v>
      </c>
      <c r="G530" s="53">
        <f t="shared" si="35"/>
        <v>6.9444444452528842E-3</v>
      </c>
      <c r="H530" s="1" t="s">
        <v>248</v>
      </c>
      <c r="J530" s="1" t="s">
        <v>249</v>
      </c>
      <c r="K530" s="1" t="s">
        <v>349</v>
      </c>
      <c r="L530" s="1" t="s">
        <v>442</v>
      </c>
      <c r="M530" s="1" t="s">
        <v>251</v>
      </c>
      <c r="N530" s="1" t="s">
        <v>330</v>
      </c>
      <c r="O530" s="1" t="s">
        <v>331</v>
      </c>
      <c r="P530" s="1" t="str">
        <f t="shared" si="36"/>
        <v>BC Ibiuna 1.2Inverter(MBUS-15)46030,541666666746030,541666666746030,5486111111</v>
      </c>
      <c r="Q530" s="1" t="str">
        <f t="shared" si="37"/>
        <v>DAURDE</v>
      </c>
    </row>
    <row r="531" spans="2:17">
      <c r="B531" s="1" t="s">
        <v>439</v>
      </c>
      <c r="C531" s="1" t="s">
        <v>354</v>
      </c>
      <c r="D531" s="52">
        <v>46030.604166666664</v>
      </c>
      <c r="E531" s="52">
        <v>46030.604166666664</v>
      </c>
      <c r="F531" s="52">
        <v>46030.666666666664</v>
      </c>
      <c r="G531" s="53">
        <f t="shared" si="35"/>
        <v>6.25E-2</v>
      </c>
      <c r="H531" s="1" t="s">
        <v>248</v>
      </c>
      <c r="J531" s="1" t="s">
        <v>249</v>
      </c>
      <c r="K531" s="1" t="s">
        <v>349</v>
      </c>
      <c r="L531" s="1" t="s">
        <v>443</v>
      </c>
      <c r="M531" s="1" t="s">
        <v>251</v>
      </c>
      <c r="N531" s="1" t="s">
        <v>330</v>
      </c>
      <c r="O531" s="1" t="s">
        <v>331</v>
      </c>
      <c r="P531" s="1" t="str">
        <f t="shared" si="36"/>
        <v>BC Ibiuna 1.2Inverter(MBUS-12)46030,604166666746030,604166666746030,6666666667</v>
      </c>
      <c r="Q531" s="1" t="str">
        <f t="shared" si="37"/>
        <v>DAURDE</v>
      </c>
    </row>
    <row r="532" spans="2:17">
      <c r="B532" s="1" t="s">
        <v>439</v>
      </c>
      <c r="C532" s="1" t="s">
        <v>357</v>
      </c>
      <c r="D532" s="52">
        <v>46030.604166666664</v>
      </c>
      <c r="E532" s="52">
        <v>46030.604166666664</v>
      </c>
      <c r="F532" s="52">
        <v>46030.666666666664</v>
      </c>
      <c r="G532" s="53">
        <f t="shared" si="35"/>
        <v>6.25E-2</v>
      </c>
      <c r="H532" s="1" t="s">
        <v>248</v>
      </c>
      <c r="J532" s="1" t="s">
        <v>249</v>
      </c>
      <c r="K532" s="1" t="s">
        <v>349</v>
      </c>
      <c r="L532" s="1" t="s">
        <v>443</v>
      </c>
      <c r="M532" s="1" t="s">
        <v>251</v>
      </c>
      <c r="N532" s="1" t="s">
        <v>330</v>
      </c>
      <c r="O532" s="1" t="s">
        <v>331</v>
      </c>
      <c r="P532" s="1" t="str">
        <f t="shared" si="36"/>
        <v>BC Ibiuna 1.2Inverter(MBUS-13)46030,604166666746030,604166666746030,6666666667</v>
      </c>
      <c r="Q532" s="1" t="str">
        <f t="shared" si="37"/>
        <v>DAURDE</v>
      </c>
    </row>
    <row r="533" spans="2:17">
      <c r="B533" s="1" t="s">
        <v>439</v>
      </c>
      <c r="C533" s="1" t="s">
        <v>358</v>
      </c>
      <c r="D533" s="52">
        <v>46030.604166666664</v>
      </c>
      <c r="E533" s="52">
        <v>46030.604166666664</v>
      </c>
      <c r="F533" s="52">
        <v>46030.666666666664</v>
      </c>
      <c r="G533" s="53">
        <f t="shared" si="35"/>
        <v>6.25E-2</v>
      </c>
      <c r="H533" s="1" t="s">
        <v>248</v>
      </c>
      <c r="J533" s="1" t="s">
        <v>249</v>
      </c>
      <c r="K533" s="1" t="s">
        <v>349</v>
      </c>
      <c r="L533" s="1" t="s">
        <v>443</v>
      </c>
      <c r="M533" s="1" t="s">
        <v>251</v>
      </c>
      <c r="N533" s="1" t="s">
        <v>330</v>
      </c>
      <c r="O533" s="1" t="s">
        <v>331</v>
      </c>
      <c r="P533" s="1" t="str">
        <f t="shared" si="36"/>
        <v>BC Ibiuna 1.2Inverter(MBUS-14)46030,604166666746030,604166666746030,6666666667</v>
      </c>
      <c r="Q533" s="1" t="str">
        <f t="shared" si="37"/>
        <v>DAURDE</v>
      </c>
    </row>
    <row r="534" spans="2:17">
      <c r="B534" s="1" t="s">
        <v>439</v>
      </c>
      <c r="C534" s="1" t="s">
        <v>359</v>
      </c>
      <c r="D534" s="52">
        <v>46030.604166666664</v>
      </c>
      <c r="E534" s="52">
        <v>46030.604166666664</v>
      </c>
      <c r="F534" s="52">
        <v>46030.666666666664</v>
      </c>
      <c r="G534" s="53">
        <f t="shared" si="35"/>
        <v>6.25E-2</v>
      </c>
      <c r="H534" s="1" t="s">
        <v>248</v>
      </c>
      <c r="J534" s="1" t="s">
        <v>249</v>
      </c>
      <c r="K534" s="1" t="s">
        <v>349</v>
      </c>
      <c r="L534" s="1" t="s">
        <v>443</v>
      </c>
      <c r="M534" s="1" t="s">
        <v>251</v>
      </c>
      <c r="N534" s="1" t="s">
        <v>330</v>
      </c>
      <c r="O534" s="1" t="s">
        <v>331</v>
      </c>
      <c r="P534" s="1" t="str">
        <f t="shared" si="36"/>
        <v>BC Ibiuna 1.2Inverter(MBUS-15)46030,604166666746030,604166666746030,6666666667</v>
      </c>
      <c r="Q534" s="1" t="str">
        <f t="shared" si="37"/>
        <v>DAURDE</v>
      </c>
    </row>
    <row r="535" spans="2:17">
      <c r="B535" s="73" t="s">
        <v>437</v>
      </c>
      <c r="C535" s="1" t="s">
        <v>354</v>
      </c>
      <c r="D535" s="52">
        <v>46030.743055555555</v>
      </c>
      <c r="E535" s="52">
        <v>46030.743055555555</v>
      </c>
      <c r="F535" s="52">
        <v>46031.354166666664</v>
      </c>
      <c r="G535" s="53">
        <f t="shared" si="35"/>
        <v>0.61111111110949423</v>
      </c>
      <c r="H535" s="1" t="s">
        <v>248</v>
      </c>
      <c r="J535" s="1" t="s">
        <v>249</v>
      </c>
      <c r="K535" s="1" t="s">
        <v>349</v>
      </c>
      <c r="M535" s="1" t="s">
        <v>251</v>
      </c>
      <c r="N535" s="1" t="s">
        <v>330</v>
      </c>
      <c r="P535" s="1" t="str">
        <f t="shared" si="36"/>
        <v>BC Ibiuna 1.1Inverter(MBUS-12)46030,743055555646030,743055555646031,3541666667</v>
      </c>
      <c r="Q535" s="1" t="str">
        <f t="shared" si="37"/>
        <v>DAURDE</v>
      </c>
    </row>
    <row r="536" spans="2:17">
      <c r="B536" s="73" t="s">
        <v>437</v>
      </c>
      <c r="C536" s="1" t="s">
        <v>357</v>
      </c>
      <c r="D536" s="52">
        <v>46030.743055555555</v>
      </c>
      <c r="E536" s="52">
        <v>46030.743055555555</v>
      </c>
      <c r="F536" s="52">
        <v>46031.354166666664</v>
      </c>
      <c r="G536" s="53">
        <f t="shared" si="35"/>
        <v>0.61111111110949423</v>
      </c>
      <c r="H536" s="1" t="s">
        <v>248</v>
      </c>
      <c r="J536" s="1" t="s">
        <v>249</v>
      </c>
      <c r="K536" s="1" t="s">
        <v>349</v>
      </c>
      <c r="M536" s="1" t="s">
        <v>251</v>
      </c>
      <c r="N536" s="1" t="s">
        <v>330</v>
      </c>
      <c r="P536" s="1" t="str">
        <f>_xlfn.CONCAT(B536,C536,D537,E536,F536)</f>
        <v>BC Ibiuna 1.1Inverter(MBUS-13)46030,743055555646030,743055555646031,3541666667</v>
      </c>
      <c r="Q536" s="1" t="str">
        <f t="shared" si="37"/>
        <v>DAURDE</v>
      </c>
    </row>
    <row r="537" spans="2:17">
      <c r="B537" s="73" t="s">
        <v>437</v>
      </c>
      <c r="C537" s="1" t="s">
        <v>358</v>
      </c>
      <c r="D537" s="52">
        <v>46030.743055555555</v>
      </c>
      <c r="E537" s="52">
        <v>46030.743055555555</v>
      </c>
      <c r="F537" s="52">
        <v>46031.354166666664</v>
      </c>
      <c r="G537" s="53">
        <f t="shared" si="35"/>
        <v>0.61111111110949423</v>
      </c>
      <c r="H537" s="1" t="s">
        <v>248</v>
      </c>
      <c r="J537" s="1" t="s">
        <v>249</v>
      </c>
      <c r="K537" s="1" t="s">
        <v>349</v>
      </c>
      <c r="M537" s="1" t="s">
        <v>251</v>
      </c>
      <c r="N537" s="1" t="s">
        <v>330</v>
      </c>
      <c r="P537" s="1" t="e">
        <f>_xlfn.CONCAT(B537,C537,#REF!,E537,F537)</f>
        <v>#REF!</v>
      </c>
      <c r="Q537" s="1" t="str">
        <f t="shared" si="37"/>
        <v>DAURDE</v>
      </c>
    </row>
    <row r="538" spans="2:17">
      <c r="B538" s="73" t="s">
        <v>437</v>
      </c>
      <c r="C538" s="1" t="s">
        <v>359</v>
      </c>
      <c r="D538" s="52">
        <v>46030.743055555555</v>
      </c>
      <c r="E538" s="52">
        <v>46030.743055555555</v>
      </c>
      <c r="F538" s="52">
        <v>46031.354166666664</v>
      </c>
      <c r="G538" s="53">
        <f t="shared" si="35"/>
        <v>0.61111111110949423</v>
      </c>
      <c r="H538" s="1" t="s">
        <v>248</v>
      </c>
      <c r="J538" s="1" t="s">
        <v>249</v>
      </c>
      <c r="K538" s="1" t="s">
        <v>349</v>
      </c>
      <c r="M538" s="1" t="s">
        <v>251</v>
      </c>
      <c r="N538" s="1" t="s">
        <v>330</v>
      </c>
      <c r="P538" s="1" t="str">
        <f t="shared" si="36"/>
        <v>BC Ibiuna 1.1Inverter(MBUS-15)46030,743055555646030,743055555646031,3541666667</v>
      </c>
      <c r="Q538" s="1" t="str">
        <f t="shared" si="37"/>
        <v>DAURDE</v>
      </c>
    </row>
    <row r="539" spans="2:17">
      <c r="B539" s="73" t="s">
        <v>439</v>
      </c>
      <c r="C539" s="1" t="s">
        <v>354</v>
      </c>
      <c r="D539" s="52">
        <v>46030.743055555555</v>
      </c>
      <c r="E539" s="52">
        <v>46030.743055555555</v>
      </c>
      <c r="F539" s="52">
        <v>46031.354166666664</v>
      </c>
      <c r="G539" s="53">
        <f t="shared" si="35"/>
        <v>0.61111111110949423</v>
      </c>
      <c r="H539" s="1" t="s">
        <v>248</v>
      </c>
      <c r="J539" s="1" t="s">
        <v>249</v>
      </c>
      <c r="K539" s="1" t="s">
        <v>349</v>
      </c>
      <c r="M539" s="1" t="s">
        <v>251</v>
      </c>
      <c r="N539" s="1" t="s">
        <v>330</v>
      </c>
      <c r="P539" s="1" t="str">
        <f t="shared" si="36"/>
        <v>BC Ibiuna 1.2Inverter(MBUS-12)46030,743055555646030,743055555646031,3541666667</v>
      </c>
      <c r="Q539" s="1" t="str">
        <f t="shared" si="37"/>
        <v>DAURDE</v>
      </c>
    </row>
    <row r="540" spans="2:17">
      <c r="B540" s="73" t="s">
        <v>439</v>
      </c>
      <c r="C540" s="1" t="s">
        <v>357</v>
      </c>
      <c r="D540" s="52">
        <v>46030.743055555555</v>
      </c>
      <c r="E540" s="52">
        <v>46030.743055555555</v>
      </c>
      <c r="F540" s="52">
        <v>46031.354166666664</v>
      </c>
      <c r="G540" s="53">
        <f t="shared" si="35"/>
        <v>0.61111111110949423</v>
      </c>
      <c r="H540" s="1" t="s">
        <v>248</v>
      </c>
      <c r="J540" s="1" t="s">
        <v>249</v>
      </c>
      <c r="K540" s="1" t="s">
        <v>349</v>
      </c>
      <c r="M540" s="1" t="s">
        <v>251</v>
      </c>
      <c r="N540" s="1" t="s">
        <v>330</v>
      </c>
      <c r="P540" s="1" t="str">
        <f t="shared" si="36"/>
        <v>BC Ibiuna 1.2Inverter(MBUS-13)46030,743055555646030,743055555646031,3541666667</v>
      </c>
      <c r="Q540" s="1" t="str">
        <f t="shared" si="37"/>
        <v>DAURDE</v>
      </c>
    </row>
    <row r="541" spans="2:17">
      <c r="B541" s="73" t="s">
        <v>439</v>
      </c>
      <c r="C541" s="1" t="s">
        <v>358</v>
      </c>
      <c r="D541" s="52">
        <v>46030.743055555555</v>
      </c>
      <c r="E541" s="52">
        <v>46030.743055555555</v>
      </c>
      <c r="F541" s="52">
        <v>46031.354166666664</v>
      </c>
      <c r="G541" s="53">
        <f t="shared" si="35"/>
        <v>0.61111111110949423</v>
      </c>
      <c r="H541" s="1" t="s">
        <v>248</v>
      </c>
      <c r="J541" s="1" t="s">
        <v>249</v>
      </c>
      <c r="K541" s="1" t="s">
        <v>349</v>
      </c>
      <c r="M541" s="1" t="s">
        <v>251</v>
      </c>
      <c r="N541" s="1" t="s">
        <v>330</v>
      </c>
      <c r="P541" s="1" t="str">
        <f t="shared" si="36"/>
        <v>BC Ibiuna 1.2Inverter(MBUS-14)46030,743055555646030,743055555646031,3541666667</v>
      </c>
      <c r="Q541" s="1" t="str">
        <f t="shared" si="37"/>
        <v>DAURDE</v>
      </c>
    </row>
    <row r="542" spans="2:17">
      <c r="B542" s="73" t="s">
        <v>439</v>
      </c>
      <c r="C542" s="1" t="s">
        <v>359</v>
      </c>
      <c r="D542" s="52">
        <v>46030.743055555555</v>
      </c>
      <c r="E542" s="52">
        <v>46030.743055555555</v>
      </c>
      <c r="F542" s="52">
        <v>46031.354166666664</v>
      </c>
      <c r="G542" s="53">
        <f t="shared" si="35"/>
        <v>0.61111111110949423</v>
      </c>
      <c r="H542" s="1" t="s">
        <v>248</v>
      </c>
      <c r="J542" s="1" t="s">
        <v>249</v>
      </c>
      <c r="K542" s="1" t="s">
        <v>349</v>
      </c>
      <c r="M542" s="1" t="s">
        <v>251</v>
      </c>
      <c r="N542" s="1" t="s">
        <v>330</v>
      </c>
      <c r="P542" s="1" t="str">
        <f t="shared" si="36"/>
        <v>BC Ibiuna 1.2Inverter(MBUS-15)46030,743055555646030,743055555646031,3541666667</v>
      </c>
      <c r="Q542" s="1" t="str">
        <f t="shared" si="37"/>
        <v>DAURDE</v>
      </c>
    </row>
    <row r="543" spans="2:17">
      <c r="B543" s="73" t="s">
        <v>437</v>
      </c>
      <c r="C543" s="1" t="s">
        <v>354</v>
      </c>
      <c r="D543" s="52">
        <v>46033.40625</v>
      </c>
      <c r="E543" s="52">
        <v>46033.40625</v>
      </c>
      <c r="F543" s="52">
        <v>46035.239583333336</v>
      </c>
      <c r="G543" s="53">
        <f t="shared" si="35"/>
        <v>1.8333333333357587</v>
      </c>
      <c r="H543" s="1" t="s">
        <v>248</v>
      </c>
      <c r="J543" s="1" t="s">
        <v>249</v>
      </c>
      <c r="K543" s="1" t="s">
        <v>349</v>
      </c>
      <c r="M543" s="1" t="s">
        <v>251</v>
      </c>
      <c r="N543" s="1" t="s">
        <v>330</v>
      </c>
      <c r="P543" s="1" t="str">
        <f t="shared" si="36"/>
        <v>BC Ibiuna 1.1Inverter(MBUS-12)46033,4062546033,4062546035,2395833333</v>
      </c>
      <c r="Q543" s="1" t="str">
        <f t="shared" si="37"/>
        <v>DAURDE</v>
      </c>
    </row>
    <row r="544" spans="2:17">
      <c r="B544" s="73" t="s">
        <v>437</v>
      </c>
      <c r="C544" s="1" t="s">
        <v>357</v>
      </c>
      <c r="D544" s="52">
        <v>46033.40625</v>
      </c>
      <c r="E544" s="52">
        <v>46033.40625</v>
      </c>
      <c r="F544" s="52">
        <v>46035.239583333336</v>
      </c>
      <c r="G544" s="53">
        <f t="shared" si="35"/>
        <v>1.8333333333357587</v>
      </c>
      <c r="H544" s="1" t="s">
        <v>248</v>
      </c>
      <c r="J544" s="1" t="s">
        <v>249</v>
      </c>
      <c r="K544" s="1" t="s">
        <v>349</v>
      </c>
      <c r="M544" s="1" t="s">
        <v>251</v>
      </c>
      <c r="N544" s="1" t="s">
        <v>330</v>
      </c>
      <c r="P544" s="1" t="str">
        <f t="shared" si="36"/>
        <v>BC Ibiuna 1.1Inverter(MBUS-13)46033,4062546033,4062546035,2395833333</v>
      </c>
      <c r="Q544" s="1" t="str">
        <f t="shared" si="37"/>
        <v>DAURDE</v>
      </c>
    </row>
    <row r="545" spans="2:17">
      <c r="B545" s="73" t="s">
        <v>437</v>
      </c>
      <c r="C545" s="1" t="s">
        <v>358</v>
      </c>
      <c r="D545" s="52">
        <v>46033.40625</v>
      </c>
      <c r="E545" s="52">
        <v>46033.40625</v>
      </c>
      <c r="F545" s="52">
        <v>46035.239583333336</v>
      </c>
      <c r="G545" s="53">
        <f t="shared" si="35"/>
        <v>1.8333333333357587</v>
      </c>
      <c r="H545" s="1" t="s">
        <v>248</v>
      </c>
      <c r="J545" s="1" t="s">
        <v>249</v>
      </c>
      <c r="K545" s="1" t="s">
        <v>349</v>
      </c>
      <c r="M545" s="1" t="s">
        <v>251</v>
      </c>
      <c r="N545" s="1" t="s">
        <v>330</v>
      </c>
      <c r="P545" s="1" t="str">
        <f t="shared" si="36"/>
        <v>BC Ibiuna 1.1Inverter(MBUS-14)46033,4062546033,4062546035,2395833333</v>
      </c>
      <c r="Q545" s="1" t="str">
        <f t="shared" si="37"/>
        <v>DAURDE</v>
      </c>
    </row>
    <row r="546" spans="2:17">
      <c r="B546" s="73" t="s">
        <v>437</v>
      </c>
      <c r="C546" s="1" t="s">
        <v>359</v>
      </c>
      <c r="D546" s="52">
        <v>46033.40625</v>
      </c>
      <c r="E546" s="52">
        <v>46033.40625</v>
      </c>
      <c r="F546" s="52">
        <v>46035.239583333336</v>
      </c>
      <c r="G546" s="53">
        <f t="shared" si="35"/>
        <v>1.8333333333357587</v>
      </c>
      <c r="H546" s="1" t="s">
        <v>248</v>
      </c>
      <c r="J546" s="1" t="s">
        <v>249</v>
      </c>
      <c r="K546" s="1" t="s">
        <v>349</v>
      </c>
      <c r="M546" s="1" t="s">
        <v>251</v>
      </c>
      <c r="N546" s="1" t="s">
        <v>330</v>
      </c>
      <c r="P546" s="1" t="str">
        <f t="shared" si="36"/>
        <v>BC Ibiuna 1.1Inverter(MBUS-15)46033,4062546033,4062546035,2395833333</v>
      </c>
      <c r="Q546" s="1" t="str">
        <f t="shared" si="37"/>
        <v>DAURDE</v>
      </c>
    </row>
    <row r="547" spans="2:17">
      <c r="B547" s="73" t="s">
        <v>439</v>
      </c>
      <c r="C547" s="1" t="s">
        <v>354</v>
      </c>
      <c r="D547" s="52">
        <v>46033.40625</v>
      </c>
      <c r="E547" s="52">
        <v>46033.40625</v>
      </c>
      <c r="F547" s="52">
        <v>46035.239583333336</v>
      </c>
      <c r="G547" s="53">
        <f t="shared" si="35"/>
        <v>1.8333333333357587</v>
      </c>
      <c r="H547" s="1" t="s">
        <v>248</v>
      </c>
      <c r="J547" s="1" t="s">
        <v>249</v>
      </c>
      <c r="K547" s="1" t="s">
        <v>349</v>
      </c>
      <c r="M547" s="1" t="s">
        <v>251</v>
      </c>
      <c r="N547" s="1" t="s">
        <v>330</v>
      </c>
      <c r="P547" s="1" t="str">
        <f t="shared" si="36"/>
        <v>BC Ibiuna 1.2Inverter(MBUS-12)46033,4062546033,4062546035,2395833333</v>
      </c>
      <c r="Q547" s="1" t="str">
        <f t="shared" si="37"/>
        <v>DAURDE</v>
      </c>
    </row>
    <row r="548" spans="2:17">
      <c r="B548" s="73" t="s">
        <v>439</v>
      </c>
      <c r="C548" s="1" t="s">
        <v>357</v>
      </c>
      <c r="D548" s="52">
        <v>46033.40625</v>
      </c>
      <c r="E548" s="52">
        <v>46033.40625</v>
      </c>
      <c r="F548" s="52">
        <v>46035.239583333336</v>
      </c>
      <c r="G548" s="53">
        <f t="shared" si="35"/>
        <v>1.8333333333357587</v>
      </c>
      <c r="H548" s="1" t="s">
        <v>248</v>
      </c>
      <c r="J548" s="1" t="s">
        <v>249</v>
      </c>
      <c r="K548" s="1" t="s">
        <v>349</v>
      </c>
      <c r="M548" s="1" t="s">
        <v>251</v>
      </c>
      <c r="N548" s="1" t="s">
        <v>330</v>
      </c>
      <c r="P548" s="1" t="str">
        <f t="shared" si="36"/>
        <v>BC Ibiuna 1.2Inverter(MBUS-13)46033,4062546033,4062546035,2395833333</v>
      </c>
      <c r="Q548" s="1" t="str">
        <f t="shared" si="37"/>
        <v>DAURDE</v>
      </c>
    </row>
    <row r="549" spans="2:17">
      <c r="B549" s="73" t="s">
        <v>439</v>
      </c>
      <c r="C549" s="1" t="s">
        <v>358</v>
      </c>
      <c r="D549" s="52">
        <v>46033.40625</v>
      </c>
      <c r="E549" s="52">
        <v>46033.40625</v>
      </c>
      <c r="F549" s="52">
        <v>46035.239583333336</v>
      </c>
      <c r="G549" s="53">
        <f t="shared" si="35"/>
        <v>1.8333333333357587</v>
      </c>
      <c r="H549" s="1" t="s">
        <v>248</v>
      </c>
      <c r="J549" s="1" t="s">
        <v>249</v>
      </c>
      <c r="K549" s="1" t="s">
        <v>349</v>
      </c>
      <c r="M549" s="1" t="s">
        <v>251</v>
      </c>
      <c r="N549" s="1" t="s">
        <v>330</v>
      </c>
      <c r="P549" s="1" t="str">
        <f t="shared" si="36"/>
        <v>BC Ibiuna 1.2Inverter(MBUS-14)46033,4062546033,4062546035,2395833333</v>
      </c>
      <c r="Q549" s="1" t="str">
        <f t="shared" si="37"/>
        <v>DAURDE</v>
      </c>
    </row>
    <row r="550" spans="2:17">
      <c r="B550" s="73" t="s">
        <v>439</v>
      </c>
      <c r="C550" s="1" t="s">
        <v>359</v>
      </c>
      <c r="D550" s="52">
        <v>46033.40625</v>
      </c>
      <c r="E550" s="52">
        <v>46033.40625</v>
      </c>
      <c r="F550" s="52">
        <v>46035.239583333336</v>
      </c>
      <c r="G550" s="53">
        <f t="shared" si="35"/>
        <v>1.8333333333357587</v>
      </c>
      <c r="H550" s="1" t="s">
        <v>248</v>
      </c>
      <c r="J550" s="1" t="s">
        <v>249</v>
      </c>
      <c r="K550" s="1" t="s">
        <v>349</v>
      </c>
      <c r="M550" s="1" t="s">
        <v>251</v>
      </c>
      <c r="N550" s="1" t="s">
        <v>330</v>
      </c>
      <c r="P550" s="1" t="str">
        <f t="shared" si="36"/>
        <v>BC Ibiuna 1.2Inverter(MBUS-15)46033,4062546033,4062546035,2395833333</v>
      </c>
      <c r="Q550" s="1" t="str">
        <f t="shared" si="37"/>
        <v>DAURDE</v>
      </c>
    </row>
    <row r="551" spans="2:17">
      <c r="B551" s="1" t="s">
        <v>444</v>
      </c>
      <c r="C551" s="1" t="s">
        <v>357</v>
      </c>
      <c r="D551" s="52">
        <v>46034.541666666664</v>
      </c>
      <c r="E551" s="52">
        <v>46034.541666666664</v>
      </c>
      <c r="F551" s="52">
        <v>46034.572916666664</v>
      </c>
      <c r="G551" s="53">
        <f t="shared" si="35"/>
        <v>3.125E-2</v>
      </c>
      <c r="H551" s="1" t="s">
        <v>260</v>
      </c>
      <c r="I551" s="1" t="s">
        <v>261</v>
      </c>
      <c r="J551" s="1" t="s">
        <v>262</v>
      </c>
      <c r="K551" s="1" t="str">
        <f>_xlfn.XLOOKUP(J551,REF!$D$2:$D$12,REF!$E$2:$E$12)</f>
        <v>Comunicação</v>
      </c>
      <c r="L551" s="1" t="s">
        <v>445</v>
      </c>
      <c r="M551" s="1" t="s">
        <v>265</v>
      </c>
      <c r="N551" s="1" t="s">
        <v>266</v>
      </c>
      <c r="O551" s="1" t="s">
        <v>446</v>
      </c>
      <c r="P551" s="1" t="str">
        <f t="shared" si="36"/>
        <v>BC Lencois PaulistaInverter(MBUS-13)46034,541666666746034,541666666746034,5729166667</v>
      </c>
      <c r="Q551" s="1" t="str">
        <f t="shared" si="37"/>
        <v>LIGRFOCOM</v>
      </c>
    </row>
    <row r="552" spans="2:17">
      <c r="B552" s="1" t="s">
        <v>444</v>
      </c>
      <c r="C552" s="1" t="s">
        <v>358</v>
      </c>
      <c r="D552" s="52">
        <v>46034.541666666664</v>
      </c>
      <c r="E552" s="52">
        <v>46034.541666666664</v>
      </c>
      <c r="F552" s="52">
        <v>46034.572916666664</v>
      </c>
      <c r="G552" s="53">
        <f t="shared" si="35"/>
        <v>3.125E-2</v>
      </c>
      <c r="H552" s="1" t="s">
        <v>260</v>
      </c>
      <c r="I552" s="1" t="s">
        <v>261</v>
      </c>
      <c r="J552" s="1" t="s">
        <v>262</v>
      </c>
      <c r="K552" s="1" t="str">
        <f>_xlfn.XLOOKUP(J552,REF!$D$2:$D$12,REF!$E$2:$E$12)</f>
        <v>Comunicação</v>
      </c>
      <c r="L552" s="1" t="s">
        <v>445</v>
      </c>
      <c r="M552" s="1" t="s">
        <v>265</v>
      </c>
      <c r="N552" s="1" t="s">
        <v>266</v>
      </c>
      <c r="O552" s="1" t="s">
        <v>446</v>
      </c>
      <c r="P552" s="1" t="str">
        <f t="shared" si="36"/>
        <v>BC Lencois PaulistaInverter(MBUS-14)46034,541666666746034,541666666746034,5729166667</v>
      </c>
      <c r="Q552" s="1" t="str">
        <f t="shared" si="37"/>
        <v>LIGRFOCOM</v>
      </c>
    </row>
    <row r="553" spans="2:17">
      <c r="B553" s="1" t="s">
        <v>444</v>
      </c>
      <c r="C553" s="1" t="s">
        <v>354</v>
      </c>
      <c r="D553" s="52">
        <v>46034.541666666664</v>
      </c>
      <c r="E553" s="52">
        <v>46034.541666666664</v>
      </c>
      <c r="F553" s="52">
        <v>46034.572916666664</v>
      </c>
      <c r="G553" s="53">
        <f t="shared" si="35"/>
        <v>3.125E-2</v>
      </c>
      <c r="H553" s="1" t="s">
        <v>260</v>
      </c>
      <c r="I553" s="1" t="s">
        <v>261</v>
      </c>
      <c r="J553" s="1" t="s">
        <v>262</v>
      </c>
      <c r="K553" s="1" t="str">
        <f>_xlfn.XLOOKUP(J553,REF!$D$2:$D$12,REF!$E$2:$E$12)</f>
        <v>Comunicação</v>
      </c>
      <c r="L553" s="1" t="s">
        <v>445</v>
      </c>
      <c r="M553" s="1" t="s">
        <v>265</v>
      </c>
      <c r="N553" s="1" t="s">
        <v>266</v>
      </c>
      <c r="O553" s="1" t="s">
        <v>446</v>
      </c>
      <c r="P553" s="1" t="str">
        <f t="shared" si="36"/>
        <v>BC Lencois PaulistaInverter(MBUS-12)46034,541666666746034,541666666746034,5729166667</v>
      </c>
      <c r="Q553" s="1" t="str">
        <f t="shared" si="37"/>
        <v>LIGRFOCOM</v>
      </c>
    </row>
    <row r="554" spans="2:17">
      <c r="B554" s="1" t="s">
        <v>444</v>
      </c>
      <c r="C554" s="1" t="s">
        <v>359</v>
      </c>
      <c r="D554" s="52">
        <v>46034.541666666664</v>
      </c>
      <c r="E554" s="52">
        <v>46034.541666666664</v>
      </c>
      <c r="F554" s="52">
        <v>46034.572916666664</v>
      </c>
      <c r="G554" s="53">
        <f t="shared" si="35"/>
        <v>3.125E-2</v>
      </c>
      <c r="H554" s="1" t="s">
        <v>260</v>
      </c>
      <c r="I554" s="1" t="s">
        <v>261</v>
      </c>
      <c r="J554" s="1" t="s">
        <v>262</v>
      </c>
      <c r="K554" s="1" t="str">
        <f>_xlfn.XLOOKUP(J554,REF!$D$2:$D$12,REF!$E$2:$E$12)</f>
        <v>Comunicação</v>
      </c>
      <c r="L554" s="1" t="s">
        <v>445</v>
      </c>
      <c r="M554" s="1" t="s">
        <v>265</v>
      </c>
      <c r="N554" s="1" t="s">
        <v>266</v>
      </c>
      <c r="O554" s="1" t="s">
        <v>446</v>
      </c>
      <c r="P554" s="1" t="str">
        <f t="shared" si="36"/>
        <v>BC Lencois PaulistaInverter(MBUS-15)46034,541666666746034,541666666746034,5729166667</v>
      </c>
      <c r="Q554" s="1" t="str">
        <f t="shared" si="37"/>
        <v>LIGRFOCOM</v>
      </c>
    </row>
    <row r="555" spans="2:17">
      <c r="B555" s="1" t="s">
        <v>444</v>
      </c>
      <c r="C555" s="1" t="s">
        <v>357</v>
      </c>
      <c r="D555" s="52">
        <v>46034.708333333336</v>
      </c>
      <c r="E555" s="52">
        <v>46034.708333333336</v>
      </c>
      <c r="F555" s="52">
        <v>46034.729166666664</v>
      </c>
      <c r="G555" s="53">
        <f t="shared" si="35"/>
        <v>2.0833333328482695E-2</v>
      </c>
      <c r="H555" s="1" t="s">
        <v>248</v>
      </c>
      <c r="J555" s="1" t="s">
        <v>249</v>
      </c>
      <c r="K555" s="1" t="s">
        <v>349</v>
      </c>
      <c r="L555" s="1" t="s">
        <v>447</v>
      </c>
      <c r="M555" s="1" t="s">
        <v>251</v>
      </c>
      <c r="N555" s="1" t="s">
        <v>330</v>
      </c>
      <c r="O555" s="1" t="s">
        <v>331</v>
      </c>
      <c r="P555" s="1" t="str">
        <f t="shared" si="36"/>
        <v>BC Lencois PaulistaInverter(MBUS-13)46034,708333333346034,708333333346034,7291666667</v>
      </c>
      <c r="Q555" s="1" t="str">
        <f t="shared" si="37"/>
        <v>DAURDE</v>
      </c>
    </row>
    <row r="556" spans="2:17">
      <c r="B556" s="1" t="s">
        <v>444</v>
      </c>
      <c r="C556" s="1" t="s">
        <v>358</v>
      </c>
      <c r="D556" s="52">
        <v>46034.708333333336</v>
      </c>
      <c r="E556" s="52">
        <v>46034.708333333336</v>
      </c>
      <c r="F556" s="52">
        <v>46034.729166666664</v>
      </c>
      <c r="G556" s="53">
        <f t="shared" si="35"/>
        <v>2.0833333328482695E-2</v>
      </c>
      <c r="H556" s="1" t="s">
        <v>248</v>
      </c>
      <c r="J556" s="1" t="s">
        <v>249</v>
      </c>
      <c r="K556" s="1" t="s">
        <v>349</v>
      </c>
      <c r="L556" s="1" t="s">
        <v>447</v>
      </c>
      <c r="M556" s="1" t="s">
        <v>251</v>
      </c>
      <c r="N556" s="1" t="s">
        <v>330</v>
      </c>
      <c r="O556" s="1" t="s">
        <v>331</v>
      </c>
      <c r="P556" s="1" t="str">
        <f t="shared" si="36"/>
        <v>BC Lencois PaulistaInverter(MBUS-14)46034,708333333346034,708333333346034,7291666667</v>
      </c>
      <c r="Q556" s="1" t="str">
        <f t="shared" si="37"/>
        <v>DAURDE</v>
      </c>
    </row>
    <row r="557" spans="2:17">
      <c r="B557" s="1" t="s">
        <v>444</v>
      </c>
      <c r="C557" s="1" t="s">
        <v>354</v>
      </c>
      <c r="D557" s="52">
        <v>46034.708333333336</v>
      </c>
      <c r="E557" s="52">
        <v>46034.708333333336</v>
      </c>
      <c r="F557" s="52">
        <v>46034.729166666664</v>
      </c>
      <c r="G557" s="53">
        <f t="shared" si="35"/>
        <v>2.0833333328482695E-2</v>
      </c>
      <c r="H557" s="1" t="s">
        <v>248</v>
      </c>
      <c r="J557" s="1" t="s">
        <v>249</v>
      </c>
      <c r="K557" s="1" t="s">
        <v>349</v>
      </c>
      <c r="L557" s="1" t="s">
        <v>447</v>
      </c>
      <c r="M557" s="1" t="s">
        <v>251</v>
      </c>
      <c r="N557" s="1" t="s">
        <v>330</v>
      </c>
      <c r="O557" s="1" t="s">
        <v>331</v>
      </c>
      <c r="P557" s="1" t="str">
        <f t="shared" si="36"/>
        <v>BC Lencois PaulistaInverter(MBUS-12)46034,708333333346034,708333333346034,7291666667</v>
      </c>
      <c r="Q557" s="1" t="str">
        <f t="shared" si="37"/>
        <v>DAURDE</v>
      </c>
    </row>
    <row r="558" spans="2:17">
      <c r="B558" s="1" t="s">
        <v>444</v>
      </c>
      <c r="C558" s="1" t="s">
        <v>359</v>
      </c>
      <c r="D558" s="52">
        <v>46034.708333333336</v>
      </c>
      <c r="E558" s="52">
        <v>46034.708333333336</v>
      </c>
      <c r="F558" s="52">
        <v>46034.729166666664</v>
      </c>
      <c r="G558" s="53">
        <f t="shared" si="35"/>
        <v>2.0833333328482695E-2</v>
      </c>
      <c r="H558" s="1" t="s">
        <v>248</v>
      </c>
      <c r="J558" s="1" t="s">
        <v>249</v>
      </c>
      <c r="K558" s="1" t="s">
        <v>349</v>
      </c>
      <c r="L558" s="1" t="s">
        <v>447</v>
      </c>
      <c r="M558" s="1" t="s">
        <v>251</v>
      </c>
      <c r="N558" s="1" t="s">
        <v>330</v>
      </c>
      <c r="O558" s="1" t="s">
        <v>331</v>
      </c>
      <c r="P558" s="1" t="str">
        <f t="shared" si="36"/>
        <v>BC Lencois PaulistaInverter(MBUS-15)46034,708333333346034,708333333346034,7291666667</v>
      </c>
      <c r="Q558" s="1" t="str">
        <f t="shared" si="37"/>
        <v>DAURDE</v>
      </c>
    </row>
    <row r="559" spans="2:17">
      <c r="B559" s="73" t="s">
        <v>444</v>
      </c>
      <c r="C559" s="1" t="s">
        <v>358</v>
      </c>
      <c r="D559" s="52">
        <v>46036.291666666664</v>
      </c>
      <c r="E559" s="52">
        <v>46036.291666666664</v>
      </c>
      <c r="G559" s="53">
        <f t="shared" si="35"/>
        <v>-46036.291666666664</v>
      </c>
      <c r="P559" s="1" t="str">
        <f t="shared" si="36"/>
        <v>BC Lencois PaulistaInverter(MBUS-14)46036,291666666746036,2916666667</v>
      </c>
      <c r="Q559" s="1" t="str">
        <f t="shared" si="37"/>
        <v/>
      </c>
    </row>
    <row r="560" spans="2:17">
      <c r="B560" s="1" t="s">
        <v>448</v>
      </c>
      <c r="C560" s="1" t="s">
        <v>449</v>
      </c>
      <c r="D560" s="52">
        <v>46023.517361111109</v>
      </c>
      <c r="E560" s="52">
        <v>46023.517361111109</v>
      </c>
      <c r="F560" s="52">
        <v>46023.572916666664</v>
      </c>
      <c r="G560" s="53">
        <f t="shared" si="35"/>
        <v>5.5555555554747116E-2</v>
      </c>
      <c r="H560" s="1" t="s">
        <v>248</v>
      </c>
      <c r="J560" s="1" t="s">
        <v>249</v>
      </c>
      <c r="K560" s="1" t="s">
        <v>349</v>
      </c>
      <c r="L560" s="1" t="s">
        <v>450</v>
      </c>
      <c r="M560" s="1" t="s">
        <v>251</v>
      </c>
      <c r="N560" s="1" t="s">
        <v>330</v>
      </c>
      <c r="O560" s="1" t="s">
        <v>331</v>
      </c>
      <c r="P560" s="1" t="str">
        <f t="shared" si="36"/>
        <v>BC Vazante1.3Inversor 146023,517361111146023,517361111146023,5729166667</v>
      </c>
      <c r="Q560" s="1" t="str">
        <f t="shared" si="37"/>
        <v>DAURDE</v>
      </c>
    </row>
    <row r="561" spans="2:17">
      <c r="B561" s="1" t="s">
        <v>448</v>
      </c>
      <c r="C561" s="1" t="s">
        <v>451</v>
      </c>
      <c r="D561" s="52">
        <v>46023.517361111109</v>
      </c>
      <c r="E561" s="52">
        <v>46023.517361111109</v>
      </c>
      <c r="F561" s="52">
        <v>46023.572916666664</v>
      </c>
      <c r="G561" s="53">
        <f t="shared" si="35"/>
        <v>5.5555555554747116E-2</v>
      </c>
      <c r="H561" s="1" t="s">
        <v>248</v>
      </c>
      <c r="J561" s="1" t="s">
        <v>249</v>
      </c>
      <c r="K561" s="1" t="s">
        <v>349</v>
      </c>
      <c r="L561" s="1" t="s">
        <v>450</v>
      </c>
      <c r="M561" s="1" t="s">
        <v>251</v>
      </c>
      <c r="N561" s="1" t="s">
        <v>330</v>
      </c>
      <c r="O561" s="1" t="s">
        <v>331</v>
      </c>
      <c r="P561" s="1" t="str">
        <f t="shared" ref="P561:P568" si="38">_xlfn.CONCAT(B561,C561,D561,E561,F561)</f>
        <v>BC Vazante1.3Inversor 246023,517361111146023,517361111146023,5729166667</v>
      </c>
      <c r="Q561" s="1" t="str">
        <f t="shared" ref="Q561:Q568" si="39">_xlfn.CONCAT(H561,I561,J561)</f>
        <v>DAURDE</v>
      </c>
    </row>
    <row r="562" spans="2:17">
      <c r="B562" s="1" t="s">
        <v>448</v>
      </c>
      <c r="C562" s="1" t="s">
        <v>452</v>
      </c>
      <c r="D562" s="52">
        <v>46023.517361111109</v>
      </c>
      <c r="E562" s="52">
        <v>46023.517361111109</v>
      </c>
      <c r="F562" s="52">
        <v>46023.572916666664</v>
      </c>
      <c r="G562" s="53">
        <f t="shared" si="35"/>
        <v>5.5555555554747116E-2</v>
      </c>
      <c r="H562" s="1" t="s">
        <v>248</v>
      </c>
      <c r="J562" s="1" t="s">
        <v>249</v>
      </c>
      <c r="K562" s="1" t="s">
        <v>349</v>
      </c>
      <c r="L562" s="1" t="s">
        <v>450</v>
      </c>
      <c r="M562" s="1" t="s">
        <v>251</v>
      </c>
      <c r="N562" s="1" t="s">
        <v>330</v>
      </c>
      <c r="O562" s="1" t="s">
        <v>331</v>
      </c>
      <c r="P562" s="1" t="str">
        <f t="shared" si="38"/>
        <v>BC Vazante1.3Inversor 346023,517361111146023,517361111146023,5729166667</v>
      </c>
      <c r="Q562" s="1" t="str">
        <f t="shared" si="39"/>
        <v>DAURDE</v>
      </c>
    </row>
    <row r="563" spans="2:17">
      <c r="B563" s="1" t="s">
        <v>448</v>
      </c>
      <c r="C563" s="1" t="s">
        <v>453</v>
      </c>
      <c r="D563" s="52">
        <v>46023.517361111109</v>
      </c>
      <c r="E563" s="52">
        <v>46023.517361111109</v>
      </c>
      <c r="F563" s="52">
        <v>46023.572916666664</v>
      </c>
      <c r="G563" s="53">
        <f t="shared" si="35"/>
        <v>5.5555555554747116E-2</v>
      </c>
      <c r="H563" s="1" t="s">
        <v>248</v>
      </c>
      <c r="J563" s="1" t="s">
        <v>249</v>
      </c>
      <c r="K563" s="1" t="s">
        <v>349</v>
      </c>
      <c r="L563" s="1" t="s">
        <v>450</v>
      </c>
      <c r="M563" s="1" t="s">
        <v>251</v>
      </c>
      <c r="N563" s="1" t="s">
        <v>330</v>
      </c>
      <c r="O563" s="1" t="s">
        <v>331</v>
      </c>
      <c r="P563" s="1" t="str">
        <f t="shared" si="38"/>
        <v>BC Vazante1.3Inversor 446023,517361111146023,517361111146023,5729166667</v>
      </c>
      <c r="Q563" s="1" t="str">
        <f t="shared" si="39"/>
        <v>DAURDE</v>
      </c>
    </row>
    <row r="564" spans="2:17">
      <c r="B564" s="1" t="s">
        <v>448</v>
      </c>
      <c r="C564" s="1" t="s">
        <v>454</v>
      </c>
      <c r="D564" s="52">
        <v>46023.517361111109</v>
      </c>
      <c r="E564" s="52">
        <v>46023.517361111109</v>
      </c>
      <c r="F564" s="52">
        <v>46023.572916666664</v>
      </c>
      <c r="G564" s="53">
        <f t="shared" si="35"/>
        <v>5.5555555554747116E-2</v>
      </c>
      <c r="H564" s="1" t="s">
        <v>248</v>
      </c>
      <c r="J564" s="1" t="s">
        <v>249</v>
      </c>
      <c r="K564" s="1" t="s">
        <v>349</v>
      </c>
      <c r="L564" s="1" t="s">
        <v>450</v>
      </c>
      <c r="M564" s="1" t="s">
        <v>251</v>
      </c>
      <c r="N564" s="1" t="s">
        <v>330</v>
      </c>
      <c r="O564" s="1" t="s">
        <v>331</v>
      </c>
      <c r="P564" s="1" t="str">
        <f t="shared" si="38"/>
        <v>BC Vazante1.3Inversor 546023,517361111146023,517361111146023,5729166667</v>
      </c>
      <c r="Q564" s="1" t="str">
        <f t="shared" si="39"/>
        <v>DAURDE</v>
      </c>
    </row>
    <row r="565" spans="2:17">
      <c r="B565" s="1" t="s">
        <v>448</v>
      </c>
      <c r="C565" s="1" t="s">
        <v>455</v>
      </c>
      <c r="D565" s="52">
        <v>46023.517361111109</v>
      </c>
      <c r="E565" s="52">
        <v>46023.517361111109</v>
      </c>
      <c r="F565" s="52">
        <v>46023.572916666664</v>
      </c>
      <c r="G565" s="53">
        <f t="shared" si="35"/>
        <v>5.5555555554747116E-2</v>
      </c>
      <c r="H565" s="1" t="s">
        <v>248</v>
      </c>
      <c r="J565" s="1" t="s">
        <v>249</v>
      </c>
      <c r="K565" s="1" t="s">
        <v>349</v>
      </c>
      <c r="L565" s="1" t="s">
        <v>450</v>
      </c>
      <c r="M565" s="1" t="s">
        <v>251</v>
      </c>
      <c r="N565" s="1" t="s">
        <v>330</v>
      </c>
      <c r="O565" s="1" t="s">
        <v>331</v>
      </c>
      <c r="P565" s="1" t="str">
        <f t="shared" si="38"/>
        <v>BC Vazante1.3Inversor 646023,517361111146023,517361111146023,5729166667</v>
      </c>
      <c r="Q565" s="1" t="str">
        <f t="shared" si="39"/>
        <v>DAURDE</v>
      </c>
    </row>
    <row r="566" spans="2:17">
      <c r="B566" s="1" t="s">
        <v>448</v>
      </c>
      <c r="C566" s="1" t="s">
        <v>456</v>
      </c>
      <c r="D566" s="52">
        <v>46023.517361111109</v>
      </c>
      <c r="E566" s="52">
        <v>46023.517361111109</v>
      </c>
      <c r="F566" s="52">
        <v>46023.572916666664</v>
      </c>
      <c r="G566" s="53">
        <f t="shared" si="35"/>
        <v>5.5555555554747116E-2</v>
      </c>
      <c r="H566" s="1" t="s">
        <v>248</v>
      </c>
      <c r="J566" s="1" t="s">
        <v>249</v>
      </c>
      <c r="K566" s="1" t="s">
        <v>349</v>
      </c>
      <c r="L566" s="1" t="s">
        <v>450</v>
      </c>
      <c r="M566" s="1" t="s">
        <v>251</v>
      </c>
      <c r="N566" s="1" t="s">
        <v>330</v>
      </c>
      <c r="O566" s="1" t="s">
        <v>331</v>
      </c>
      <c r="P566" s="1" t="str">
        <f t="shared" si="38"/>
        <v>BC Vazante1.3Inversor 746023,517361111146023,517361111146023,5729166667</v>
      </c>
      <c r="Q566" s="1" t="str">
        <f t="shared" si="39"/>
        <v>DAURDE</v>
      </c>
    </row>
    <row r="567" spans="2:17">
      <c r="B567" s="1" t="s">
        <v>448</v>
      </c>
      <c r="C567" s="1" t="s">
        <v>457</v>
      </c>
      <c r="D567" s="52">
        <v>46023.517361111109</v>
      </c>
      <c r="E567" s="52">
        <v>46023.517361111109</v>
      </c>
      <c r="F567" s="52">
        <v>46023.572916666664</v>
      </c>
      <c r="G567" s="53">
        <f t="shared" si="35"/>
        <v>5.5555555554747116E-2</v>
      </c>
      <c r="H567" s="1" t="s">
        <v>248</v>
      </c>
      <c r="J567" s="1" t="s">
        <v>249</v>
      </c>
      <c r="K567" s="1" t="s">
        <v>349</v>
      </c>
      <c r="L567" s="1" t="s">
        <v>450</v>
      </c>
      <c r="M567" s="1" t="s">
        <v>251</v>
      </c>
      <c r="N567" s="1" t="s">
        <v>330</v>
      </c>
      <c r="O567" s="1" t="s">
        <v>331</v>
      </c>
      <c r="P567" s="1" t="str">
        <f t="shared" si="38"/>
        <v>BC Vazante1.3Inversor 846023,517361111146023,517361111146023,5729166667</v>
      </c>
      <c r="Q567" s="1" t="str">
        <f t="shared" si="39"/>
        <v>DAURDE</v>
      </c>
    </row>
    <row r="568" spans="2:17">
      <c r="B568" s="1" t="s">
        <v>448</v>
      </c>
      <c r="C568" s="1" t="s">
        <v>458</v>
      </c>
      <c r="D568" s="52">
        <v>46023.517361111109</v>
      </c>
      <c r="E568" s="52">
        <v>46023.517361111109</v>
      </c>
      <c r="F568" s="52">
        <v>46023.572916666664</v>
      </c>
      <c r="G568" s="53">
        <f t="shared" si="35"/>
        <v>5.5555555554747116E-2</v>
      </c>
      <c r="H568" s="1" t="s">
        <v>248</v>
      </c>
      <c r="J568" s="1" t="s">
        <v>249</v>
      </c>
      <c r="K568" s="1" t="s">
        <v>349</v>
      </c>
      <c r="L568" s="1" t="s">
        <v>450</v>
      </c>
      <c r="M568" s="1" t="s">
        <v>251</v>
      </c>
      <c r="N568" s="1" t="s">
        <v>330</v>
      </c>
      <c r="O568" s="1" t="s">
        <v>331</v>
      </c>
      <c r="P568" s="1" t="str">
        <f t="shared" si="38"/>
        <v>BC Vazante1.3Inversor 946023,517361111146023,517361111146023,5729166667</v>
      </c>
      <c r="Q568" s="1" t="str">
        <f t="shared" si="39"/>
        <v>DAURDE</v>
      </c>
    </row>
    <row r="569" spans="2:17">
      <c r="B569" s="1" t="s">
        <v>459</v>
      </c>
      <c r="C569" s="1" t="s">
        <v>460</v>
      </c>
      <c r="D569" s="52">
        <v>46029.709027777775</v>
      </c>
      <c r="E569" s="52">
        <v>46029.709027777775</v>
      </c>
      <c r="F569" s="52">
        <v>46029.770833333336</v>
      </c>
      <c r="G569" s="53">
        <f t="shared" si="35"/>
        <v>6.1805555560567882E-2</v>
      </c>
      <c r="H569" s="1" t="s">
        <v>260</v>
      </c>
      <c r="I569" s="1" t="s">
        <v>261</v>
      </c>
      <c r="J569" s="1" t="s">
        <v>262</v>
      </c>
      <c r="K569" s="1" t="str">
        <f>_xlfn.XLOOKUP(J569,REF!$D$2:$D$12,REF!$E$2:$E$12)</f>
        <v>Comunicação</v>
      </c>
      <c r="L569" s="1" t="s">
        <v>461</v>
      </c>
      <c r="M569" s="1" t="s">
        <v>302</v>
      </c>
      <c r="N569" s="1" t="s">
        <v>266</v>
      </c>
      <c r="O569" s="1" t="s">
        <v>462</v>
      </c>
      <c r="P569" s="1" t="str">
        <f t="shared" si="36"/>
        <v>BC Varjao2.1215KTL-H0(MBUS-12)46029,709027777846029,709027777846029,7708333333</v>
      </c>
      <c r="Q569" s="1" t="str">
        <f t="shared" si="37"/>
        <v>LIGRFOCOM</v>
      </c>
    </row>
    <row r="570" spans="2:17">
      <c r="B570" s="1" t="s">
        <v>459</v>
      </c>
      <c r="C570" s="1" t="s">
        <v>463</v>
      </c>
      <c r="D570" s="52">
        <v>46029.709027777775</v>
      </c>
      <c r="E570" s="52">
        <v>46029.709027777775</v>
      </c>
      <c r="F570" s="52">
        <v>46029.770833333336</v>
      </c>
      <c r="G570" s="53">
        <f t="shared" si="35"/>
        <v>6.1805555560567882E-2</v>
      </c>
      <c r="H570" s="1" t="s">
        <v>260</v>
      </c>
      <c r="I570" s="1" t="s">
        <v>261</v>
      </c>
      <c r="J570" s="1" t="s">
        <v>262</v>
      </c>
      <c r="K570" s="1" t="str">
        <f>_xlfn.XLOOKUP(J570,REF!$D$2:$D$12,REF!$E$2:$E$12)</f>
        <v>Comunicação</v>
      </c>
      <c r="L570" s="1" t="s">
        <v>461</v>
      </c>
      <c r="M570" s="1" t="s">
        <v>302</v>
      </c>
      <c r="N570" s="1" t="s">
        <v>266</v>
      </c>
      <c r="O570" s="1" t="s">
        <v>462</v>
      </c>
      <c r="P570" s="1" t="str">
        <f t="shared" si="36"/>
        <v>BC Varjao2.1215KTL-H0(MBUS-13)46029,709027777846029,709027777846029,7708333333</v>
      </c>
      <c r="Q570" s="1" t="str">
        <f t="shared" si="37"/>
        <v>LIGRFOCOM</v>
      </c>
    </row>
    <row r="571" spans="2:17">
      <c r="B571" s="1" t="s">
        <v>459</v>
      </c>
      <c r="C571" s="1" t="s">
        <v>464</v>
      </c>
      <c r="D571" s="52">
        <v>46029.709027777775</v>
      </c>
      <c r="E571" s="52">
        <v>46029.709027777775</v>
      </c>
      <c r="F571" s="52">
        <v>46029.770833333336</v>
      </c>
      <c r="G571" s="53">
        <f t="shared" si="35"/>
        <v>6.1805555560567882E-2</v>
      </c>
      <c r="H571" s="1" t="s">
        <v>260</v>
      </c>
      <c r="I571" s="1" t="s">
        <v>261</v>
      </c>
      <c r="J571" s="1" t="s">
        <v>262</v>
      </c>
      <c r="K571" s="1" t="str">
        <f>_xlfn.XLOOKUP(J571,REF!$D$2:$D$12,REF!$E$2:$E$12)</f>
        <v>Comunicação</v>
      </c>
      <c r="L571" s="1" t="s">
        <v>461</v>
      </c>
      <c r="M571" s="1" t="s">
        <v>302</v>
      </c>
      <c r="N571" s="1" t="s">
        <v>266</v>
      </c>
      <c r="O571" s="1" t="s">
        <v>462</v>
      </c>
      <c r="P571" s="1" t="str">
        <f t="shared" si="36"/>
        <v>BC Varjao2.1215KTL-H0(MBUS-14)46029,709027777846029,709027777846029,7708333333</v>
      </c>
      <c r="Q571" s="1" t="str">
        <f t="shared" si="37"/>
        <v>LIGRFOCOM</v>
      </c>
    </row>
    <row r="572" spans="2:17">
      <c r="B572" s="1" t="s">
        <v>459</v>
      </c>
      <c r="C572" s="1" t="s">
        <v>465</v>
      </c>
      <c r="D572" s="52">
        <v>46029.709027777775</v>
      </c>
      <c r="E572" s="52">
        <v>46029.709027777775</v>
      </c>
      <c r="F572" s="52">
        <v>46029.770833333336</v>
      </c>
      <c r="G572" s="53">
        <f t="shared" si="35"/>
        <v>6.1805555560567882E-2</v>
      </c>
      <c r="H572" s="1" t="s">
        <v>260</v>
      </c>
      <c r="I572" s="1" t="s">
        <v>261</v>
      </c>
      <c r="J572" s="1" t="s">
        <v>262</v>
      </c>
      <c r="K572" s="1" t="str">
        <f>_xlfn.XLOOKUP(J572,REF!$D$2:$D$12,REF!$E$2:$E$12)</f>
        <v>Comunicação</v>
      </c>
      <c r="L572" s="1" t="s">
        <v>461</v>
      </c>
      <c r="M572" s="1" t="s">
        <v>302</v>
      </c>
      <c r="N572" s="1" t="s">
        <v>266</v>
      </c>
      <c r="O572" s="1" t="s">
        <v>462</v>
      </c>
      <c r="P572" s="1" t="str">
        <f t="shared" si="36"/>
        <v>BC Varjao2.1215KTL-H0(MBUS-15)46029,709027777846029,709027777846029,7708333333</v>
      </c>
      <c r="Q572" s="1" t="str">
        <f t="shared" si="37"/>
        <v>LIGRFOCOM</v>
      </c>
    </row>
    <row r="573" spans="2:17">
      <c r="B573" s="1" t="s">
        <v>459</v>
      </c>
      <c r="C573" s="1" t="s">
        <v>466</v>
      </c>
      <c r="D573" s="52">
        <v>46029.709027777775</v>
      </c>
      <c r="E573" s="52">
        <v>46029.709027777775</v>
      </c>
      <c r="F573" s="52">
        <v>46029.770833333336</v>
      </c>
      <c r="G573" s="53">
        <f t="shared" ref="G573:G636" si="40">F573-E573</f>
        <v>6.1805555560567882E-2</v>
      </c>
      <c r="H573" s="1" t="s">
        <v>260</v>
      </c>
      <c r="I573" s="1" t="s">
        <v>261</v>
      </c>
      <c r="J573" s="1" t="s">
        <v>262</v>
      </c>
      <c r="K573" s="1" t="str">
        <f>_xlfn.XLOOKUP(J573,REF!$D$2:$D$12,REF!$E$2:$E$12)</f>
        <v>Comunicação</v>
      </c>
      <c r="L573" s="1" t="s">
        <v>461</v>
      </c>
      <c r="M573" s="1" t="s">
        <v>302</v>
      </c>
      <c r="N573" s="1" t="s">
        <v>266</v>
      </c>
      <c r="O573" s="1" t="s">
        <v>462</v>
      </c>
      <c r="P573" s="1" t="str">
        <f t="shared" si="36"/>
        <v>BC Varjao2.1215KTL-H0(MBUS-16)46029,709027777846029,709027777846029,7708333333</v>
      </c>
      <c r="Q573" s="1" t="str">
        <f t="shared" si="37"/>
        <v>LIGRFOCOM</v>
      </c>
    </row>
    <row r="574" spans="2:17">
      <c r="B574" s="1" t="s">
        <v>467</v>
      </c>
      <c r="C574" s="1" t="s">
        <v>463</v>
      </c>
      <c r="D574" s="52">
        <v>46029.709027777775</v>
      </c>
      <c r="E574" s="52">
        <v>46029.709027777775</v>
      </c>
      <c r="F574" s="52">
        <v>46029.770833333336</v>
      </c>
      <c r="G574" s="53">
        <f t="shared" si="40"/>
        <v>6.1805555560567882E-2</v>
      </c>
      <c r="H574" s="1" t="s">
        <v>260</v>
      </c>
      <c r="I574" s="1" t="s">
        <v>261</v>
      </c>
      <c r="J574" s="1" t="s">
        <v>262</v>
      </c>
      <c r="K574" s="1" t="str">
        <f>_xlfn.XLOOKUP(J574,REF!$D$2:$D$12,REF!$E$2:$E$12)</f>
        <v>Comunicação</v>
      </c>
      <c r="L574" s="1" t="s">
        <v>461</v>
      </c>
      <c r="M574" s="1" t="s">
        <v>302</v>
      </c>
      <c r="N574" s="1" t="s">
        <v>266</v>
      </c>
      <c r="O574" s="1" t="s">
        <v>462</v>
      </c>
      <c r="P574" s="1" t="str">
        <f t="shared" si="36"/>
        <v>BC Varjao2.2215KTL-H0(MBUS-13)46029,709027777846029,709027777846029,7708333333</v>
      </c>
      <c r="Q574" s="1" t="str">
        <f t="shared" si="37"/>
        <v>LIGRFOCOM</v>
      </c>
    </row>
    <row r="575" spans="2:17">
      <c r="B575" s="1" t="s">
        <v>467</v>
      </c>
      <c r="C575" s="1" t="s">
        <v>464</v>
      </c>
      <c r="D575" s="52">
        <v>46029.709027777775</v>
      </c>
      <c r="E575" s="52">
        <v>46029.709027777775</v>
      </c>
      <c r="F575" s="52">
        <v>46029.770833333336</v>
      </c>
      <c r="G575" s="53">
        <f t="shared" si="40"/>
        <v>6.1805555560567882E-2</v>
      </c>
      <c r="H575" s="1" t="s">
        <v>260</v>
      </c>
      <c r="I575" s="1" t="s">
        <v>261</v>
      </c>
      <c r="J575" s="1" t="s">
        <v>262</v>
      </c>
      <c r="K575" s="1" t="str">
        <f>_xlfn.XLOOKUP(J575,REF!$D$2:$D$12,REF!$E$2:$E$12)</f>
        <v>Comunicação</v>
      </c>
      <c r="L575" s="1" t="s">
        <v>461</v>
      </c>
      <c r="M575" s="1" t="s">
        <v>302</v>
      </c>
      <c r="N575" s="1" t="s">
        <v>266</v>
      </c>
      <c r="O575" s="1" t="s">
        <v>462</v>
      </c>
      <c r="P575" s="1" t="str">
        <f t="shared" si="36"/>
        <v>BC Varjao2.2215KTL-H0(MBUS-14)46029,709027777846029,709027777846029,7708333333</v>
      </c>
      <c r="Q575" s="1" t="str">
        <f t="shared" si="37"/>
        <v>LIGRFOCOM</v>
      </c>
    </row>
    <row r="576" spans="2:17">
      <c r="B576" s="1" t="s">
        <v>467</v>
      </c>
      <c r="C576" s="1" t="s">
        <v>465</v>
      </c>
      <c r="D576" s="52">
        <v>46029.709027777775</v>
      </c>
      <c r="E576" s="52">
        <v>46029.709027777775</v>
      </c>
      <c r="F576" s="52">
        <v>46029.770833333336</v>
      </c>
      <c r="G576" s="53">
        <f t="shared" si="40"/>
        <v>6.1805555560567882E-2</v>
      </c>
      <c r="H576" s="1" t="s">
        <v>260</v>
      </c>
      <c r="I576" s="1" t="s">
        <v>261</v>
      </c>
      <c r="J576" s="1" t="s">
        <v>262</v>
      </c>
      <c r="K576" s="1" t="str">
        <f>_xlfn.XLOOKUP(J576,REF!$D$2:$D$12,REF!$E$2:$E$12)</f>
        <v>Comunicação</v>
      </c>
      <c r="L576" s="1" t="s">
        <v>461</v>
      </c>
      <c r="M576" s="1" t="s">
        <v>302</v>
      </c>
      <c r="N576" s="1" t="s">
        <v>266</v>
      </c>
      <c r="O576" s="1" t="s">
        <v>462</v>
      </c>
      <c r="P576" s="1" t="str">
        <f t="shared" si="36"/>
        <v>BC Varjao2.2215KTL-H0(MBUS-15)46029,709027777846029,709027777846029,7708333333</v>
      </c>
      <c r="Q576" s="1" t="str">
        <f t="shared" si="37"/>
        <v>LIGRFOCOM</v>
      </c>
    </row>
    <row r="577" spans="2:17">
      <c r="B577" s="1" t="s">
        <v>467</v>
      </c>
      <c r="C577" s="1" t="s">
        <v>466</v>
      </c>
      <c r="D577" s="52">
        <v>46029.709027777775</v>
      </c>
      <c r="E577" s="52">
        <v>46029.709027777775</v>
      </c>
      <c r="F577" s="52">
        <v>46029.770833333336</v>
      </c>
      <c r="G577" s="53">
        <f t="shared" si="40"/>
        <v>6.1805555560567882E-2</v>
      </c>
      <c r="H577" s="1" t="s">
        <v>260</v>
      </c>
      <c r="I577" s="1" t="s">
        <v>261</v>
      </c>
      <c r="J577" s="1" t="s">
        <v>262</v>
      </c>
      <c r="K577" s="1" t="str">
        <f>_xlfn.XLOOKUP(J577,REF!$D$2:$D$12,REF!$E$2:$E$12)</f>
        <v>Comunicação</v>
      </c>
      <c r="L577" s="1" t="s">
        <v>461</v>
      </c>
      <c r="M577" s="1" t="s">
        <v>302</v>
      </c>
      <c r="N577" s="1" t="s">
        <v>266</v>
      </c>
      <c r="O577" s="1" t="s">
        <v>462</v>
      </c>
      <c r="P577" s="1" t="str">
        <f t="shared" si="36"/>
        <v>BC Varjao2.2215KTL-H0(MBUS-16)46029,709027777846029,709027777846029,7708333333</v>
      </c>
      <c r="Q577" s="1" t="str">
        <f t="shared" si="37"/>
        <v>LIGRFOCOM</v>
      </c>
    </row>
    <row r="578" spans="2:17">
      <c r="B578" s="1" t="s">
        <v>467</v>
      </c>
      <c r="C578" s="1" t="s">
        <v>460</v>
      </c>
      <c r="D578" s="52">
        <v>46029.709027777775</v>
      </c>
      <c r="E578" s="52">
        <v>46029.709027777775</v>
      </c>
      <c r="F578" s="52">
        <v>46029.770833333336</v>
      </c>
      <c r="G578" s="53">
        <f t="shared" si="40"/>
        <v>6.1805555560567882E-2</v>
      </c>
      <c r="H578" s="1" t="s">
        <v>260</v>
      </c>
      <c r="I578" s="1" t="s">
        <v>261</v>
      </c>
      <c r="J578" s="1" t="s">
        <v>262</v>
      </c>
      <c r="K578" s="1" t="str">
        <f>_xlfn.XLOOKUP(J578,REF!$D$2:$D$12,REF!$E$2:$E$12)</f>
        <v>Comunicação</v>
      </c>
      <c r="L578" s="1" t="s">
        <v>461</v>
      </c>
      <c r="M578" s="1" t="s">
        <v>302</v>
      </c>
      <c r="N578" s="1" t="s">
        <v>266</v>
      </c>
      <c r="O578" s="1" t="s">
        <v>462</v>
      </c>
      <c r="P578" s="1" t="str">
        <f t="shared" si="36"/>
        <v>BC Varjao2.2215KTL-H0(MBUS-12)46029,709027777846029,709027777846029,7708333333</v>
      </c>
      <c r="Q578" s="1" t="str">
        <f t="shared" si="37"/>
        <v>LIGRFOCOM</v>
      </c>
    </row>
    <row r="579" spans="2:17">
      <c r="B579" s="1" t="s">
        <v>468</v>
      </c>
      <c r="C579" s="1" t="s">
        <v>469</v>
      </c>
      <c r="D579" s="52">
        <v>46029.709027777775</v>
      </c>
      <c r="E579" s="52">
        <v>46029.709027777775</v>
      </c>
      <c r="F579" s="52">
        <v>46029.770833333336</v>
      </c>
      <c r="G579" s="53">
        <f t="shared" si="40"/>
        <v>6.1805555560567882E-2</v>
      </c>
      <c r="H579" s="1" t="s">
        <v>260</v>
      </c>
      <c r="I579" s="1" t="s">
        <v>261</v>
      </c>
      <c r="J579" s="1" t="s">
        <v>262</v>
      </c>
      <c r="K579" s="1" t="str">
        <f>_xlfn.XLOOKUP(J579,REF!$D$2:$D$12,REF!$E$2:$E$12)</f>
        <v>Comunicação</v>
      </c>
      <c r="L579" s="1" t="s">
        <v>461</v>
      </c>
      <c r="M579" s="1" t="s">
        <v>302</v>
      </c>
      <c r="N579" s="1" t="s">
        <v>266</v>
      </c>
      <c r="O579" s="1" t="s">
        <v>462</v>
      </c>
      <c r="P579" s="1" t="str">
        <f t="shared" si="36"/>
        <v>BC Varjao2.3100KTL-H1(MBUS-1)46029,709027777846029,709027777846029,7708333333</v>
      </c>
      <c r="Q579" s="1" t="str">
        <f t="shared" si="37"/>
        <v>LIGRFOCOM</v>
      </c>
    </row>
    <row r="580" spans="2:17">
      <c r="B580" s="1" t="s">
        <v>468</v>
      </c>
      <c r="C580" s="1" t="s">
        <v>463</v>
      </c>
      <c r="D580" s="52">
        <v>46029.709027777775</v>
      </c>
      <c r="E580" s="52">
        <v>46029.709027777775</v>
      </c>
      <c r="F580" s="52">
        <v>46029.770833333336</v>
      </c>
      <c r="G580" s="53">
        <f t="shared" si="40"/>
        <v>6.1805555560567882E-2</v>
      </c>
      <c r="H580" s="1" t="s">
        <v>260</v>
      </c>
      <c r="I580" s="1" t="s">
        <v>261</v>
      </c>
      <c r="J580" s="1" t="s">
        <v>262</v>
      </c>
      <c r="K580" s="1" t="str">
        <f>_xlfn.XLOOKUP(J580,REF!$D$2:$D$12,REF!$E$2:$E$12)</f>
        <v>Comunicação</v>
      </c>
      <c r="L580" s="1" t="s">
        <v>461</v>
      </c>
      <c r="M580" s="1" t="s">
        <v>302</v>
      </c>
      <c r="N580" s="1" t="s">
        <v>266</v>
      </c>
      <c r="O580" s="1" t="s">
        <v>462</v>
      </c>
      <c r="P580" s="1" t="str">
        <f t="shared" si="36"/>
        <v>BC Varjao2.3215KTL-H0(MBUS-13)46029,709027777846029,709027777846029,7708333333</v>
      </c>
      <c r="Q580" s="1" t="str">
        <f t="shared" si="37"/>
        <v>LIGRFOCOM</v>
      </c>
    </row>
    <row r="581" spans="2:17">
      <c r="B581" s="1" t="s">
        <v>468</v>
      </c>
      <c r="C581" s="1" t="s">
        <v>460</v>
      </c>
      <c r="D581" s="52">
        <v>46029.709027777775</v>
      </c>
      <c r="E581" s="52">
        <v>46029.709027777775</v>
      </c>
      <c r="F581" s="52">
        <v>46029.770833333336</v>
      </c>
      <c r="G581" s="53">
        <f t="shared" si="40"/>
        <v>6.1805555560567882E-2</v>
      </c>
      <c r="H581" s="1" t="s">
        <v>260</v>
      </c>
      <c r="I581" s="1" t="s">
        <v>261</v>
      </c>
      <c r="J581" s="1" t="s">
        <v>262</v>
      </c>
      <c r="K581" s="1" t="str">
        <f>_xlfn.XLOOKUP(J581,REF!$D$2:$D$12,REF!$E$2:$E$12)</f>
        <v>Comunicação</v>
      </c>
      <c r="L581" s="1" t="s">
        <v>461</v>
      </c>
      <c r="M581" s="1" t="s">
        <v>302</v>
      </c>
      <c r="N581" s="1" t="s">
        <v>266</v>
      </c>
      <c r="O581" s="1" t="s">
        <v>462</v>
      </c>
      <c r="P581" s="1" t="str">
        <f t="shared" si="36"/>
        <v>BC Varjao2.3215KTL-H0(MBUS-12)46029,709027777846029,709027777846029,7708333333</v>
      </c>
      <c r="Q581" s="1" t="str">
        <f t="shared" si="37"/>
        <v>LIGRFOCOM</v>
      </c>
    </row>
    <row r="582" spans="2:17">
      <c r="B582" s="73" t="s">
        <v>470</v>
      </c>
      <c r="C582" s="1" t="s">
        <v>471</v>
      </c>
      <c r="D582" s="52">
        <v>46035.165277777778</v>
      </c>
      <c r="E582" s="52">
        <v>46035.165277777778</v>
      </c>
      <c r="G582" s="53">
        <f t="shared" si="40"/>
        <v>-46035.165277777778</v>
      </c>
      <c r="H582" s="1" t="s">
        <v>248</v>
      </c>
      <c r="J582" s="1" t="s">
        <v>249</v>
      </c>
      <c r="K582" s="1" t="s">
        <v>349</v>
      </c>
      <c r="L582" s="1" t="s">
        <v>450</v>
      </c>
      <c r="M582" s="1" t="s">
        <v>251</v>
      </c>
      <c r="N582" s="1" t="s">
        <v>330</v>
      </c>
      <c r="O582" s="1" t="s">
        <v>472</v>
      </c>
      <c r="P582" s="1" t="str">
        <f t="shared" si="36"/>
        <v>BC Varjao1.1UFV 1 - INV 146035,165277777846035,1652777778</v>
      </c>
      <c r="Q582" s="1" t="str">
        <f t="shared" si="37"/>
        <v>DAURDE</v>
      </c>
    </row>
    <row r="583" spans="2:17">
      <c r="B583" s="73" t="s">
        <v>470</v>
      </c>
      <c r="C583" s="1" t="s">
        <v>473</v>
      </c>
      <c r="D583" s="52">
        <v>46035.165277777778</v>
      </c>
      <c r="E583" s="52">
        <v>46035.165277777778</v>
      </c>
      <c r="G583" s="53">
        <f t="shared" si="40"/>
        <v>-46035.165277777778</v>
      </c>
      <c r="H583" s="1" t="s">
        <v>248</v>
      </c>
      <c r="J583" s="1" t="s">
        <v>249</v>
      </c>
      <c r="K583" s="1" t="s">
        <v>349</v>
      </c>
      <c r="L583" s="1" t="s">
        <v>450</v>
      </c>
      <c r="M583" s="1" t="s">
        <v>251</v>
      </c>
      <c r="N583" s="1" t="s">
        <v>330</v>
      </c>
      <c r="O583" s="1" t="s">
        <v>472</v>
      </c>
      <c r="P583" s="1" t="str">
        <f t="shared" ref="P583:P646" si="41">_xlfn.CONCAT(B583,C583,D583,E583,F583)</f>
        <v>BC Varjao1.1UFV 1 - INV 546035,165277777846035,1652777778</v>
      </c>
      <c r="Q583" s="1" t="str">
        <f t="shared" ref="Q583:Q646" si="42">_xlfn.CONCAT(H583,I583,J583)</f>
        <v>DAURDE</v>
      </c>
    </row>
    <row r="584" spans="2:17">
      <c r="B584" s="73" t="s">
        <v>470</v>
      </c>
      <c r="C584" s="1" t="s">
        <v>474</v>
      </c>
      <c r="D584" s="52">
        <v>46035.165277777778</v>
      </c>
      <c r="E584" s="52">
        <v>46035.165277777778</v>
      </c>
      <c r="G584" s="53">
        <f t="shared" si="40"/>
        <v>-46035.165277777778</v>
      </c>
      <c r="H584" s="1" t="s">
        <v>248</v>
      </c>
      <c r="J584" s="1" t="s">
        <v>249</v>
      </c>
      <c r="K584" s="1" t="s">
        <v>349</v>
      </c>
      <c r="L584" s="1" t="s">
        <v>450</v>
      </c>
      <c r="M584" s="1" t="s">
        <v>251</v>
      </c>
      <c r="N584" s="1" t="s">
        <v>330</v>
      </c>
      <c r="O584" s="1" t="s">
        <v>472</v>
      </c>
      <c r="P584" s="1" t="str">
        <f t="shared" si="41"/>
        <v>BC Varjao1.1UFV 1 - INV 446035,165277777846035,1652777778</v>
      </c>
      <c r="Q584" s="1" t="str">
        <f t="shared" si="42"/>
        <v>DAURDE</v>
      </c>
    </row>
    <row r="585" spans="2:17">
      <c r="B585" s="73" t="s">
        <v>470</v>
      </c>
      <c r="C585" s="1" t="s">
        <v>475</v>
      </c>
      <c r="D585" s="52">
        <v>46035.165277777778</v>
      </c>
      <c r="E585" s="52">
        <v>46035.165277777778</v>
      </c>
      <c r="G585" s="53">
        <f t="shared" si="40"/>
        <v>-46035.165277777778</v>
      </c>
      <c r="H585" s="1" t="s">
        <v>248</v>
      </c>
      <c r="J585" s="1" t="s">
        <v>249</v>
      </c>
      <c r="K585" s="1" t="s">
        <v>349</v>
      </c>
      <c r="L585" s="1" t="s">
        <v>450</v>
      </c>
      <c r="M585" s="1" t="s">
        <v>251</v>
      </c>
      <c r="N585" s="1" t="s">
        <v>330</v>
      </c>
      <c r="O585" s="1" t="s">
        <v>472</v>
      </c>
      <c r="P585" s="1" t="str">
        <f t="shared" si="41"/>
        <v>BC Varjao1.1UFV 1 - INV 346035,165277777846035,1652777778</v>
      </c>
      <c r="Q585" s="1" t="str">
        <f t="shared" si="42"/>
        <v>DAURDE</v>
      </c>
    </row>
    <row r="586" spans="2:17">
      <c r="B586" s="73" t="s">
        <v>470</v>
      </c>
      <c r="C586" s="1" t="s">
        <v>476</v>
      </c>
      <c r="D586" s="52">
        <v>46035.165277777778</v>
      </c>
      <c r="E586" s="52">
        <v>46035.165277777778</v>
      </c>
      <c r="G586" s="53">
        <f t="shared" si="40"/>
        <v>-46035.165277777778</v>
      </c>
      <c r="H586" s="1" t="s">
        <v>248</v>
      </c>
      <c r="J586" s="1" t="s">
        <v>249</v>
      </c>
      <c r="K586" s="1" t="s">
        <v>349</v>
      </c>
      <c r="L586" s="1" t="s">
        <v>450</v>
      </c>
      <c r="M586" s="1" t="s">
        <v>251</v>
      </c>
      <c r="N586" s="1" t="s">
        <v>330</v>
      </c>
      <c r="O586" s="1" t="s">
        <v>472</v>
      </c>
      <c r="P586" s="1" t="str">
        <f t="shared" si="41"/>
        <v>BC Varjao1.1UFV 1 - INV 246035,165277777846035,1652777778</v>
      </c>
      <c r="Q586" s="1" t="str">
        <f t="shared" si="42"/>
        <v>DAURDE</v>
      </c>
    </row>
    <row r="587" spans="2:17">
      <c r="B587" s="73" t="s">
        <v>477</v>
      </c>
      <c r="C587" s="1" t="s">
        <v>478</v>
      </c>
      <c r="D587" s="52">
        <v>46037.302777777775</v>
      </c>
      <c r="E587" s="52">
        <v>46037.302777777775</v>
      </c>
      <c r="F587" s="52">
        <v>46037.354166666664</v>
      </c>
      <c r="G587" s="53">
        <f t="shared" si="40"/>
        <v>5.1388888889050577E-2</v>
      </c>
      <c r="H587" s="1" t="s">
        <v>343</v>
      </c>
      <c r="J587" s="1" t="s">
        <v>300</v>
      </c>
      <c r="K587" s="1" t="s">
        <v>350</v>
      </c>
      <c r="L587" s="1" t="s">
        <v>479</v>
      </c>
      <c r="M587" s="1" t="s">
        <v>375</v>
      </c>
      <c r="N587" s="1" t="s">
        <v>266</v>
      </c>
      <c r="O587" s="1" t="s">
        <v>480</v>
      </c>
      <c r="P587" s="1" t="str">
        <f t="shared" si="41"/>
        <v>BC Rio Monte1Inverter3646037,302777777846037,302777777846037,3541666667</v>
      </c>
      <c r="Q587" s="1" t="str">
        <f t="shared" si="42"/>
        <v>DPRINV</v>
      </c>
    </row>
    <row r="588" spans="2:17">
      <c r="B588" s="1" t="s">
        <v>481</v>
      </c>
      <c r="C588" s="1" t="s">
        <v>358</v>
      </c>
      <c r="D588" s="52">
        <v>46036.25</v>
      </c>
      <c r="E588" s="52">
        <v>46036.25</v>
      </c>
      <c r="F588" s="52">
        <v>46036.3</v>
      </c>
      <c r="G588" s="53">
        <f t="shared" si="40"/>
        <v>5.0000000002910383E-2</v>
      </c>
      <c r="H588" s="1" t="s">
        <v>248</v>
      </c>
      <c r="J588" s="1" t="s">
        <v>249</v>
      </c>
      <c r="K588" s="1" t="s">
        <v>349</v>
      </c>
      <c r="L588" s="1" t="s">
        <v>479</v>
      </c>
      <c r="M588" s="1" t="s">
        <v>251</v>
      </c>
      <c r="N588" s="1" t="s">
        <v>330</v>
      </c>
      <c r="O588" s="1" t="s">
        <v>331</v>
      </c>
      <c r="P588" s="1" t="str">
        <f t="shared" si="41"/>
        <v>BC Turvania1.1Inverter(MBUS-14)46036,2546036,2546036,3</v>
      </c>
      <c r="Q588" s="1" t="str">
        <f t="shared" si="42"/>
        <v>DAURDE</v>
      </c>
    </row>
    <row r="589" spans="2:17">
      <c r="B589" s="1" t="s">
        <v>481</v>
      </c>
      <c r="C589" s="1" t="s">
        <v>359</v>
      </c>
      <c r="D589" s="52">
        <v>46036.25</v>
      </c>
      <c r="E589" s="52">
        <v>46036.25</v>
      </c>
      <c r="F589" s="52">
        <v>46036.3</v>
      </c>
      <c r="G589" s="53">
        <f t="shared" si="40"/>
        <v>5.0000000002910383E-2</v>
      </c>
      <c r="H589" s="1" t="s">
        <v>248</v>
      </c>
      <c r="J589" s="1" t="s">
        <v>249</v>
      </c>
      <c r="K589" s="1" t="s">
        <v>349</v>
      </c>
      <c r="L589" s="1" t="s">
        <v>479</v>
      </c>
      <c r="M589" s="1" t="s">
        <v>251</v>
      </c>
      <c r="N589" s="1" t="s">
        <v>330</v>
      </c>
      <c r="O589" s="1" t="s">
        <v>331</v>
      </c>
      <c r="P589" s="1" t="str">
        <f t="shared" si="41"/>
        <v>BC Turvania1.1Inverter(MBUS-15)46036,2546036,2546036,3</v>
      </c>
      <c r="Q589" s="1" t="str">
        <f t="shared" si="42"/>
        <v>DAURDE</v>
      </c>
    </row>
    <row r="590" spans="2:17">
      <c r="B590" s="1" t="s">
        <v>481</v>
      </c>
      <c r="C590" s="1" t="s">
        <v>354</v>
      </c>
      <c r="D590" s="52">
        <v>46036.25</v>
      </c>
      <c r="E590" s="52">
        <v>46036.25</v>
      </c>
      <c r="F590" s="52">
        <v>46036.3</v>
      </c>
      <c r="G590" s="53">
        <f t="shared" si="40"/>
        <v>5.0000000002910383E-2</v>
      </c>
      <c r="H590" s="1" t="s">
        <v>248</v>
      </c>
      <c r="J590" s="1" t="s">
        <v>249</v>
      </c>
      <c r="K590" s="1" t="s">
        <v>349</v>
      </c>
      <c r="L590" s="1" t="s">
        <v>479</v>
      </c>
      <c r="M590" s="1" t="s">
        <v>251</v>
      </c>
      <c r="N590" s="1" t="s">
        <v>330</v>
      </c>
      <c r="O590" s="1" t="s">
        <v>331</v>
      </c>
      <c r="P590" s="1" t="str">
        <f t="shared" si="41"/>
        <v>BC Turvania1.1Inverter(MBUS-12)46036,2546036,2546036,3</v>
      </c>
      <c r="Q590" s="1" t="str">
        <f t="shared" si="42"/>
        <v>DAURDE</v>
      </c>
    </row>
    <row r="591" spans="2:17">
      <c r="B591" s="1" t="s">
        <v>481</v>
      </c>
      <c r="C591" s="1" t="s">
        <v>357</v>
      </c>
      <c r="D591" s="52">
        <v>46036.25</v>
      </c>
      <c r="E591" s="52">
        <v>46036.25</v>
      </c>
      <c r="F591" s="52">
        <v>46036.3</v>
      </c>
      <c r="G591" s="53">
        <f t="shared" si="40"/>
        <v>5.0000000002910383E-2</v>
      </c>
      <c r="H591" s="1" t="s">
        <v>248</v>
      </c>
      <c r="J591" s="1" t="s">
        <v>249</v>
      </c>
      <c r="K591" s="1" t="s">
        <v>349</v>
      </c>
      <c r="L591" s="1" t="s">
        <v>479</v>
      </c>
      <c r="M591" s="1" t="s">
        <v>251</v>
      </c>
      <c r="N591" s="1" t="s">
        <v>330</v>
      </c>
      <c r="O591" s="1" t="s">
        <v>331</v>
      </c>
      <c r="P591" s="1" t="str">
        <f t="shared" si="41"/>
        <v>BC Turvania1.1Inverter(MBUS-13)46036,2546036,2546036,3</v>
      </c>
      <c r="Q591" s="1" t="str">
        <f t="shared" si="42"/>
        <v>DAURDE</v>
      </c>
    </row>
    <row r="592" spans="2:17">
      <c r="B592" s="1" t="s">
        <v>482</v>
      </c>
      <c r="C592" s="1" t="s">
        <v>358</v>
      </c>
      <c r="D592" s="52">
        <v>46036.25</v>
      </c>
      <c r="E592" s="52">
        <v>46036.25</v>
      </c>
      <c r="F592" s="52">
        <v>46036.3</v>
      </c>
      <c r="G592" s="53">
        <f t="shared" si="40"/>
        <v>5.0000000002910383E-2</v>
      </c>
      <c r="H592" s="1" t="s">
        <v>248</v>
      </c>
      <c r="J592" s="1" t="s">
        <v>249</v>
      </c>
      <c r="K592" s="1" t="s">
        <v>349</v>
      </c>
      <c r="L592" s="1" t="s">
        <v>479</v>
      </c>
      <c r="M592" s="1" t="s">
        <v>251</v>
      </c>
      <c r="N592" s="1" t="s">
        <v>330</v>
      </c>
      <c r="O592" s="1" t="s">
        <v>331</v>
      </c>
      <c r="P592" s="1" t="str">
        <f t="shared" si="41"/>
        <v>BC Turvania1.2Inverter(MBUS-14)46036,2546036,2546036,3</v>
      </c>
      <c r="Q592" s="1" t="str">
        <f t="shared" si="42"/>
        <v>DAURDE</v>
      </c>
    </row>
    <row r="593" spans="2:17">
      <c r="B593" s="1" t="s">
        <v>482</v>
      </c>
      <c r="C593" s="1" t="s">
        <v>357</v>
      </c>
      <c r="D593" s="52">
        <v>46036.25</v>
      </c>
      <c r="E593" s="52">
        <v>46036.25</v>
      </c>
      <c r="F593" s="52">
        <v>46036.3</v>
      </c>
      <c r="G593" s="53">
        <f t="shared" si="40"/>
        <v>5.0000000002910383E-2</v>
      </c>
      <c r="H593" s="1" t="s">
        <v>248</v>
      </c>
      <c r="J593" s="1" t="s">
        <v>249</v>
      </c>
      <c r="K593" s="1" t="s">
        <v>349</v>
      </c>
      <c r="L593" s="1" t="s">
        <v>479</v>
      </c>
      <c r="M593" s="1" t="s">
        <v>251</v>
      </c>
      <c r="N593" s="1" t="s">
        <v>330</v>
      </c>
      <c r="O593" s="1" t="s">
        <v>331</v>
      </c>
      <c r="P593" s="1" t="str">
        <f t="shared" si="41"/>
        <v>BC Turvania1.2Inverter(MBUS-13)46036,2546036,2546036,3</v>
      </c>
      <c r="Q593" s="1" t="str">
        <f t="shared" si="42"/>
        <v>DAURDE</v>
      </c>
    </row>
    <row r="594" spans="2:17">
      <c r="B594" s="1" t="s">
        <v>482</v>
      </c>
      <c r="C594" s="1" t="s">
        <v>354</v>
      </c>
      <c r="D594" s="52">
        <v>46036.25</v>
      </c>
      <c r="E594" s="52">
        <v>46036.25</v>
      </c>
      <c r="F594" s="52">
        <v>46036.3</v>
      </c>
      <c r="G594" s="53">
        <f t="shared" si="40"/>
        <v>5.0000000002910383E-2</v>
      </c>
      <c r="H594" s="1" t="s">
        <v>248</v>
      </c>
      <c r="J594" s="1" t="s">
        <v>249</v>
      </c>
      <c r="K594" s="1" t="s">
        <v>349</v>
      </c>
      <c r="L594" s="1" t="s">
        <v>479</v>
      </c>
      <c r="M594" s="1" t="s">
        <v>251</v>
      </c>
      <c r="N594" s="1" t="s">
        <v>330</v>
      </c>
      <c r="O594" s="1" t="s">
        <v>331</v>
      </c>
      <c r="P594" s="1" t="str">
        <f t="shared" si="41"/>
        <v>BC Turvania1.2Inverter(MBUS-12)46036,2546036,2546036,3</v>
      </c>
      <c r="Q594" s="1" t="str">
        <f t="shared" si="42"/>
        <v>DAURDE</v>
      </c>
    </row>
    <row r="595" spans="2:17">
      <c r="B595" s="1" t="s">
        <v>482</v>
      </c>
      <c r="C595" s="1" t="s">
        <v>359</v>
      </c>
      <c r="D595" s="52">
        <v>46036.25</v>
      </c>
      <c r="E595" s="52">
        <v>46036.25</v>
      </c>
      <c r="F595" s="52">
        <v>46036.3</v>
      </c>
      <c r="G595" s="53">
        <f t="shared" si="40"/>
        <v>5.0000000002910383E-2</v>
      </c>
      <c r="H595" s="1" t="s">
        <v>248</v>
      </c>
      <c r="J595" s="1" t="s">
        <v>249</v>
      </c>
      <c r="K595" s="1" t="s">
        <v>349</v>
      </c>
      <c r="L595" s="1" t="s">
        <v>479</v>
      </c>
      <c r="M595" s="1" t="s">
        <v>251</v>
      </c>
      <c r="N595" s="1" t="s">
        <v>330</v>
      </c>
      <c r="O595" s="1" t="s">
        <v>331</v>
      </c>
      <c r="P595" s="1" t="str">
        <f t="shared" si="41"/>
        <v>BC Turvania1.2Inverter(MBUS-15)46036,2546036,2546036,3</v>
      </c>
      <c r="Q595" s="1" t="str">
        <f t="shared" si="42"/>
        <v>DAURDE</v>
      </c>
    </row>
    <row r="596" spans="2:17">
      <c r="B596" s="1" t="s">
        <v>483</v>
      </c>
      <c r="C596" s="1" t="s">
        <v>357</v>
      </c>
      <c r="D596" s="52">
        <v>46036.25</v>
      </c>
      <c r="E596" s="52">
        <v>46036.25</v>
      </c>
      <c r="F596" s="52">
        <v>46036.3</v>
      </c>
      <c r="G596" s="53">
        <f t="shared" si="40"/>
        <v>5.0000000002910383E-2</v>
      </c>
      <c r="H596" s="1" t="s">
        <v>248</v>
      </c>
      <c r="J596" s="1" t="s">
        <v>249</v>
      </c>
      <c r="K596" s="1" t="s">
        <v>349</v>
      </c>
      <c r="L596" s="1" t="s">
        <v>479</v>
      </c>
      <c r="M596" s="1" t="s">
        <v>251</v>
      </c>
      <c r="N596" s="1" t="s">
        <v>330</v>
      </c>
      <c r="O596" s="1" t="s">
        <v>331</v>
      </c>
      <c r="P596" s="1" t="str">
        <f t="shared" si="41"/>
        <v>BC Turvania1.3Inverter(MBUS-13)46036,2546036,2546036,3</v>
      </c>
      <c r="Q596" s="1" t="str">
        <f t="shared" si="42"/>
        <v>DAURDE</v>
      </c>
    </row>
    <row r="597" spans="2:17">
      <c r="B597" s="1" t="s">
        <v>483</v>
      </c>
      <c r="C597" s="1" t="s">
        <v>358</v>
      </c>
      <c r="D597" s="52">
        <v>46036.25</v>
      </c>
      <c r="E597" s="52">
        <v>46036.25</v>
      </c>
      <c r="F597" s="52">
        <v>46036.3</v>
      </c>
      <c r="G597" s="53">
        <f t="shared" si="40"/>
        <v>5.0000000002910383E-2</v>
      </c>
      <c r="H597" s="1" t="s">
        <v>248</v>
      </c>
      <c r="J597" s="1" t="s">
        <v>249</v>
      </c>
      <c r="K597" s="1" t="s">
        <v>349</v>
      </c>
      <c r="L597" s="1" t="s">
        <v>479</v>
      </c>
      <c r="M597" s="1" t="s">
        <v>251</v>
      </c>
      <c r="N597" s="1" t="s">
        <v>330</v>
      </c>
      <c r="O597" s="1" t="s">
        <v>331</v>
      </c>
      <c r="P597" s="1" t="str">
        <f t="shared" si="41"/>
        <v>BC Turvania1.3Inverter(MBUS-14)46036,2546036,2546036,3</v>
      </c>
      <c r="Q597" s="1" t="str">
        <f t="shared" si="42"/>
        <v>DAURDE</v>
      </c>
    </row>
    <row r="598" spans="2:17">
      <c r="B598" s="1" t="s">
        <v>483</v>
      </c>
      <c r="C598" s="1" t="s">
        <v>359</v>
      </c>
      <c r="D598" s="52">
        <v>46036.25</v>
      </c>
      <c r="E598" s="52">
        <v>46036.25</v>
      </c>
      <c r="F598" s="52">
        <v>46036.3</v>
      </c>
      <c r="G598" s="53">
        <f t="shared" si="40"/>
        <v>5.0000000002910383E-2</v>
      </c>
      <c r="H598" s="1" t="s">
        <v>248</v>
      </c>
      <c r="J598" s="1" t="s">
        <v>249</v>
      </c>
      <c r="K598" s="1" t="s">
        <v>349</v>
      </c>
      <c r="L598" s="1" t="s">
        <v>479</v>
      </c>
      <c r="M598" s="1" t="s">
        <v>251</v>
      </c>
      <c r="N598" s="1" t="s">
        <v>330</v>
      </c>
      <c r="O598" s="1" t="s">
        <v>331</v>
      </c>
      <c r="P598" s="1" t="str">
        <f t="shared" si="41"/>
        <v>BC Turvania1.3Inverter(MBUS-15)46036,2546036,2546036,3</v>
      </c>
      <c r="Q598" s="1" t="str">
        <f t="shared" si="42"/>
        <v>DAURDE</v>
      </c>
    </row>
    <row r="599" spans="2:17">
      <c r="B599" s="1" t="s">
        <v>483</v>
      </c>
      <c r="C599" s="1" t="s">
        <v>328</v>
      </c>
      <c r="D599" s="52">
        <v>46036.25</v>
      </c>
      <c r="E599" s="52">
        <v>46036.25</v>
      </c>
      <c r="F599" s="52">
        <v>46036.3</v>
      </c>
      <c r="G599" s="53">
        <f t="shared" si="40"/>
        <v>5.0000000002910383E-2</v>
      </c>
      <c r="H599" s="1" t="s">
        <v>248</v>
      </c>
      <c r="J599" s="1" t="s">
        <v>249</v>
      </c>
      <c r="K599" s="1" t="s">
        <v>349</v>
      </c>
      <c r="L599" s="1" t="s">
        <v>479</v>
      </c>
      <c r="M599" s="1" t="s">
        <v>251</v>
      </c>
      <c r="N599" s="1" t="s">
        <v>330</v>
      </c>
      <c r="O599" s="1" t="s">
        <v>331</v>
      </c>
      <c r="P599" s="1" t="str">
        <f t="shared" si="41"/>
        <v>BC Turvania1.3Inverter(MBUS-1)46036,2546036,2546036,3</v>
      </c>
      <c r="Q599" s="1" t="str">
        <f t="shared" si="42"/>
        <v>DAURDE</v>
      </c>
    </row>
    <row r="600" spans="2:17">
      <c r="B600" s="1" t="s">
        <v>484</v>
      </c>
      <c r="C600" s="1" t="s">
        <v>358</v>
      </c>
      <c r="D600" s="52">
        <v>46036.25</v>
      </c>
      <c r="E600" s="52">
        <v>46036.25</v>
      </c>
      <c r="F600" s="52">
        <v>46036.3</v>
      </c>
      <c r="G600" s="53">
        <f t="shared" si="40"/>
        <v>5.0000000002910383E-2</v>
      </c>
      <c r="H600" s="1" t="s">
        <v>248</v>
      </c>
      <c r="J600" s="1" t="s">
        <v>249</v>
      </c>
      <c r="K600" s="1" t="s">
        <v>349</v>
      </c>
      <c r="L600" s="1" t="s">
        <v>479</v>
      </c>
      <c r="M600" s="1" t="s">
        <v>251</v>
      </c>
      <c r="N600" s="1" t="s">
        <v>330</v>
      </c>
      <c r="O600" s="1" t="s">
        <v>331</v>
      </c>
      <c r="P600" s="1" t="str">
        <f t="shared" si="41"/>
        <v>BC Turvania1.4Inverter(MBUS-14)46036,2546036,2546036,3</v>
      </c>
      <c r="Q600" s="1" t="str">
        <f t="shared" si="42"/>
        <v>DAURDE</v>
      </c>
    </row>
    <row r="601" spans="2:17">
      <c r="B601" s="1" t="s">
        <v>484</v>
      </c>
      <c r="C601" s="1" t="s">
        <v>359</v>
      </c>
      <c r="D601" s="52">
        <v>46036.25</v>
      </c>
      <c r="E601" s="52">
        <v>46036.25</v>
      </c>
      <c r="F601" s="52">
        <v>46036.3</v>
      </c>
      <c r="G601" s="53">
        <f t="shared" si="40"/>
        <v>5.0000000002910383E-2</v>
      </c>
      <c r="H601" s="1" t="s">
        <v>248</v>
      </c>
      <c r="J601" s="1" t="s">
        <v>249</v>
      </c>
      <c r="K601" s="1" t="s">
        <v>349</v>
      </c>
      <c r="L601" s="1" t="s">
        <v>479</v>
      </c>
      <c r="M601" s="1" t="s">
        <v>251</v>
      </c>
      <c r="N601" s="1" t="s">
        <v>330</v>
      </c>
      <c r="O601" s="1" t="s">
        <v>331</v>
      </c>
      <c r="P601" s="1" t="str">
        <f t="shared" si="41"/>
        <v>BC Turvania1.4Inverter(MBUS-15)46036,2546036,2546036,3</v>
      </c>
      <c r="Q601" s="1" t="str">
        <f t="shared" si="42"/>
        <v>DAURDE</v>
      </c>
    </row>
    <row r="602" spans="2:17">
      <c r="B602" s="1" t="s">
        <v>484</v>
      </c>
      <c r="C602" s="1" t="s">
        <v>357</v>
      </c>
      <c r="D602" s="52">
        <v>46036.25</v>
      </c>
      <c r="E602" s="52">
        <v>46036.25</v>
      </c>
      <c r="F602" s="52">
        <v>46036.3</v>
      </c>
      <c r="G602" s="53">
        <f t="shared" si="40"/>
        <v>5.0000000002910383E-2</v>
      </c>
      <c r="H602" s="1" t="s">
        <v>248</v>
      </c>
      <c r="J602" s="1" t="s">
        <v>249</v>
      </c>
      <c r="K602" s="1" t="s">
        <v>349</v>
      </c>
      <c r="L602" s="1" t="s">
        <v>479</v>
      </c>
      <c r="M602" s="1" t="s">
        <v>251</v>
      </c>
      <c r="N602" s="1" t="s">
        <v>330</v>
      </c>
      <c r="O602" s="1" t="s">
        <v>331</v>
      </c>
      <c r="P602" s="1" t="str">
        <f t="shared" si="41"/>
        <v>BC Turvania1.4Inverter(MBUS-13)46036,2546036,2546036,3</v>
      </c>
      <c r="Q602" s="1" t="str">
        <f t="shared" si="42"/>
        <v>DAURDE</v>
      </c>
    </row>
    <row r="603" spans="2:17">
      <c r="B603" s="1" t="s">
        <v>484</v>
      </c>
      <c r="C603" s="1" t="s">
        <v>354</v>
      </c>
      <c r="D603" s="52">
        <v>46036.25</v>
      </c>
      <c r="E603" s="52">
        <v>46036.25</v>
      </c>
      <c r="F603" s="52">
        <v>46036.3</v>
      </c>
      <c r="G603" s="53">
        <f t="shared" si="40"/>
        <v>5.0000000002910383E-2</v>
      </c>
      <c r="H603" s="1" t="s">
        <v>248</v>
      </c>
      <c r="J603" s="1" t="s">
        <v>249</v>
      </c>
      <c r="K603" s="1" t="s">
        <v>349</v>
      </c>
      <c r="L603" s="1" t="s">
        <v>479</v>
      </c>
      <c r="M603" s="1" t="s">
        <v>251</v>
      </c>
      <c r="N603" s="1" t="s">
        <v>330</v>
      </c>
      <c r="O603" s="1" t="s">
        <v>331</v>
      </c>
      <c r="P603" s="1" t="str">
        <f t="shared" si="41"/>
        <v>BC Turvania1.4Inverter(MBUS-12)46036,2546036,2546036,3</v>
      </c>
      <c r="Q603" s="1" t="str">
        <f t="shared" si="42"/>
        <v>DAURDE</v>
      </c>
    </row>
    <row r="604" spans="2:17">
      <c r="B604" s="1" t="s">
        <v>485</v>
      </c>
      <c r="C604" s="1" t="s">
        <v>357</v>
      </c>
      <c r="D604" s="52">
        <v>46036.25</v>
      </c>
      <c r="E604" s="52">
        <v>46036.25</v>
      </c>
      <c r="F604" s="52">
        <v>46036.3</v>
      </c>
      <c r="G604" s="53">
        <f t="shared" si="40"/>
        <v>5.0000000002910383E-2</v>
      </c>
      <c r="H604" s="1" t="s">
        <v>248</v>
      </c>
      <c r="J604" s="1" t="s">
        <v>249</v>
      </c>
      <c r="K604" s="1" t="s">
        <v>349</v>
      </c>
      <c r="L604" s="1" t="s">
        <v>479</v>
      </c>
      <c r="M604" s="1" t="s">
        <v>251</v>
      </c>
      <c r="N604" s="1" t="s">
        <v>330</v>
      </c>
      <c r="O604" s="1" t="s">
        <v>331</v>
      </c>
      <c r="P604" s="1" t="str">
        <f t="shared" si="41"/>
        <v>BC Turvania1.5Inverter(MBUS-13)46036,2546036,2546036,3</v>
      </c>
      <c r="Q604" s="1" t="str">
        <f t="shared" si="42"/>
        <v>DAURDE</v>
      </c>
    </row>
    <row r="605" spans="2:17">
      <c r="B605" s="1" t="s">
        <v>485</v>
      </c>
      <c r="C605" s="1" t="s">
        <v>354</v>
      </c>
      <c r="D605" s="52">
        <v>46036.25</v>
      </c>
      <c r="E605" s="52">
        <v>46036.25</v>
      </c>
      <c r="F605" s="52">
        <v>46036.3</v>
      </c>
      <c r="G605" s="53">
        <f t="shared" si="40"/>
        <v>5.0000000002910383E-2</v>
      </c>
      <c r="H605" s="1" t="s">
        <v>248</v>
      </c>
      <c r="J605" s="1" t="s">
        <v>249</v>
      </c>
      <c r="K605" s="1" t="s">
        <v>349</v>
      </c>
      <c r="L605" s="1" t="s">
        <v>479</v>
      </c>
      <c r="M605" s="1" t="s">
        <v>251</v>
      </c>
      <c r="N605" s="1" t="s">
        <v>330</v>
      </c>
      <c r="O605" s="1" t="s">
        <v>331</v>
      </c>
      <c r="P605" s="1" t="str">
        <f t="shared" si="41"/>
        <v>BC Turvania1.5Inverter(MBUS-12)46036,2546036,2546036,3</v>
      </c>
      <c r="Q605" s="1" t="str">
        <f t="shared" si="42"/>
        <v>DAURDE</v>
      </c>
    </row>
    <row r="606" spans="2:17">
      <c r="B606" s="1" t="s">
        <v>485</v>
      </c>
      <c r="C606" s="1" t="s">
        <v>358</v>
      </c>
      <c r="D606" s="52">
        <v>46036.25</v>
      </c>
      <c r="E606" s="52">
        <v>46036.25</v>
      </c>
      <c r="F606" s="52">
        <v>46036.3</v>
      </c>
      <c r="G606" s="53">
        <f t="shared" si="40"/>
        <v>5.0000000002910383E-2</v>
      </c>
      <c r="H606" s="1" t="s">
        <v>248</v>
      </c>
      <c r="J606" s="1" t="s">
        <v>249</v>
      </c>
      <c r="K606" s="1" t="s">
        <v>349</v>
      </c>
      <c r="L606" s="1" t="s">
        <v>479</v>
      </c>
      <c r="M606" s="1" t="s">
        <v>251</v>
      </c>
      <c r="N606" s="1" t="s">
        <v>330</v>
      </c>
      <c r="O606" s="1" t="s">
        <v>331</v>
      </c>
      <c r="P606" s="1" t="str">
        <f t="shared" si="41"/>
        <v>BC Turvania1.5Inverter(MBUS-14)46036,2546036,2546036,3</v>
      </c>
      <c r="Q606" s="1" t="str">
        <f t="shared" si="42"/>
        <v>DAURDE</v>
      </c>
    </row>
    <row r="607" spans="2:17">
      <c r="B607" s="1" t="s">
        <v>485</v>
      </c>
      <c r="C607" s="1" t="s">
        <v>328</v>
      </c>
      <c r="D607" s="52">
        <v>46036.25</v>
      </c>
      <c r="E607" s="52">
        <v>46036.25</v>
      </c>
      <c r="F607" s="52">
        <v>46036.3</v>
      </c>
      <c r="G607" s="53">
        <f t="shared" si="40"/>
        <v>5.0000000002910383E-2</v>
      </c>
      <c r="H607" s="1" t="s">
        <v>248</v>
      </c>
      <c r="J607" s="1" t="s">
        <v>249</v>
      </c>
      <c r="K607" s="1" t="s">
        <v>349</v>
      </c>
      <c r="L607" s="1" t="s">
        <v>479</v>
      </c>
      <c r="M607" s="1" t="s">
        <v>251</v>
      </c>
      <c r="N607" s="1" t="s">
        <v>330</v>
      </c>
      <c r="O607" s="1" t="s">
        <v>331</v>
      </c>
      <c r="P607" s="1" t="str">
        <f t="shared" si="41"/>
        <v>BC Turvania1.5Inverter(MBUS-1)46036,2546036,2546036,3</v>
      </c>
      <c r="Q607" s="1" t="str">
        <f t="shared" si="42"/>
        <v>DAURDE</v>
      </c>
    </row>
    <row r="608" spans="2:17">
      <c r="B608" s="1" t="s">
        <v>481</v>
      </c>
      <c r="C608" s="1" t="s">
        <v>358</v>
      </c>
      <c r="D608" s="52">
        <v>46035.279861111114</v>
      </c>
      <c r="E608" s="52">
        <v>46035.279861111114</v>
      </c>
      <c r="F608" s="52">
        <v>46035.377083333333</v>
      </c>
      <c r="G608" s="53">
        <f t="shared" si="40"/>
        <v>9.7222222218988463E-2</v>
      </c>
      <c r="H608" s="1" t="s">
        <v>248</v>
      </c>
      <c r="J608" s="1" t="s">
        <v>249</v>
      </c>
      <c r="K608" s="1" t="s">
        <v>349</v>
      </c>
      <c r="L608" s="1" t="s">
        <v>479</v>
      </c>
      <c r="M608" s="1" t="s">
        <v>251</v>
      </c>
      <c r="N608" s="1" t="s">
        <v>330</v>
      </c>
      <c r="O608" s="1" t="s">
        <v>331</v>
      </c>
      <c r="P608" s="1" t="str">
        <f t="shared" si="41"/>
        <v>BC Turvania1.1Inverter(MBUS-14)46035,279861111146035,279861111146035,3770833333</v>
      </c>
      <c r="Q608" s="1" t="str">
        <f t="shared" si="42"/>
        <v>DAURDE</v>
      </c>
    </row>
    <row r="609" spans="2:17">
      <c r="B609" s="1" t="s">
        <v>481</v>
      </c>
      <c r="C609" s="1" t="s">
        <v>359</v>
      </c>
      <c r="D609" s="52">
        <v>46035.279861111114</v>
      </c>
      <c r="E609" s="52">
        <v>46035.279861111114</v>
      </c>
      <c r="F609" s="52">
        <v>46035.377083333333</v>
      </c>
      <c r="G609" s="53">
        <f t="shared" si="40"/>
        <v>9.7222222218988463E-2</v>
      </c>
      <c r="H609" s="1" t="s">
        <v>248</v>
      </c>
      <c r="J609" s="1" t="s">
        <v>249</v>
      </c>
      <c r="K609" s="1" t="s">
        <v>349</v>
      </c>
      <c r="L609" s="1" t="s">
        <v>479</v>
      </c>
      <c r="M609" s="1" t="s">
        <v>251</v>
      </c>
      <c r="N609" s="1" t="s">
        <v>330</v>
      </c>
      <c r="O609" s="1" t="s">
        <v>331</v>
      </c>
      <c r="P609" s="1" t="str">
        <f t="shared" si="41"/>
        <v>BC Turvania1.1Inverter(MBUS-15)46035,279861111146035,279861111146035,3770833333</v>
      </c>
      <c r="Q609" s="1" t="str">
        <f t="shared" si="42"/>
        <v>DAURDE</v>
      </c>
    </row>
    <row r="610" spans="2:17">
      <c r="B610" s="1" t="s">
        <v>481</v>
      </c>
      <c r="C610" s="1" t="s">
        <v>354</v>
      </c>
      <c r="D610" s="52">
        <v>46035.279861111114</v>
      </c>
      <c r="E610" s="52">
        <v>46035.279861111114</v>
      </c>
      <c r="F610" s="52">
        <v>46035.377083333333</v>
      </c>
      <c r="G610" s="53">
        <f t="shared" si="40"/>
        <v>9.7222222218988463E-2</v>
      </c>
      <c r="H610" s="1" t="s">
        <v>248</v>
      </c>
      <c r="J610" s="1" t="s">
        <v>249</v>
      </c>
      <c r="K610" s="1" t="s">
        <v>349</v>
      </c>
      <c r="L610" s="1" t="s">
        <v>479</v>
      </c>
      <c r="M610" s="1" t="s">
        <v>251</v>
      </c>
      <c r="N610" s="1" t="s">
        <v>330</v>
      </c>
      <c r="O610" s="1" t="s">
        <v>331</v>
      </c>
      <c r="P610" s="1" t="str">
        <f t="shared" si="41"/>
        <v>BC Turvania1.1Inverter(MBUS-12)46035,279861111146035,279861111146035,3770833333</v>
      </c>
      <c r="Q610" s="1" t="str">
        <f t="shared" si="42"/>
        <v>DAURDE</v>
      </c>
    </row>
    <row r="611" spans="2:17">
      <c r="B611" s="1" t="s">
        <v>481</v>
      </c>
      <c r="C611" s="1" t="s">
        <v>357</v>
      </c>
      <c r="D611" s="52">
        <v>46035.279861111114</v>
      </c>
      <c r="E611" s="52">
        <v>46035.279861111114</v>
      </c>
      <c r="F611" s="52">
        <v>46035.377083333333</v>
      </c>
      <c r="G611" s="53">
        <f t="shared" si="40"/>
        <v>9.7222222218988463E-2</v>
      </c>
      <c r="H611" s="1" t="s">
        <v>248</v>
      </c>
      <c r="J611" s="1" t="s">
        <v>249</v>
      </c>
      <c r="K611" s="1" t="s">
        <v>349</v>
      </c>
      <c r="L611" s="1" t="s">
        <v>479</v>
      </c>
      <c r="M611" s="1" t="s">
        <v>251</v>
      </c>
      <c r="N611" s="1" t="s">
        <v>330</v>
      </c>
      <c r="O611" s="1" t="s">
        <v>331</v>
      </c>
      <c r="P611" s="1" t="str">
        <f t="shared" si="41"/>
        <v>BC Turvania1.1Inverter(MBUS-13)46035,279861111146035,279861111146035,3770833333</v>
      </c>
      <c r="Q611" s="1" t="str">
        <f t="shared" si="42"/>
        <v>DAURDE</v>
      </c>
    </row>
    <row r="612" spans="2:17">
      <c r="B612" s="1" t="s">
        <v>482</v>
      </c>
      <c r="C612" s="1" t="s">
        <v>358</v>
      </c>
      <c r="D612" s="52">
        <v>46035.279861111114</v>
      </c>
      <c r="E612" s="52">
        <v>46035.279861111114</v>
      </c>
      <c r="F612" s="52">
        <v>46035.377083333333</v>
      </c>
      <c r="G612" s="53">
        <f t="shared" si="40"/>
        <v>9.7222222218988463E-2</v>
      </c>
      <c r="H612" s="1" t="s">
        <v>248</v>
      </c>
      <c r="J612" s="1" t="s">
        <v>249</v>
      </c>
      <c r="K612" s="1" t="s">
        <v>349</v>
      </c>
      <c r="L612" s="1" t="s">
        <v>479</v>
      </c>
      <c r="M612" s="1" t="s">
        <v>251</v>
      </c>
      <c r="N612" s="1" t="s">
        <v>330</v>
      </c>
      <c r="O612" s="1" t="s">
        <v>331</v>
      </c>
      <c r="P612" s="1" t="str">
        <f t="shared" si="41"/>
        <v>BC Turvania1.2Inverter(MBUS-14)46035,279861111146035,279861111146035,3770833333</v>
      </c>
      <c r="Q612" s="1" t="str">
        <f t="shared" si="42"/>
        <v>DAURDE</v>
      </c>
    </row>
    <row r="613" spans="2:17">
      <c r="B613" s="1" t="s">
        <v>482</v>
      </c>
      <c r="C613" s="1" t="s">
        <v>357</v>
      </c>
      <c r="D613" s="52">
        <v>46035.279861111114</v>
      </c>
      <c r="E613" s="52">
        <v>46035.279861111114</v>
      </c>
      <c r="F613" s="52">
        <v>46035.377083333333</v>
      </c>
      <c r="G613" s="53">
        <f t="shared" si="40"/>
        <v>9.7222222218988463E-2</v>
      </c>
      <c r="H613" s="1" t="s">
        <v>248</v>
      </c>
      <c r="J613" s="1" t="s">
        <v>249</v>
      </c>
      <c r="K613" s="1" t="s">
        <v>349</v>
      </c>
      <c r="L613" s="1" t="s">
        <v>479</v>
      </c>
      <c r="M613" s="1" t="s">
        <v>251</v>
      </c>
      <c r="N613" s="1" t="s">
        <v>330</v>
      </c>
      <c r="O613" s="1" t="s">
        <v>331</v>
      </c>
      <c r="P613" s="1" t="str">
        <f t="shared" si="41"/>
        <v>BC Turvania1.2Inverter(MBUS-13)46035,279861111146035,279861111146035,3770833333</v>
      </c>
      <c r="Q613" s="1" t="str">
        <f t="shared" si="42"/>
        <v>DAURDE</v>
      </c>
    </row>
    <row r="614" spans="2:17">
      <c r="B614" s="1" t="s">
        <v>482</v>
      </c>
      <c r="C614" s="1" t="s">
        <v>354</v>
      </c>
      <c r="D614" s="52">
        <v>46035.279861111114</v>
      </c>
      <c r="E614" s="52">
        <v>46035.279861111114</v>
      </c>
      <c r="F614" s="52">
        <v>46035.377083333333</v>
      </c>
      <c r="G614" s="53">
        <f t="shared" si="40"/>
        <v>9.7222222218988463E-2</v>
      </c>
      <c r="H614" s="1" t="s">
        <v>248</v>
      </c>
      <c r="J614" s="1" t="s">
        <v>249</v>
      </c>
      <c r="K614" s="1" t="s">
        <v>349</v>
      </c>
      <c r="L614" s="1" t="s">
        <v>479</v>
      </c>
      <c r="M614" s="1" t="s">
        <v>251</v>
      </c>
      <c r="N614" s="1" t="s">
        <v>330</v>
      </c>
      <c r="O614" s="1" t="s">
        <v>331</v>
      </c>
      <c r="P614" s="1" t="str">
        <f t="shared" si="41"/>
        <v>BC Turvania1.2Inverter(MBUS-12)46035,279861111146035,279861111146035,3770833333</v>
      </c>
      <c r="Q614" s="1" t="str">
        <f t="shared" si="42"/>
        <v>DAURDE</v>
      </c>
    </row>
    <row r="615" spans="2:17">
      <c r="B615" s="1" t="s">
        <v>482</v>
      </c>
      <c r="C615" s="1" t="s">
        <v>359</v>
      </c>
      <c r="D615" s="52">
        <v>46035.279861111114</v>
      </c>
      <c r="E615" s="52">
        <v>46035.279861111114</v>
      </c>
      <c r="F615" s="52">
        <v>46035.377083333333</v>
      </c>
      <c r="G615" s="53">
        <f t="shared" si="40"/>
        <v>9.7222222218988463E-2</v>
      </c>
      <c r="H615" s="1" t="s">
        <v>248</v>
      </c>
      <c r="J615" s="1" t="s">
        <v>249</v>
      </c>
      <c r="K615" s="1" t="s">
        <v>349</v>
      </c>
      <c r="L615" s="1" t="s">
        <v>479</v>
      </c>
      <c r="M615" s="1" t="s">
        <v>251</v>
      </c>
      <c r="N615" s="1" t="s">
        <v>330</v>
      </c>
      <c r="O615" s="1" t="s">
        <v>331</v>
      </c>
      <c r="P615" s="1" t="str">
        <f t="shared" si="41"/>
        <v>BC Turvania1.2Inverter(MBUS-15)46035,279861111146035,279861111146035,3770833333</v>
      </c>
      <c r="Q615" s="1" t="str">
        <f t="shared" si="42"/>
        <v>DAURDE</v>
      </c>
    </row>
    <row r="616" spans="2:17">
      <c r="B616" s="1" t="s">
        <v>483</v>
      </c>
      <c r="C616" s="1" t="s">
        <v>357</v>
      </c>
      <c r="D616" s="52">
        <v>46035.279861111114</v>
      </c>
      <c r="E616" s="52">
        <v>46035.279861111114</v>
      </c>
      <c r="F616" s="52">
        <v>46035.377083333333</v>
      </c>
      <c r="G616" s="53">
        <f t="shared" si="40"/>
        <v>9.7222222218988463E-2</v>
      </c>
      <c r="H616" s="1" t="s">
        <v>248</v>
      </c>
      <c r="J616" s="1" t="s">
        <v>249</v>
      </c>
      <c r="K616" s="1" t="s">
        <v>349</v>
      </c>
      <c r="L616" s="1" t="s">
        <v>479</v>
      </c>
      <c r="M616" s="1" t="s">
        <v>251</v>
      </c>
      <c r="N616" s="1" t="s">
        <v>330</v>
      </c>
      <c r="O616" s="1" t="s">
        <v>331</v>
      </c>
      <c r="P616" s="1" t="str">
        <f t="shared" si="41"/>
        <v>BC Turvania1.3Inverter(MBUS-13)46035,279861111146035,279861111146035,3770833333</v>
      </c>
      <c r="Q616" s="1" t="str">
        <f t="shared" si="42"/>
        <v>DAURDE</v>
      </c>
    </row>
    <row r="617" spans="2:17">
      <c r="B617" s="1" t="s">
        <v>483</v>
      </c>
      <c r="C617" s="1" t="s">
        <v>358</v>
      </c>
      <c r="D617" s="52">
        <v>46035.279861111114</v>
      </c>
      <c r="E617" s="52">
        <v>46035.279861111114</v>
      </c>
      <c r="F617" s="52">
        <v>46035.377083333333</v>
      </c>
      <c r="G617" s="53">
        <f t="shared" si="40"/>
        <v>9.7222222218988463E-2</v>
      </c>
      <c r="H617" s="1" t="s">
        <v>248</v>
      </c>
      <c r="J617" s="1" t="s">
        <v>249</v>
      </c>
      <c r="K617" s="1" t="s">
        <v>349</v>
      </c>
      <c r="L617" s="1" t="s">
        <v>479</v>
      </c>
      <c r="M617" s="1" t="s">
        <v>251</v>
      </c>
      <c r="N617" s="1" t="s">
        <v>330</v>
      </c>
      <c r="O617" s="1" t="s">
        <v>331</v>
      </c>
      <c r="P617" s="1" t="str">
        <f t="shared" si="41"/>
        <v>BC Turvania1.3Inverter(MBUS-14)46035,279861111146035,279861111146035,3770833333</v>
      </c>
      <c r="Q617" s="1" t="str">
        <f t="shared" si="42"/>
        <v>DAURDE</v>
      </c>
    </row>
    <row r="618" spans="2:17">
      <c r="B618" s="1" t="s">
        <v>483</v>
      </c>
      <c r="C618" s="1" t="s">
        <v>359</v>
      </c>
      <c r="D618" s="52">
        <v>46035.279861111114</v>
      </c>
      <c r="E618" s="52">
        <v>46035.279861111114</v>
      </c>
      <c r="F618" s="52">
        <v>46035.377083333333</v>
      </c>
      <c r="G618" s="53">
        <f t="shared" si="40"/>
        <v>9.7222222218988463E-2</v>
      </c>
      <c r="H618" s="1" t="s">
        <v>248</v>
      </c>
      <c r="J618" s="1" t="s">
        <v>249</v>
      </c>
      <c r="K618" s="1" t="s">
        <v>349</v>
      </c>
      <c r="L618" s="1" t="s">
        <v>479</v>
      </c>
      <c r="M618" s="1" t="s">
        <v>251</v>
      </c>
      <c r="N618" s="1" t="s">
        <v>330</v>
      </c>
      <c r="O618" s="1" t="s">
        <v>331</v>
      </c>
      <c r="P618" s="1" t="str">
        <f t="shared" si="41"/>
        <v>BC Turvania1.3Inverter(MBUS-15)46035,279861111146035,279861111146035,3770833333</v>
      </c>
      <c r="Q618" s="1" t="str">
        <f t="shared" si="42"/>
        <v>DAURDE</v>
      </c>
    </row>
    <row r="619" spans="2:17">
      <c r="B619" s="1" t="s">
        <v>483</v>
      </c>
      <c r="C619" s="1" t="s">
        <v>328</v>
      </c>
      <c r="D619" s="52">
        <v>46035.279861111114</v>
      </c>
      <c r="E619" s="52">
        <v>46035.279861111114</v>
      </c>
      <c r="F619" s="52">
        <v>46035.377083333333</v>
      </c>
      <c r="G619" s="53">
        <f t="shared" si="40"/>
        <v>9.7222222218988463E-2</v>
      </c>
      <c r="H619" s="1" t="s">
        <v>248</v>
      </c>
      <c r="J619" s="1" t="s">
        <v>249</v>
      </c>
      <c r="K619" s="1" t="s">
        <v>349</v>
      </c>
      <c r="L619" s="1" t="s">
        <v>479</v>
      </c>
      <c r="M619" s="1" t="s">
        <v>251</v>
      </c>
      <c r="N619" s="1" t="s">
        <v>330</v>
      </c>
      <c r="O619" s="1" t="s">
        <v>331</v>
      </c>
      <c r="P619" s="1" t="str">
        <f t="shared" si="41"/>
        <v>BC Turvania1.3Inverter(MBUS-1)46035,279861111146035,279861111146035,3770833333</v>
      </c>
      <c r="Q619" s="1" t="str">
        <f t="shared" si="42"/>
        <v>DAURDE</v>
      </c>
    </row>
    <row r="620" spans="2:17">
      <c r="B620" s="1" t="s">
        <v>484</v>
      </c>
      <c r="C620" s="1" t="s">
        <v>358</v>
      </c>
      <c r="D620" s="52">
        <v>46035.279861111114</v>
      </c>
      <c r="E620" s="52">
        <v>46035.279861111114</v>
      </c>
      <c r="F620" s="52">
        <v>46035.377083333333</v>
      </c>
      <c r="G620" s="53">
        <f t="shared" si="40"/>
        <v>9.7222222218988463E-2</v>
      </c>
      <c r="H620" s="1" t="s">
        <v>248</v>
      </c>
      <c r="J620" s="1" t="s">
        <v>249</v>
      </c>
      <c r="K620" s="1" t="s">
        <v>349</v>
      </c>
      <c r="L620" s="1" t="s">
        <v>479</v>
      </c>
      <c r="M620" s="1" t="s">
        <v>251</v>
      </c>
      <c r="N620" s="1" t="s">
        <v>330</v>
      </c>
      <c r="O620" s="1" t="s">
        <v>331</v>
      </c>
      <c r="P620" s="1" t="str">
        <f t="shared" si="41"/>
        <v>BC Turvania1.4Inverter(MBUS-14)46035,279861111146035,279861111146035,3770833333</v>
      </c>
      <c r="Q620" s="1" t="str">
        <f t="shared" si="42"/>
        <v>DAURDE</v>
      </c>
    </row>
    <row r="621" spans="2:17">
      <c r="B621" s="1" t="s">
        <v>484</v>
      </c>
      <c r="C621" s="1" t="s">
        <v>359</v>
      </c>
      <c r="D621" s="52">
        <v>46035.279861111114</v>
      </c>
      <c r="E621" s="52">
        <v>46035.279861111114</v>
      </c>
      <c r="F621" s="52">
        <v>46035.377083333333</v>
      </c>
      <c r="G621" s="53">
        <f t="shared" si="40"/>
        <v>9.7222222218988463E-2</v>
      </c>
      <c r="H621" s="1" t="s">
        <v>248</v>
      </c>
      <c r="J621" s="1" t="s">
        <v>249</v>
      </c>
      <c r="K621" s="1" t="s">
        <v>349</v>
      </c>
      <c r="L621" s="1" t="s">
        <v>479</v>
      </c>
      <c r="M621" s="1" t="s">
        <v>251</v>
      </c>
      <c r="N621" s="1" t="s">
        <v>330</v>
      </c>
      <c r="O621" s="1" t="s">
        <v>331</v>
      </c>
      <c r="P621" s="1" t="str">
        <f t="shared" si="41"/>
        <v>BC Turvania1.4Inverter(MBUS-15)46035,279861111146035,279861111146035,3770833333</v>
      </c>
      <c r="Q621" s="1" t="str">
        <f t="shared" si="42"/>
        <v>DAURDE</v>
      </c>
    </row>
    <row r="622" spans="2:17">
      <c r="B622" s="1" t="s">
        <v>484</v>
      </c>
      <c r="C622" s="1" t="s">
        <v>357</v>
      </c>
      <c r="D622" s="52">
        <v>46035.279861111114</v>
      </c>
      <c r="E622" s="52">
        <v>46035.279861111114</v>
      </c>
      <c r="F622" s="52">
        <v>46035.377083333333</v>
      </c>
      <c r="G622" s="53">
        <f t="shared" si="40"/>
        <v>9.7222222218988463E-2</v>
      </c>
      <c r="H622" s="1" t="s">
        <v>248</v>
      </c>
      <c r="J622" s="1" t="s">
        <v>249</v>
      </c>
      <c r="K622" s="1" t="s">
        <v>349</v>
      </c>
      <c r="L622" s="1" t="s">
        <v>479</v>
      </c>
      <c r="M622" s="1" t="s">
        <v>251</v>
      </c>
      <c r="N622" s="1" t="s">
        <v>330</v>
      </c>
      <c r="O622" s="1" t="s">
        <v>331</v>
      </c>
      <c r="P622" s="1" t="str">
        <f t="shared" si="41"/>
        <v>BC Turvania1.4Inverter(MBUS-13)46035,279861111146035,279861111146035,3770833333</v>
      </c>
      <c r="Q622" s="1" t="str">
        <f t="shared" si="42"/>
        <v>DAURDE</v>
      </c>
    </row>
    <row r="623" spans="2:17">
      <c r="B623" s="1" t="s">
        <v>484</v>
      </c>
      <c r="C623" s="1" t="s">
        <v>354</v>
      </c>
      <c r="D623" s="52">
        <v>46035.279861111114</v>
      </c>
      <c r="E623" s="52">
        <v>46035.279861111114</v>
      </c>
      <c r="F623" s="52">
        <v>46035.377083333333</v>
      </c>
      <c r="G623" s="53">
        <f t="shared" si="40"/>
        <v>9.7222222218988463E-2</v>
      </c>
      <c r="H623" s="1" t="s">
        <v>248</v>
      </c>
      <c r="J623" s="1" t="s">
        <v>249</v>
      </c>
      <c r="K623" s="1" t="s">
        <v>349</v>
      </c>
      <c r="L623" s="1" t="s">
        <v>479</v>
      </c>
      <c r="M623" s="1" t="s">
        <v>251</v>
      </c>
      <c r="N623" s="1" t="s">
        <v>330</v>
      </c>
      <c r="O623" s="1" t="s">
        <v>331</v>
      </c>
      <c r="P623" s="1" t="str">
        <f t="shared" si="41"/>
        <v>BC Turvania1.4Inverter(MBUS-12)46035,279861111146035,279861111146035,3770833333</v>
      </c>
      <c r="Q623" s="1" t="str">
        <f t="shared" si="42"/>
        <v>DAURDE</v>
      </c>
    </row>
    <row r="624" spans="2:17">
      <c r="B624" s="1" t="s">
        <v>485</v>
      </c>
      <c r="C624" s="1" t="s">
        <v>357</v>
      </c>
      <c r="D624" s="52">
        <v>46035.279861111114</v>
      </c>
      <c r="E624" s="52">
        <v>46035.279861111114</v>
      </c>
      <c r="F624" s="52">
        <v>46035.377083333333</v>
      </c>
      <c r="G624" s="53">
        <f t="shared" si="40"/>
        <v>9.7222222218988463E-2</v>
      </c>
      <c r="H624" s="1" t="s">
        <v>248</v>
      </c>
      <c r="J624" s="1" t="s">
        <v>249</v>
      </c>
      <c r="K624" s="1" t="s">
        <v>349</v>
      </c>
      <c r="L624" s="1" t="s">
        <v>479</v>
      </c>
      <c r="M624" s="1" t="s">
        <v>251</v>
      </c>
      <c r="N624" s="1" t="s">
        <v>330</v>
      </c>
      <c r="O624" s="1" t="s">
        <v>331</v>
      </c>
      <c r="P624" s="1" t="str">
        <f t="shared" si="41"/>
        <v>BC Turvania1.5Inverter(MBUS-13)46035,279861111146035,279861111146035,3770833333</v>
      </c>
      <c r="Q624" s="1" t="str">
        <f t="shared" si="42"/>
        <v>DAURDE</v>
      </c>
    </row>
    <row r="625" spans="2:17">
      <c r="B625" s="1" t="s">
        <v>485</v>
      </c>
      <c r="C625" s="1" t="s">
        <v>354</v>
      </c>
      <c r="D625" s="52">
        <v>46035.279861111114</v>
      </c>
      <c r="E625" s="52">
        <v>46035.279861111114</v>
      </c>
      <c r="F625" s="52">
        <v>46035.377083333333</v>
      </c>
      <c r="G625" s="53">
        <f t="shared" si="40"/>
        <v>9.7222222218988463E-2</v>
      </c>
      <c r="H625" s="1" t="s">
        <v>248</v>
      </c>
      <c r="J625" s="1" t="s">
        <v>249</v>
      </c>
      <c r="K625" s="1" t="s">
        <v>349</v>
      </c>
      <c r="L625" s="1" t="s">
        <v>479</v>
      </c>
      <c r="M625" s="1" t="s">
        <v>251</v>
      </c>
      <c r="N625" s="1" t="s">
        <v>330</v>
      </c>
      <c r="O625" s="1" t="s">
        <v>331</v>
      </c>
      <c r="P625" s="1" t="str">
        <f t="shared" si="41"/>
        <v>BC Turvania1.5Inverter(MBUS-12)46035,279861111146035,279861111146035,3770833333</v>
      </c>
      <c r="Q625" s="1" t="str">
        <f t="shared" si="42"/>
        <v>DAURDE</v>
      </c>
    </row>
    <row r="626" spans="2:17">
      <c r="B626" s="1" t="s">
        <v>485</v>
      </c>
      <c r="C626" s="1" t="s">
        <v>358</v>
      </c>
      <c r="D626" s="52">
        <v>46035.279861111114</v>
      </c>
      <c r="E626" s="52">
        <v>46035.279861111114</v>
      </c>
      <c r="F626" s="52">
        <v>46035.377083333333</v>
      </c>
      <c r="G626" s="53">
        <f t="shared" si="40"/>
        <v>9.7222222218988463E-2</v>
      </c>
      <c r="H626" s="1" t="s">
        <v>248</v>
      </c>
      <c r="J626" s="1" t="s">
        <v>249</v>
      </c>
      <c r="K626" s="1" t="s">
        <v>349</v>
      </c>
      <c r="L626" s="1" t="s">
        <v>479</v>
      </c>
      <c r="M626" s="1" t="s">
        <v>251</v>
      </c>
      <c r="N626" s="1" t="s">
        <v>330</v>
      </c>
      <c r="O626" s="1" t="s">
        <v>331</v>
      </c>
      <c r="P626" s="1" t="str">
        <f t="shared" si="41"/>
        <v>BC Turvania1.5Inverter(MBUS-14)46035,279861111146035,279861111146035,3770833333</v>
      </c>
      <c r="Q626" s="1" t="str">
        <f t="shared" si="42"/>
        <v>DAURDE</v>
      </c>
    </row>
    <row r="627" spans="2:17">
      <c r="B627" s="1" t="s">
        <v>485</v>
      </c>
      <c r="C627" s="1" t="s">
        <v>328</v>
      </c>
      <c r="D627" s="52">
        <v>46035.279861111114</v>
      </c>
      <c r="E627" s="52">
        <v>46035.279861111114</v>
      </c>
      <c r="F627" s="52">
        <v>46035.377083333333</v>
      </c>
      <c r="G627" s="53">
        <f t="shared" si="40"/>
        <v>9.7222222218988463E-2</v>
      </c>
      <c r="H627" s="1" t="s">
        <v>248</v>
      </c>
      <c r="J627" s="1" t="s">
        <v>249</v>
      </c>
      <c r="K627" s="1" t="s">
        <v>349</v>
      </c>
      <c r="L627" s="1" t="s">
        <v>479</v>
      </c>
      <c r="M627" s="1" t="s">
        <v>251</v>
      </c>
      <c r="N627" s="1" t="s">
        <v>330</v>
      </c>
      <c r="O627" s="1" t="s">
        <v>331</v>
      </c>
      <c r="P627" s="1" t="str">
        <f t="shared" si="41"/>
        <v>BC Turvania1.5Inverter(MBUS-1)46035,279861111146035,279861111146035,3770833333</v>
      </c>
      <c r="Q627" s="1" t="str">
        <f t="shared" si="42"/>
        <v>DAURDE</v>
      </c>
    </row>
    <row r="628" spans="2:17">
      <c r="B628" s="1" t="s">
        <v>481</v>
      </c>
      <c r="C628" s="1" t="s">
        <v>358</v>
      </c>
      <c r="D628" s="52">
        <v>46036.798611111109</v>
      </c>
      <c r="E628" s="52">
        <v>46036.798611111109</v>
      </c>
      <c r="F628" s="52">
        <v>46036.829861111109</v>
      </c>
      <c r="G628" s="53">
        <f t="shared" si="40"/>
        <v>3.125E-2</v>
      </c>
      <c r="H628" s="1" t="s">
        <v>248</v>
      </c>
      <c r="J628" s="1" t="s">
        <v>249</v>
      </c>
      <c r="K628" s="1" t="s">
        <v>349</v>
      </c>
      <c r="L628" s="1" t="s">
        <v>479</v>
      </c>
      <c r="M628" s="1" t="s">
        <v>251</v>
      </c>
      <c r="N628" s="1" t="s">
        <v>330</v>
      </c>
      <c r="O628" s="1" t="s">
        <v>331</v>
      </c>
      <c r="P628" s="1" t="str">
        <f t="shared" si="41"/>
        <v>BC Turvania1.1Inverter(MBUS-14)46036,798611111146036,798611111146036,8298611111</v>
      </c>
      <c r="Q628" s="1" t="str">
        <f t="shared" si="42"/>
        <v>DAURDE</v>
      </c>
    </row>
    <row r="629" spans="2:17">
      <c r="B629" s="1" t="s">
        <v>481</v>
      </c>
      <c r="C629" s="1" t="s">
        <v>359</v>
      </c>
      <c r="D629" s="52">
        <v>46036.798611111109</v>
      </c>
      <c r="E629" s="52">
        <v>46036.798611111109</v>
      </c>
      <c r="F629" s="52">
        <v>46036.829861111109</v>
      </c>
      <c r="G629" s="53">
        <f t="shared" si="40"/>
        <v>3.125E-2</v>
      </c>
      <c r="H629" s="1" t="s">
        <v>248</v>
      </c>
      <c r="J629" s="1" t="s">
        <v>249</v>
      </c>
      <c r="K629" s="1" t="s">
        <v>349</v>
      </c>
      <c r="L629" s="1" t="s">
        <v>479</v>
      </c>
      <c r="M629" s="1" t="s">
        <v>251</v>
      </c>
      <c r="N629" s="1" t="s">
        <v>330</v>
      </c>
      <c r="O629" s="1" t="s">
        <v>331</v>
      </c>
      <c r="P629" s="1" t="str">
        <f t="shared" si="41"/>
        <v>BC Turvania1.1Inverter(MBUS-15)46036,798611111146036,798611111146036,8298611111</v>
      </c>
      <c r="Q629" s="1" t="str">
        <f t="shared" si="42"/>
        <v>DAURDE</v>
      </c>
    </row>
    <row r="630" spans="2:17">
      <c r="B630" s="1" t="s">
        <v>481</v>
      </c>
      <c r="C630" s="1" t="s">
        <v>354</v>
      </c>
      <c r="D630" s="52">
        <v>46036.798611111109</v>
      </c>
      <c r="E630" s="52">
        <v>46036.798611111109</v>
      </c>
      <c r="F630" s="52">
        <v>46036.829861111109</v>
      </c>
      <c r="G630" s="53">
        <f t="shared" si="40"/>
        <v>3.125E-2</v>
      </c>
      <c r="H630" s="1" t="s">
        <v>248</v>
      </c>
      <c r="J630" s="1" t="s">
        <v>249</v>
      </c>
      <c r="K630" s="1" t="s">
        <v>349</v>
      </c>
      <c r="L630" s="1" t="s">
        <v>479</v>
      </c>
      <c r="M630" s="1" t="s">
        <v>251</v>
      </c>
      <c r="N630" s="1" t="s">
        <v>330</v>
      </c>
      <c r="O630" s="1" t="s">
        <v>331</v>
      </c>
      <c r="P630" s="1" t="str">
        <f t="shared" si="41"/>
        <v>BC Turvania1.1Inverter(MBUS-12)46036,798611111146036,798611111146036,8298611111</v>
      </c>
      <c r="Q630" s="1" t="str">
        <f t="shared" si="42"/>
        <v>DAURDE</v>
      </c>
    </row>
    <row r="631" spans="2:17">
      <c r="B631" s="1" t="s">
        <v>481</v>
      </c>
      <c r="C631" s="1" t="s">
        <v>357</v>
      </c>
      <c r="D631" s="52">
        <v>46036.798611111109</v>
      </c>
      <c r="E631" s="52">
        <v>46036.798611111109</v>
      </c>
      <c r="F631" s="52">
        <v>46036.829861111109</v>
      </c>
      <c r="G631" s="53">
        <f t="shared" si="40"/>
        <v>3.125E-2</v>
      </c>
      <c r="H631" s="1" t="s">
        <v>248</v>
      </c>
      <c r="J631" s="1" t="s">
        <v>249</v>
      </c>
      <c r="K631" s="1" t="s">
        <v>349</v>
      </c>
      <c r="L631" s="1" t="s">
        <v>479</v>
      </c>
      <c r="M631" s="1" t="s">
        <v>251</v>
      </c>
      <c r="N631" s="1" t="s">
        <v>330</v>
      </c>
      <c r="O631" s="1" t="s">
        <v>331</v>
      </c>
      <c r="P631" s="1" t="str">
        <f t="shared" si="41"/>
        <v>BC Turvania1.1Inverter(MBUS-13)46036,798611111146036,798611111146036,8298611111</v>
      </c>
      <c r="Q631" s="1" t="str">
        <f t="shared" si="42"/>
        <v>DAURDE</v>
      </c>
    </row>
    <row r="632" spans="2:17">
      <c r="B632" s="1" t="s">
        <v>482</v>
      </c>
      <c r="C632" s="1" t="s">
        <v>358</v>
      </c>
      <c r="D632" s="52">
        <v>46036.798611111109</v>
      </c>
      <c r="E632" s="52">
        <v>46036.798611111109</v>
      </c>
      <c r="F632" s="52">
        <v>46036.829861111109</v>
      </c>
      <c r="G632" s="53">
        <f t="shared" si="40"/>
        <v>3.125E-2</v>
      </c>
      <c r="H632" s="1" t="s">
        <v>248</v>
      </c>
      <c r="J632" s="1" t="s">
        <v>249</v>
      </c>
      <c r="K632" s="1" t="s">
        <v>349</v>
      </c>
      <c r="L632" s="1" t="s">
        <v>479</v>
      </c>
      <c r="M632" s="1" t="s">
        <v>251</v>
      </c>
      <c r="N632" s="1" t="s">
        <v>330</v>
      </c>
      <c r="O632" s="1" t="s">
        <v>331</v>
      </c>
      <c r="P632" s="1" t="str">
        <f t="shared" si="41"/>
        <v>BC Turvania1.2Inverter(MBUS-14)46036,798611111146036,798611111146036,8298611111</v>
      </c>
      <c r="Q632" s="1" t="str">
        <f t="shared" si="42"/>
        <v>DAURDE</v>
      </c>
    </row>
    <row r="633" spans="2:17">
      <c r="B633" s="1" t="s">
        <v>482</v>
      </c>
      <c r="C633" s="1" t="s">
        <v>357</v>
      </c>
      <c r="D633" s="52">
        <v>46036.798611111109</v>
      </c>
      <c r="E633" s="52">
        <v>46036.798611111109</v>
      </c>
      <c r="F633" s="52">
        <v>46036.829861111109</v>
      </c>
      <c r="G633" s="53">
        <f t="shared" si="40"/>
        <v>3.125E-2</v>
      </c>
      <c r="H633" s="1" t="s">
        <v>248</v>
      </c>
      <c r="J633" s="1" t="s">
        <v>249</v>
      </c>
      <c r="K633" s="1" t="s">
        <v>349</v>
      </c>
      <c r="L633" s="1" t="s">
        <v>479</v>
      </c>
      <c r="M633" s="1" t="s">
        <v>251</v>
      </c>
      <c r="N633" s="1" t="s">
        <v>330</v>
      </c>
      <c r="O633" s="1" t="s">
        <v>331</v>
      </c>
      <c r="P633" s="1" t="str">
        <f t="shared" si="41"/>
        <v>BC Turvania1.2Inverter(MBUS-13)46036,798611111146036,798611111146036,8298611111</v>
      </c>
      <c r="Q633" s="1" t="str">
        <f t="shared" si="42"/>
        <v>DAURDE</v>
      </c>
    </row>
    <row r="634" spans="2:17">
      <c r="B634" s="1" t="s">
        <v>482</v>
      </c>
      <c r="C634" s="1" t="s">
        <v>354</v>
      </c>
      <c r="D634" s="52">
        <v>46036.798611111109</v>
      </c>
      <c r="E634" s="52">
        <v>46036.798611111109</v>
      </c>
      <c r="F634" s="52">
        <v>46036.829861111109</v>
      </c>
      <c r="G634" s="53">
        <f t="shared" si="40"/>
        <v>3.125E-2</v>
      </c>
      <c r="H634" s="1" t="s">
        <v>248</v>
      </c>
      <c r="J634" s="1" t="s">
        <v>249</v>
      </c>
      <c r="K634" s="1" t="s">
        <v>349</v>
      </c>
      <c r="L634" s="1" t="s">
        <v>479</v>
      </c>
      <c r="M634" s="1" t="s">
        <v>251</v>
      </c>
      <c r="N634" s="1" t="s">
        <v>330</v>
      </c>
      <c r="O634" s="1" t="s">
        <v>331</v>
      </c>
      <c r="P634" s="1" t="str">
        <f t="shared" si="41"/>
        <v>BC Turvania1.2Inverter(MBUS-12)46036,798611111146036,798611111146036,8298611111</v>
      </c>
      <c r="Q634" s="1" t="str">
        <f t="shared" si="42"/>
        <v>DAURDE</v>
      </c>
    </row>
    <row r="635" spans="2:17">
      <c r="B635" s="1" t="s">
        <v>482</v>
      </c>
      <c r="C635" s="1" t="s">
        <v>359</v>
      </c>
      <c r="D635" s="52">
        <v>46036.798611111109</v>
      </c>
      <c r="E635" s="52">
        <v>46036.798611111109</v>
      </c>
      <c r="F635" s="52">
        <v>46036.829861111109</v>
      </c>
      <c r="G635" s="53">
        <f t="shared" si="40"/>
        <v>3.125E-2</v>
      </c>
      <c r="H635" s="1" t="s">
        <v>248</v>
      </c>
      <c r="J635" s="1" t="s">
        <v>249</v>
      </c>
      <c r="K635" s="1" t="s">
        <v>349</v>
      </c>
      <c r="L635" s="1" t="s">
        <v>479</v>
      </c>
      <c r="M635" s="1" t="s">
        <v>251</v>
      </c>
      <c r="N635" s="1" t="s">
        <v>330</v>
      </c>
      <c r="O635" s="1" t="s">
        <v>331</v>
      </c>
      <c r="P635" s="1" t="str">
        <f t="shared" si="41"/>
        <v>BC Turvania1.2Inverter(MBUS-15)46036,798611111146036,798611111146036,8298611111</v>
      </c>
      <c r="Q635" s="1" t="str">
        <f t="shared" si="42"/>
        <v>DAURDE</v>
      </c>
    </row>
    <row r="636" spans="2:17">
      <c r="B636" s="1" t="s">
        <v>483</v>
      </c>
      <c r="C636" s="1" t="s">
        <v>357</v>
      </c>
      <c r="D636" s="52">
        <v>46036.798611111109</v>
      </c>
      <c r="E636" s="52">
        <v>46036.798611111109</v>
      </c>
      <c r="F636" s="52">
        <v>46036.829861111109</v>
      </c>
      <c r="G636" s="53">
        <f t="shared" si="40"/>
        <v>3.125E-2</v>
      </c>
      <c r="H636" s="1" t="s">
        <v>248</v>
      </c>
      <c r="J636" s="1" t="s">
        <v>249</v>
      </c>
      <c r="K636" s="1" t="s">
        <v>349</v>
      </c>
      <c r="L636" s="1" t="s">
        <v>479</v>
      </c>
      <c r="M636" s="1" t="s">
        <v>251</v>
      </c>
      <c r="N636" s="1" t="s">
        <v>330</v>
      </c>
      <c r="O636" s="1" t="s">
        <v>331</v>
      </c>
      <c r="P636" s="1" t="str">
        <f t="shared" si="41"/>
        <v>BC Turvania1.3Inverter(MBUS-13)46036,798611111146036,798611111146036,8298611111</v>
      </c>
      <c r="Q636" s="1" t="str">
        <f t="shared" si="42"/>
        <v>DAURDE</v>
      </c>
    </row>
    <row r="637" spans="2:17">
      <c r="B637" s="1" t="s">
        <v>483</v>
      </c>
      <c r="C637" s="1" t="s">
        <v>358</v>
      </c>
      <c r="D637" s="52">
        <v>46036.798611111109</v>
      </c>
      <c r="E637" s="52">
        <v>46036.798611111109</v>
      </c>
      <c r="F637" s="52">
        <v>46036.829861111109</v>
      </c>
      <c r="G637" s="53">
        <f t="shared" ref="G637:G700" si="43">F637-E637</f>
        <v>3.125E-2</v>
      </c>
      <c r="H637" s="1" t="s">
        <v>248</v>
      </c>
      <c r="J637" s="1" t="s">
        <v>249</v>
      </c>
      <c r="K637" s="1" t="s">
        <v>349</v>
      </c>
      <c r="L637" s="1" t="s">
        <v>479</v>
      </c>
      <c r="M637" s="1" t="s">
        <v>251</v>
      </c>
      <c r="N637" s="1" t="s">
        <v>330</v>
      </c>
      <c r="O637" s="1" t="s">
        <v>331</v>
      </c>
      <c r="P637" s="1" t="str">
        <f t="shared" si="41"/>
        <v>BC Turvania1.3Inverter(MBUS-14)46036,798611111146036,798611111146036,8298611111</v>
      </c>
      <c r="Q637" s="1" t="str">
        <f t="shared" si="42"/>
        <v>DAURDE</v>
      </c>
    </row>
    <row r="638" spans="2:17">
      <c r="B638" s="1" t="s">
        <v>483</v>
      </c>
      <c r="C638" s="1" t="s">
        <v>359</v>
      </c>
      <c r="D638" s="52">
        <v>46036.798611111109</v>
      </c>
      <c r="E638" s="52">
        <v>46036.798611111109</v>
      </c>
      <c r="F638" s="52">
        <v>46036.829861111109</v>
      </c>
      <c r="G638" s="53">
        <f t="shared" si="43"/>
        <v>3.125E-2</v>
      </c>
      <c r="H638" s="1" t="s">
        <v>248</v>
      </c>
      <c r="J638" s="1" t="s">
        <v>249</v>
      </c>
      <c r="K638" s="1" t="s">
        <v>349</v>
      </c>
      <c r="L638" s="1" t="s">
        <v>479</v>
      </c>
      <c r="M638" s="1" t="s">
        <v>251</v>
      </c>
      <c r="N638" s="1" t="s">
        <v>330</v>
      </c>
      <c r="O638" s="1" t="s">
        <v>331</v>
      </c>
      <c r="P638" s="1" t="str">
        <f t="shared" si="41"/>
        <v>BC Turvania1.3Inverter(MBUS-15)46036,798611111146036,798611111146036,8298611111</v>
      </c>
      <c r="Q638" s="1" t="str">
        <f t="shared" si="42"/>
        <v>DAURDE</v>
      </c>
    </row>
    <row r="639" spans="2:17">
      <c r="B639" s="1" t="s">
        <v>483</v>
      </c>
      <c r="C639" s="1" t="s">
        <v>328</v>
      </c>
      <c r="D639" s="52">
        <v>46036.798611111109</v>
      </c>
      <c r="E639" s="52">
        <v>46036.798611111109</v>
      </c>
      <c r="F639" s="52">
        <v>46036.829861111109</v>
      </c>
      <c r="G639" s="53">
        <f t="shared" si="43"/>
        <v>3.125E-2</v>
      </c>
      <c r="H639" s="1" t="s">
        <v>248</v>
      </c>
      <c r="J639" s="1" t="s">
        <v>249</v>
      </c>
      <c r="K639" s="1" t="s">
        <v>349</v>
      </c>
      <c r="L639" s="1" t="s">
        <v>479</v>
      </c>
      <c r="M639" s="1" t="s">
        <v>251</v>
      </c>
      <c r="N639" s="1" t="s">
        <v>330</v>
      </c>
      <c r="O639" s="1" t="s">
        <v>331</v>
      </c>
      <c r="P639" s="1" t="str">
        <f t="shared" si="41"/>
        <v>BC Turvania1.3Inverter(MBUS-1)46036,798611111146036,798611111146036,8298611111</v>
      </c>
      <c r="Q639" s="1" t="str">
        <f t="shared" si="42"/>
        <v>DAURDE</v>
      </c>
    </row>
    <row r="640" spans="2:17">
      <c r="B640" s="1" t="s">
        <v>484</v>
      </c>
      <c r="C640" s="1" t="s">
        <v>358</v>
      </c>
      <c r="D640" s="52">
        <v>46036.798611111109</v>
      </c>
      <c r="E640" s="52">
        <v>46036.798611111109</v>
      </c>
      <c r="F640" s="52">
        <v>46036.829861111109</v>
      </c>
      <c r="G640" s="53">
        <f t="shared" si="43"/>
        <v>3.125E-2</v>
      </c>
      <c r="H640" s="1" t="s">
        <v>248</v>
      </c>
      <c r="J640" s="1" t="s">
        <v>249</v>
      </c>
      <c r="K640" s="1" t="s">
        <v>349</v>
      </c>
      <c r="L640" s="1" t="s">
        <v>479</v>
      </c>
      <c r="M640" s="1" t="s">
        <v>251</v>
      </c>
      <c r="N640" s="1" t="s">
        <v>330</v>
      </c>
      <c r="O640" s="1" t="s">
        <v>331</v>
      </c>
      <c r="P640" s="1" t="str">
        <f t="shared" si="41"/>
        <v>BC Turvania1.4Inverter(MBUS-14)46036,798611111146036,798611111146036,8298611111</v>
      </c>
      <c r="Q640" s="1" t="str">
        <f t="shared" si="42"/>
        <v>DAURDE</v>
      </c>
    </row>
    <row r="641" spans="2:17">
      <c r="B641" s="1" t="s">
        <v>484</v>
      </c>
      <c r="C641" s="1" t="s">
        <v>359</v>
      </c>
      <c r="D641" s="52">
        <v>46036.798611111109</v>
      </c>
      <c r="E641" s="52">
        <v>46036.798611111109</v>
      </c>
      <c r="F641" s="52">
        <v>46036.829861111109</v>
      </c>
      <c r="G641" s="53">
        <f t="shared" si="43"/>
        <v>3.125E-2</v>
      </c>
      <c r="H641" s="1" t="s">
        <v>248</v>
      </c>
      <c r="J641" s="1" t="s">
        <v>249</v>
      </c>
      <c r="K641" s="1" t="s">
        <v>349</v>
      </c>
      <c r="L641" s="1" t="s">
        <v>479</v>
      </c>
      <c r="M641" s="1" t="s">
        <v>251</v>
      </c>
      <c r="N641" s="1" t="s">
        <v>330</v>
      </c>
      <c r="O641" s="1" t="s">
        <v>331</v>
      </c>
      <c r="P641" s="1" t="str">
        <f t="shared" si="41"/>
        <v>BC Turvania1.4Inverter(MBUS-15)46036,798611111146036,798611111146036,8298611111</v>
      </c>
      <c r="Q641" s="1" t="str">
        <f t="shared" si="42"/>
        <v>DAURDE</v>
      </c>
    </row>
    <row r="642" spans="2:17">
      <c r="B642" s="1" t="s">
        <v>484</v>
      </c>
      <c r="C642" s="1" t="s">
        <v>357</v>
      </c>
      <c r="D642" s="52">
        <v>46036.798611111109</v>
      </c>
      <c r="E642" s="52">
        <v>46036.798611111109</v>
      </c>
      <c r="F642" s="52">
        <v>46036.829861111109</v>
      </c>
      <c r="G642" s="53">
        <f t="shared" si="43"/>
        <v>3.125E-2</v>
      </c>
      <c r="H642" s="1" t="s">
        <v>248</v>
      </c>
      <c r="J642" s="1" t="s">
        <v>249</v>
      </c>
      <c r="K642" s="1" t="s">
        <v>349</v>
      </c>
      <c r="L642" s="1" t="s">
        <v>479</v>
      </c>
      <c r="M642" s="1" t="s">
        <v>251</v>
      </c>
      <c r="N642" s="1" t="s">
        <v>330</v>
      </c>
      <c r="O642" s="1" t="s">
        <v>331</v>
      </c>
      <c r="P642" s="1" t="str">
        <f t="shared" si="41"/>
        <v>BC Turvania1.4Inverter(MBUS-13)46036,798611111146036,798611111146036,8298611111</v>
      </c>
      <c r="Q642" s="1" t="str">
        <f t="shared" si="42"/>
        <v>DAURDE</v>
      </c>
    </row>
    <row r="643" spans="2:17">
      <c r="B643" s="1" t="s">
        <v>484</v>
      </c>
      <c r="C643" s="1" t="s">
        <v>354</v>
      </c>
      <c r="D643" s="52">
        <v>46036.798611111109</v>
      </c>
      <c r="E643" s="52">
        <v>46036.798611111109</v>
      </c>
      <c r="F643" s="52">
        <v>46036.829861111109</v>
      </c>
      <c r="G643" s="53">
        <f t="shared" si="43"/>
        <v>3.125E-2</v>
      </c>
      <c r="H643" s="1" t="s">
        <v>248</v>
      </c>
      <c r="J643" s="1" t="s">
        <v>249</v>
      </c>
      <c r="K643" s="1" t="s">
        <v>349</v>
      </c>
      <c r="L643" s="1" t="s">
        <v>479</v>
      </c>
      <c r="M643" s="1" t="s">
        <v>251</v>
      </c>
      <c r="N643" s="1" t="s">
        <v>330</v>
      </c>
      <c r="O643" s="1" t="s">
        <v>331</v>
      </c>
      <c r="P643" s="1" t="str">
        <f t="shared" si="41"/>
        <v>BC Turvania1.4Inverter(MBUS-12)46036,798611111146036,798611111146036,8298611111</v>
      </c>
      <c r="Q643" s="1" t="str">
        <f t="shared" si="42"/>
        <v>DAURDE</v>
      </c>
    </row>
    <row r="644" spans="2:17">
      <c r="B644" s="1" t="s">
        <v>485</v>
      </c>
      <c r="C644" s="1" t="s">
        <v>357</v>
      </c>
      <c r="D644" s="52">
        <v>46036.798611111109</v>
      </c>
      <c r="E644" s="52">
        <v>46036.798611111109</v>
      </c>
      <c r="F644" s="52">
        <v>46036.829861111109</v>
      </c>
      <c r="G644" s="53">
        <f t="shared" si="43"/>
        <v>3.125E-2</v>
      </c>
      <c r="H644" s="1" t="s">
        <v>248</v>
      </c>
      <c r="J644" s="1" t="s">
        <v>249</v>
      </c>
      <c r="K644" s="1" t="s">
        <v>349</v>
      </c>
      <c r="L644" s="1" t="s">
        <v>479</v>
      </c>
      <c r="M644" s="1" t="s">
        <v>251</v>
      </c>
      <c r="N644" s="1" t="s">
        <v>330</v>
      </c>
      <c r="O644" s="1" t="s">
        <v>331</v>
      </c>
      <c r="P644" s="1" t="str">
        <f t="shared" si="41"/>
        <v>BC Turvania1.5Inverter(MBUS-13)46036,798611111146036,798611111146036,8298611111</v>
      </c>
      <c r="Q644" s="1" t="str">
        <f t="shared" si="42"/>
        <v>DAURDE</v>
      </c>
    </row>
    <row r="645" spans="2:17">
      <c r="B645" s="1" t="s">
        <v>485</v>
      </c>
      <c r="C645" s="1" t="s">
        <v>354</v>
      </c>
      <c r="D645" s="52">
        <v>46036.798611111109</v>
      </c>
      <c r="E645" s="52">
        <v>46036.798611111109</v>
      </c>
      <c r="F645" s="52">
        <v>46036.829861111109</v>
      </c>
      <c r="G645" s="53">
        <f t="shared" si="43"/>
        <v>3.125E-2</v>
      </c>
      <c r="H645" s="1" t="s">
        <v>248</v>
      </c>
      <c r="J645" s="1" t="s">
        <v>249</v>
      </c>
      <c r="K645" s="1" t="s">
        <v>349</v>
      </c>
      <c r="L645" s="1" t="s">
        <v>479</v>
      </c>
      <c r="M645" s="1" t="s">
        <v>251</v>
      </c>
      <c r="N645" s="1" t="s">
        <v>330</v>
      </c>
      <c r="O645" s="1" t="s">
        <v>331</v>
      </c>
      <c r="P645" s="1" t="str">
        <f t="shared" si="41"/>
        <v>BC Turvania1.5Inverter(MBUS-12)46036,798611111146036,798611111146036,8298611111</v>
      </c>
      <c r="Q645" s="1" t="str">
        <f t="shared" si="42"/>
        <v>DAURDE</v>
      </c>
    </row>
    <row r="646" spans="2:17">
      <c r="B646" s="1" t="s">
        <v>485</v>
      </c>
      <c r="C646" s="1" t="s">
        <v>358</v>
      </c>
      <c r="D646" s="52">
        <v>46036.798611111109</v>
      </c>
      <c r="E646" s="52">
        <v>46036.798611111109</v>
      </c>
      <c r="F646" s="52">
        <v>46036.829861111109</v>
      </c>
      <c r="G646" s="53">
        <f t="shared" si="43"/>
        <v>3.125E-2</v>
      </c>
      <c r="H646" s="1" t="s">
        <v>248</v>
      </c>
      <c r="J646" s="1" t="s">
        <v>249</v>
      </c>
      <c r="K646" s="1" t="s">
        <v>349</v>
      </c>
      <c r="L646" s="1" t="s">
        <v>479</v>
      </c>
      <c r="M646" s="1" t="s">
        <v>251</v>
      </c>
      <c r="N646" s="1" t="s">
        <v>330</v>
      </c>
      <c r="O646" s="1" t="s">
        <v>331</v>
      </c>
      <c r="P646" s="1" t="str">
        <f t="shared" si="41"/>
        <v>BC Turvania1.5Inverter(MBUS-14)46036,798611111146036,798611111146036,8298611111</v>
      </c>
      <c r="Q646" s="1" t="str">
        <f t="shared" si="42"/>
        <v>DAURDE</v>
      </c>
    </row>
    <row r="647" spans="2:17">
      <c r="B647" s="1" t="s">
        <v>485</v>
      </c>
      <c r="C647" s="1" t="s">
        <v>328</v>
      </c>
      <c r="D647" s="52">
        <v>46036.798611111109</v>
      </c>
      <c r="E647" s="52">
        <v>46036.798611111109</v>
      </c>
      <c r="F647" s="52">
        <v>46036.829861111109</v>
      </c>
      <c r="G647" s="53">
        <f t="shared" si="43"/>
        <v>3.125E-2</v>
      </c>
      <c r="H647" s="1" t="s">
        <v>248</v>
      </c>
      <c r="J647" s="1" t="s">
        <v>249</v>
      </c>
      <c r="K647" s="1" t="s">
        <v>349</v>
      </c>
      <c r="L647" s="1" t="s">
        <v>479</v>
      </c>
      <c r="M647" s="1" t="s">
        <v>251</v>
      </c>
      <c r="N647" s="1" t="s">
        <v>330</v>
      </c>
      <c r="O647" s="1" t="s">
        <v>331</v>
      </c>
      <c r="P647" s="1" t="str">
        <f t="shared" ref="P647:P710" si="44">_xlfn.CONCAT(B647,C647,D647,E647,F647)</f>
        <v>BC Turvania1.5Inverter(MBUS-1)46036,798611111146036,798611111146036,8298611111</v>
      </c>
      <c r="Q647" s="1" t="str">
        <f t="shared" ref="Q647:Q710" si="45">_xlfn.CONCAT(H647,I647,J647)</f>
        <v>DAURDE</v>
      </c>
    </row>
    <row r="648" spans="2:17">
      <c r="B648" s="1" t="s">
        <v>477</v>
      </c>
      <c r="C648" s="1" t="s">
        <v>486</v>
      </c>
      <c r="D648" s="52">
        <v>46023.270138888889</v>
      </c>
      <c r="E648" s="52">
        <v>46023.270138888889</v>
      </c>
      <c r="F648" s="52">
        <v>46023.277777777781</v>
      </c>
      <c r="G648" s="53">
        <f t="shared" si="43"/>
        <v>7.6388888919609599E-3</v>
      </c>
      <c r="H648" s="1" t="s">
        <v>248</v>
      </c>
      <c r="J648" s="1" t="s">
        <v>249</v>
      </c>
      <c r="K648" s="1" t="s">
        <v>349</v>
      </c>
      <c r="L648" s="1" t="s">
        <v>450</v>
      </c>
      <c r="M648" s="1" t="s">
        <v>251</v>
      </c>
      <c r="N648" s="1" t="s">
        <v>330</v>
      </c>
      <c r="O648" s="1" t="s">
        <v>331</v>
      </c>
      <c r="P648" s="1" t="str">
        <f t="shared" si="44"/>
        <v>BC Rio Monte1Inverter3546023,270138888946023,270138888946023,2777777778</v>
      </c>
      <c r="Q648" s="1" t="str">
        <f t="shared" si="45"/>
        <v>DAURDE</v>
      </c>
    </row>
    <row r="649" spans="2:17">
      <c r="B649" s="1" t="s">
        <v>477</v>
      </c>
      <c r="C649" s="1" t="s">
        <v>487</v>
      </c>
      <c r="D649" s="52">
        <v>46023.270138888889</v>
      </c>
      <c r="E649" s="52">
        <v>46023.270138888889</v>
      </c>
      <c r="F649" s="52">
        <v>46023.277777777781</v>
      </c>
      <c r="G649" s="53">
        <f t="shared" si="43"/>
        <v>7.6388888919609599E-3</v>
      </c>
      <c r="H649" s="1" t="s">
        <v>248</v>
      </c>
      <c r="J649" s="1" t="s">
        <v>249</v>
      </c>
      <c r="K649" s="1" t="s">
        <v>349</v>
      </c>
      <c r="L649" s="1" t="s">
        <v>450</v>
      </c>
      <c r="M649" s="1" t="s">
        <v>251</v>
      </c>
      <c r="N649" s="1" t="s">
        <v>330</v>
      </c>
      <c r="O649" s="1" t="s">
        <v>331</v>
      </c>
      <c r="P649" s="1" t="str">
        <f t="shared" si="44"/>
        <v>BC Rio Monte1Inverter4046023,270138888946023,270138888946023,2777777778</v>
      </c>
      <c r="Q649" s="1" t="str">
        <f t="shared" si="45"/>
        <v>DAURDE</v>
      </c>
    </row>
    <row r="650" spans="2:17">
      <c r="B650" s="1" t="s">
        <v>477</v>
      </c>
      <c r="C650" s="1" t="s">
        <v>488</v>
      </c>
      <c r="D650" s="52">
        <v>46023.270138888889</v>
      </c>
      <c r="E650" s="52">
        <v>46023.270138888889</v>
      </c>
      <c r="F650" s="52">
        <v>46023.277777777781</v>
      </c>
      <c r="G650" s="53">
        <f t="shared" si="43"/>
        <v>7.6388888919609599E-3</v>
      </c>
      <c r="J650" s="1" t="s">
        <v>249</v>
      </c>
      <c r="K650" s="1" t="s">
        <v>349</v>
      </c>
      <c r="L650" s="1" t="s">
        <v>450</v>
      </c>
      <c r="M650" s="1" t="s">
        <v>251</v>
      </c>
      <c r="N650" s="1" t="s">
        <v>330</v>
      </c>
      <c r="O650" s="1" t="s">
        <v>331</v>
      </c>
      <c r="P650" s="1" t="str">
        <f t="shared" si="44"/>
        <v>BC Rio Monte1Inverter4246023,270138888946023,270138888946023,2777777778</v>
      </c>
      <c r="Q650" s="1" t="str">
        <f t="shared" si="45"/>
        <v>RDE</v>
      </c>
    </row>
    <row r="651" spans="2:17">
      <c r="B651" s="1" t="s">
        <v>477</v>
      </c>
      <c r="C651" s="1" t="s">
        <v>489</v>
      </c>
      <c r="D651" s="52">
        <v>46023.270138888889</v>
      </c>
      <c r="E651" s="52">
        <v>46023.270138888889</v>
      </c>
      <c r="F651" s="52">
        <v>46023.277777777781</v>
      </c>
      <c r="G651" s="53">
        <f t="shared" si="43"/>
        <v>7.6388888919609599E-3</v>
      </c>
      <c r="J651" s="1" t="s">
        <v>249</v>
      </c>
      <c r="K651" s="1" t="s">
        <v>349</v>
      </c>
      <c r="L651" s="1" t="s">
        <v>450</v>
      </c>
      <c r="M651" s="1" t="s">
        <v>251</v>
      </c>
      <c r="N651" s="1" t="s">
        <v>330</v>
      </c>
      <c r="O651" s="1" t="s">
        <v>331</v>
      </c>
      <c r="P651" s="1" t="str">
        <f t="shared" si="44"/>
        <v>BC Rio Monte1Inverter4146023,270138888946023,270138888946023,2777777778</v>
      </c>
      <c r="Q651" s="1" t="str">
        <f t="shared" si="45"/>
        <v>RDE</v>
      </c>
    </row>
    <row r="652" spans="2:17">
      <c r="B652" s="1" t="s">
        <v>477</v>
      </c>
      <c r="C652" s="1" t="s">
        <v>490</v>
      </c>
      <c r="D652" s="52">
        <v>46023.270138888889</v>
      </c>
      <c r="E652" s="52">
        <v>46023.270138888889</v>
      </c>
      <c r="F652" s="52">
        <v>46023.277777777781</v>
      </c>
      <c r="G652" s="53">
        <f t="shared" si="43"/>
        <v>7.6388888919609599E-3</v>
      </c>
      <c r="J652" s="1" t="s">
        <v>249</v>
      </c>
      <c r="K652" s="1" t="s">
        <v>349</v>
      </c>
      <c r="L652" s="1" t="s">
        <v>450</v>
      </c>
      <c r="M652" s="1" t="s">
        <v>251</v>
      </c>
      <c r="N652" s="1" t="s">
        <v>330</v>
      </c>
      <c r="O652" s="1" t="s">
        <v>331</v>
      </c>
      <c r="P652" s="1" t="str">
        <f t="shared" si="44"/>
        <v>BC Rio Monte1Inverter4446023,270138888946023,270138888946023,2777777778</v>
      </c>
      <c r="Q652" s="1" t="str">
        <f t="shared" si="45"/>
        <v>RDE</v>
      </c>
    </row>
    <row r="653" spans="2:17">
      <c r="B653" s="1" t="s">
        <v>477</v>
      </c>
      <c r="C653" s="1" t="s">
        <v>491</v>
      </c>
      <c r="D653" s="52">
        <v>46023.270138888889</v>
      </c>
      <c r="E653" s="52">
        <v>46023.270138888889</v>
      </c>
      <c r="F653" s="52">
        <v>46023.277777777781</v>
      </c>
      <c r="G653" s="53">
        <f t="shared" si="43"/>
        <v>7.6388888919609599E-3</v>
      </c>
      <c r="J653" s="1" t="s">
        <v>249</v>
      </c>
      <c r="K653" s="1" t="s">
        <v>349</v>
      </c>
      <c r="L653" s="1" t="s">
        <v>450</v>
      </c>
      <c r="M653" s="1" t="s">
        <v>251</v>
      </c>
      <c r="N653" s="1" t="s">
        <v>330</v>
      </c>
      <c r="O653" s="1" t="s">
        <v>331</v>
      </c>
      <c r="P653" s="1" t="str">
        <f t="shared" si="44"/>
        <v>BC Rio Monte1Inverter4346023,270138888946023,270138888946023,2777777778</v>
      </c>
      <c r="Q653" s="1" t="str">
        <f t="shared" si="45"/>
        <v>RDE</v>
      </c>
    </row>
    <row r="654" spans="2:17">
      <c r="B654" s="1" t="s">
        <v>477</v>
      </c>
      <c r="C654" s="1" t="s">
        <v>492</v>
      </c>
      <c r="D654" s="52">
        <v>46023.270138888889</v>
      </c>
      <c r="E654" s="52">
        <v>46023.270138888889</v>
      </c>
      <c r="F654" s="52">
        <v>46023.277777777781</v>
      </c>
      <c r="G654" s="53">
        <f t="shared" si="43"/>
        <v>7.6388888919609599E-3</v>
      </c>
      <c r="J654" s="1" t="s">
        <v>249</v>
      </c>
      <c r="K654" s="1" t="s">
        <v>349</v>
      </c>
      <c r="L654" s="1" t="s">
        <v>450</v>
      </c>
      <c r="M654" s="1" t="s">
        <v>251</v>
      </c>
      <c r="N654" s="1" t="s">
        <v>330</v>
      </c>
      <c r="O654" s="1" t="s">
        <v>331</v>
      </c>
      <c r="P654" s="1" t="str">
        <f t="shared" si="44"/>
        <v>BC Rio Monte1Inverter4546023,270138888946023,270138888946023,2777777778</v>
      </c>
      <c r="Q654" s="1" t="str">
        <f t="shared" si="45"/>
        <v>RDE</v>
      </c>
    </row>
    <row r="655" spans="2:17">
      <c r="B655" s="66" t="s">
        <v>493</v>
      </c>
      <c r="C655" s="1" t="s">
        <v>494</v>
      </c>
      <c r="D655" s="52">
        <v>46023.283333333333</v>
      </c>
      <c r="E655" s="52">
        <v>46023.283333333333</v>
      </c>
      <c r="F655" s="52">
        <v>46023.364583333336</v>
      </c>
      <c r="G655" s="53">
        <f t="shared" si="43"/>
        <v>8.1250000002910383E-2</v>
      </c>
      <c r="H655" s="1" t="s">
        <v>260</v>
      </c>
      <c r="I655" s="1" t="s">
        <v>261</v>
      </c>
      <c r="J655" s="1" t="s">
        <v>262</v>
      </c>
      <c r="K655" s="1" t="s">
        <v>263</v>
      </c>
      <c r="L655" s="1" t="s">
        <v>495</v>
      </c>
      <c r="M655" s="1" t="s">
        <v>265</v>
      </c>
      <c r="N655" s="1" t="s">
        <v>266</v>
      </c>
      <c r="O655" s="1" t="s">
        <v>496</v>
      </c>
      <c r="P655" s="1" t="str">
        <f t="shared" si="44"/>
        <v>BC Rio Bonito2INV-00146023,283333333346023,283333333346023,3645833333</v>
      </c>
      <c r="Q655" s="1" t="str">
        <f t="shared" si="45"/>
        <v>LIGRFOCOM</v>
      </c>
    </row>
    <row r="656" spans="2:17">
      <c r="B656" s="66" t="s">
        <v>493</v>
      </c>
      <c r="C656" s="1" t="s">
        <v>497</v>
      </c>
      <c r="D656" s="52">
        <v>46023.283333333333</v>
      </c>
      <c r="E656" s="52">
        <v>46023.283333333333</v>
      </c>
      <c r="F656" s="52">
        <v>46023.364583333336</v>
      </c>
      <c r="G656" s="53">
        <f t="shared" si="43"/>
        <v>8.1250000002910383E-2</v>
      </c>
      <c r="H656" s="1" t="s">
        <v>260</v>
      </c>
      <c r="I656" s="1" t="s">
        <v>261</v>
      </c>
      <c r="J656" s="1" t="s">
        <v>262</v>
      </c>
      <c r="K656" s="1" t="s">
        <v>263</v>
      </c>
      <c r="L656" s="1" t="s">
        <v>495</v>
      </c>
      <c r="M656" s="1" t="s">
        <v>265</v>
      </c>
      <c r="N656" s="1" t="s">
        <v>266</v>
      </c>
      <c r="O656" s="1" t="s">
        <v>496</v>
      </c>
      <c r="P656" s="1" t="str">
        <f t="shared" si="44"/>
        <v>BC Rio Bonito2INV-00246023,283333333346023,283333333346023,3645833333</v>
      </c>
      <c r="Q656" s="1" t="str">
        <f t="shared" si="45"/>
        <v>LIGRFOCOM</v>
      </c>
    </row>
    <row r="657" spans="2:17">
      <c r="B657" s="66" t="s">
        <v>493</v>
      </c>
      <c r="C657" s="1" t="s">
        <v>498</v>
      </c>
      <c r="D657" s="52">
        <v>46023.283333333333</v>
      </c>
      <c r="E657" s="52">
        <v>46023.283333333333</v>
      </c>
      <c r="F657" s="52">
        <v>46023.364583333336</v>
      </c>
      <c r="G657" s="53">
        <f t="shared" si="43"/>
        <v>8.1250000002910383E-2</v>
      </c>
      <c r="H657" s="1" t="s">
        <v>260</v>
      </c>
      <c r="I657" s="1" t="s">
        <v>261</v>
      </c>
      <c r="J657" s="1" t="s">
        <v>262</v>
      </c>
      <c r="K657" s="1" t="s">
        <v>263</v>
      </c>
      <c r="L657" s="1" t="s">
        <v>495</v>
      </c>
      <c r="M657" s="1" t="s">
        <v>265</v>
      </c>
      <c r="N657" s="1" t="s">
        <v>266</v>
      </c>
      <c r="O657" s="1" t="s">
        <v>496</v>
      </c>
      <c r="P657" s="1" t="str">
        <f t="shared" si="44"/>
        <v>BC Rio Bonito2INV-00346023,283333333346023,283333333346023,3645833333</v>
      </c>
      <c r="Q657" s="1" t="str">
        <f t="shared" si="45"/>
        <v>LIGRFOCOM</v>
      </c>
    </row>
    <row r="658" spans="2:17">
      <c r="B658" s="66" t="s">
        <v>493</v>
      </c>
      <c r="C658" s="1" t="s">
        <v>499</v>
      </c>
      <c r="D658" s="52">
        <v>46023.283333333333</v>
      </c>
      <c r="E658" s="52">
        <v>46023.283333333333</v>
      </c>
      <c r="F658" s="52">
        <v>46023.364583333336</v>
      </c>
      <c r="G658" s="53">
        <f t="shared" si="43"/>
        <v>8.1250000002910383E-2</v>
      </c>
      <c r="H658" s="1" t="s">
        <v>260</v>
      </c>
      <c r="I658" s="1" t="s">
        <v>261</v>
      </c>
      <c r="J658" s="1" t="s">
        <v>262</v>
      </c>
      <c r="K658" s="1" t="s">
        <v>263</v>
      </c>
      <c r="L658" s="1" t="s">
        <v>495</v>
      </c>
      <c r="M658" s="1" t="s">
        <v>265</v>
      </c>
      <c r="N658" s="1" t="s">
        <v>266</v>
      </c>
      <c r="O658" s="1" t="s">
        <v>496</v>
      </c>
      <c r="P658" s="1" t="str">
        <f t="shared" si="44"/>
        <v>BC Rio Bonito2INV-00446023,283333333346023,283333333346023,3645833333</v>
      </c>
      <c r="Q658" s="1" t="str">
        <f t="shared" si="45"/>
        <v>LIGRFOCOM</v>
      </c>
    </row>
    <row r="659" spans="2:17">
      <c r="B659" s="1" t="s">
        <v>327</v>
      </c>
      <c r="C659" s="1" t="s">
        <v>328</v>
      </c>
      <c r="D659" s="52">
        <v>46037.540972222225</v>
      </c>
      <c r="E659" s="52">
        <v>46037.540972222225</v>
      </c>
      <c r="F659" s="52">
        <v>46037.551388888889</v>
      </c>
      <c r="G659" s="53">
        <f t="shared" si="43"/>
        <v>1.0416666664241347E-2</v>
      </c>
      <c r="H659" s="1" t="s">
        <v>248</v>
      </c>
      <c r="J659" s="1" t="s">
        <v>249</v>
      </c>
      <c r="K659" s="1" t="s">
        <v>349</v>
      </c>
      <c r="L659" s="1" t="s">
        <v>329</v>
      </c>
      <c r="M659" s="1" t="s">
        <v>251</v>
      </c>
      <c r="N659" s="1" t="s">
        <v>330</v>
      </c>
      <c r="O659" s="1" t="s">
        <v>331</v>
      </c>
      <c r="P659" s="1" t="str">
        <f t="shared" si="44"/>
        <v>BC Aracu5.1Inverter(MBUS-1)46037,540972222246037,540972222246037,5513888889</v>
      </c>
      <c r="Q659" s="1" t="str">
        <f t="shared" si="45"/>
        <v>DAURDE</v>
      </c>
    </row>
    <row r="660" spans="2:17">
      <c r="B660" s="1" t="s">
        <v>332</v>
      </c>
      <c r="C660" s="1" t="s">
        <v>328</v>
      </c>
      <c r="D660" s="52">
        <v>46037.540972222225</v>
      </c>
      <c r="E660" s="52">
        <v>46037.540972222225</v>
      </c>
      <c r="F660" s="52">
        <v>46037.551388888889</v>
      </c>
      <c r="G660" s="53">
        <f t="shared" si="43"/>
        <v>1.0416666664241347E-2</v>
      </c>
      <c r="H660" s="1" t="s">
        <v>248</v>
      </c>
      <c r="J660" s="1" t="s">
        <v>249</v>
      </c>
      <c r="K660" s="1" t="s">
        <v>349</v>
      </c>
      <c r="L660" s="1" t="s">
        <v>329</v>
      </c>
      <c r="M660" s="1" t="s">
        <v>251</v>
      </c>
      <c r="N660" s="1" t="s">
        <v>330</v>
      </c>
      <c r="O660" s="1" t="s">
        <v>331</v>
      </c>
      <c r="P660" s="1" t="str">
        <f t="shared" si="44"/>
        <v>BC Aracu5.2Inverter(MBUS-1)46037,540972222246037,540972222246037,5513888889</v>
      </c>
      <c r="Q660" s="1" t="str">
        <f t="shared" si="45"/>
        <v>DAURDE</v>
      </c>
    </row>
    <row r="661" spans="2:17">
      <c r="B661" s="1" t="s">
        <v>333</v>
      </c>
      <c r="C661" s="1" t="s">
        <v>328</v>
      </c>
      <c r="D661" s="52">
        <v>46037.540972222225</v>
      </c>
      <c r="E661" s="52">
        <v>46037.540972222225</v>
      </c>
      <c r="F661" s="52">
        <v>46037.551388888889</v>
      </c>
      <c r="G661" s="53">
        <f t="shared" si="43"/>
        <v>1.0416666664241347E-2</v>
      </c>
      <c r="H661" s="1" t="s">
        <v>248</v>
      </c>
      <c r="J661" s="1" t="s">
        <v>249</v>
      </c>
      <c r="K661" s="1" t="s">
        <v>349</v>
      </c>
      <c r="L661" s="1" t="s">
        <v>329</v>
      </c>
      <c r="M661" s="1" t="s">
        <v>251</v>
      </c>
      <c r="N661" s="1" t="s">
        <v>330</v>
      </c>
      <c r="O661" s="1" t="s">
        <v>331</v>
      </c>
      <c r="P661" s="1" t="str">
        <f t="shared" si="44"/>
        <v>BC Aracu5.3Inverter(MBUS-1)46037,540972222246037,540972222246037,5513888889</v>
      </c>
      <c r="Q661" s="1" t="str">
        <f t="shared" si="45"/>
        <v>DAURDE</v>
      </c>
    </row>
    <row r="662" spans="2:17">
      <c r="B662" s="1" t="s">
        <v>334</v>
      </c>
      <c r="C662" s="1" t="s">
        <v>328</v>
      </c>
      <c r="D662" s="52">
        <v>46037.540972222225</v>
      </c>
      <c r="E662" s="52">
        <v>46037.540972222225</v>
      </c>
      <c r="F662" s="52">
        <v>46037.551388888889</v>
      </c>
      <c r="G662" s="53">
        <f t="shared" si="43"/>
        <v>1.0416666664241347E-2</v>
      </c>
      <c r="H662" s="1" t="s">
        <v>248</v>
      </c>
      <c r="J662" s="1" t="s">
        <v>249</v>
      </c>
      <c r="K662" s="1" t="s">
        <v>349</v>
      </c>
      <c r="L662" s="1" t="s">
        <v>329</v>
      </c>
      <c r="M662" s="1" t="s">
        <v>251</v>
      </c>
      <c r="N662" s="1" t="s">
        <v>330</v>
      </c>
      <c r="O662" s="1" t="s">
        <v>331</v>
      </c>
      <c r="P662" s="1" t="str">
        <f t="shared" si="44"/>
        <v>BC Aracu5.4Inverter(MBUS-1)46037,540972222246037,540972222246037,5513888889</v>
      </c>
      <c r="Q662" s="1" t="str">
        <f t="shared" si="45"/>
        <v>DAURDE</v>
      </c>
    </row>
    <row r="663" spans="2:17">
      <c r="B663" s="1" t="s">
        <v>335</v>
      </c>
      <c r="C663" s="1" t="s">
        <v>328</v>
      </c>
      <c r="D663" s="52">
        <v>46037.540972222225</v>
      </c>
      <c r="E663" s="52">
        <v>46037.540972222225</v>
      </c>
      <c r="F663" s="52">
        <v>46037.551388888889</v>
      </c>
      <c r="G663" s="53">
        <f t="shared" si="43"/>
        <v>1.0416666664241347E-2</v>
      </c>
      <c r="H663" s="1" t="s">
        <v>248</v>
      </c>
      <c r="J663" s="1" t="s">
        <v>249</v>
      </c>
      <c r="K663" s="1" t="s">
        <v>349</v>
      </c>
      <c r="L663" s="1" t="s">
        <v>329</v>
      </c>
      <c r="M663" s="1" t="s">
        <v>251</v>
      </c>
      <c r="N663" s="1" t="s">
        <v>330</v>
      </c>
      <c r="O663" s="1" t="s">
        <v>331</v>
      </c>
      <c r="P663" s="1" t="str">
        <f t="shared" si="44"/>
        <v>BC Aracu5.5Inverter(MBUS-1)46037,540972222246037,540972222246037,5513888889</v>
      </c>
      <c r="Q663" s="1" t="str">
        <f t="shared" si="45"/>
        <v>DAURDE</v>
      </c>
    </row>
    <row r="664" spans="2:17">
      <c r="B664" s="1" t="s">
        <v>327</v>
      </c>
      <c r="C664" s="1" t="s">
        <v>328</v>
      </c>
      <c r="D664" s="52">
        <v>46039.496527777781</v>
      </c>
      <c r="E664" s="52">
        <v>46039.496527777781</v>
      </c>
      <c r="F664" s="52">
        <v>46039.575694444444</v>
      </c>
      <c r="G664" s="53">
        <f t="shared" si="43"/>
        <v>7.9166666662786156E-2</v>
      </c>
      <c r="H664" s="1" t="s">
        <v>248</v>
      </c>
      <c r="J664" s="1" t="s">
        <v>249</v>
      </c>
      <c r="K664" s="1" t="s">
        <v>349</v>
      </c>
      <c r="L664" s="1" t="s">
        <v>329</v>
      </c>
      <c r="M664" s="1" t="s">
        <v>251</v>
      </c>
      <c r="N664" s="1" t="s">
        <v>330</v>
      </c>
      <c r="O664" s="1" t="s">
        <v>331</v>
      </c>
      <c r="P664" s="1" t="str">
        <f t="shared" si="44"/>
        <v>BC Aracu5.1Inverter(MBUS-1)46039,496527777846039,496527777846039,5756944444</v>
      </c>
      <c r="Q664" s="1" t="str">
        <f t="shared" si="45"/>
        <v>DAURDE</v>
      </c>
    </row>
    <row r="665" spans="2:17">
      <c r="B665" s="1" t="s">
        <v>332</v>
      </c>
      <c r="C665" s="1" t="s">
        <v>328</v>
      </c>
      <c r="D665" s="52">
        <v>46039.496527777781</v>
      </c>
      <c r="E665" s="52">
        <v>46039.496527777781</v>
      </c>
      <c r="F665" s="52">
        <v>46039.575694444444</v>
      </c>
      <c r="G665" s="53">
        <f t="shared" si="43"/>
        <v>7.9166666662786156E-2</v>
      </c>
      <c r="H665" s="1" t="s">
        <v>248</v>
      </c>
      <c r="J665" s="1" t="s">
        <v>249</v>
      </c>
      <c r="K665" s="1" t="s">
        <v>349</v>
      </c>
      <c r="L665" s="1" t="s">
        <v>329</v>
      </c>
      <c r="M665" s="1" t="s">
        <v>251</v>
      </c>
      <c r="N665" s="1" t="s">
        <v>330</v>
      </c>
      <c r="O665" s="1" t="s">
        <v>331</v>
      </c>
      <c r="P665" s="1" t="str">
        <f t="shared" si="44"/>
        <v>BC Aracu5.2Inverter(MBUS-1)46039,496527777846039,496527777846039,5756944444</v>
      </c>
      <c r="Q665" s="1" t="str">
        <f t="shared" si="45"/>
        <v>DAURDE</v>
      </c>
    </row>
    <row r="666" spans="2:17">
      <c r="B666" s="1" t="s">
        <v>333</v>
      </c>
      <c r="C666" s="1" t="s">
        <v>328</v>
      </c>
      <c r="D666" s="52">
        <v>46039.496527777781</v>
      </c>
      <c r="E666" s="52">
        <v>46039.496527777781</v>
      </c>
      <c r="F666" s="52">
        <v>46039.575694444444</v>
      </c>
      <c r="G666" s="53">
        <f t="shared" si="43"/>
        <v>7.9166666662786156E-2</v>
      </c>
      <c r="H666" s="1" t="s">
        <v>248</v>
      </c>
      <c r="J666" s="1" t="s">
        <v>249</v>
      </c>
      <c r="K666" s="1" t="s">
        <v>349</v>
      </c>
      <c r="L666" s="1" t="s">
        <v>329</v>
      </c>
      <c r="M666" s="1" t="s">
        <v>251</v>
      </c>
      <c r="N666" s="1" t="s">
        <v>330</v>
      </c>
      <c r="O666" s="1" t="s">
        <v>331</v>
      </c>
      <c r="P666" s="1" t="str">
        <f t="shared" si="44"/>
        <v>BC Aracu5.3Inverter(MBUS-1)46039,496527777846039,496527777846039,5756944444</v>
      </c>
      <c r="Q666" s="1" t="str">
        <f t="shared" si="45"/>
        <v>DAURDE</v>
      </c>
    </row>
    <row r="667" spans="2:17">
      <c r="B667" s="1" t="s">
        <v>334</v>
      </c>
      <c r="C667" s="1" t="s">
        <v>328</v>
      </c>
      <c r="D667" s="52">
        <v>46039.496527777781</v>
      </c>
      <c r="E667" s="52">
        <v>46039.496527777781</v>
      </c>
      <c r="F667" s="52">
        <v>46039.575694444444</v>
      </c>
      <c r="G667" s="53">
        <f t="shared" si="43"/>
        <v>7.9166666662786156E-2</v>
      </c>
      <c r="H667" s="1" t="s">
        <v>248</v>
      </c>
      <c r="J667" s="1" t="s">
        <v>249</v>
      </c>
      <c r="K667" s="1" t="s">
        <v>349</v>
      </c>
      <c r="L667" s="1" t="s">
        <v>329</v>
      </c>
      <c r="M667" s="1" t="s">
        <v>251</v>
      </c>
      <c r="N667" s="1" t="s">
        <v>330</v>
      </c>
      <c r="O667" s="1" t="s">
        <v>331</v>
      </c>
      <c r="P667" s="1" t="str">
        <f t="shared" si="44"/>
        <v>BC Aracu5.4Inverter(MBUS-1)46039,496527777846039,496527777846039,5756944444</v>
      </c>
      <c r="Q667" s="1" t="str">
        <f t="shared" si="45"/>
        <v>DAURDE</v>
      </c>
    </row>
    <row r="668" spans="2:17">
      <c r="B668" s="1" t="s">
        <v>335</v>
      </c>
      <c r="C668" s="1" t="s">
        <v>328</v>
      </c>
      <c r="D668" s="52">
        <v>46039.496527777781</v>
      </c>
      <c r="E668" s="52">
        <v>46039.496527777781</v>
      </c>
      <c r="F668" s="52">
        <v>46039.575694444444</v>
      </c>
      <c r="G668" s="53">
        <f t="shared" si="43"/>
        <v>7.9166666662786156E-2</v>
      </c>
      <c r="H668" s="1" t="s">
        <v>248</v>
      </c>
      <c r="J668" s="1" t="s">
        <v>249</v>
      </c>
      <c r="K668" s="1" t="s">
        <v>349</v>
      </c>
      <c r="L668" s="1" t="s">
        <v>329</v>
      </c>
      <c r="M668" s="1" t="s">
        <v>251</v>
      </c>
      <c r="N668" s="1" t="s">
        <v>330</v>
      </c>
      <c r="O668" s="1" t="s">
        <v>331</v>
      </c>
      <c r="P668" s="1" t="str">
        <f t="shared" si="44"/>
        <v>BC Aracu5.5Inverter(MBUS-1)46039,496527777846039,496527777846039,5756944444</v>
      </c>
      <c r="Q668" s="1" t="str">
        <f t="shared" si="45"/>
        <v>DAURDE</v>
      </c>
    </row>
    <row r="669" spans="2:17">
      <c r="B669" s="1" t="s">
        <v>268</v>
      </c>
      <c r="C669" s="1" t="s">
        <v>269</v>
      </c>
      <c r="D669" s="52">
        <v>46038.722222222219</v>
      </c>
      <c r="E669" s="52">
        <v>46038.722222222219</v>
      </c>
      <c r="F669" s="52">
        <v>46038.78402777778</v>
      </c>
      <c r="G669" s="53">
        <f t="shared" si="43"/>
        <v>6.1805555560567882E-2</v>
      </c>
      <c r="H669" s="1" t="s">
        <v>248</v>
      </c>
      <c r="J669" s="1" t="s">
        <v>249</v>
      </c>
      <c r="K669" s="1" t="s">
        <v>349</v>
      </c>
      <c r="L669" s="1" t="s">
        <v>450</v>
      </c>
      <c r="M669" s="1" t="s">
        <v>251</v>
      </c>
      <c r="N669" s="1" t="s">
        <v>330</v>
      </c>
      <c r="O669" s="1" t="s">
        <v>331</v>
      </c>
      <c r="P669" s="1" t="str">
        <f t="shared" si="44"/>
        <v>BC Caiaponia1SG60KTL(COM1-001)_001_00746038,722222222246038,722222222246038,7840277778</v>
      </c>
      <c r="Q669" s="1" t="str">
        <f t="shared" si="45"/>
        <v>DAURDE</v>
      </c>
    </row>
    <row r="670" spans="2:17">
      <c r="B670" s="1" t="s">
        <v>268</v>
      </c>
      <c r="C670" s="1" t="s">
        <v>270</v>
      </c>
      <c r="D670" s="52">
        <v>46038.722222222219</v>
      </c>
      <c r="E670" s="52">
        <v>46038.722222222219</v>
      </c>
      <c r="F670" s="52">
        <v>46038.78402777778</v>
      </c>
      <c r="G670" s="53">
        <f t="shared" si="43"/>
        <v>6.1805555560567882E-2</v>
      </c>
      <c r="H670" s="1" t="s">
        <v>248</v>
      </c>
      <c r="J670" s="1" t="s">
        <v>249</v>
      </c>
      <c r="K670" s="1" t="s">
        <v>349</v>
      </c>
      <c r="L670" s="1" t="s">
        <v>450</v>
      </c>
      <c r="M670" s="1" t="s">
        <v>251</v>
      </c>
      <c r="N670" s="1" t="s">
        <v>330</v>
      </c>
      <c r="O670" s="1" t="s">
        <v>331</v>
      </c>
      <c r="P670" s="1" t="str">
        <f t="shared" si="44"/>
        <v>BC Caiaponia1SG60KTL(COM1-002)_001_01046038,722222222246038,722222222246038,7840277778</v>
      </c>
      <c r="Q670" s="1" t="str">
        <f t="shared" si="45"/>
        <v>DAURDE</v>
      </c>
    </row>
    <row r="671" spans="2:17">
      <c r="B671" s="1" t="s">
        <v>268</v>
      </c>
      <c r="C671" s="1" t="s">
        <v>271</v>
      </c>
      <c r="D671" s="52">
        <v>46038.722222222219</v>
      </c>
      <c r="E671" s="52">
        <v>46038.722222222219</v>
      </c>
      <c r="F671" s="52">
        <v>46038.78402777778</v>
      </c>
      <c r="G671" s="53">
        <f t="shared" si="43"/>
        <v>6.1805555560567882E-2</v>
      </c>
      <c r="H671" s="1" t="s">
        <v>248</v>
      </c>
      <c r="J671" s="1" t="s">
        <v>249</v>
      </c>
      <c r="K671" s="1" t="s">
        <v>349</v>
      </c>
      <c r="L671" s="1" t="s">
        <v>450</v>
      </c>
      <c r="M671" s="1" t="s">
        <v>251</v>
      </c>
      <c r="N671" s="1" t="s">
        <v>330</v>
      </c>
      <c r="O671" s="1" t="s">
        <v>331</v>
      </c>
      <c r="P671" s="1" t="str">
        <f t="shared" si="44"/>
        <v>BC Caiaponia1SG60KTL(COM1-003)_001_01146038,722222222246038,722222222246038,7840277778</v>
      </c>
      <c r="Q671" s="1" t="str">
        <f t="shared" si="45"/>
        <v>DAURDE</v>
      </c>
    </row>
    <row r="672" spans="2:17">
      <c r="B672" s="1" t="s">
        <v>268</v>
      </c>
      <c r="C672" s="1" t="s">
        <v>272</v>
      </c>
      <c r="D672" s="52">
        <v>46038.722222222219</v>
      </c>
      <c r="E672" s="52">
        <v>46038.722222222219</v>
      </c>
      <c r="F672" s="52">
        <v>46038.78402777778</v>
      </c>
      <c r="G672" s="53">
        <f t="shared" si="43"/>
        <v>6.1805555560567882E-2</v>
      </c>
      <c r="H672" s="1" t="s">
        <v>248</v>
      </c>
      <c r="J672" s="1" t="s">
        <v>249</v>
      </c>
      <c r="K672" s="1" t="s">
        <v>349</v>
      </c>
      <c r="L672" s="1" t="s">
        <v>450</v>
      </c>
      <c r="M672" s="1" t="s">
        <v>251</v>
      </c>
      <c r="N672" s="1" t="s">
        <v>330</v>
      </c>
      <c r="O672" s="1" t="s">
        <v>331</v>
      </c>
      <c r="P672" s="1" t="str">
        <f t="shared" si="44"/>
        <v>BC Caiaponia1SG60KTL(COM1-004)_001_01446038,722222222246038,722222222246038,7840277778</v>
      </c>
      <c r="Q672" s="1" t="str">
        <f t="shared" si="45"/>
        <v>DAURDE</v>
      </c>
    </row>
    <row r="673" spans="2:17">
      <c r="B673" s="1" t="s">
        <v>268</v>
      </c>
      <c r="C673" s="1" t="s">
        <v>273</v>
      </c>
      <c r="D673" s="52">
        <v>46038.722222222219</v>
      </c>
      <c r="E673" s="52">
        <v>46038.722222222219</v>
      </c>
      <c r="F673" s="52">
        <v>46038.78402777778</v>
      </c>
      <c r="G673" s="53">
        <f t="shared" si="43"/>
        <v>6.1805555560567882E-2</v>
      </c>
      <c r="H673" s="1" t="s">
        <v>248</v>
      </c>
      <c r="J673" s="1" t="s">
        <v>249</v>
      </c>
      <c r="K673" s="1" t="s">
        <v>349</v>
      </c>
      <c r="L673" s="1" t="s">
        <v>450</v>
      </c>
      <c r="M673" s="1" t="s">
        <v>251</v>
      </c>
      <c r="N673" s="1" t="s">
        <v>330</v>
      </c>
      <c r="O673" s="1" t="s">
        <v>331</v>
      </c>
      <c r="P673" s="1" t="str">
        <f t="shared" si="44"/>
        <v>BC Caiaponia1SG60KTL(COM1-005)_001_01746038,722222222246038,722222222246038,7840277778</v>
      </c>
      <c r="Q673" s="1" t="str">
        <f t="shared" si="45"/>
        <v>DAURDE</v>
      </c>
    </row>
    <row r="674" spans="2:17">
      <c r="B674" s="1" t="s">
        <v>268</v>
      </c>
      <c r="C674" s="1" t="s">
        <v>274</v>
      </c>
      <c r="D674" s="52">
        <v>46038.722222222219</v>
      </c>
      <c r="E674" s="52">
        <v>46038.722222222219</v>
      </c>
      <c r="F674" s="52">
        <v>46038.78402777778</v>
      </c>
      <c r="G674" s="53">
        <f t="shared" si="43"/>
        <v>6.1805555560567882E-2</v>
      </c>
      <c r="H674" s="1" t="s">
        <v>248</v>
      </c>
      <c r="J674" s="1" t="s">
        <v>249</v>
      </c>
      <c r="K674" s="1" t="s">
        <v>349</v>
      </c>
      <c r="L674" s="1" t="s">
        <v>450</v>
      </c>
      <c r="M674" s="1" t="s">
        <v>251</v>
      </c>
      <c r="N674" s="1" t="s">
        <v>330</v>
      </c>
      <c r="O674" s="1" t="s">
        <v>331</v>
      </c>
      <c r="P674" s="1" t="str">
        <f t="shared" si="44"/>
        <v>BC Caiaponia1SG60KTL(COM1-006)_001_01646038,722222222246038,722222222246038,7840277778</v>
      </c>
      <c r="Q674" s="1" t="str">
        <f t="shared" si="45"/>
        <v>DAURDE</v>
      </c>
    </row>
    <row r="675" spans="2:17">
      <c r="B675" s="1" t="s">
        <v>268</v>
      </c>
      <c r="C675" s="1" t="s">
        <v>275</v>
      </c>
      <c r="D675" s="52">
        <v>46038.722222222219</v>
      </c>
      <c r="E675" s="52">
        <v>46038.722222222219</v>
      </c>
      <c r="F675" s="52">
        <v>46038.78402777778</v>
      </c>
      <c r="G675" s="53">
        <f t="shared" si="43"/>
        <v>6.1805555560567882E-2</v>
      </c>
      <c r="H675" s="1" t="s">
        <v>248</v>
      </c>
      <c r="J675" s="1" t="s">
        <v>249</v>
      </c>
      <c r="K675" s="1" t="s">
        <v>349</v>
      </c>
      <c r="L675" s="1" t="s">
        <v>450</v>
      </c>
      <c r="M675" s="1" t="s">
        <v>251</v>
      </c>
      <c r="N675" s="1" t="s">
        <v>330</v>
      </c>
      <c r="O675" s="1" t="s">
        <v>331</v>
      </c>
      <c r="P675" s="1" t="str">
        <f t="shared" si="44"/>
        <v>BC Caiaponia1SG60KTL(COM1-007)_001_01346038,722222222246038,722222222246038,7840277778</v>
      </c>
      <c r="Q675" s="1" t="str">
        <f t="shared" si="45"/>
        <v>DAURDE</v>
      </c>
    </row>
    <row r="676" spans="2:17">
      <c r="B676" s="1" t="s">
        <v>268</v>
      </c>
      <c r="C676" s="1" t="s">
        <v>276</v>
      </c>
      <c r="D676" s="52">
        <v>46038.722222222219</v>
      </c>
      <c r="E676" s="52">
        <v>46038.722222222219</v>
      </c>
      <c r="F676" s="52">
        <v>46038.78402777778</v>
      </c>
      <c r="G676" s="53">
        <f t="shared" si="43"/>
        <v>6.1805555560567882E-2</v>
      </c>
      <c r="H676" s="1" t="s">
        <v>248</v>
      </c>
      <c r="J676" s="1" t="s">
        <v>249</v>
      </c>
      <c r="K676" s="1" t="s">
        <v>349</v>
      </c>
      <c r="L676" s="1" t="s">
        <v>450</v>
      </c>
      <c r="M676" s="1" t="s">
        <v>251</v>
      </c>
      <c r="N676" s="1" t="s">
        <v>330</v>
      </c>
      <c r="O676" s="1" t="s">
        <v>331</v>
      </c>
      <c r="P676" s="1" t="str">
        <f t="shared" si="44"/>
        <v>BC Caiaponia1SG60KTL(COM1-008)_001_00146038,722222222246038,722222222246038,7840277778</v>
      </c>
      <c r="Q676" s="1" t="str">
        <f t="shared" si="45"/>
        <v>DAURDE</v>
      </c>
    </row>
    <row r="677" spans="2:17">
      <c r="B677" s="1" t="s">
        <v>268</v>
      </c>
      <c r="C677" s="1" t="s">
        <v>277</v>
      </c>
      <c r="D677" s="52">
        <v>46038.722222222219</v>
      </c>
      <c r="E677" s="52">
        <v>46038.722222222219</v>
      </c>
      <c r="F677" s="52">
        <v>46038.78402777778</v>
      </c>
      <c r="G677" s="53">
        <f t="shared" si="43"/>
        <v>6.1805555560567882E-2</v>
      </c>
      <c r="H677" s="1" t="s">
        <v>248</v>
      </c>
      <c r="J677" s="1" t="s">
        <v>249</v>
      </c>
      <c r="K677" s="1" t="s">
        <v>349</v>
      </c>
      <c r="L677" s="1" t="s">
        <v>450</v>
      </c>
      <c r="M677" s="1" t="s">
        <v>251</v>
      </c>
      <c r="N677" s="1" t="s">
        <v>330</v>
      </c>
      <c r="O677" s="1" t="s">
        <v>331</v>
      </c>
      <c r="P677" s="1" t="str">
        <f t="shared" si="44"/>
        <v>BC Caiaponia1SG60KTL(COM1-009)46038,722222222246038,722222222246038,7840277778</v>
      </c>
      <c r="Q677" s="1" t="str">
        <f t="shared" si="45"/>
        <v>DAURDE</v>
      </c>
    </row>
    <row r="678" spans="2:17">
      <c r="B678" s="1" t="s">
        <v>268</v>
      </c>
      <c r="C678" s="1" t="s">
        <v>278</v>
      </c>
      <c r="D678" s="52">
        <v>46038.722222222219</v>
      </c>
      <c r="E678" s="52">
        <v>46038.722222222219</v>
      </c>
      <c r="F678" s="52">
        <v>46038.78402777778</v>
      </c>
      <c r="G678" s="53">
        <f t="shared" si="43"/>
        <v>6.1805555560567882E-2</v>
      </c>
      <c r="H678" s="1" t="s">
        <v>248</v>
      </c>
      <c r="J678" s="1" t="s">
        <v>249</v>
      </c>
      <c r="K678" s="1" t="s">
        <v>349</v>
      </c>
      <c r="L678" s="1" t="s">
        <v>450</v>
      </c>
      <c r="M678" s="1" t="s">
        <v>251</v>
      </c>
      <c r="N678" s="1" t="s">
        <v>330</v>
      </c>
      <c r="O678" s="1" t="s">
        <v>331</v>
      </c>
      <c r="P678" s="1" t="str">
        <f t="shared" si="44"/>
        <v>BC Caiaponia1SG60KTL(COM1-010)46038,722222222246038,722222222246038,7840277778</v>
      </c>
      <c r="Q678" s="1" t="str">
        <f t="shared" si="45"/>
        <v>DAURDE</v>
      </c>
    </row>
    <row r="679" spans="2:17">
      <c r="B679" s="1" t="s">
        <v>268</v>
      </c>
      <c r="C679" s="1" t="s">
        <v>279</v>
      </c>
      <c r="D679" s="52">
        <v>46038.722222222219</v>
      </c>
      <c r="E679" s="52">
        <v>46038.722222222219</v>
      </c>
      <c r="F679" s="52">
        <v>46038.78402777778</v>
      </c>
      <c r="G679" s="53">
        <f t="shared" si="43"/>
        <v>6.1805555560567882E-2</v>
      </c>
      <c r="H679" s="1" t="s">
        <v>248</v>
      </c>
      <c r="J679" s="1" t="s">
        <v>249</v>
      </c>
      <c r="K679" s="1" t="s">
        <v>349</v>
      </c>
      <c r="L679" s="1" t="s">
        <v>450</v>
      </c>
      <c r="M679" s="1" t="s">
        <v>251</v>
      </c>
      <c r="N679" s="1" t="s">
        <v>330</v>
      </c>
      <c r="O679" s="1" t="s">
        <v>331</v>
      </c>
      <c r="P679" s="1" t="str">
        <f t="shared" si="44"/>
        <v>BC Caiaponia1SG60KTL(COM1-011)46038,722222222246038,722222222246038,7840277778</v>
      </c>
      <c r="Q679" s="1" t="str">
        <f t="shared" si="45"/>
        <v>DAURDE</v>
      </c>
    </row>
    <row r="680" spans="2:17">
      <c r="B680" s="1" t="s">
        <v>268</v>
      </c>
      <c r="C680" s="1" t="s">
        <v>280</v>
      </c>
      <c r="D680" s="52">
        <v>46038.722222222219</v>
      </c>
      <c r="E680" s="52">
        <v>46038.722222222219</v>
      </c>
      <c r="F680" s="52">
        <v>46038.78402777778</v>
      </c>
      <c r="G680" s="53">
        <f t="shared" si="43"/>
        <v>6.1805555560567882E-2</v>
      </c>
      <c r="H680" s="1" t="s">
        <v>248</v>
      </c>
      <c r="J680" s="1" t="s">
        <v>249</v>
      </c>
      <c r="K680" s="1" t="s">
        <v>349</v>
      </c>
      <c r="L680" s="1" t="s">
        <v>450</v>
      </c>
      <c r="M680" s="1" t="s">
        <v>251</v>
      </c>
      <c r="N680" s="1" t="s">
        <v>330</v>
      </c>
      <c r="O680" s="1" t="s">
        <v>331</v>
      </c>
      <c r="P680" s="1" t="str">
        <f t="shared" si="44"/>
        <v>BC Caiaponia1SG60KTL(COM1-012)46038,722222222246038,722222222246038,7840277778</v>
      </c>
      <c r="Q680" s="1" t="str">
        <f t="shared" si="45"/>
        <v>DAURDE</v>
      </c>
    </row>
    <row r="681" spans="2:17">
      <c r="B681" s="1" t="s">
        <v>268</v>
      </c>
      <c r="C681" s="1" t="s">
        <v>281</v>
      </c>
      <c r="D681" s="52">
        <v>46038.722222222219</v>
      </c>
      <c r="E681" s="52">
        <v>46038.722222222219</v>
      </c>
      <c r="F681" s="52">
        <v>46038.78402777778</v>
      </c>
      <c r="G681" s="53">
        <f t="shared" si="43"/>
        <v>6.1805555560567882E-2</v>
      </c>
      <c r="H681" s="1" t="s">
        <v>248</v>
      </c>
      <c r="J681" s="1" t="s">
        <v>249</v>
      </c>
      <c r="K681" s="1" t="s">
        <v>349</v>
      </c>
      <c r="L681" s="1" t="s">
        <v>450</v>
      </c>
      <c r="M681" s="1" t="s">
        <v>251</v>
      </c>
      <c r="N681" s="1" t="s">
        <v>330</v>
      </c>
      <c r="O681" s="1" t="s">
        <v>331</v>
      </c>
      <c r="P681" s="1" t="str">
        <f t="shared" si="44"/>
        <v>BC Caiaponia1SG60KTL(COM1-013)46038,722222222246038,722222222246038,7840277778</v>
      </c>
      <c r="Q681" s="1" t="str">
        <f t="shared" si="45"/>
        <v>DAURDE</v>
      </c>
    </row>
    <row r="682" spans="2:17">
      <c r="B682" s="1" t="s">
        <v>268</v>
      </c>
      <c r="C682" s="1" t="s">
        <v>282</v>
      </c>
      <c r="D682" s="52">
        <v>46038.722222222219</v>
      </c>
      <c r="E682" s="52">
        <v>46038.722222222219</v>
      </c>
      <c r="F682" s="52">
        <v>46038.78402777778</v>
      </c>
      <c r="G682" s="53">
        <f t="shared" si="43"/>
        <v>6.1805555560567882E-2</v>
      </c>
      <c r="H682" s="1" t="s">
        <v>248</v>
      </c>
      <c r="J682" s="1" t="s">
        <v>249</v>
      </c>
      <c r="K682" s="1" t="s">
        <v>349</v>
      </c>
      <c r="L682" s="1" t="s">
        <v>450</v>
      </c>
      <c r="M682" s="1" t="s">
        <v>251</v>
      </c>
      <c r="N682" s="1" t="s">
        <v>330</v>
      </c>
      <c r="O682" s="1" t="s">
        <v>331</v>
      </c>
      <c r="P682" s="1" t="str">
        <f t="shared" si="44"/>
        <v>BC Caiaponia1SG60KTL(COM1-014)46038,722222222246038,722222222246038,7840277778</v>
      </c>
      <c r="Q682" s="1" t="str">
        <f t="shared" si="45"/>
        <v>DAURDE</v>
      </c>
    </row>
    <row r="683" spans="2:17">
      <c r="B683" s="1" t="s">
        <v>268</v>
      </c>
      <c r="C683" s="1" t="s">
        <v>283</v>
      </c>
      <c r="D683" s="52">
        <v>46038.722222222219</v>
      </c>
      <c r="E683" s="52">
        <v>46038.722222222219</v>
      </c>
      <c r="F683" s="52">
        <v>46038.78402777778</v>
      </c>
      <c r="G683" s="53">
        <f t="shared" si="43"/>
        <v>6.1805555560567882E-2</v>
      </c>
      <c r="H683" s="1" t="s">
        <v>248</v>
      </c>
      <c r="J683" s="1" t="s">
        <v>249</v>
      </c>
      <c r="K683" s="1" t="s">
        <v>349</v>
      </c>
      <c r="L683" s="1" t="s">
        <v>450</v>
      </c>
      <c r="M683" s="1" t="s">
        <v>251</v>
      </c>
      <c r="N683" s="1" t="s">
        <v>330</v>
      </c>
      <c r="O683" s="1" t="s">
        <v>331</v>
      </c>
      <c r="P683" s="1" t="str">
        <f t="shared" si="44"/>
        <v>BC Caiaponia1SG60KTL(COM1-015)46038,722222222246038,722222222246038,7840277778</v>
      </c>
      <c r="Q683" s="1" t="str">
        <f t="shared" si="45"/>
        <v>DAURDE</v>
      </c>
    </row>
    <row r="684" spans="2:17">
      <c r="B684" s="1" t="s">
        <v>268</v>
      </c>
      <c r="C684" s="1" t="s">
        <v>284</v>
      </c>
      <c r="D684" s="52">
        <v>46038.722222222219</v>
      </c>
      <c r="E684" s="52">
        <v>46038.722222222219</v>
      </c>
      <c r="F684" s="52">
        <v>46038.78402777778</v>
      </c>
      <c r="G684" s="53">
        <f t="shared" si="43"/>
        <v>6.1805555560567882E-2</v>
      </c>
      <c r="H684" s="1" t="s">
        <v>248</v>
      </c>
      <c r="J684" s="1" t="s">
        <v>249</v>
      </c>
      <c r="K684" s="1" t="s">
        <v>349</v>
      </c>
      <c r="L684" s="1" t="s">
        <v>450</v>
      </c>
      <c r="M684" s="1" t="s">
        <v>251</v>
      </c>
      <c r="N684" s="1" t="s">
        <v>330</v>
      </c>
      <c r="O684" s="1" t="s">
        <v>331</v>
      </c>
      <c r="P684" s="1" t="str">
        <f t="shared" si="44"/>
        <v>BC Caiaponia1SG60KTL(COM3-016)_001_00946038,722222222246038,722222222246038,7840277778</v>
      </c>
      <c r="Q684" s="1" t="str">
        <f t="shared" si="45"/>
        <v>DAURDE</v>
      </c>
    </row>
    <row r="685" spans="2:17">
      <c r="B685" s="1" t="s">
        <v>268</v>
      </c>
      <c r="C685" s="1" t="s">
        <v>285</v>
      </c>
      <c r="D685" s="52">
        <v>46038.722222222219</v>
      </c>
      <c r="E685" s="52">
        <v>46038.722222222219</v>
      </c>
      <c r="F685" s="52">
        <v>46038.78402777778</v>
      </c>
      <c r="G685" s="53">
        <f t="shared" si="43"/>
        <v>6.1805555560567882E-2</v>
      </c>
      <c r="H685" s="1" t="s">
        <v>248</v>
      </c>
      <c r="J685" s="1" t="s">
        <v>249</v>
      </c>
      <c r="K685" s="1" t="s">
        <v>349</v>
      </c>
      <c r="L685" s="1" t="s">
        <v>450</v>
      </c>
      <c r="M685" s="1" t="s">
        <v>251</v>
      </c>
      <c r="N685" s="1" t="s">
        <v>330</v>
      </c>
      <c r="O685" s="1" t="s">
        <v>331</v>
      </c>
      <c r="P685" s="1" t="str">
        <f t="shared" si="44"/>
        <v>BC Caiaponia1SG60KTL(COM3-017)_001_01246038,722222222246038,722222222246038,7840277778</v>
      </c>
      <c r="Q685" s="1" t="str">
        <f t="shared" si="45"/>
        <v>DAURDE</v>
      </c>
    </row>
    <row r="686" spans="2:17">
      <c r="B686" s="1" t="s">
        <v>268</v>
      </c>
      <c r="C686" s="1" t="s">
        <v>286</v>
      </c>
      <c r="D686" s="52">
        <v>46038.722222222219</v>
      </c>
      <c r="E686" s="52">
        <v>46038.722222222219</v>
      </c>
      <c r="F686" s="52">
        <v>46038.78402777778</v>
      </c>
      <c r="G686" s="53">
        <f t="shared" si="43"/>
        <v>6.1805555560567882E-2</v>
      </c>
      <c r="H686" s="1" t="s">
        <v>248</v>
      </c>
      <c r="J686" s="1" t="s">
        <v>249</v>
      </c>
      <c r="K686" s="1" t="s">
        <v>349</v>
      </c>
      <c r="L686" s="1" t="s">
        <v>450</v>
      </c>
      <c r="M686" s="1" t="s">
        <v>251</v>
      </c>
      <c r="N686" s="1" t="s">
        <v>330</v>
      </c>
      <c r="O686" s="1" t="s">
        <v>331</v>
      </c>
      <c r="P686" s="1" t="str">
        <f t="shared" si="44"/>
        <v>BC Caiaponia1SG60KTL(COM3-018)_001_00846038,722222222246038,722222222246038,7840277778</v>
      </c>
      <c r="Q686" s="1" t="str">
        <f t="shared" si="45"/>
        <v>DAURDE</v>
      </c>
    </row>
    <row r="687" spans="2:17">
      <c r="B687" s="1" t="s">
        <v>268</v>
      </c>
      <c r="C687" s="1" t="s">
        <v>287</v>
      </c>
      <c r="D687" s="52">
        <v>46038.722222222219</v>
      </c>
      <c r="E687" s="52">
        <v>46038.722222222219</v>
      </c>
      <c r="F687" s="52">
        <v>46038.78402777778</v>
      </c>
      <c r="G687" s="53">
        <f t="shared" si="43"/>
        <v>6.1805555560567882E-2</v>
      </c>
      <c r="H687" s="1" t="s">
        <v>248</v>
      </c>
      <c r="J687" s="1" t="s">
        <v>249</v>
      </c>
      <c r="K687" s="1" t="s">
        <v>349</v>
      </c>
      <c r="L687" s="1" t="s">
        <v>450</v>
      </c>
      <c r="M687" s="1" t="s">
        <v>251</v>
      </c>
      <c r="N687" s="1" t="s">
        <v>330</v>
      </c>
      <c r="O687" s="1" t="s">
        <v>331</v>
      </c>
      <c r="P687" s="1" t="str">
        <f t="shared" si="44"/>
        <v>BC Caiaponia1SG60KTL(COM3-019)_001_01946038,722222222246038,722222222246038,7840277778</v>
      </c>
      <c r="Q687" s="1" t="str">
        <f t="shared" si="45"/>
        <v>DAURDE</v>
      </c>
    </row>
    <row r="688" spans="2:17">
      <c r="B688" s="1" t="s">
        <v>268</v>
      </c>
      <c r="C688" s="1" t="s">
        <v>288</v>
      </c>
      <c r="D688" s="52">
        <v>46038.722222222219</v>
      </c>
      <c r="E688" s="52">
        <v>46038.722222222219</v>
      </c>
      <c r="F688" s="52">
        <v>46038.78402777778</v>
      </c>
      <c r="G688" s="53">
        <f t="shared" si="43"/>
        <v>6.1805555560567882E-2</v>
      </c>
      <c r="H688" s="1" t="s">
        <v>248</v>
      </c>
      <c r="J688" s="1" t="s">
        <v>249</v>
      </c>
      <c r="K688" s="1" t="s">
        <v>349</v>
      </c>
      <c r="L688" s="1" t="s">
        <v>450</v>
      </c>
      <c r="M688" s="1" t="s">
        <v>251</v>
      </c>
      <c r="N688" s="1" t="s">
        <v>330</v>
      </c>
      <c r="O688" s="1" t="s">
        <v>331</v>
      </c>
      <c r="P688" s="1" t="str">
        <f t="shared" si="44"/>
        <v>BC Caiaponia1SG60KTL(COM3-020)_001_02046038,722222222246038,722222222246038,7840277778</v>
      </c>
      <c r="Q688" s="1" t="str">
        <f t="shared" si="45"/>
        <v>DAURDE</v>
      </c>
    </row>
    <row r="689" spans="2:17">
      <c r="B689" s="1" t="s">
        <v>268</v>
      </c>
      <c r="C689" s="1" t="s">
        <v>289</v>
      </c>
      <c r="D689" s="52">
        <v>46038.722222222219</v>
      </c>
      <c r="E689" s="52">
        <v>46038.722222222219</v>
      </c>
      <c r="F689" s="52">
        <v>46038.78402777778</v>
      </c>
      <c r="G689" s="53">
        <f t="shared" si="43"/>
        <v>6.1805555560567882E-2</v>
      </c>
      <c r="H689" s="1" t="s">
        <v>248</v>
      </c>
      <c r="J689" s="1" t="s">
        <v>249</v>
      </c>
      <c r="K689" s="1" t="s">
        <v>349</v>
      </c>
      <c r="L689" s="1" t="s">
        <v>450</v>
      </c>
      <c r="M689" s="1" t="s">
        <v>251</v>
      </c>
      <c r="N689" s="1" t="s">
        <v>330</v>
      </c>
      <c r="O689" s="1" t="s">
        <v>331</v>
      </c>
      <c r="P689" s="1" t="str">
        <f t="shared" si="44"/>
        <v>BC Caiaponia1SG60KTL(COM2-026)46038,722222222246038,722222222246038,7840277778</v>
      </c>
      <c r="Q689" s="1" t="str">
        <f t="shared" si="45"/>
        <v>DAURDE</v>
      </c>
    </row>
    <row r="690" spans="2:17">
      <c r="B690" s="1" t="s">
        <v>268</v>
      </c>
      <c r="C690" s="1" t="s">
        <v>290</v>
      </c>
      <c r="D690" s="52">
        <v>46038.722222222219</v>
      </c>
      <c r="E690" s="52">
        <v>46038.722222222219</v>
      </c>
      <c r="F690" s="52">
        <v>46038.78402777778</v>
      </c>
      <c r="G690" s="53">
        <f t="shared" si="43"/>
        <v>6.1805555560567882E-2</v>
      </c>
      <c r="H690" s="1" t="s">
        <v>248</v>
      </c>
      <c r="J690" s="1" t="s">
        <v>249</v>
      </c>
      <c r="K690" s="1" t="s">
        <v>349</v>
      </c>
      <c r="L690" s="1" t="s">
        <v>450</v>
      </c>
      <c r="M690" s="1" t="s">
        <v>251</v>
      </c>
      <c r="N690" s="1" t="s">
        <v>330</v>
      </c>
      <c r="O690" s="1" t="s">
        <v>331</v>
      </c>
      <c r="P690" s="1" t="str">
        <f t="shared" si="44"/>
        <v>BC Caiaponia1SG60KTL(COM2-027)46038,722222222246038,722222222246038,7840277778</v>
      </c>
      <c r="Q690" s="1" t="str">
        <f t="shared" si="45"/>
        <v>DAURDE</v>
      </c>
    </row>
    <row r="691" spans="2:17">
      <c r="B691" s="1" t="s">
        <v>268</v>
      </c>
      <c r="C691" s="1" t="s">
        <v>291</v>
      </c>
      <c r="D691" s="52">
        <v>46038.722222222219</v>
      </c>
      <c r="E691" s="52">
        <v>46038.722222222219</v>
      </c>
      <c r="F691" s="52">
        <v>46038.78402777778</v>
      </c>
      <c r="G691" s="53">
        <f t="shared" si="43"/>
        <v>6.1805555560567882E-2</v>
      </c>
      <c r="H691" s="1" t="s">
        <v>248</v>
      </c>
      <c r="J691" s="1" t="s">
        <v>249</v>
      </c>
      <c r="K691" s="1" t="s">
        <v>349</v>
      </c>
      <c r="L691" s="1" t="s">
        <v>450</v>
      </c>
      <c r="M691" s="1" t="s">
        <v>251</v>
      </c>
      <c r="N691" s="1" t="s">
        <v>330</v>
      </c>
      <c r="O691" s="1" t="s">
        <v>331</v>
      </c>
      <c r="P691" s="1" t="str">
        <f t="shared" si="44"/>
        <v>BC Caiaponia1SG60KTL(COM2-028)46038,722222222246038,722222222246038,7840277778</v>
      </c>
      <c r="Q691" s="1" t="str">
        <f t="shared" si="45"/>
        <v>DAURDE</v>
      </c>
    </row>
    <row r="692" spans="2:17">
      <c r="B692" s="1" t="s">
        <v>268</v>
      </c>
      <c r="C692" s="1" t="s">
        <v>292</v>
      </c>
      <c r="D692" s="52">
        <v>46038.722222222219</v>
      </c>
      <c r="E692" s="52">
        <v>46038.722222222219</v>
      </c>
      <c r="F692" s="52">
        <v>46038.78402777778</v>
      </c>
      <c r="G692" s="53">
        <f t="shared" si="43"/>
        <v>6.1805555560567882E-2</v>
      </c>
      <c r="H692" s="1" t="s">
        <v>248</v>
      </c>
      <c r="J692" s="1" t="s">
        <v>249</v>
      </c>
      <c r="K692" s="1" t="s">
        <v>349</v>
      </c>
      <c r="L692" s="1" t="s">
        <v>450</v>
      </c>
      <c r="M692" s="1" t="s">
        <v>251</v>
      </c>
      <c r="N692" s="1" t="s">
        <v>330</v>
      </c>
      <c r="O692" s="1" t="s">
        <v>331</v>
      </c>
      <c r="P692" s="1" t="str">
        <f t="shared" si="44"/>
        <v>BC Caiaponia1SG60KTL(COM2-029)46038,722222222246038,722222222246038,7840277778</v>
      </c>
      <c r="Q692" s="1" t="str">
        <f t="shared" si="45"/>
        <v>DAURDE</v>
      </c>
    </row>
    <row r="693" spans="2:17">
      <c r="B693" s="1" t="s">
        <v>268</v>
      </c>
      <c r="C693" s="1" t="s">
        <v>293</v>
      </c>
      <c r="D693" s="52">
        <v>46038.722222222219</v>
      </c>
      <c r="E693" s="52">
        <v>46038.722222222219</v>
      </c>
      <c r="F693" s="52">
        <v>46038.78402777778</v>
      </c>
      <c r="G693" s="53">
        <f t="shared" si="43"/>
        <v>6.1805555560567882E-2</v>
      </c>
      <c r="H693" s="1" t="s">
        <v>248</v>
      </c>
      <c r="J693" s="1" t="s">
        <v>249</v>
      </c>
      <c r="K693" s="1" t="s">
        <v>349</v>
      </c>
      <c r="L693" s="1" t="s">
        <v>450</v>
      </c>
      <c r="M693" s="1" t="s">
        <v>251</v>
      </c>
      <c r="N693" s="1" t="s">
        <v>330</v>
      </c>
      <c r="O693" s="1" t="s">
        <v>331</v>
      </c>
      <c r="P693" s="1" t="str">
        <f t="shared" si="44"/>
        <v>BC Caiaponia1SG50CX(COM1-021)46038,722222222246038,722222222246038,7840277778</v>
      </c>
      <c r="Q693" s="1" t="str">
        <f t="shared" si="45"/>
        <v>DAURDE</v>
      </c>
    </row>
    <row r="694" spans="2:17">
      <c r="B694" s="1" t="s">
        <v>268</v>
      </c>
      <c r="C694" s="1" t="s">
        <v>294</v>
      </c>
      <c r="D694" s="52">
        <v>46038.722222222219</v>
      </c>
      <c r="E694" s="52">
        <v>46038.722222222219</v>
      </c>
      <c r="F694" s="52">
        <v>46038.78402777778</v>
      </c>
      <c r="G694" s="53">
        <f t="shared" si="43"/>
        <v>6.1805555560567882E-2</v>
      </c>
      <c r="H694" s="1" t="s">
        <v>248</v>
      </c>
      <c r="J694" s="1" t="s">
        <v>249</v>
      </c>
      <c r="K694" s="1" t="s">
        <v>349</v>
      </c>
      <c r="L694" s="1" t="s">
        <v>450</v>
      </c>
      <c r="M694" s="1" t="s">
        <v>251</v>
      </c>
      <c r="N694" s="1" t="s">
        <v>330</v>
      </c>
      <c r="O694" s="1" t="s">
        <v>331</v>
      </c>
      <c r="P694" s="1" t="str">
        <f t="shared" si="44"/>
        <v>BC Caiaponia1SG50CX(COM1-022)46038,722222222246038,722222222246038,7840277778</v>
      </c>
      <c r="Q694" s="1" t="str">
        <f t="shared" si="45"/>
        <v>DAURDE</v>
      </c>
    </row>
    <row r="695" spans="2:17">
      <c r="B695" s="1" t="s">
        <v>268</v>
      </c>
      <c r="C695" s="1" t="s">
        <v>295</v>
      </c>
      <c r="D695" s="52">
        <v>46038.722222222219</v>
      </c>
      <c r="E695" s="52">
        <v>46038.722222222219</v>
      </c>
      <c r="F695" s="52">
        <v>46038.78402777778</v>
      </c>
      <c r="G695" s="53">
        <f t="shared" si="43"/>
        <v>6.1805555560567882E-2</v>
      </c>
      <c r="H695" s="1" t="s">
        <v>248</v>
      </c>
      <c r="J695" s="1" t="s">
        <v>249</v>
      </c>
      <c r="K695" s="1" t="s">
        <v>349</v>
      </c>
      <c r="L695" s="1" t="s">
        <v>450</v>
      </c>
      <c r="M695" s="1" t="s">
        <v>251</v>
      </c>
      <c r="N695" s="1" t="s">
        <v>330</v>
      </c>
      <c r="O695" s="1" t="s">
        <v>331</v>
      </c>
      <c r="P695" s="1" t="str">
        <f t="shared" si="44"/>
        <v>BC Caiaponia1SG50CX(COM1-023)46038,722222222246038,722222222246038,7840277778</v>
      </c>
      <c r="Q695" s="1" t="str">
        <f t="shared" si="45"/>
        <v>DAURDE</v>
      </c>
    </row>
    <row r="696" spans="2:17">
      <c r="B696" s="1" t="s">
        <v>268</v>
      </c>
      <c r="C696" s="1" t="s">
        <v>296</v>
      </c>
      <c r="D696" s="52">
        <v>46038.722222222219</v>
      </c>
      <c r="E696" s="52">
        <v>46038.722222222219</v>
      </c>
      <c r="F696" s="52">
        <v>46038.78402777778</v>
      </c>
      <c r="G696" s="53">
        <f t="shared" si="43"/>
        <v>6.1805555560567882E-2</v>
      </c>
      <c r="H696" s="1" t="s">
        <v>248</v>
      </c>
      <c r="J696" s="1" t="s">
        <v>249</v>
      </c>
      <c r="K696" s="1" t="s">
        <v>349</v>
      </c>
      <c r="L696" s="1" t="s">
        <v>450</v>
      </c>
      <c r="M696" s="1" t="s">
        <v>251</v>
      </c>
      <c r="N696" s="1" t="s">
        <v>330</v>
      </c>
      <c r="O696" s="1" t="s">
        <v>331</v>
      </c>
      <c r="P696" s="1" t="str">
        <f t="shared" si="44"/>
        <v>BC Caiaponia1SG50CX(COM1-024)46038,722222222246038,722222222246038,7840277778</v>
      </c>
      <c r="Q696" s="1" t="str">
        <f t="shared" si="45"/>
        <v>DAURDE</v>
      </c>
    </row>
    <row r="697" spans="2:17">
      <c r="B697" s="1" t="s">
        <v>268</v>
      </c>
      <c r="C697" s="1" t="s">
        <v>297</v>
      </c>
      <c r="D697" s="52">
        <v>46038.722222222219</v>
      </c>
      <c r="E697" s="52">
        <v>46038.722222222219</v>
      </c>
      <c r="F697" s="52">
        <v>46038.78402777778</v>
      </c>
      <c r="G697" s="53">
        <f t="shared" si="43"/>
        <v>6.1805555560567882E-2</v>
      </c>
      <c r="H697" s="1" t="s">
        <v>248</v>
      </c>
      <c r="J697" s="1" t="s">
        <v>249</v>
      </c>
      <c r="K697" s="1" t="s">
        <v>349</v>
      </c>
      <c r="L697" s="1" t="s">
        <v>450</v>
      </c>
      <c r="M697" s="1" t="s">
        <v>251</v>
      </c>
      <c r="N697" s="1" t="s">
        <v>330</v>
      </c>
      <c r="O697" s="1" t="s">
        <v>331</v>
      </c>
      <c r="P697" s="1" t="str">
        <f t="shared" si="44"/>
        <v>BC Caiaponia1SG50CX(COM1-025)46038,722222222246038,722222222246038,7840277778</v>
      </c>
      <c r="Q697" s="1" t="str">
        <f t="shared" si="45"/>
        <v>DAURDE</v>
      </c>
    </row>
    <row r="698" spans="2:17">
      <c r="B698" s="1" t="s">
        <v>246</v>
      </c>
      <c r="C698" s="1" t="s">
        <v>247</v>
      </c>
      <c r="D698" s="52">
        <v>46038.722222222219</v>
      </c>
      <c r="E698" s="52">
        <v>46038.722222222219</v>
      </c>
      <c r="F698" s="52">
        <v>46038.78402777778</v>
      </c>
      <c r="G698" s="53">
        <f t="shared" si="43"/>
        <v>6.1805555560567882E-2</v>
      </c>
      <c r="H698" s="1" t="s">
        <v>248</v>
      </c>
      <c r="J698" s="1" t="s">
        <v>249</v>
      </c>
      <c r="K698" s="1" t="s">
        <v>349</v>
      </c>
      <c r="L698" s="1" t="s">
        <v>450</v>
      </c>
      <c r="M698" s="1" t="s">
        <v>251</v>
      </c>
      <c r="N698" s="1" t="s">
        <v>330</v>
      </c>
      <c r="O698" s="1" t="s">
        <v>331</v>
      </c>
      <c r="P698" s="1" t="str">
        <f t="shared" si="44"/>
        <v>BC Caiaponia2.1215KTL-H3(MBUS-12)46038,722222222246038,722222222246038,7840277778</v>
      </c>
      <c r="Q698" s="1" t="str">
        <f t="shared" si="45"/>
        <v>DAURDE</v>
      </c>
    </row>
    <row r="699" spans="2:17">
      <c r="B699" s="1" t="s">
        <v>246</v>
      </c>
      <c r="C699" s="1" t="s">
        <v>254</v>
      </c>
      <c r="D699" s="52">
        <v>46038.722222222219</v>
      </c>
      <c r="E699" s="52">
        <v>46038.722222222219</v>
      </c>
      <c r="F699" s="52">
        <v>46038.78402777778</v>
      </c>
      <c r="G699" s="53">
        <f t="shared" si="43"/>
        <v>6.1805555560567882E-2</v>
      </c>
      <c r="H699" s="1" t="s">
        <v>248</v>
      </c>
      <c r="J699" s="1" t="s">
        <v>249</v>
      </c>
      <c r="K699" s="1" t="s">
        <v>349</v>
      </c>
      <c r="L699" s="1" t="s">
        <v>450</v>
      </c>
      <c r="M699" s="1" t="s">
        <v>251</v>
      </c>
      <c r="N699" s="1" t="s">
        <v>330</v>
      </c>
      <c r="O699" s="1" t="s">
        <v>331</v>
      </c>
      <c r="P699" s="1" t="str">
        <f t="shared" si="44"/>
        <v>BC Caiaponia2.1215KTL-H3(MBUS-13)46038,722222222246038,722222222246038,7840277778</v>
      </c>
      <c r="Q699" s="1" t="str">
        <f t="shared" si="45"/>
        <v>DAURDE</v>
      </c>
    </row>
    <row r="700" spans="2:17">
      <c r="B700" s="1" t="s">
        <v>246</v>
      </c>
      <c r="C700" s="1" t="s">
        <v>255</v>
      </c>
      <c r="D700" s="52">
        <v>46038.722222222219</v>
      </c>
      <c r="E700" s="52">
        <v>46038.722222222219</v>
      </c>
      <c r="F700" s="52">
        <v>46038.78402777778</v>
      </c>
      <c r="G700" s="53">
        <f t="shared" si="43"/>
        <v>6.1805555560567882E-2</v>
      </c>
      <c r="H700" s="1" t="s">
        <v>248</v>
      </c>
      <c r="J700" s="1" t="s">
        <v>249</v>
      </c>
      <c r="K700" s="1" t="s">
        <v>349</v>
      </c>
      <c r="L700" s="1" t="s">
        <v>450</v>
      </c>
      <c r="M700" s="1" t="s">
        <v>251</v>
      </c>
      <c r="N700" s="1" t="s">
        <v>330</v>
      </c>
      <c r="O700" s="1" t="s">
        <v>331</v>
      </c>
      <c r="P700" s="1" t="str">
        <f t="shared" si="44"/>
        <v>BC Caiaponia2.1215KTL-H3(MBUS-14)46038,722222222246038,722222222246038,7840277778</v>
      </c>
      <c r="Q700" s="1" t="str">
        <f t="shared" si="45"/>
        <v>DAURDE</v>
      </c>
    </row>
    <row r="701" spans="2:17">
      <c r="B701" s="1" t="s">
        <v>246</v>
      </c>
      <c r="C701" s="1" t="s">
        <v>256</v>
      </c>
      <c r="D701" s="52">
        <v>46038.722222222219</v>
      </c>
      <c r="E701" s="52">
        <v>46038.722222222219</v>
      </c>
      <c r="F701" s="52">
        <v>46038.78402777778</v>
      </c>
      <c r="G701" s="53">
        <f t="shared" ref="G701:G764" si="46">F701-E701</f>
        <v>6.1805555560567882E-2</v>
      </c>
      <c r="H701" s="1" t="s">
        <v>248</v>
      </c>
      <c r="J701" s="1" t="s">
        <v>249</v>
      </c>
      <c r="K701" s="1" t="s">
        <v>349</v>
      </c>
      <c r="L701" s="1" t="s">
        <v>450</v>
      </c>
      <c r="M701" s="1" t="s">
        <v>251</v>
      </c>
      <c r="N701" s="1" t="s">
        <v>330</v>
      </c>
      <c r="O701" s="1" t="s">
        <v>331</v>
      </c>
      <c r="P701" s="1" t="str">
        <f t="shared" si="44"/>
        <v>BC Caiaponia2.1215KTL-H3(MBUS-15)46038,722222222246038,722222222246038,7840277778</v>
      </c>
      <c r="Q701" s="1" t="str">
        <f t="shared" si="45"/>
        <v>DAURDE</v>
      </c>
    </row>
    <row r="702" spans="2:17">
      <c r="B702" s="1" t="s">
        <v>246</v>
      </c>
      <c r="C702" s="1" t="s">
        <v>257</v>
      </c>
      <c r="D702" s="52">
        <v>46038.722222222219</v>
      </c>
      <c r="E702" s="52">
        <v>46038.722222222219</v>
      </c>
      <c r="F702" s="52">
        <v>46038.78402777778</v>
      </c>
      <c r="G702" s="53">
        <f t="shared" si="46"/>
        <v>6.1805555560567882E-2</v>
      </c>
      <c r="H702" s="1" t="s">
        <v>248</v>
      </c>
      <c r="J702" s="1" t="s">
        <v>249</v>
      </c>
      <c r="K702" s="1" t="s">
        <v>349</v>
      </c>
      <c r="L702" s="1" t="s">
        <v>450</v>
      </c>
      <c r="M702" s="1" t="s">
        <v>251</v>
      </c>
      <c r="N702" s="1" t="s">
        <v>330</v>
      </c>
      <c r="O702" s="1" t="s">
        <v>331</v>
      </c>
      <c r="P702" s="1" t="str">
        <f t="shared" si="44"/>
        <v>BC Caiaponia2.1215KTL-H3(MBUS-16)46038,722222222246038,722222222246038,7840277778</v>
      </c>
      <c r="Q702" s="1" t="str">
        <f t="shared" si="45"/>
        <v>DAURDE</v>
      </c>
    </row>
    <row r="703" spans="2:17">
      <c r="B703" s="1" t="s">
        <v>258</v>
      </c>
      <c r="C703" s="1" t="s">
        <v>247</v>
      </c>
      <c r="D703" s="52">
        <v>46038.722222222219</v>
      </c>
      <c r="E703" s="52">
        <v>46038.722222222219</v>
      </c>
      <c r="F703" s="52">
        <v>46038.78402777778</v>
      </c>
      <c r="G703" s="53">
        <f t="shared" si="46"/>
        <v>6.1805555560567882E-2</v>
      </c>
      <c r="H703" s="1" t="s">
        <v>248</v>
      </c>
      <c r="J703" s="1" t="s">
        <v>249</v>
      </c>
      <c r="K703" s="1" t="s">
        <v>349</v>
      </c>
      <c r="L703" s="1" t="s">
        <v>450</v>
      </c>
      <c r="M703" s="1" t="s">
        <v>251</v>
      </c>
      <c r="N703" s="1" t="s">
        <v>330</v>
      </c>
      <c r="O703" s="1" t="s">
        <v>331</v>
      </c>
      <c r="P703" s="1" t="str">
        <f t="shared" si="44"/>
        <v>BC Caiaponia2.2215KTL-H3(MBUS-12)46038,722222222246038,722222222246038,7840277778</v>
      </c>
      <c r="Q703" s="1" t="str">
        <f t="shared" si="45"/>
        <v>DAURDE</v>
      </c>
    </row>
    <row r="704" spans="2:17">
      <c r="B704" s="1" t="s">
        <v>258</v>
      </c>
      <c r="C704" s="1" t="s">
        <v>254</v>
      </c>
      <c r="D704" s="52">
        <v>46038.722222222219</v>
      </c>
      <c r="E704" s="52">
        <v>46038.722222222219</v>
      </c>
      <c r="F704" s="52">
        <v>46038.78402777778</v>
      </c>
      <c r="G704" s="53">
        <f t="shared" si="46"/>
        <v>6.1805555560567882E-2</v>
      </c>
      <c r="H704" s="1" t="s">
        <v>248</v>
      </c>
      <c r="J704" s="1" t="s">
        <v>249</v>
      </c>
      <c r="K704" s="1" t="s">
        <v>349</v>
      </c>
      <c r="L704" s="1" t="s">
        <v>450</v>
      </c>
      <c r="M704" s="1" t="s">
        <v>251</v>
      </c>
      <c r="N704" s="1" t="s">
        <v>330</v>
      </c>
      <c r="O704" s="1" t="s">
        <v>331</v>
      </c>
      <c r="P704" s="1" t="str">
        <f t="shared" si="44"/>
        <v>BC Caiaponia2.2215KTL-H3(MBUS-13)46038,722222222246038,722222222246038,7840277778</v>
      </c>
      <c r="Q704" s="1" t="str">
        <f t="shared" si="45"/>
        <v>DAURDE</v>
      </c>
    </row>
    <row r="705" spans="2:17">
      <c r="B705" s="1" t="s">
        <v>258</v>
      </c>
      <c r="C705" s="1" t="s">
        <v>255</v>
      </c>
      <c r="D705" s="52">
        <v>46038.722222222219</v>
      </c>
      <c r="E705" s="52">
        <v>46038.722222222219</v>
      </c>
      <c r="F705" s="52">
        <v>46038.78402777778</v>
      </c>
      <c r="G705" s="53">
        <f t="shared" si="46"/>
        <v>6.1805555560567882E-2</v>
      </c>
      <c r="H705" s="1" t="s">
        <v>248</v>
      </c>
      <c r="J705" s="1" t="s">
        <v>249</v>
      </c>
      <c r="K705" s="1" t="s">
        <v>349</v>
      </c>
      <c r="L705" s="1" t="s">
        <v>450</v>
      </c>
      <c r="M705" s="1" t="s">
        <v>251</v>
      </c>
      <c r="N705" s="1" t="s">
        <v>330</v>
      </c>
      <c r="O705" s="1" t="s">
        <v>331</v>
      </c>
      <c r="P705" s="1" t="str">
        <f t="shared" si="44"/>
        <v>BC Caiaponia2.2215KTL-H3(MBUS-14)46038,722222222246038,722222222246038,7840277778</v>
      </c>
      <c r="Q705" s="1" t="str">
        <f t="shared" si="45"/>
        <v>DAURDE</v>
      </c>
    </row>
    <row r="706" spans="2:17">
      <c r="B706" s="1" t="s">
        <v>258</v>
      </c>
      <c r="C706" s="1" t="s">
        <v>256</v>
      </c>
      <c r="D706" s="52">
        <v>46038.722222222219</v>
      </c>
      <c r="E706" s="52">
        <v>46038.722222222219</v>
      </c>
      <c r="F706" s="52">
        <v>46038.78402777778</v>
      </c>
      <c r="G706" s="53">
        <f t="shared" si="46"/>
        <v>6.1805555560567882E-2</v>
      </c>
      <c r="H706" s="1" t="s">
        <v>248</v>
      </c>
      <c r="J706" s="1" t="s">
        <v>249</v>
      </c>
      <c r="K706" s="1" t="s">
        <v>349</v>
      </c>
      <c r="L706" s="1" t="s">
        <v>450</v>
      </c>
      <c r="M706" s="1" t="s">
        <v>251</v>
      </c>
      <c r="N706" s="1" t="s">
        <v>330</v>
      </c>
      <c r="O706" s="1" t="s">
        <v>331</v>
      </c>
      <c r="P706" s="1" t="str">
        <f t="shared" si="44"/>
        <v>BC Caiaponia2.2215KTL-H3(MBUS-15)46038,722222222246038,722222222246038,7840277778</v>
      </c>
      <c r="Q706" s="1" t="str">
        <f t="shared" si="45"/>
        <v>DAURDE</v>
      </c>
    </row>
    <row r="707" spans="2:17">
      <c r="B707" s="1" t="s">
        <v>258</v>
      </c>
      <c r="C707" s="1" t="s">
        <v>257</v>
      </c>
      <c r="D707" s="52">
        <v>46038.722222222219</v>
      </c>
      <c r="E707" s="52">
        <v>46038.722222222219</v>
      </c>
      <c r="F707" s="52">
        <v>46038.78402777778</v>
      </c>
      <c r="G707" s="53">
        <f t="shared" si="46"/>
        <v>6.1805555560567882E-2</v>
      </c>
      <c r="H707" s="1" t="s">
        <v>248</v>
      </c>
      <c r="J707" s="1" t="s">
        <v>249</v>
      </c>
      <c r="K707" s="1" t="s">
        <v>349</v>
      </c>
      <c r="L707" s="1" t="s">
        <v>450</v>
      </c>
      <c r="M707" s="1" t="s">
        <v>251</v>
      </c>
      <c r="N707" s="1" t="s">
        <v>330</v>
      </c>
      <c r="O707" s="1" t="s">
        <v>331</v>
      </c>
      <c r="P707" s="1" t="str">
        <f t="shared" si="44"/>
        <v>BC Caiaponia2.2215KTL-H3(MBUS-16)46038,722222222246038,722222222246038,7840277778</v>
      </c>
      <c r="Q707" s="1" t="str">
        <f t="shared" si="45"/>
        <v>DAURDE</v>
      </c>
    </row>
    <row r="708" spans="2:17">
      <c r="B708" s="1" t="s">
        <v>259</v>
      </c>
      <c r="C708" s="1" t="s">
        <v>247</v>
      </c>
      <c r="D708" s="52">
        <v>46038.722222222219</v>
      </c>
      <c r="E708" s="52">
        <v>46038.722222222219</v>
      </c>
      <c r="F708" s="52">
        <v>46038.78402777778</v>
      </c>
      <c r="G708" s="53">
        <f t="shared" si="46"/>
        <v>6.1805555560567882E-2</v>
      </c>
      <c r="H708" s="1" t="s">
        <v>248</v>
      </c>
      <c r="J708" s="1" t="s">
        <v>249</v>
      </c>
      <c r="K708" s="1" t="s">
        <v>349</v>
      </c>
      <c r="L708" s="1" t="s">
        <v>450</v>
      </c>
      <c r="M708" s="1" t="s">
        <v>251</v>
      </c>
      <c r="N708" s="1" t="s">
        <v>330</v>
      </c>
      <c r="O708" s="1" t="s">
        <v>331</v>
      </c>
      <c r="P708" s="1" t="str">
        <f t="shared" si="44"/>
        <v>BC Caiaponia2.3215KTL-H3(MBUS-12)46038,722222222246038,722222222246038,7840277778</v>
      </c>
      <c r="Q708" s="1" t="str">
        <f t="shared" si="45"/>
        <v>DAURDE</v>
      </c>
    </row>
    <row r="709" spans="2:17">
      <c r="B709" s="1" t="s">
        <v>259</v>
      </c>
      <c r="C709" s="1" t="s">
        <v>254</v>
      </c>
      <c r="D709" s="52">
        <v>46038.722222222219</v>
      </c>
      <c r="E709" s="52">
        <v>46038.722222222219</v>
      </c>
      <c r="F709" s="52">
        <v>46038.78402777778</v>
      </c>
      <c r="G709" s="53">
        <f t="shared" si="46"/>
        <v>6.1805555560567882E-2</v>
      </c>
      <c r="H709" s="1" t="s">
        <v>248</v>
      </c>
      <c r="J709" s="1" t="s">
        <v>249</v>
      </c>
      <c r="K709" s="1" t="s">
        <v>349</v>
      </c>
      <c r="L709" s="1" t="s">
        <v>450</v>
      </c>
      <c r="M709" s="1" t="s">
        <v>251</v>
      </c>
      <c r="N709" s="1" t="s">
        <v>330</v>
      </c>
      <c r="O709" s="1" t="s">
        <v>331</v>
      </c>
      <c r="P709" s="1" t="str">
        <f t="shared" si="44"/>
        <v>BC Caiaponia2.3215KTL-H3(MBUS-13)46038,722222222246038,722222222246038,7840277778</v>
      </c>
      <c r="Q709" s="1" t="str">
        <f t="shared" si="45"/>
        <v>DAURDE</v>
      </c>
    </row>
    <row r="710" spans="2:17">
      <c r="B710" s="1" t="s">
        <v>259</v>
      </c>
      <c r="C710" s="1" t="s">
        <v>255</v>
      </c>
      <c r="D710" s="52">
        <v>46038.722222222219</v>
      </c>
      <c r="E710" s="52">
        <v>46038.722222222219</v>
      </c>
      <c r="F710" s="52">
        <v>46038.78402777778</v>
      </c>
      <c r="G710" s="53">
        <f t="shared" si="46"/>
        <v>6.1805555560567882E-2</v>
      </c>
      <c r="H710" s="1" t="s">
        <v>248</v>
      </c>
      <c r="J710" s="1" t="s">
        <v>249</v>
      </c>
      <c r="K710" s="1" t="s">
        <v>349</v>
      </c>
      <c r="L710" s="1" t="s">
        <v>450</v>
      </c>
      <c r="M710" s="1" t="s">
        <v>251</v>
      </c>
      <c r="N710" s="1" t="s">
        <v>330</v>
      </c>
      <c r="O710" s="1" t="s">
        <v>331</v>
      </c>
      <c r="P710" s="1" t="str">
        <f t="shared" si="44"/>
        <v>BC Caiaponia2.3215KTL-H3(MBUS-14)46038,722222222246038,722222222246038,7840277778</v>
      </c>
      <c r="Q710" s="1" t="str">
        <f t="shared" si="45"/>
        <v>DAURDE</v>
      </c>
    </row>
    <row r="711" spans="2:17">
      <c r="B711" s="1" t="s">
        <v>259</v>
      </c>
      <c r="C711" s="1" t="s">
        <v>256</v>
      </c>
      <c r="D711" s="52">
        <v>46038.722222222219</v>
      </c>
      <c r="E711" s="52">
        <v>46038.722222222219</v>
      </c>
      <c r="F711" s="52">
        <v>46038.78402777778</v>
      </c>
      <c r="G711" s="53">
        <f t="shared" si="46"/>
        <v>6.1805555560567882E-2</v>
      </c>
      <c r="H711" s="1" t="s">
        <v>248</v>
      </c>
      <c r="J711" s="1" t="s">
        <v>249</v>
      </c>
      <c r="K711" s="1" t="s">
        <v>349</v>
      </c>
      <c r="L711" s="1" t="s">
        <v>450</v>
      </c>
      <c r="M711" s="1" t="s">
        <v>251</v>
      </c>
      <c r="N711" s="1" t="s">
        <v>330</v>
      </c>
      <c r="O711" s="1" t="s">
        <v>331</v>
      </c>
      <c r="P711" s="1" t="str">
        <f t="shared" ref="P711:P774" si="47">_xlfn.CONCAT(B711,C711,D711,E711,F711)</f>
        <v>BC Caiaponia2.3215KTL-H3(MBUS-15)46038,722222222246038,722222222246038,7840277778</v>
      </c>
      <c r="Q711" s="1" t="str">
        <f t="shared" ref="Q711:Q774" si="48">_xlfn.CONCAT(H711,I711,J711)</f>
        <v>DAURDE</v>
      </c>
    </row>
    <row r="712" spans="2:17">
      <c r="B712" s="1" t="s">
        <v>259</v>
      </c>
      <c r="C712" s="1" t="s">
        <v>257</v>
      </c>
      <c r="D712" s="52">
        <v>46038.722222222219</v>
      </c>
      <c r="E712" s="52">
        <v>46038.722222222219</v>
      </c>
      <c r="F712" s="52">
        <v>46038.78402777778</v>
      </c>
      <c r="G712" s="53">
        <f t="shared" si="46"/>
        <v>6.1805555560567882E-2</v>
      </c>
      <c r="H712" s="1" t="s">
        <v>248</v>
      </c>
      <c r="J712" s="1" t="s">
        <v>249</v>
      </c>
      <c r="K712" s="1" t="s">
        <v>349</v>
      </c>
      <c r="L712" s="1" t="s">
        <v>450</v>
      </c>
      <c r="M712" s="1" t="s">
        <v>251</v>
      </c>
      <c r="N712" s="1" t="s">
        <v>330</v>
      </c>
      <c r="O712" s="1" t="s">
        <v>331</v>
      </c>
      <c r="P712" s="1" t="str">
        <f t="shared" si="47"/>
        <v>BC Caiaponia2.3215KTL-H3(MBUS-16)46038,722222222246038,722222222246038,7840277778</v>
      </c>
      <c r="Q712" s="1" t="str">
        <f t="shared" si="48"/>
        <v>DAURDE</v>
      </c>
    </row>
    <row r="713" spans="2:17">
      <c r="B713" s="1" t="s">
        <v>268</v>
      </c>
      <c r="C713" s="1" t="s">
        <v>269</v>
      </c>
      <c r="D713" s="52">
        <v>46037.657638888886</v>
      </c>
      <c r="E713" s="52">
        <v>46037.657638888886</v>
      </c>
      <c r="F713" s="52">
        <v>46037.719444444447</v>
      </c>
      <c r="G713" s="53">
        <f t="shared" si="46"/>
        <v>6.1805555560567882E-2</v>
      </c>
      <c r="H713" s="1" t="s">
        <v>248</v>
      </c>
      <c r="J713" s="1" t="s">
        <v>249</v>
      </c>
      <c r="K713" s="1" t="s">
        <v>349</v>
      </c>
      <c r="L713" s="1" t="s">
        <v>450</v>
      </c>
      <c r="M713" s="1" t="s">
        <v>251</v>
      </c>
      <c r="N713" s="1" t="s">
        <v>330</v>
      </c>
      <c r="O713" s="1" t="s">
        <v>331</v>
      </c>
      <c r="P713" s="1" t="str">
        <f t="shared" si="47"/>
        <v>BC Caiaponia1SG60KTL(COM1-001)_001_00746037,657638888946037,657638888946037,7194444444</v>
      </c>
      <c r="Q713" s="1" t="str">
        <f t="shared" si="48"/>
        <v>DAURDE</v>
      </c>
    </row>
    <row r="714" spans="2:17">
      <c r="B714" s="1" t="s">
        <v>268</v>
      </c>
      <c r="C714" s="1" t="s">
        <v>270</v>
      </c>
      <c r="D714" s="52">
        <v>46037.657638888886</v>
      </c>
      <c r="E714" s="52">
        <v>46037.657638888886</v>
      </c>
      <c r="F714" s="52">
        <v>46037.719444444447</v>
      </c>
      <c r="G714" s="53">
        <f t="shared" si="46"/>
        <v>6.1805555560567882E-2</v>
      </c>
      <c r="H714" s="1" t="s">
        <v>248</v>
      </c>
      <c r="J714" s="1" t="s">
        <v>249</v>
      </c>
      <c r="K714" s="1" t="s">
        <v>349</v>
      </c>
      <c r="L714" s="1" t="s">
        <v>450</v>
      </c>
      <c r="M714" s="1" t="s">
        <v>251</v>
      </c>
      <c r="N714" s="1" t="s">
        <v>330</v>
      </c>
      <c r="O714" s="1" t="s">
        <v>331</v>
      </c>
      <c r="P714" s="1" t="str">
        <f t="shared" si="47"/>
        <v>BC Caiaponia1SG60KTL(COM1-002)_001_01046037,657638888946037,657638888946037,7194444444</v>
      </c>
      <c r="Q714" s="1" t="str">
        <f t="shared" si="48"/>
        <v>DAURDE</v>
      </c>
    </row>
    <row r="715" spans="2:17">
      <c r="B715" s="1" t="s">
        <v>268</v>
      </c>
      <c r="C715" s="1" t="s">
        <v>271</v>
      </c>
      <c r="D715" s="52">
        <v>46037.657638888886</v>
      </c>
      <c r="E715" s="52">
        <v>46037.657638888886</v>
      </c>
      <c r="F715" s="52">
        <v>46037.719444444447</v>
      </c>
      <c r="G715" s="53">
        <f t="shared" si="46"/>
        <v>6.1805555560567882E-2</v>
      </c>
      <c r="H715" s="1" t="s">
        <v>248</v>
      </c>
      <c r="J715" s="1" t="s">
        <v>249</v>
      </c>
      <c r="K715" s="1" t="s">
        <v>349</v>
      </c>
      <c r="L715" s="1" t="s">
        <v>450</v>
      </c>
      <c r="M715" s="1" t="s">
        <v>251</v>
      </c>
      <c r="N715" s="1" t="s">
        <v>330</v>
      </c>
      <c r="O715" s="1" t="s">
        <v>331</v>
      </c>
      <c r="P715" s="1" t="str">
        <f t="shared" si="47"/>
        <v>BC Caiaponia1SG60KTL(COM1-003)_001_01146037,657638888946037,657638888946037,7194444444</v>
      </c>
      <c r="Q715" s="1" t="str">
        <f t="shared" si="48"/>
        <v>DAURDE</v>
      </c>
    </row>
    <row r="716" spans="2:17">
      <c r="B716" s="1" t="s">
        <v>268</v>
      </c>
      <c r="C716" s="1" t="s">
        <v>272</v>
      </c>
      <c r="D716" s="52">
        <v>46037.657638888886</v>
      </c>
      <c r="E716" s="52">
        <v>46037.657638888886</v>
      </c>
      <c r="F716" s="52">
        <v>46037.719444444447</v>
      </c>
      <c r="G716" s="53">
        <f t="shared" si="46"/>
        <v>6.1805555560567882E-2</v>
      </c>
      <c r="H716" s="1" t="s">
        <v>248</v>
      </c>
      <c r="J716" s="1" t="s">
        <v>249</v>
      </c>
      <c r="K716" s="1" t="s">
        <v>349</v>
      </c>
      <c r="L716" s="1" t="s">
        <v>450</v>
      </c>
      <c r="M716" s="1" t="s">
        <v>251</v>
      </c>
      <c r="N716" s="1" t="s">
        <v>330</v>
      </c>
      <c r="O716" s="1" t="s">
        <v>331</v>
      </c>
      <c r="P716" s="1" t="str">
        <f t="shared" si="47"/>
        <v>BC Caiaponia1SG60KTL(COM1-004)_001_01446037,657638888946037,657638888946037,7194444444</v>
      </c>
      <c r="Q716" s="1" t="str">
        <f t="shared" si="48"/>
        <v>DAURDE</v>
      </c>
    </row>
    <row r="717" spans="2:17">
      <c r="B717" s="1" t="s">
        <v>268</v>
      </c>
      <c r="C717" s="1" t="s">
        <v>273</v>
      </c>
      <c r="D717" s="52">
        <v>46037.657638888886</v>
      </c>
      <c r="E717" s="52">
        <v>46037.657638888886</v>
      </c>
      <c r="F717" s="52">
        <v>46037.719444444447</v>
      </c>
      <c r="G717" s="53">
        <f t="shared" si="46"/>
        <v>6.1805555560567882E-2</v>
      </c>
      <c r="H717" s="1" t="s">
        <v>248</v>
      </c>
      <c r="J717" s="1" t="s">
        <v>249</v>
      </c>
      <c r="K717" s="1" t="s">
        <v>349</v>
      </c>
      <c r="L717" s="1" t="s">
        <v>450</v>
      </c>
      <c r="M717" s="1" t="s">
        <v>251</v>
      </c>
      <c r="N717" s="1" t="s">
        <v>330</v>
      </c>
      <c r="O717" s="1" t="s">
        <v>331</v>
      </c>
      <c r="P717" s="1" t="str">
        <f t="shared" si="47"/>
        <v>BC Caiaponia1SG60KTL(COM1-005)_001_01746037,657638888946037,657638888946037,7194444444</v>
      </c>
      <c r="Q717" s="1" t="str">
        <f t="shared" si="48"/>
        <v>DAURDE</v>
      </c>
    </row>
    <row r="718" spans="2:17">
      <c r="B718" s="1" t="s">
        <v>268</v>
      </c>
      <c r="C718" s="1" t="s">
        <v>274</v>
      </c>
      <c r="D718" s="52">
        <v>46037.657638888886</v>
      </c>
      <c r="E718" s="52">
        <v>46037.657638888886</v>
      </c>
      <c r="F718" s="52">
        <v>46037.719444444447</v>
      </c>
      <c r="G718" s="53">
        <f t="shared" si="46"/>
        <v>6.1805555560567882E-2</v>
      </c>
      <c r="H718" s="1" t="s">
        <v>248</v>
      </c>
      <c r="J718" s="1" t="s">
        <v>249</v>
      </c>
      <c r="K718" s="1" t="s">
        <v>349</v>
      </c>
      <c r="L718" s="1" t="s">
        <v>450</v>
      </c>
      <c r="M718" s="1" t="s">
        <v>251</v>
      </c>
      <c r="N718" s="1" t="s">
        <v>330</v>
      </c>
      <c r="O718" s="1" t="s">
        <v>331</v>
      </c>
      <c r="P718" s="1" t="str">
        <f t="shared" si="47"/>
        <v>BC Caiaponia1SG60KTL(COM1-006)_001_01646037,657638888946037,657638888946037,7194444444</v>
      </c>
      <c r="Q718" s="1" t="str">
        <f t="shared" si="48"/>
        <v>DAURDE</v>
      </c>
    </row>
    <row r="719" spans="2:17">
      <c r="B719" s="1" t="s">
        <v>268</v>
      </c>
      <c r="C719" s="1" t="s">
        <v>275</v>
      </c>
      <c r="D719" s="52">
        <v>46037.657638888886</v>
      </c>
      <c r="E719" s="52">
        <v>46037.657638888886</v>
      </c>
      <c r="F719" s="52">
        <v>46037.719444444447</v>
      </c>
      <c r="G719" s="53">
        <f t="shared" si="46"/>
        <v>6.1805555560567882E-2</v>
      </c>
      <c r="H719" s="1" t="s">
        <v>248</v>
      </c>
      <c r="J719" s="1" t="s">
        <v>249</v>
      </c>
      <c r="K719" s="1" t="s">
        <v>349</v>
      </c>
      <c r="L719" s="1" t="s">
        <v>450</v>
      </c>
      <c r="M719" s="1" t="s">
        <v>251</v>
      </c>
      <c r="N719" s="1" t="s">
        <v>330</v>
      </c>
      <c r="O719" s="1" t="s">
        <v>331</v>
      </c>
      <c r="P719" s="1" t="str">
        <f t="shared" si="47"/>
        <v>BC Caiaponia1SG60KTL(COM1-007)_001_01346037,657638888946037,657638888946037,7194444444</v>
      </c>
      <c r="Q719" s="1" t="str">
        <f t="shared" si="48"/>
        <v>DAURDE</v>
      </c>
    </row>
    <row r="720" spans="2:17">
      <c r="B720" s="1" t="s">
        <v>268</v>
      </c>
      <c r="C720" s="1" t="s">
        <v>276</v>
      </c>
      <c r="D720" s="52">
        <v>46037.657638888886</v>
      </c>
      <c r="E720" s="52">
        <v>46037.657638888886</v>
      </c>
      <c r="F720" s="52">
        <v>46037.719444444447</v>
      </c>
      <c r="G720" s="53">
        <f t="shared" si="46"/>
        <v>6.1805555560567882E-2</v>
      </c>
      <c r="H720" s="1" t="s">
        <v>248</v>
      </c>
      <c r="J720" s="1" t="s">
        <v>249</v>
      </c>
      <c r="K720" s="1" t="s">
        <v>349</v>
      </c>
      <c r="L720" s="1" t="s">
        <v>450</v>
      </c>
      <c r="M720" s="1" t="s">
        <v>251</v>
      </c>
      <c r="N720" s="1" t="s">
        <v>330</v>
      </c>
      <c r="O720" s="1" t="s">
        <v>331</v>
      </c>
      <c r="P720" s="1" t="str">
        <f t="shared" si="47"/>
        <v>BC Caiaponia1SG60KTL(COM1-008)_001_00146037,657638888946037,657638888946037,7194444444</v>
      </c>
      <c r="Q720" s="1" t="str">
        <f t="shared" si="48"/>
        <v>DAURDE</v>
      </c>
    </row>
    <row r="721" spans="2:17">
      <c r="B721" s="1" t="s">
        <v>268</v>
      </c>
      <c r="C721" s="1" t="s">
        <v>277</v>
      </c>
      <c r="D721" s="52">
        <v>46037.657638888886</v>
      </c>
      <c r="E721" s="52">
        <v>46037.657638888886</v>
      </c>
      <c r="F721" s="52">
        <v>46037.719444444447</v>
      </c>
      <c r="G721" s="53">
        <f t="shared" si="46"/>
        <v>6.1805555560567882E-2</v>
      </c>
      <c r="H721" s="1" t="s">
        <v>248</v>
      </c>
      <c r="J721" s="1" t="s">
        <v>249</v>
      </c>
      <c r="K721" s="1" t="s">
        <v>349</v>
      </c>
      <c r="L721" s="1" t="s">
        <v>450</v>
      </c>
      <c r="M721" s="1" t="s">
        <v>251</v>
      </c>
      <c r="N721" s="1" t="s">
        <v>330</v>
      </c>
      <c r="O721" s="1" t="s">
        <v>331</v>
      </c>
      <c r="P721" s="1" t="str">
        <f t="shared" si="47"/>
        <v>BC Caiaponia1SG60KTL(COM1-009)46037,657638888946037,657638888946037,7194444444</v>
      </c>
      <c r="Q721" s="1" t="str">
        <f t="shared" si="48"/>
        <v>DAURDE</v>
      </c>
    </row>
    <row r="722" spans="2:17">
      <c r="B722" s="1" t="s">
        <v>268</v>
      </c>
      <c r="C722" s="1" t="s">
        <v>278</v>
      </c>
      <c r="D722" s="52">
        <v>46037.657638888886</v>
      </c>
      <c r="E722" s="52">
        <v>46037.657638888886</v>
      </c>
      <c r="F722" s="52">
        <v>46037.719444444447</v>
      </c>
      <c r="G722" s="53">
        <f t="shared" si="46"/>
        <v>6.1805555560567882E-2</v>
      </c>
      <c r="H722" s="1" t="s">
        <v>248</v>
      </c>
      <c r="J722" s="1" t="s">
        <v>249</v>
      </c>
      <c r="K722" s="1" t="s">
        <v>349</v>
      </c>
      <c r="L722" s="1" t="s">
        <v>450</v>
      </c>
      <c r="M722" s="1" t="s">
        <v>251</v>
      </c>
      <c r="N722" s="1" t="s">
        <v>330</v>
      </c>
      <c r="O722" s="1" t="s">
        <v>331</v>
      </c>
      <c r="P722" s="1" t="str">
        <f t="shared" si="47"/>
        <v>BC Caiaponia1SG60KTL(COM1-010)46037,657638888946037,657638888946037,7194444444</v>
      </c>
      <c r="Q722" s="1" t="str">
        <f t="shared" si="48"/>
        <v>DAURDE</v>
      </c>
    </row>
    <row r="723" spans="2:17">
      <c r="B723" s="1" t="s">
        <v>268</v>
      </c>
      <c r="C723" s="1" t="s">
        <v>279</v>
      </c>
      <c r="D723" s="52">
        <v>46037.657638888886</v>
      </c>
      <c r="E723" s="52">
        <v>46037.657638888886</v>
      </c>
      <c r="F723" s="52">
        <v>46037.719444444447</v>
      </c>
      <c r="G723" s="53">
        <f t="shared" si="46"/>
        <v>6.1805555560567882E-2</v>
      </c>
      <c r="H723" s="1" t="s">
        <v>248</v>
      </c>
      <c r="J723" s="1" t="s">
        <v>249</v>
      </c>
      <c r="K723" s="1" t="s">
        <v>349</v>
      </c>
      <c r="L723" s="1" t="s">
        <v>450</v>
      </c>
      <c r="M723" s="1" t="s">
        <v>251</v>
      </c>
      <c r="N723" s="1" t="s">
        <v>330</v>
      </c>
      <c r="O723" s="1" t="s">
        <v>331</v>
      </c>
      <c r="P723" s="1" t="str">
        <f t="shared" si="47"/>
        <v>BC Caiaponia1SG60KTL(COM1-011)46037,657638888946037,657638888946037,7194444444</v>
      </c>
      <c r="Q723" s="1" t="str">
        <f t="shared" si="48"/>
        <v>DAURDE</v>
      </c>
    </row>
    <row r="724" spans="2:17">
      <c r="B724" s="1" t="s">
        <v>268</v>
      </c>
      <c r="C724" s="1" t="s">
        <v>280</v>
      </c>
      <c r="D724" s="52">
        <v>46037.657638888886</v>
      </c>
      <c r="E724" s="52">
        <v>46037.657638888886</v>
      </c>
      <c r="F724" s="52">
        <v>46037.719444444447</v>
      </c>
      <c r="G724" s="53">
        <f t="shared" si="46"/>
        <v>6.1805555560567882E-2</v>
      </c>
      <c r="H724" s="1" t="s">
        <v>248</v>
      </c>
      <c r="J724" s="1" t="s">
        <v>249</v>
      </c>
      <c r="K724" s="1" t="s">
        <v>349</v>
      </c>
      <c r="L724" s="1" t="s">
        <v>450</v>
      </c>
      <c r="M724" s="1" t="s">
        <v>251</v>
      </c>
      <c r="N724" s="1" t="s">
        <v>330</v>
      </c>
      <c r="O724" s="1" t="s">
        <v>331</v>
      </c>
      <c r="P724" s="1" t="str">
        <f t="shared" si="47"/>
        <v>BC Caiaponia1SG60KTL(COM1-012)46037,657638888946037,657638888946037,7194444444</v>
      </c>
      <c r="Q724" s="1" t="str">
        <f t="shared" si="48"/>
        <v>DAURDE</v>
      </c>
    </row>
    <row r="725" spans="2:17">
      <c r="B725" s="1" t="s">
        <v>268</v>
      </c>
      <c r="C725" s="1" t="s">
        <v>281</v>
      </c>
      <c r="D725" s="52">
        <v>46037.657638888886</v>
      </c>
      <c r="E725" s="52">
        <v>46037.657638888886</v>
      </c>
      <c r="F725" s="52">
        <v>46037.719444444447</v>
      </c>
      <c r="G725" s="53">
        <f t="shared" si="46"/>
        <v>6.1805555560567882E-2</v>
      </c>
      <c r="H725" s="1" t="s">
        <v>248</v>
      </c>
      <c r="J725" s="1" t="s">
        <v>249</v>
      </c>
      <c r="K725" s="1" t="s">
        <v>349</v>
      </c>
      <c r="L725" s="1" t="s">
        <v>450</v>
      </c>
      <c r="M725" s="1" t="s">
        <v>251</v>
      </c>
      <c r="N725" s="1" t="s">
        <v>330</v>
      </c>
      <c r="O725" s="1" t="s">
        <v>331</v>
      </c>
      <c r="P725" s="1" t="str">
        <f t="shared" si="47"/>
        <v>BC Caiaponia1SG60KTL(COM1-013)46037,657638888946037,657638888946037,7194444444</v>
      </c>
      <c r="Q725" s="1" t="str">
        <f t="shared" si="48"/>
        <v>DAURDE</v>
      </c>
    </row>
    <row r="726" spans="2:17">
      <c r="B726" s="1" t="s">
        <v>268</v>
      </c>
      <c r="C726" s="1" t="s">
        <v>282</v>
      </c>
      <c r="D726" s="52">
        <v>46037.657638888886</v>
      </c>
      <c r="E726" s="52">
        <v>46037.657638888886</v>
      </c>
      <c r="F726" s="52">
        <v>46037.719444444447</v>
      </c>
      <c r="G726" s="53">
        <f t="shared" si="46"/>
        <v>6.1805555560567882E-2</v>
      </c>
      <c r="H726" s="1" t="s">
        <v>248</v>
      </c>
      <c r="J726" s="1" t="s">
        <v>249</v>
      </c>
      <c r="K726" s="1" t="s">
        <v>349</v>
      </c>
      <c r="L726" s="1" t="s">
        <v>450</v>
      </c>
      <c r="M726" s="1" t="s">
        <v>251</v>
      </c>
      <c r="N726" s="1" t="s">
        <v>330</v>
      </c>
      <c r="O726" s="1" t="s">
        <v>331</v>
      </c>
      <c r="P726" s="1" t="str">
        <f t="shared" si="47"/>
        <v>BC Caiaponia1SG60KTL(COM1-014)46037,657638888946037,657638888946037,7194444444</v>
      </c>
      <c r="Q726" s="1" t="str">
        <f t="shared" si="48"/>
        <v>DAURDE</v>
      </c>
    </row>
    <row r="727" spans="2:17">
      <c r="B727" s="1" t="s">
        <v>268</v>
      </c>
      <c r="C727" s="1" t="s">
        <v>283</v>
      </c>
      <c r="D727" s="52">
        <v>46037.657638888886</v>
      </c>
      <c r="E727" s="52">
        <v>46037.657638888886</v>
      </c>
      <c r="F727" s="52">
        <v>46037.719444444447</v>
      </c>
      <c r="G727" s="53">
        <f t="shared" si="46"/>
        <v>6.1805555560567882E-2</v>
      </c>
      <c r="H727" s="1" t="s">
        <v>248</v>
      </c>
      <c r="J727" s="1" t="s">
        <v>249</v>
      </c>
      <c r="K727" s="1" t="s">
        <v>349</v>
      </c>
      <c r="L727" s="1" t="s">
        <v>450</v>
      </c>
      <c r="M727" s="1" t="s">
        <v>251</v>
      </c>
      <c r="N727" s="1" t="s">
        <v>330</v>
      </c>
      <c r="O727" s="1" t="s">
        <v>331</v>
      </c>
      <c r="P727" s="1" t="str">
        <f t="shared" si="47"/>
        <v>BC Caiaponia1SG60KTL(COM1-015)46037,657638888946037,657638888946037,7194444444</v>
      </c>
      <c r="Q727" s="1" t="str">
        <f t="shared" si="48"/>
        <v>DAURDE</v>
      </c>
    </row>
    <row r="728" spans="2:17">
      <c r="B728" s="1" t="s">
        <v>268</v>
      </c>
      <c r="C728" s="1" t="s">
        <v>284</v>
      </c>
      <c r="D728" s="52">
        <v>46037.657638888886</v>
      </c>
      <c r="E728" s="52">
        <v>46037.657638888886</v>
      </c>
      <c r="F728" s="52">
        <v>46037.719444444447</v>
      </c>
      <c r="G728" s="53">
        <f t="shared" si="46"/>
        <v>6.1805555560567882E-2</v>
      </c>
      <c r="H728" s="1" t="s">
        <v>248</v>
      </c>
      <c r="J728" s="1" t="s">
        <v>249</v>
      </c>
      <c r="K728" s="1" t="s">
        <v>349</v>
      </c>
      <c r="L728" s="1" t="s">
        <v>450</v>
      </c>
      <c r="M728" s="1" t="s">
        <v>251</v>
      </c>
      <c r="N728" s="1" t="s">
        <v>330</v>
      </c>
      <c r="O728" s="1" t="s">
        <v>331</v>
      </c>
      <c r="P728" s="1" t="str">
        <f t="shared" si="47"/>
        <v>BC Caiaponia1SG60KTL(COM3-016)_001_00946037,657638888946037,657638888946037,7194444444</v>
      </c>
      <c r="Q728" s="1" t="str">
        <f t="shared" si="48"/>
        <v>DAURDE</v>
      </c>
    </row>
    <row r="729" spans="2:17">
      <c r="B729" s="1" t="s">
        <v>268</v>
      </c>
      <c r="C729" s="1" t="s">
        <v>285</v>
      </c>
      <c r="D729" s="52">
        <v>46037.657638888886</v>
      </c>
      <c r="E729" s="52">
        <v>46037.657638888886</v>
      </c>
      <c r="F729" s="52">
        <v>46037.719444444447</v>
      </c>
      <c r="G729" s="53">
        <f t="shared" si="46"/>
        <v>6.1805555560567882E-2</v>
      </c>
      <c r="H729" s="1" t="s">
        <v>248</v>
      </c>
      <c r="J729" s="1" t="s">
        <v>249</v>
      </c>
      <c r="K729" s="1" t="s">
        <v>349</v>
      </c>
      <c r="L729" s="1" t="s">
        <v>450</v>
      </c>
      <c r="M729" s="1" t="s">
        <v>251</v>
      </c>
      <c r="N729" s="1" t="s">
        <v>330</v>
      </c>
      <c r="O729" s="1" t="s">
        <v>331</v>
      </c>
      <c r="P729" s="1" t="str">
        <f t="shared" si="47"/>
        <v>BC Caiaponia1SG60KTL(COM3-017)_001_01246037,657638888946037,657638888946037,7194444444</v>
      </c>
      <c r="Q729" s="1" t="str">
        <f t="shared" si="48"/>
        <v>DAURDE</v>
      </c>
    </row>
    <row r="730" spans="2:17">
      <c r="B730" s="1" t="s">
        <v>268</v>
      </c>
      <c r="C730" s="1" t="s">
        <v>286</v>
      </c>
      <c r="D730" s="52">
        <v>46037.657638888886</v>
      </c>
      <c r="E730" s="52">
        <v>46037.657638888886</v>
      </c>
      <c r="F730" s="52">
        <v>46037.719444444447</v>
      </c>
      <c r="G730" s="53">
        <f t="shared" si="46"/>
        <v>6.1805555560567882E-2</v>
      </c>
      <c r="H730" s="1" t="s">
        <v>248</v>
      </c>
      <c r="J730" s="1" t="s">
        <v>249</v>
      </c>
      <c r="K730" s="1" t="s">
        <v>349</v>
      </c>
      <c r="L730" s="1" t="s">
        <v>450</v>
      </c>
      <c r="M730" s="1" t="s">
        <v>251</v>
      </c>
      <c r="N730" s="1" t="s">
        <v>330</v>
      </c>
      <c r="O730" s="1" t="s">
        <v>331</v>
      </c>
      <c r="P730" s="1" t="str">
        <f t="shared" si="47"/>
        <v>BC Caiaponia1SG60KTL(COM3-018)_001_00846037,657638888946037,657638888946037,7194444444</v>
      </c>
      <c r="Q730" s="1" t="str">
        <f t="shared" si="48"/>
        <v>DAURDE</v>
      </c>
    </row>
    <row r="731" spans="2:17">
      <c r="B731" s="1" t="s">
        <v>268</v>
      </c>
      <c r="C731" s="1" t="s">
        <v>287</v>
      </c>
      <c r="D731" s="52">
        <v>46037.657638888886</v>
      </c>
      <c r="E731" s="52">
        <v>46037.657638888886</v>
      </c>
      <c r="F731" s="52">
        <v>46037.719444444447</v>
      </c>
      <c r="G731" s="53">
        <f t="shared" si="46"/>
        <v>6.1805555560567882E-2</v>
      </c>
      <c r="H731" s="1" t="s">
        <v>248</v>
      </c>
      <c r="J731" s="1" t="s">
        <v>249</v>
      </c>
      <c r="K731" s="1" t="s">
        <v>349</v>
      </c>
      <c r="L731" s="1" t="s">
        <v>450</v>
      </c>
      <c r="M731" s="1" t="s">
        <v>251</v>
      </c>
      <c r="N731" s="1" t="s">
        <v>330</v>
      </c>
      <c r="O731" s="1" t="s">
        <v>331</v>
      </c>
      <c r="P731" s="1" t="str">
        <f t="shared" si="47"/>
        <v>BC Caiaponia1SG60KTL(COM3-019)_001_01946037,657638888946037,657638888946037,7194444444</v>
      </c>
      <c r="Q731" s="1" t="str">
        <f t="shared" si="48"/>
        <v>DAURDE</v>
      </c>
    </row>
    <row r="732" spans="2:17">
      <c r="B732" s="1" t="s">
        <v>268</v>
      </c>
      <c r="C732" s="1" t="s">
        <v>288</v>
      </c>
      <c r="D732" s="52">
        <v>46037.657638888886</v>
      </c>
      <c r="E732" s="52">
        <v>46037.657638888886</v>
      </c>
      <c r="F732" s="52">
        <v>46037.719444444447</v>
      </c>
      <c r="G732" s="53">
        <f t="shared" si="46"/>
        <v>6.1805555560567882E-2</v>
      </c>
      <c r="H732" s="1" t="s">
        <v>248</v>
      </c>
      <c r="J732" s="1" t="s">
        <v>249</v>
      </c>
      <c r="K732" s="1" t="s">
        <v>349</v>
      </c>
      <c r="L732" s="1" t="s">
        <v>450</v>
      </c>
      <c r="M732" s="1" t="s">
        <v>251</v>
      </c>
      <c r="N732" s="1" t="s">
        <v>330</v>
      </c>
      <c r="O732" s="1" t="s">
        <v>331</v>
      </c>
      <c r="P732" s="1" t="str">
        <f t="shared" si="47"/>
        <v>BC Caiaponia1SG60KTL(COM3-020)_001_02046037,657638888946037,657638888946037,7194444444</v>
      </c>
      <c r="Q732" s="1" t="str">
        <f t="shared" si="48"/>
        <v>DAURDE</v>
      </c>
    </row>
    <row r="733" spans="2:17">
      <c r="B733" s="1" t="s">
        <v>268</v>
      </c>
      <c r="C733" s="1" t="s">
        <v>289</v>
      </c>
      <c r="D733" s="52">
        <v>46037.657638888886</v>
      </c>
      <c r="E733" s="52">
        <v>46037.657638888886</v>
      </c>
      <c r="F733" s="52">
        <v>46037.719444444447</v>
      </c>
      <c r="G733" s="53">
        <f t="shared" si="46"/>
        <v>6.1805555560567882E-2</v>
      </c>
      <c r="H733" s="1" t="s">
        <v>248</v>
      </c>
      <c r="J733" s="1" t="s">
        <v>249</v>
      </c>
      <c r="K733" s="1" t="s">
        <v>349</v>
      </c>
      <c r="L733" s="1" t="s">
        <v>450</v>
      </c>
      <c r="M733" s="1" t="s">
        <v>251</v>
      </c>
      <c r="N733" s="1" t="s">
        <v>330</v>
      </c>
      <c r="O733" s="1" t="s">
        <v>331</v>
      </c>
      <c r="P733" s="1" t="str">
        <f t="shared" si="47"/>
        <v>BC Caiaponia1SG60KTL(COM2-026)46037,657638888946037,657638888946037,7194444444</v>
      </c>
      <c r="Q733" s="1" t="str">
        <f t="shared" si="48"/>
        <v>DAURDE</v>
      </c>
    </row>
    <row r="734" spans="2:17">
      <c r="B734" s="1" t="s">
        <v>268</v>
      </c>
      <c r="C734" s="1" t="s">
        <v>290</v>
      </c>
      <c r="D734" s="52">
        <v>46037.657638888886</v>
      </c>
      <c r="E734" s="52">
        <v>46037.657638888886</v>
      </c>
      <c r="F734" s="52">
        <v>46037.719444444447</v>
      </c>
      <c r="G734" s="53">
        <f t="shared" si="46"/>
        <v>6.1805555560567882E-2</v>
      </c>
      <c r="H734" s="1" t="s">
        <v>248</v>
      </c>
      <c r="J734" s="1" t="s">
        <v>249</v>
      </c>
      <c r="K734" s="1" t="s">
        <v>349</v>
      </c>
      <c r="L734" s="1" t="s">
        <v>450</v>
      </c>
      <c r="M734" s="1" t="s">
        <v>251</v>
      </c>
      <c r="N734" s="1" t="s">
        <v>330</v>
      </c>
      <c r="O734" s="1" t="s">
        <v>331</v>
      </c>
      <c r="P734" s="1" t="str">
        <f t="shared" si="47"/>
        <v>BC Caiaponia1SG60KTL(COM2-027)46037,657638888946037,657638888946037,7194444444</v>
      </c>
      <c r="Q734" s="1" t="str">
        <f t="shared" si="48"/>
        <v>DAURDE</v>
      </c>
    </row>
    <row r="735" spans="2:17">
      <c r="B735" s="1" t="s">
        <v>268</v>
      </c>
      <c r="C735" s="1" t="s">
        <v>291</v>
      </c>
      <c r="D735" s="52">
        <v>46037.657638888886</v>
      </c>
      <c r="E735" s="52">
        <v>46037.657638888886</v>
      </c>
      <c r="F735" s="52">
        <v>46037.719444444447</v>
      </c>
      <c r="G735" s="53">
        <f t="shared" si="46"/>
        <v>6.1805555560567882E-2</v>
      </c>
      <c r="H735" s="1" t="s">
        <v>248</v>
      </c>
      <c r="J735" s="1" t="s">
        <v>249</v>
      </c>
      <c r="K735" s="1" t="s">
        <v>349</v>
      </c>
      <c r="L735" s="1" t="s">
        <v>450</v>
      </c>
      <c r="M735" s="1" t="s">
        <v>251</v>
      </c>
      <c r="N735" s="1" t="s">
        <v>330</v>
      </c>
      <c r="O735" s="1" t="s">
        <v>331</v>
      </c>
      <c r="P735" s="1" t="str">
        <f t="shared" si="47"/>
        <v>BC Caiaponia1SG60KTL(COM2-028)46037,657638888946037,657638888946037,7194444444</v>
      </c>
      <c r="Q735" s="1" t="str">
        <f t="shared" si="48"/>
        <v>DAURDE</v>
      </c>
    </row>
    <row r="736" spans="2:17">
      <c r="B736" s="1" t="s">
        <v>268</v>
      </c>
      <c r="C736" s="1" t="s">
        <v>292</v>
      </c>
      <c r="D736" s="52">
        <v>46037.657638888886</v>
      </c>
      <c r="E736" s="52">
        <v>46037.657638888886</v>
      </c>
      <c r="F736" s="52">
        <v>46037.719444444447</v>
      </c>
      <c r="G736" s="53">
        <f t="shared" si="46"/>
        <v>6.1805555560567882E-2</v>
      </c>
      <c r="H736" s="1" t="s">
        <v>248</v>
      </c>
      <c r="J736" s="1" t="s">
        <v>249</v>
      </c>
      <c r="K736" s="1" t="s">
        <v>349</v>
      </c>
      <c r="L736" s="1" t="s">
        <v>450</v>
      </c>
      <c r="M736" s="1" t="s">
        <v>251</v>
      </c>
      <c r="N736" s="1" t="s">
        <v>330</v>
      </c>
      <c r="O736" s="1" t="s">
        <v>331</v>
      </c>
      <c r="P736" s="1" t="str">
        <f t="shared" si="47"/>
        <v>BC Caiaponia1SG60KTL(COM2-029)46037,657638888946037,657638888946037,7194444444</v>
      </c>
      <c r="Q736" s="1" t="str">
        <f t="shared" si="48"/>
        <v>DAURDE</v>
      </c>
    </row>
    <row r="737" spans="2:17">
      <c r="B737" s="1" t="s">
        <v>268</v>
      </c>
      <c r="C737" s="1" t="s">
        <v>293</v>
      </c>
      <c r="D737" s="52">
        <v>46037.657638888886</v>
      </c>
      <c r="E737" s="52">
        <v>46037.657638888886</v>
      </c>
      <c r="F737" s="52">
        <v>46037.719444444447</v>
      </c>
      <c r="G737" s="53">
        <f t="shared" si="46"/>
        <v>6.1805555560567882E-2</v>
      </c>
      <c r="H737" s="1" t="s">
        <v>248</v>
      </c>
      <c r="J737" s="1" t="s">
        <v>249</v>
      </c>
      <c r="K737" s="1" t="s">
        <v>349</v>
      </c>
      <c r="L737" s="1" t="s">
        <v>450</v>
      </c>
      <c r="M737" s="1" t="s">
        <v>251</v>
      </c>
      <c r="N737" s="1" t="s">
        <v>330</v>
      </c>
      <c r="O737" s="1" t="s">
        <v>331</v>
      </c>
      <c r="P737" s="1" t="str">
        <f t="shared" si="47"/>
        <v>BC Caiaponia1SG50CX(COM1-021)46037,657638888946037,657638888946037,7194444444</v>
      </c>
      <c r="Q737" s="1" t="str">
        <f t="shared" si="48"/>
        <v>DAURDE</v>
      </c>
    </row>
    <row r="738" spans="2:17">
      <c r="B738" s="1" t="s">
        <v>268</v>
      </c>
      <c r="C738" s="1" t="s">
        <v>294</v>
      </c>
      <c r="D738" s="52">
        <v>46037.657638888886</v>
      </c>
      <c r="E738" s="52">
        <v>46037.657638888886</v>
      </c>
      <c r="F738" s="52">
        <v>46037.719444444447</v>
      </c>
      <c r="G738" s="53">
        <f t="shared" si="46"/>
        <v>6.1805555560567882E-2</v>
      </c>
      <c r="H738" s="1" t="s">
        <v>248</v>
      </c>
      <c r="J738" s="1" t="s">
        <v>249</v>
      </c>
      <c r="K738" s="1" t="s">
        <v>349</v>
      </c>
      <c r="L738" s="1" t="s">
        <v>450</v>
      </c>
      <c r="M738" s="1" t="s">
        <v>251</v>
      </c>
      <c r="N738" s="1" t="s">
        <v>330</v>
      </c>
      <c r="O738" s="1" t="s">
        <v>331</v>
      </c>
      <c r="P738" s="1" t="str">
        <f t="shared" si="47"/>
        <v>BC Caiaponia1SG50CX(COM1-022)46037,657638888946037,657638888946037,7194444444</v>
      </c>
      <c r="Q738" s="1" t="str">
        <f t="shared" si="48"/>
        <v>DAURDE</v>
      </c>
    </row>
    <row r="739" spans="2:17">
      <c r="B739" s="1" t="s">
        <v>268</v>
      </c>
      <c r="C739" s="1" t="s">
        <v>295</v>
      </c>
      <c r="D739" s="52">
        <v>46037.657638888886</v>
      </c>
      <c r="E739" s="52">
        <v>46037.657638888886</v>
      </c>
      <c r="F739" s="52">
        <v>46037.719444444447</v>
      </c>
      <c r="G739" s="53">
        <f t="shared" si="46"/>
        <v>6.1805555560567882E-2</v>
      </c>
      <c r="H739" s="1" t="s">
        <v>248</v>
      </c>
      <c r="J739" s="1" t="s">
        <v>249</v>
      </c>
      <c r="K739" s="1" t="s">
        <v>349</v>
      </c>
      <c r="L739" s="1" t="s">
        <v>450</v>
      </c>
      <c r="M739" s="1" t="s">
        <v>251</v>
      </c>
      <c r="N739" s="1" t="s">
        <v>330</v>
      </c>
      <c r="O739" s="1" t="s">
        <v>331</v>
      </c>
      <c r="P739" s="1" t="str">
        <f t="shared" si="47"/>
        <v>BC Caiaponia1SG50CX(COM1-023)46037,657638888946037,657638888946037,7194444444</v>
      </c>
      <c r="Q739" s="1" t="str">
        <f t="shared" si="48"/>
        <v>DAURDE</v>
      </c>
    </row>
    <row r="740" spans="2:17">
      <c r="B740" s="1" t="s">
        <v>268</v>
      </c>
      <c r="C740" s="1" t="s">
        <v>296</v>
      </c>
      <c r="D740" s="52">
        <v>46037.657638888886</v>
      </c>
      <c r="E740" s="52">
        <v>46037.657638888886</v>
      </c>
      <c r="F740" s="52">
        <v>46037.719444444447</v>
      </c>
      <c r="G740" s="53">
        <f t="shared" si="46"/>
        <v>6.1805555560567882E-2</v>
      </c>
      <c r="H740" s="1" t="s">
        <v>248</v>
      </c>
      <c r="J740" s="1" t="s">
        <v>249</v>
      </c>
      <c r="K740" s="1" t="s">
        <v>349</v>
      </c>
      <c r="L740" s="1" t="s">
        <v>450</v>
      </c>
      <c r="M740" s="1" t="s">
        <v>251</v>
      </c>
      <c r="N740" s="1" t="s">
        <v>330</v>
      </c>
      <c r="O740" s="1" t="s">
        <v>331</v>
      </c>
      <c r="P740" s="1" t="str">
        <f t="shared" si="47"/>
        <v>BC Caiaponia1SG50CX(COM1-024)46037,657638888946037,657638888946037,7194444444</v>
      </c>
      <c r="Q740" s="1" t="str">
        <f t="shared" si="48"/>
        <v>DAURDE</v>
      </c>
    </row>
    <row r="741" spans="2:17">
      <c r="B741" s="1" t="s">
        <v>268</v>
      </c>
      <c r="C741" s="1" t="s">
        <v>297</v>
      </c>
      <c r="D741" s="52">
        <v>46037.657638888886</v>
      </c>
      <c r="E741" s="52">
        <v>46037.657638888886</v>
      </c>
      <c r="F741" s="52">
        <v>46037.719444444447</v>
      </c>
      <c r="G741" s="53">
        <f t="shared" si="46"/>
        <v>6.1805555560567882E-2</v>
      </c>
      <c r="H741" s="1" t="s">
        <v>248</v>
      </c>
      <c r="J741" s="1" t="s">
        <v>249</v>
      </c>
      <c r="K741" s="1" t="s">
        <v>349</v>
      </c>
      <c r="L741" s="1" t="s">
        <v>450</v>
      </c>
      <c r="M741" s="1" t="s">
        <v>251</v>
      </c>
      <c r="N741" s="1" t="s">
        <v>330</v>
      </c>
      <c r="O741" s="1" t="s">
        <v>331</v>
      </c>
      <c r="P741" s="1" t="str">
        <f t="shared" si="47"/>
        <v>BC Caiaponia1SG50CX(COM1-025)46037,657638888946037,657638888946037,7194444444</v>
      </c>
      <c r="Q741" s="1" t="str">
        <f t="shared" si="48"/>
        <v>DAURDE</v>
      </c>
    </row>
    <row r="742" spans="2:17">
      <c r="B742" s="1" t="s">
        <v>246</v>
      </c>
      <c r="C742" s="1" t="s">
        <v>247</v>
      </c>
      <c r="D742" s="52">
        <v>46037.657638888886</v>
      </c>
      <c r="E742" s="52">
        <v>46037.657638888886</v>
      </c>
      <c r="F742" s="52">
        <v>46037.719444444447</v>
      </c>
      <c r="G742" s="53">
        <f t="shared" si="46"/>
        <v>6.1805555560567882E-2</v>
      </c>
      <c r="H742" s="1" t="s">
        <v>248</v>
      </c>
      <c r="J742" s="1" t="s">
        <v>249</v>
      </c>
      <c r="K742" s="1" t="s">
        <v>349</v>
      </c>
      <c r="L742" s="1" t="s">
        <v>450</v>
      </c>
      <c r="M742" s="1" t="s">
        <v>251</v>
      </c>
      <c r="N742" s="1" t="s">
        <v>330</v>
      </c>
      <c r="O742" s="1" t="s">
        <v>331</v>
      </c>
      <c r="P742" s="1" t="str">
        <f t="shared" si="47"/>
        <v>BC Caiaponia2.1215KTL-H3(MBUS-12)46037,657638888946037,657638888946037,7194444444</v>
      </c>
      <c r="Q742" s="1" t="str">
        <f t="shared" si="48"/>
        <v>DAURDE</v>
      </c>
    </row>
    <row r="743" spans="2:17">
      <c r="B743" s="1" t="s">
        <v>246</v>
      </c>
      <c r="C743" s="1" t="s">
        <v>254</v>
      </c>
      <c r="D743" s="52">
        <v>46037.657638888886</v>
      </c>
      <c r="E743" s="52">
        <v>46037.657638888886</v>
      </c>
      <c r="F743" s="52">
        <v>46037.719444444447</v>
      </c>
      <c r="G743" s="53">
        <f t="shared" si="46"/>
        <v>6.1805555560567882E-2</v>
      </c>
      <c r="H743" s="1" t="s">
        <v>248</v>
      </c>
      <c r="J743" s="1" t="s">
        <v>249</v>
      </c>
      <c r="K743" s="1" t="s">
        <v>349</v>
      </c>
      <c r="L743" s="1" t="s">
        <v>450</v>
      </c>
      <c r="M743" s="1" t="s">
        <v>251</v>
      </c>
      <c r="N743" s="1" t="s">
        <v>330</v>
      </c>
      <c r="O743" s="1" t="s">
        <v>331</v>
      </c>
      <c r="P743" s="1" t="str">
        <f t="shared" si="47"/>
        <v>BC Caiaponia2.1215KTL-H3(MBUS-13)46037,657638888946037,657638888946037,7194444444</v>
      </c>
      <c r="Q743" s="1" t="str">
        <f t="shared" si="48"/>
        <v>DAURDE</v>
      </c>
    </row>
    <row r="744" spans="2:17">
      <c r="B744" s="1" t="s">
        <v>246</v>
      </c>
      <c r="C744" s="1" t="s">
        <v>255</v>
      </c>
      <c r="D744" s="52">
        <v>46037.657638888886</v>
      </c>
      <c r="E744" s="52">
        <v>46037.657638888886</v>
      </c>
      <c r="F744" s="52">
        <v>46037.719444444447</v>
      </c>
      <c r="G744" s="53">
        <f t="shared" si="46"/>
        <v>6.1805555560567882E-2</v>
      </c>
      <c r="H744" s="1" t="s">
        <v>248</v>
      </c>
      <c r="J744" s="1" t="s">
        <v>249</v>
      </c>
      <c r="K744" s="1" t="s">
        <v>349</v>
      </c>
      <c r="L744" s="1" t="s">
        <v>450</v>
      </c>
      <c r="M744" s="1" t="s">
        <v>251</v>
      </c>
      <c r="N744" s="1" t="s">
        <v>330</v>
      </c>
      <c r="O744" s="1" t="s">
        <v>331</v>
      </c>
      <c r="P744" s="1" t="str">
        <f t="shared" si="47"/>
        <v>BC Caiaponia2.1215KTL-H3(MBUS-14)46037,657638888946037,657638888946037,7194444444</v>
      </c>
      <c r="Q744" s="1" t="str">
        <f t="shared" si="48"/>
        <v>DAURDE</v>
      </c>
    </row>
    <row r="745" spans="2:17">
      <c r="B745" s="1" t="s">
        <v>246</v>
      </c>
      <c r="C745" s="1" t="s">
        <v>256</v>
      </c>
      <c r="D745" s="52">
        <v>46037.657638888886</v>
      </c>
      <c r="E745" s="52">
        <v>46037.657638888886</v>
      </c>
      <c r="F745" s="52">
        <v>46037.719444444447</v>
      </c>
      <c r="G745" s="53">
        <f t="shared" si="46"/>
        <v>6.1805555560567882E-2</v>
      </c>
      <c r="H745" s="1" t="s">
        <v>248</v>
      </c>
      <c r="J745" s="1" t="s">
        <v>249</v>
      </c>
      <c r="K745" s="1" t="s">
        <v>349</v>
      </c>
      <c r="L745" s="1" t="s">
        <v>450</v>
      </c>
      <c r="M745" s="1" t="s">
        <v>251</v>
      </c>
      <c r="N745" s="1" t="s">
        <v>330</v>
      </c>
      <c r="O745" s="1" t="s">
        <v>331</v>
      </c>
      <c r="P745" s="1" t="str">
        <f t="shared" si="47"/>
        <v>BC Caiaponia2.1215KTL-H3(MBUS-15)46037,657638888946037,657638888946037,7194444444</v>
      </c>
      <c r="Q745" s="1" t="str">
        <f t="shared" si="48"/>
        <v>DAURDE</v>
      </c>
    </row>
    <row r="746" spans="2:17">
      <c r="B746" s="1" t="s">
        <v>246</v>
      </c>
      <c r="C746" s="1" t="s">
        <v>257</v>
      </c>
      <c r="D746" s="52">
        <v>46037.657638888886</v>
      </c>
      <c r="E746" s="52">
        <v>46037.657638888886</v>
      </c>
      <c r="F746" s="52">
        <v>46037.719444444447</v>
      </c>
      <c r="G746" s="53">
        <f t="shared" si="46"/>
        <v>6.1805555560567882E-2</v>
      </c>
      <c r="H746" s="1" t="s">
        <v>248</v>
      </c>
      <c r="J746" s="1" t="s">
        <v>249</v>
      </c>
      <c r="K746" s="1" t="s">
        <v>349</v>
      </c>
      <c r="L746" s="1" t="s">
        <v>450</v>
      </c>
      <c r="M746" s="1" t="s">
        <v>251</v>
      </c>
      <c r="N746" s="1" t="s">
        <v>330</v>
      </c>
      <c r="O746" s="1" t="s">
        <v>331</v>
      </c>
      <c r="P746" s="1" t="str">
        <f t="shared" si="47"/>
        <v>BC Caiaponia2.1215KTL-H3(MBUS-16)46037,657638888946037,657638888946037,7194444444</v>
      </c>
      <c r="Q746" s="1" t="str">
        <f t="shared" si="48"/>
        <v>DAURDE</v>
      </c>
    </row>
    <row r="747" spans="2:17">
      <c r="B747" s="1" t="s">
        <v>258</v>
      </c>
      <c r="C747" s="1" t="s">
        <v>247</v>
      </c>
      <c r="D747" s="52">
        <v>46037.657638888886</v>
      </c>
      <c r="E747" s="52">
        <v>46037.657638888886</v>
      </c>
      <c r="F747" s="52">
        <v>46037.719444444447</v>
      </c>
      <c r="G747" s="53">
        <f t="shared" si="46"/>
        <v>6.1805555560567882E-2</v>
      </c>
      <c r="H747" s="1" t="s">
        <v>248</v>
      </c>
      <c r="J747" s="1" t="s">
        <v>249</v>
      </c>
      <c r="K747" s="1" t="s">
        <v>349</v>
      </c>
      <c r="L747" s="1" t="s">
        <v>450</v>
      </c>
      <c r="M747" s="1" t="s">
        <v>251</v>
      </c>
      <c r="N747" s="1" t="s">
        <v>330</v>
      </c>
      <c r="O747" s="1" t="s">
        <v>331</v>
      </c>
      <c r="P747" s="1" t="str">
        <f t="shared" si="47"/>
        <v>BC Caiaponia2.2215KTL-H3(MBUS-12)46037,657638888946037,657638888946037,7194444444</v>
      </c>
      <c r="Q747" s="1" t="str">
        <f t="shared" si="48"/>
        <v>DAURDE</v>
      </c>
    </row>
    <row r="748" spans="2:17">
      <c r="B748" s="1" t="s">
        <v>258</v>
      </c>
      <c r="C748" s="1" t="s">
        <v>254</v>
      </c>
      <c r="D748" s="52">
        <v>46037.657638888886</v>
      </c>
      <c r="E748" s="52">
        <v>46037.657638888886</v>
      </c>
      <c r="F748" s="52">
        <v>46037.719444444447</v>
      </c>
      <c r="G748" s="53">
        <f t="shared" si="46"/>
        <v>6.1805555560567882E-2</v>
      </c>
      <c r="H748" s="1" t="s">
        <v>248</v>
      </c>
      <c r="J748" s="1" t="s">
        <v>249</v>
      </c>
      <c r="K748" s="1" t="s">
        <v>349</v>
      </c>
      <c r="L748" s="1" t="s">
        <v>450</v>
      </c>
      <c r="M748" s="1" t="s">
        <v>251</v>
      </c>
      <c r="N748" s="1" t="s">
        <v>330</v>
      </c>
      <c r="O748" s="1" t="s">
        <v>331</v>
      </c>
      <c r="P748" s="1" t="str">
        <f t="shared" si="47"/>
        <v>BC Caiaponia2.2215KTL-H3(MBUS-13)46037,657638888946037,657638888946037,7194444444</v>
      </c>
      <c r="Q748" s="1" t="str">
        <f t="shared" si="48"/>
        <v>DAURDE</v>
      </c>
    </row>
    <row r="749" spans="2:17">
      <c r="B749" s="1" t="s">
        <v>258</v>
      </c>
      <c r="C749" s="1" t="s">
        <v>255</v>
      </c>
      <c r="D749" s="52">
        <v>46037.657638888886</v>
      </c>
      <c r="E749" s="52">
        <v>46037.657638888886</v>
      </c>
      <c r="F749" s="52">
        <v>46037.719444444447</v>
      </c>
      <c r="G749" s="53">
        <f t="shared" si="46"/>
        <v>6.1805555560567882E-2</v>
      </c>
      <c r="H749" s="1" t="s">
        <v>248</v>
      </c>
      <c r="J749" s="1" t="s">
        <v>249</v>
      </c>
      <c r="K749" s="1" t="s">
        <v>349</v>
      </c>
      <c r="L749" s="1" t="s">
        <v>450</v>
      </c>
      <c r="M749" s="1" t="s">
        <v>251</v>
      </c>
      <c r="N749" s="1" t="s">
        <v>330</v>
      </c>
      <c r="O749" s="1" t="s">
        <v>331</v>
      </c>
      <c r="P749" s="1" t="str">
        <f t="shared" si="47"/>
        <v>BC Caiaponia2.2215KTL-H3(MBUS-14)46037,657638888946037,657638888946037,7194444444</v>
      </c>
      <c r="Q749" s="1" t="str">
        <f t="shared" si="48"/>
        <v>DAURDE</v>
      </c>
    </row>
    <row r="750" spans="2:17">
      <c r="B750" s="1" t="s">
        <v>258</v>
      </c>
      <c r="C750" s="1" t="s">
        <v>256</v>
      </c>
      <c r="D750" s="52">
        <v>46037.657638888886</v>
      </c>
      <c r="E750" s="52">
        <v>46037.657638888886</v>
      </c>
      <c r="F750" s="52">
        <v>46037.719444444447</v>
      </c>
      <c r="G750" s="53">
        <f t="shared" si="46"/>
        <v>6.1805555560567882E-2</v>
      </c>
      <c r="H750" s="1" t="s">
        <v>248</v>
      </c>
      <c r="J750" s="1" t="s">
        <v>249</v>
      </c>
      <c r="K750" s="1" t="s">
        <v>349</v>
      </c>
      <c r="L750" s="1" t="s">
        <v>450</v>
      </c>
      <c r="M750" s="1" t="s">
        <v>251</v>
      </c>
      <c r="N750" s="1" t="s">
        <v>330</v>
      </c>
      <c r="O750" s="1" t="s">
        <v>331</v>
      </c>
      <c r="P750" s="1" t="str">
        <f t="shared" si="47"/>
        <v>BC Caiaponia2.2215KTL-H3(MBUS-15)46037,657638888946037,657638888946037,7194444444</v>
      </c>
      <c r="Q750" s="1" t="str">
        <f t="shared" si="48"/>
        <v>DAURDE</v>
      </c>
    </row>
    <row r="751" spans="2:17">
      <c r="B751" s="1" t="s">
        <v>258</v>
      </c>
      <c r="C751" s="1" t="s">
        <v>257</v>
      </c>
      <c r="D751" s="52">
        <v>46037.657638888886</v>
      </c>
      <c r="E751" s="52">
        <v>46037.657638888886</v>
      </c>
      <c r="F751" s="52">
        <v>46037.719444444447</v>
      </c>
      <c r="G751" s="53">
        <f t="shared" si="46"/>
        <v>6.1805555560567882E-2</v>
      </c>
      <c r="H751" s="1" t="s">
        <v>248</v>
      </c>
      <c r="J751" s="1" t="s">
        <v>249</v>
      </c>
      <c r="K751" s="1" t="s">
        <v>349</v>
      </c>
      <c r="L751" s="1" t="s">
        <v>450</v>
      </c>
      <c r="M751" s="1" t="s">
        <v>251</v>
      </c>
      <c r="N751" s="1" t="s">
        <v>330</v>
      </c>
      <c r="O751" s="1" t="s">
        <v>331</v>
      </c>
      <c r="P751" s="1" t="str">
        <f t="shared" si="47"/>
        <v>BC Caiaponia2.2215KTL-H3(MBUS-16)46037,657638888946037,657638888946037,7194444444</v>
      </c>
      <c r="Q751" s="1" t="str">
        <f t="shared" si="48"/>
        <v>DAURDE</v>
      </c>
    </row>
    <row r="752" spans="2:17">
      <c r="B752" s="1" t="s">
        <v>259</v>
      </c>
      <c r="C752" s="1" t="s">
        <v>247</v>
      </c>
      <c r="D752" s="52">
        <v>46037.657638888886</v>
      </c>
      <c r="E752" s="52">
        <v>46037.657638888886</v>
      </c>
      <c r="F752" s="52">
        <v>46037.719444444447</v>
      </c>
      <c r="G752" s="53">
        <f t="shared" si="46"/>
        <v>6.1805555560567882E-2</v>
      </c>
      <c r="H752" s="1" t="s">
        <v>248</v>
      </c>
      <c r="J752" s="1" t="s">
        <v>249</v>
      </c>
      <c r="K752" s="1" t="s">
        <v>349</v>
      </c>
      <c r="L752" s="1" t="s">
        <v>450</v>
      </c>
      <c r="M752" s="1" t="s">
        <v>251</v>
      </c>
      <c r="N752" s="1" t="s">
        <v>330</v>
      </c>
      <c r="O752" s="1" t="s">
        <v>331</v>
      </c>
      <c r="P752" s="1" t="str">
        <f t="shared" si="47"/>
        <v>BC Caiaponia2.3215KTL-H3(MBUS-12)46037,657638888946037,657638888946037,7194444444</v>
      </c>
      <c r="Q752" s="1" t="str">
        <f t="shared" si="48"/>
        <v>DAURDE</v>
      </c>
    </row>
    <row r="753" spans="2:17">
      <c r="B753" s="1" t="s">
        <v>259</v>
      </c>
      <c r="C753" s="1" t="s">
        <v>254</v>
      </c>
      <c r="D753" s="52">
        <v>46037.657638888886</v>
      </c>
      <c r="E753" s="52">
        <v>46037.657638888886</v>
      </c>
      <c r="F753" s="52">
        <v>46037.719444444447</v>
      </c>
      <c r="G753" s="53">
        <f t="shared" si="46"/>
        <v>6.1805555560567882E-2</v>
      </c>
      <c r="H753" s="1" t="s">
        <v>248</v>
      </c>
      <c r="J753" s="1" t="s">
        <v>249</v>
      </c>
      <c r="K753" s="1" t="s">
        <v>349</v>
      </c>
      <c r="L753" s="1" t="s">
        <v>450</v>
      </c>
      <c r="M753" s="1" t="s">
        <v>251</v>
      </c>
      <c r="N753" s="1" t="s">
        <v>330</v>
      </c>
      <c r="O753" s="1" t="s">
        <v>331</v>
      </c>
      <c r="P753" s="1" t="str">
        <f t="shared" si="47"/>
        <v>BC Caiaponia2.3215KTL-H3(MBUS-13)46037,657638888946037,657638888946037,7194444444</v>
      </c>
      <c r="Q753" s="1" t="str">
        <f t="shared" si="48"/>
        <v>DAURDE</v>
      </c>
    </row>
    <row r="754" spans="2:17">
      <c r="B754" s="1" t="s">
        <v>259</v>
      </c>
      <c r="C754" s="1" t="s">
        <v>255</v>
      </c>
      <c r="D754" s="52">
        <v>46037.657638888886</v>
      </c>
      <c r="E754" s="52">
        <v>46037.657638888886</v>
      </c>
      <c r="F754" s="52">
        <v>46037.719444444447</v>
      </c>
      <c r="G754" s="53">
        <f t="shared" si="46"/>
        <v>6.1805555560567882E-2</v>
      </c>
      <c r="H754" s="1" t="s">
        <v>248</v>
      </c>
      <c r="J754" s="1" t="s">
        <v>249</v>
      </c>
      <c r="K754" s="1" t="s">
        <v>349</v>
      </c>
      <c r="L754" s="1" t="s">
        <v>450</v>
      </c>
      <c r="M754" s="1" t="s">
        <v>251</v>
      </c>
      <c r="N754" s="1" t="s">
        <v>330</v>
      </c>
      <c r="O754" s="1" t="s">
        <v>331</v>
      </c>
      <c r="P754" s="1" t="str">
        <f t="shared" si="47"/>
        <v>BC Caiaponia2.3215KTL-H3(MBUS-14)46037,657638888946037,657638888946037,7194444444</v>
      </c>
      <c r="Q754" s="1" t="str">
        <f t="shared" si="48"/>
        <v>DAURDE</v>
      </c>
    </row>
    <row r="755" spans="2:17">
      <c r="B755" s="1" t="s">
        <v>259</v>
      </c>
      <c r="C755" s="1" t="s">
        <v>256</v>
      </c>
      <c r="D755" s="52">
        <v>46037.657638888886</v>
      </c>
      <c r="E755" s="52">
        <v>46037.657638888886</v>
      </c>
      <c r="F755" s="52">
        <v>46037.719444444447</v>
      </c>
      <c r="G755" s="53">
        <f t="shared" si="46"/>
        <v>6.1805555560567882E-2</v>
      </c>
      <c r="H755" s="1" t="s">
        <v>248</v>
      </c>
      <c r="J755" s="1" t="s">
        <v>249</v>
      </c>
      <c r="K755" s="1" t="s">
        <v>349</v>
      </c>
      <c r="L755" s="1" t="s">
        <v>450</v>
      </c>
      <c r="M755" s="1" t="s">
        <v>251</v>
      </c>
      <c r="N755" s="1" t="s">
        <v>330</v>
      </c>
      <c r="O755" s="1" t="s">
        <v>331</v>
      </c>
      <c r="P755" s="1" t="str">
        <f t="shared" si="47"/>
        <v>BC Caiaponia2.3215KTL-H3(MBUS-15)46037,657638888946037,657638888946037,7194444444</v>
      </c>
      <c r="Q755" s="1" t="str">
        <f t="shared" si="48"/>
        <v>DAURDE</v>
      </c>
    </row>
    <row r="756" spans="2:17">
      <c r="B756" s="1" t="s">
        <v>259</v>
      </c>
      <c r="C756" s="1" t="s">
        <v>257</v>
      </c>
      <c r="D756" s="52">
        <v>46037.657638888886</v>
      </c>
      <c r="E756" s="52">
        <v>46037.657638888886</v>
      </c>
      <c r="F756" s="52">
        <v>46037.719444444447</v>
      </c>
      <c r="G756" s="53">
        <f t="shared" si="46"/>
        <v>6.1805555560567882E-2</v>
      </c>
      <c r="H756" s="1" t="s">
        <v>248</v>
      </c>
      <c r="J756" s="1" t="s">
        <v>249</v>
      </c>
      <c r="K756" s="1" t="s">
        <v>349</v>
      </c>
      <c r="L756" s="1" t="s">
        <v>450</v>
      </c>
      <c r="M756" s="1" t="s">
        <v>251</v>
      </c>
      <c r="N756" s="1" t="s">
        <v>330</v>
      </c>
      <c r="O756" s="1" t="s">
        <v>331</v>
      </c>
      <c r="P756" s="1" t="str">
        <f t="shared" si="47"/>
        <v>BC Caiaponia2.3215KTL-H3(MBUS-16)46037,657638888946037,657638888946037,7194444444</v>
      </c>
      <c r="Q756" s="1" t="str">
        <f t="shared" si="48"/>
        <v>DAURDE</v>
      </c>
    </row>
    <row r="757" spans="2:17">
      <c r="B757" s="1" t="s">
        <v>268</v>
      </c>
      <c r="C757" s="1" t="s">
        <v>269</v>
      </c>
      <c r="D757" s="52">
        <v>46039.420138888891</v>
      </c>
      <c r="E757" s="52">
        <v>46039.420138888891</v>
      </c>
      <c r="F757" s="52">
        <v>46039.475694444445</v>
      </c>
      <c r="G757" s="53">
        <f t="shared" si="46"/>
        <v>5.5555555554747116E-2</v>
      </c>
      <c r="H757" s="1" t="s">
        <v>248</v>
      </c>
      <c r="J757" s="1" t="s">
        <v>249</v>
      </c>
      <c r="K757" s="1" t="s">
        <v>349</v>
      </c>
      <c r="L757" s="1" t="s">
        <v>450</v>
      </c>
      <c r="M757" s="1" t="s">
        <v>251</v>
      </c>
      <c r="N757" s="1" t="s">
        <v>330</v>
      </c>
      <c r="O757" s="1" t="s">
        <v>331</v>
      </c>
      <c r="P757" s="1" t="str">
        <f t="shared" si="47"/>
        <v>BC Caiaponia1SG60KTL(COM1-001)_001_00746039,420138888946039,420138888946039,4756944444</v>
      </c>
      <c r="Q757" s="1" t="str">
        <f t="shared" si="48"/>
        <v>DAURDE</v>
      </c>
    </row>
    <row r="758" spans="2:17">
      <c r="B758" s="1" t="s">
        <v>268</v>
      </c>
      <c r="C758" s="1" t="s">
        <v>270</v>
      </c>
      <c r="D758" s="52">
        <v>46039.420138888891</v>
      </c>
      <c r="E758" s="52">
        <v>46039.420138888891</v>
      </c>
      <c r="F758" s="52">
        <v>46039.475694444445</v>
      </c>
      <c r="G758" s="53">
        <f t="shared" si="46"/>
        <v>5.5555555554747116E-2</v>
      </c>
      <c r="H758" s="1" t="s">
        <v>248</v>
      </c>
      <c r="J758" s="1" t="s">
        <v>249</v>
      </c>
      <c r="K758" s="1" t="s">
        <v>349</v>
      </c>
      <c r="L758" s="1" t="s">
        <v>450</v>
      </c>
      <c r="M758" s="1" t="s">
        <v>251</v>
      </c>
      <c r="N758" s="1" t="s">
        <v>330</v>
      </c>
      <c r="O758" s="1" t="s">
        <v>331</v>
      </c>
      <c r="P758" s="1" t="str">
        <f t="shared" si="47"/>
        <v>BC Caiaponia1SG60KTL(COM1-002)_001_01046039,420138888946039,420138888946039,4756944444</v>
      </c>
      <c r="Q758" s="1" t="str">
        <f t="shared" si="48"/>
        <v>DAURDE</v>
      </c>
    </row>
    <row r="759" spans="2:17">
      <c r="B759" s="1" t="s">
        <v>268</v>
      </c>
      <c r="C759" s="1" t="s">
        <v>271</v>
      </c>
      <c r="D759" s="52">
        <v>46039.420138888891</v>
      </c>
      <c r="E759" s="52">
        <v>46039.420138888891</v>
      </c>
      <c r="F759" s="52">
        <v>46039.475694444445</v>
      </c>
      <c r="G759" s="53">
        <f t="shared" si="46"/>
        <v>5.5555555554747116E-2</v>
      </c>
      <c r="H759" s="1" t="s">
        <v>248</v>
      </c>
      <c r="J759" s="1" t="s">
        <v>249</v>
      </c>
      <c r="K759" s="1" t="s">
        <v>349</v>
      </c>
      <c r="L759" s="1" t="s">
        <v>450</v>
      </c>
      <c r="M759" s="1" t="s">
        <v>251</v>
      </c>
      <c r="N759" s="1" t="s">
        <v>330</v>
      </c>
      <c r="O759" s="1" t="s">
        <v>331</v>
      </c>
      <c r="P759" s="1" t="str">
        <f t="shared" si="47"/>
        <v>BC Caiaponia1SG60KTL(COM1-003)_001_01146039,420138888946039,420138888946039,4756944444</v>
      </c>
      <c r="Q759" s="1" t="str">
        <f t="shared" si="48"/>
        <v>DAURDE</v>
      </c>
    </row>
    <row r="760" spans="2:17">
      <c r="B760" s="1" t="s">
        <v>268</v>
      </c>
      <c r="C760" s="1" t="s">
        <v>272</v>
      </c>
      <c r="D760" s="52">
        <v>46039.420138888891</v>
      </c>
      <c r="E760" s="52">
        <v>46039.420138888891</v>
      </c>
      <c r="F760" s="52">
        <v>46039.475694444445</v>
      </c>
      <c r="G760" s="53">
        <f t="shared" si="46"/>
        <v>5.5555555554747116E-2</v>
      </c>
      <c r="H760" s="1" t="s">
        <v>248</v>
      </c>
      <c r="J760" s="1" t="s">
        <v>249</v>
      </c>
      <c r="K760" s="1" t="s">
        <v>349</v>
      </c>
      <c r="L760" s="1" t="s">
        <v>450</v>
      </c>
      <c r="M760" s="1" t="s">
        <v>251</v>
      </c>
      <c r="N760" s="1" t="s">
        <v>330</v>
      </c>
      <c r="O760" s="1" t="s">
        <v>331</v>
      </c>
      <c r="P760" s="1" t="str">
        <f t="shared" si="47"/>
        <v>BC Caiaponia1SG60KTL(COM1-004)_001_01446039,420138888946039,420138888946039,4756944444</v>
      </c>
      <c r="Q760" s="1" t="str">
        <f t="shared" si="48"/>
        <v>DAURDE</v>
      </c>
    </row>
    <row r="761" spans="2:17">
      <c r="B761" s="1" t="s">
        <v>268</v>
      </c>
      <c r="C761" s="1" t="s">
        <v>273</v>
      </c>
      <c r="D761" s="52">
        <v>46039.420138888891</v>
      </c>
      <c r="E761" s="52">
        <v>46039.420138888891</v>
      </c>
      <c r="F761" s="52">
        <v>46039.475694444445</v>
      </c>
      <c r="G761" s="53">
        <f t="shared" si="46"/>
        <v>5.5555555554747116E-2</v>
      </c>
      <c r="H761" s="1" t="s">
        <v>248</v>
      </c>
      <c r="J761" s="1" t="s">
        <v>249</v>
      </c>
      <c r="K761" s="1" t="s">
        <v>349</v>
      </c>
      <c r="L761" s="1" t="s">
        <v>450</v>
      </c>
      <c r="M761" s="1" t="s">
        <v>251</v>
      </c>
      <c r="N761" s="1" t="s">
        <v>330</v>
      </c>
      <c r="O761" s="1" t="s">
        <v>331</v>
      </c>
      <c r="P761" s="1" t="str">
        <f t="shared" si="47"/>
        <v>BC Caiaponia1SG60KTL(COM1-005)_001_01746039,420138888946039,420138888946039,4756944444</v>
      </c>
      <c r="Q761" s="1" t="str">
        <f t="shared" si="48"/>
        <v>DAURDE</v>
      </c>
    </row>
    <row r="762" spans="2:17">
      <c r="B762" s="1" t="s">
        <v>268</v>
      </c>
      <c r="C762" s="1" t="s">
        <v>274</v>
      </c>
      <c r="D762" s="52">
        <v>46039.420138888891</v>
      </c>
      <c r="E762" s="52">
        <v>46039.420138888891</v>
      </c>
      <c r="F762" s="52">
        <v>46039.475694444445</v>
      </c>
      <c r="G762" s="53">
        <f t="shared" si="46"/>
        <v>5.5555555554747116E-2</v>
      </c>
      <c r="H762" s="1" t="s">
        <v>248</v>
      </c>
      <c r="J762" s="1" t="s">
        <v>249</v>
      </c>
      <c r="K762" s="1" t="s">
        <v>349</v>
      </c>
      <c r="L762" s="1" t="s">
        <v>450</v>
      </c>
      <c r="M762" s="1" t="s">
        <v>251</v>
      </c>
      <c r="N762" s="1" t="s">
        <v>330</v>
      </c>
      <c r="O762" s="1" t="s">
        <v>331</v>
      </c>
      <c r="P762" s="1" t="str">
        <f t="shared" si="47"/>
        <v>BC Caiaponia1SG60KTL(COM1-006)_001_01646039,420138888946039,420138888946039,4756944444</v>
      </c>
      <c r="Q762" s="1" t="str">
        <f t="shared" si="48"/>
        <v>DAURDE</v>
      </c>
    </row>
    <row r="763" spans="2:17">
      <c r="B763" s="1" t="s">
        <v>268</v>
      </c>
      <c r="C763" s="1" t="s">
        <v>275</v>
      </c>
      <c r="D763" s="52">
        <v>46039.420138888891</v>
      </c>
      <c r="E763" s="52">
        <v>46039.420138888891</v>
      </c>
      <c r="F763" s="52">
        <v>46039.475694444445</v>
      </c>
      <c r="G763" s="53">
        <f t="shared" si="46"/>
        <v>5.5555555554747116E-2</v>
      </c>
      <c r="H763" s="1" t="s">
        <v>248</v>
      </c>
      <c r="J763" s="1" t="s">
        <v>249</v>
      </c>
      <c r="K763" s="1" t="s">
        <v>349</v>
      </c>
      <c r="L763" s="1" t="s">
        <v>450</v>
      </c>
      <c r="M763" s="1" t="s">
        <v>251</v>
      </c>
      <c r="N763" s="1" t="s">
        <v>330</v>
      </c>
      <c r="O763" s="1" t="s">
        <v>331</v>
      </c>
      <c r="P763" s="1" t="str">
        <f t="shared" si="47"/>
        <v>BC Caiaponia1SG60KTL(COM1-007)_001_01346039,420138888946039,420138888946039,4756944444</v>
      </c>
      <c r="Q763" s="1" t="str">
        <f t="shared" si="48"/>
        <v>DAURDE</v>
      </c>
    </row>
    <row r="764" spans="2:17">
      <c r="B764" s="1" t="s">
        <v>268</v>
      </c>
      <c r="C764" s="1" t="s">
        <v>276</v>
      </c>
      <c r="D764" s="52">
        <v>46039.420138888891</v>
      </c>
      <c r="E764" s="52">
        <v>46039.420138888891</v>
      </c>
      <c r="F764" s="52">
        <v>46039.475694444445</v>
      </c>
      <c r="G764" s="53">
        <f t="shared" si="46"/>
        <v>5.5555555554747116E-2</v>
      </c>
      <c r="H764" s="1" t="s">
        <v>248</v>
      </c>
      <c r="J764" s="1" t="s">
        <v>249</v>
      </c>
      <c r="K764" s="1" t="s">
        <v>349</v>
      </c>
      <c r="L764" s="1" t="s">
        <v>450</v>
      </c>
      <c r="M764" s="1" t="s">
        <v>251</v>
      </c>
      <c r="N764" s="1" t="s">
        <v>330</v>
      </c>
      <c r="O764" s="1" t="s">
        <v>331</v>
      </c>
      <c r="P764" s="1" t="str">
        <f t="shared" si="47"/>
        <v>BC Caiaponia1SG60KTL(COM1-008)_001_00146039,420138888946039,420138888946039,4756944444</v>
      </c>
      <c r="Q764" s="1" t="str">
        <f t="shared" si="48"/>
        <v>DAURDE</v>
      </c>
    </row>
    <row r="765" spans="2:17">
      <c r="B765" s="1" t="s">
        <v>268</v>
      </c>
      <c r="C765" s="1" t="s">
        <v>277</v>
      </c>
      <c r="D765" s="52">
        <v>46039.420138888891</v>
      </c>
      <c r="E765" s="52">
        <v>46039.420138888891</v>
      </c>
      <c r="F765" s="52">
        <v>46039.475694444445</v>
      </c>
      <c r="G765" s="53">
        <f t="shared" ref="G765:G828" si="49">F765-E765</f>
        <v>5.5555555554747116E-2</v>
      </c>
      <c r="H765" s="1" t="s">
        <v>248</v>
      </c>
      <c r="J765" s="1" t="s">
        <v>249</v>
      </c>
      <c r="K765" s="1" t="s">
        <v>349</v>
      </c>
      <c r="L765" s="1" t="s">
        <v>450</v>
      </c>
      <c r="M765" s="1" t="s">
        <v>251</v>
      </c>
      <c r="N765" s="1" t="s">
        <v>330</v>
      </c>
      <c r="O765" s="1" t="s">
        <v>331</v>
      </c>
      <c r="P765" s="1" t="str">
        <f t="shared" si="47"/>
        <v>BC Caiaponia1SG60KTL(COM1-009)46039,420138888946039,420138888946039,4756944444</v>
      </c>
      <c r="Q765" s="1" t="str">
        <f t="shared" si="48"/>
        <v>DAURDE</v>
      </c>
    </row>
    <row r="766" spans="2:17">
      <c r="B766" s="1" t="s">
        <v>268</v>
      </c>
      <c r="C766" s="1" t="s">
        <v>278</v>
      </c>
      <c r="D766" s="52">
        <v>46039.420138888891</v>
      </c>
      <c r="E766" s="52">
        <v>46039.420138888891</v>
      </c>
      <c r="F766" s="52">
        <v>46039.475694444445</v>
      </c>
      <c r="G766" s="53">
        <f t="shared" si="49"/>
        <v>5.5555555554747116E-2</v>
      </c>
      <c r="H766" s="1" t="s">
        <v>248</v>
      </c>
      <c r="J766" s="1" t="s">
        <v>249</v>
      </c>
      <c r="K766" s="1" t="s">
        <v>349</v>
      </c>
      <c r="L766" s="1" t="s">
        <v>450</v>
      </c>
      <c r="M766" s="1" t="s">
        <v>251</v>
      </c>
      <c r="N766" s="1" t="s">
        <v>330</v>
      </c>
      <c r="O766" s="1" t="s">
        <v>331</v>
      </c>
      <c r="P766" s="1" t="str">
        <f t="shared" si="47"/>
        <v>BC Caiaponia1SG60KTL(COM1-010)46039,420138888946039,420138888946039,4756944444</v>
      </c>
      <c r="Q766" s="1" t="str">
        <f t="shared" si="48"/>
        <v>DAURDE</v>
      </c>
    </row>
    <row r="767" spans="2:17">
      <c r="B767" s="1" t="s">
        <v>268</v>
      </c>
      <c r="C767" s="1" t="s">
        <v>279</v>
      </c>
      <c r="D767" s="52">
        <v>46039.420138888891</v>
      </c>
      <c r="E767" s="52">
        <v>46039.420138888891</v>
      </c>
      <c r="F767" s="52">
        <v>46039.475694444445</v>
      </c>
      <c r="G767" s="53">
        <f t="shared" si="49"/>
        <v>5.5555555554747116E-2</v>
      </c>
      <c r="H767" s="1" t="s">
        <v>248</v>
      </c>
      <c r="J767" s="1" t="s">
        <v>249</v>
      </c>
      <c r="K767" s="1" t="s">
        <v>349</v>
      </c>
      <c r="L767" s="1" t="s">
        <v>450</v>
      </c>
      <c r="M767" s="1" t="s">
        <v>251</v>
      </c>
      <c r="N767" s="1" t="s">
        <v>330</v>
      </c>
      <c r="O767" s="1" t="s">
        <v>331</v>
      </c>
      <c r="P767" s="1" t="str">
        <f t="shared" si="47"/>
        <v>BC Caiaponia1SG60KTL(COM1-011)46039,420138888946039,420138888946039,4756944444</v>
      </c>
      <c r="Q767" s="1" t="str">
        <f t="shared" si="48"/>
        <v>DAURDE</v>
      </c>
    </row>
    <row r="768" spans="2:17">
      <c r="B768" s="1" t="s">
        <v>268</v>
      </c>
      <c r="C768" s="1" t="s">
        <v>280</v>
      </c>
      <c r="D768" s="52">
        <v>46039.420138888891</v>
      </c>
      <c r="E768" s="52">
        <v>46039.420138888891</v>
      </c>
      <c r="F768" s="52">
        <v>46039.475694444445</v>
      </c>
      <c r="G768" s="53">
        <f t="shared" si="49"/>
        <v>5.5555555554747116E-2</v>
      </c>
      <c r="H768" s="1" t="s">
        <v>248</v>
      </c>
      <c r="J768" s="1" t="s">
        <v>249</v>
      </c>
      <c r="K768" s="1" t="s">
        <v>349</v>
      </c>
      <c r="L768" s="1" t="s">
        <v>450</v>
      </c>
      <c r="M768" s="1" t="s">
        <v>251</v>
      </c>
      <c r="N768" s="1" t="s">
        <v>330</v>
      </c>
      <c r="O768" s="1" t="s">
        <v>331</v>
      </c>
      <c r="P768" s="1" t="str">
        <f t="shared" si="47"/>
        <v>BC Caiaponia1SG60KTL(COM1-012)46039,420138888946039,420138888946039,4756944444</v>
      </c>
      <c r="Q768" s="1" t="str">
        <f t="shared" si="48"/>
        <v>DAURDE</v>
      </c>
    </row>
    <row r="769" spans="2:17">
      <c r="B769" s="1" t="s">
        <v>268</v>
      </c>
      <c r="C769" s="1" t="s">
        <v>281</v>
      </c>
      <c r="D769" s="52">
        <v>46039.420138888891</v>
      </c>
      <c r="E769" s="52">
        <v>46039.420138888891</v>
      </c>
      <c r="F769" s="52">
        <v>46039.475694444445</v>
      </c>
      <c r="G769" s="53">
        <f t="shared" si="49"/>
        <v>5.5555555554747116E-2</v>
      </c>
      <c r="H769" s="1" t="s">
        <v>248</v>
      </c>
      <c r="J769" s="1" t="s">
        <v>249</v>
      </c>
      <c r="K769" s="1" t="s">
        <v>349</v>
      </c>
      <c r="L769" s="1" t="s">
        <v>450</v>
      </c>
      <c r="M769" s="1" t="s">
        <v>251</v>
      </c>
      <c r="N769" s="1" t="s">
        <v>330</v>
      </c>
      <c r="O769" s="1" t="s">
        <v>331</v>
      </c>
      <c r="P769" s="1" t="str">
        <f t="shared" si="47"/>
        <v>BC Caiaponia1SG60KTL(COM1-013)46039,420138888946039,420138888946039,4756944444</v>
      </c>
      <c r="Q769" s="1" t="str">
        <f t="shared" si="48"/>
        <v>DAURDE</v>
      </c>
    </row>
    <row r="770" spans="2:17">
      <c r="B770" s="1" t="s">
        <v>268</v>
      </c>
      <c r="C770" s="1" t="s">
        <v>282</v>
      </c>
      <c r="D770" s="52">
        <v>46039.420138888891</v>
      </c>
      <c r="E770" s="52">
        <v>46039.420138888891</v>
      </c>
      <c r="F770" s="52">
        <v>46039.475694444445</v>
      </c>
      <c r="G770" s="53">
        <f t="shared" si="49"/>
        <v>5.5555555554747116E-2</v>
      </c>
      <c r="H770" s="1" t="s">
        <v>248</v>
      </c>
      <c r="J770" s="1" t="s">
        <v>249</v>
      </c>
      <c r="K770" s="1" t="s">
        <v>349</v>
      </c>
      <c r="L770" s="1" t="s">
        <v>450</v>
      </c>
      <c r="M770" s="1" t="s">
        <v>251</v>
      </c>
      <c r="N770" s="1" t="s">
        <v>330</v>
      </c>
      <c r="O770" s="1" t="s">
        <v>331</v>
      </c>
      <c r="P770" s="1" t="str">
        <f t="shared" si="47"/>
        <v>BC Caiaponia1SG60KTL(COM1-014)46039,420138888946039,420138888946039,4756944444</v>
      </c>
      <c r="Q770" s="1" t="str">
        <f t="shared" si="48"/>
        <v>DAURDE</v>
      </c>
    </row>
    <row r="771" spans="2:17">
      <c r="B771" s="1" t="s">
        <v>268</v>
      </c>
      <c r="C771" s="1" t="s">
        <v>283</v>
      </c>
      <c r="D771" s="52">
        <v>46039.420138888891</v>
      </c>
      <c r="E771" s="52">
        <v>46039.420138888891</v>
      </c>
      <c r="F771" s="52">
        <v>46039.475694444445</v>
      </c>
      <c r="G771" s="53">
        <f t="shared" si="49"/>
        <v>5.5555555554747116E-2</v>
      </c>
      <c r="H771" s="1" t="s">
        <v>248</v>
      </c>
      <c r="J771" s="1" t="s">
        <v>249</v>
      </c>
      <c r="K771" s="1" t="s">
        <v>349</v>
      </c>
      <c r="L771" s="1" t="s">
        <v>450</v>
      </c>
      <c r="M771" s="1" t="s">
        <v>251</v>
      </c>
      <c r="N771" s="1" t="s">
        <v>330</v>
      </c>
      <c r="O771" s="1" t="s">
        <v>331</v>
      </c>
      <c r="P771" s="1" t="str">
        <f t="shared" si="47"/>
        <v>BC Caiaponia1SG60KTL(COM1-015)46039,420138888946039,420138888946039,4756944444</v>
      </c>
      <c r="Q771" s="1" t="str">
        <f t="shared" si="48"/>
        <v>DAURDE</v>
      </c>
    </row>
    <row r="772" spans="2:17">
      <c r="B772" s="1" t="s">
        <v>268</v>
      </c>
      <c r="C772" s="1" t="s">
        <v>284</v>
      </c>
      <c r="D772" s="52">
        <v>46039.420138888891</v>
      </c>
      <c r="E772" s="52">
        <v>46039.420138888891</v>
      </c>
      <c r="F772" s="52">
        <v>46039.475694444445</v>
      </c>
      <c r="G772" s="53">
        <f t="shared" si="49"/>
        <v>5.5555555554747116E-2</v>
      </c>
      <c r="H772" s="1" t="s">
        <v>248</v>
      </c>
      <c r="J772" s="1" t="s">
        <v>249</v>
      </c>
      <c r="K772" s="1" t="s">
        <v>349</v>
      </c>
      <c r="L772" s="1" t="s">
        <v>450</v>
      </c>
      <c r="M772" s="1" t="s">
        <v>251</v>
      </c>
      <c r="N772" s="1" t="s">
        <v>330</v>
      </c>
      <c r="O772" s="1" t="s">
        <v>331</v>
      </c>
      <c r="P772" s="1" t="str">
        <f t="shared" si="47"/>
        <v>BC Caiaponia1SG60KTL(COM3-016)_001_00946039,420138888946039,420138888946039,4756944444</v>
      </c>
      <c r="Q772" s="1" t="str">
        <f t="shared" si="48"/>
        <v>DAURDE</v>
      </c>
    </row>
    <row r="773" spans="2:17">
      <c r="B773" s="1" t="s">
        <v>268</v>
      </c>
      <c r="C773" s="1" t="s">
        <v>285</v>
      </c>
      <c r="D773" s="52">
        <v>46039.420138888891</v>
      </c>
      <c r="E773" s="52">
        <v>46039.420138888891</v>
      </c>
      <c r="F773" s="52">
        <v>46039.475694444445</v>
      </c>
      <c r="G773" s="53">
        <f t="shared" si="49"/>
        <v>5.5555555554747116E-2</v>
      </c>
      <c r="H773" s="1" t="s">
        <v>248</v>
      </c>
      <c r="J773" s="1" t="s">
        <v>249</v>
      </c>
      <c r="K773" s="1" t="s">
        <v>349</v>
      </c>
      <c r="L773" s="1" t="s">
        <v>450</v>
      </c>
      <c r="M773" s="1" t="s">
        <v>251</v>
      </c>
      <c r="N773" s="1" t="s">
        <v>330</v>
      </c>
      <c r="O773" s="1" t="s">
        <v>331</v>
      </c>
      <c r="P773" s="1" t="str">
        <f t="shared" si="47"/>
        <v>BC Caiaponia1SG60KTL(COM3-017)_001_01246039,420138888946039,420138888946039,4756944444</v>
      </c>
      <c r="Q773" s="1" t="str">
        <f t="shared" si="48"/>
        <v>DAURDE</v>
      </c>
    </row>
    <row r="774" spans="2:17">
      <c r="B774" s="1" t="s">
        <v>268</v>
      </c>
      <c r="C774" s="1" t="s">
        <v>286</v>
      </c>
      <c r="D774" s="52">
        <v>46039.420138888891</v>
      </c>
      <c r="E774" s="52">
        <v>46039.420138888891</v>
      </c>
      <c r="F774" s="52">
        <v>46039.475694444445</v>
      </c>
      <c r="G774" s="53">
        <f t="shared" si="49"/>
        <v>5.5555555554747116E-2</v>
      </c>
      <c r="H774" s="1" t="s">
        <v>248</v>
      </c>
      <c r="J774" s="1" t="s">
        <v>249</v>
      </c>
      <c r="K774" s="1" t="s">
        <v>349</v>
      </c>
      <c r="L774" s="1" t="s">
        <v>450</v>
      </c>
      <c r="M774" s="1" t="s">
        <v>251</v>
      </c>
      <c r="N774" s="1" t="s">
        <v>330</v>
      </c>
      <c r="O774" s="1" t="s">
        <v>331</v>
      </c>
      <c r="P774" s="1" t="str">
        <f t="shared" si="47"/>
        <v>BC Caiaponia1SG60KTL(COM3-018)_001_00846039,420138888946039,420138888946039,4756944444</v>
      </c>
      <c r="Q774" s="1" t="str">
        <f t="shared" si="48"/>
        <v>DAURDE</v>
      </c>
    </row>
    <row r="775" spans="2:17">
      <c r="B775" s="1" t="s">
        <v>268</v>
      </c>
      <c r="C775" s="1" t="s">
        <v>287</v>
      </c>
      <c r="D775" s="52">
        <v>46039.420138888891</v>
      </c>
      <c r="E775" s="52">
        <v>46039.420138888891</v>
      </c>
      <c r="F775" s="52">
        <v>46039.475694444445</v>
      </c>
      <c r="G775" s="53">
        <f t="shared" si="49"/>
        <v>5.5555555554747116E-2</v>
      </c>
      <c r="H775" s="1" t="s">
        <v>248</v>
      </c>
      <c r="J775" s="1" t="s">
        <v>249</v>
      </c>
      <c r="K775" s="1" t="s">
        <v>349</v>
      </c>
      <c r="L775" s="1" t="s">
        <v>450</v>
      </c>
      <c r="M775" s="1" t="s">
        <v>251</v>
      </c>
      <c r="N775" s="1" t="s">
        <v>330</v>
      </c>
      <c r="O775" s="1" t="s">
        <v>331</v>
      </c>
      <c r="P775" s="1" t="str">
        <f t="shared" ref="P775:P838" si="50">_xlfn.CONCAT(B775,C775,D775,E775,F775)</f>
        <v>BC Caiaponia1SG60KTL(COM3-019)_001_01946039,420138888946039,420138888946039,4756944444</v>
      </c>
      <c r="Q775" s="1" t="str">
        <f t="shared" ref="Q775:Q838" si="51">_xlfn.CONCAT(H775,I775,J775)</f>
        <v>DAURDE</v>
      </c>
    </row>
    <row r="776" spans="2:17">
      <c r="B776" s="1" t="s">
        <v>268</v>
      </c>
      <c r="C776" s="1" t="s">
        <v>288</v>
      </c>
      <c r="D776" s="52">
        <v>46039.420138888891</v>
      </c>
      <c r="E776" s="52">
        <v>46039.420138888891</v>
      </c>
      <c r="F776" s="52">
        <v>46039.475694444445</v>
      </c>
      <c r="G776" s="53">
        <f t="shared" si="49"/>
        <v>5.5555555554747116E-2</v>
      </c>
      <c r="H776" s="1" t="s">
        <v>248</v>
      </c>
      <c r="J776" s="1" t="s">
        <v>249</v>
      </c>
      <c r="K776" s="1" t="s">
        <v>349</v>
      </c>
      <c r="L776" s="1" t="s">
        <v>450</v>
      </c>
      <c r="M776" s="1" t="s">
        <v>251</v>
      </c>
      <c r="N776" s="1" t="s">
        <v>330</v>
      </c>
      <c r="O776" s="1" t="s">
        <v>331</v>
      </c>
      <c r="P776" s="1" t="str">
        <f t="shared" si="50"/>
        <v>BC Caiaponia1SG60KTL(COM3-020)_001_02046039,420138888946039,420138888946039,4756944444</v>
      </c>
      <c r="Q776" s="1" t="str">
        <f t="shared" si="51"/>
        <v>DAURDE</v>
      </c>
    </row>
    <row r="777" spans="2:17">
      <c r="B777" s="1" t="s">
        <v>268</v>
      </c>
      <c r="C777" s="1" t="s">
        <v>289</v>
      </c>
      <c r="D777" s="52">
        <v>46039.420138888891</v>
      </c>
      <c r="E777" s="52">
        <v>46039.420138888891</v>
      </c>
      <c r="F777" s="52">
        <v>46039.475694444445</v>
      </c>
      <c r="G777" s="53">
        <f t="shared" si="49"/>
        <v>5.5555555554747116E-2</v>
      </c>
      <c r="H777" s="1" t="s">
        <v>248</v>
      </c>
      <c r="J777" s="1" t="s">
        <v>249</v>
      </c>
      <c r="K777" s="1" t="s">
        <v>349</v>
      </c>
      <c r="L777" s="1" t="s">
        <v>450</v>
      </c>
      <c r="M777" s="1" t="s">
        <v>251</v>
      </c>
      <c r="N777" s="1" t="s">
        <v>330</v>
      </c>
      <c r="O777" s="1" t="s">
        <v>331</v>
      </c>
      <c r="P777" s="1" t="str">
        <f t="shared" si="50"/>
        <v>BC Caiaponia1SG60KTL(COM2-026)46039,420138888946039,420138888946039,4756944444</v>
      </c>
      <c r="Q777" s="1" t="str">
        <f t="shared" si="51"/>
        <v>DAURDE</v>
      </c>
    </row>
    <row r="778" spans="2:17">
      <c r="B778" s="1" t="s">
        <v>268</v>
      </c>
      <c r="C778" s="1" t="s">
        <v>290</v>
      </c>
      <c r="D778" s="52">
        <v>46039.420138888891</v>
      </c>
      <c r="E778" s="52">
        <v>46039.420138888891</v>
      </c>
      <c r="F778" s="52">
        <v>46039.475694444445</v>
      </c>
      <c r="G778" s="53">
        <f t="shared" si="49"/>
        <v>5.5555555554747116E-2</v>
      </c>
      <c r="H778" s="1" t="s">
        <v>248</v>
      </c>
      <c r="J778" s="1" t="s">
        <v>249</v>
      </c>
      <c r="K778" s="1" t="s">
        <v>349</v>
      </c>
      <c r="L778" s="1" t="s">
        <v>450</v>
      </c>
      <c r="M778" s="1" t="s">
        <v>251</v>
      </c>
      <c r="N778" s="1" t="s">
        <v>330</v>
      </c>
      <c r="O778" s="1" t="s">
        <v>331</v>
      </c>
      <c r="P778" s="1" t="str">
        <f t="shared" si="50"/>
        <v>BC Caiaponia1SG60KTL(COM2-027)46039,420138888946039,420138888946039,4756944444</v>
      </c>
      <c r="Q778" s="1" t="str">
        <f t="shared" si="51"/>
        <v>DAURDE</v>
      </c>
    </row>
    <row r="779" spans="2:17">
      <c r="B779" s="1" t="s">
        <v>268</v>
      </c>
      <c r="C779" s="1" t="s">
        <v>291</v>
      </c>
      <c r="D779" s="52">
        <v>46039.420138888891</v>
      </c>
      <c r="E779" s="52">
        <v>46039.420138888891</v>
      </c>
      <c r="F779" s="52">
        <v>46039.475694444445</v>
      </c>
      <c r="G779" s="53">
        <f t="shared" si="49"/>
        <v>5.5555555554747116E-2</v>
      </c>
      <c r="H779" s="1" t="s">
        <v>248</v>
      </c>
      <c r="J779" s="1" t="s">
        <v>249</v>
      </c>
      <c r="K779" s="1" t="s">
        <v>349</v>
      </c>
      <c r="L779" s="1" t="s">
        <v>450</v>
      </c>
      <c r="M779" s="1" t="s">
        <v>251</v>
      </c>
      <c r="N779" s="1" t="s">
        <v>330</v>
      </c>
      <c r="O779" s="1" t="s">
        <v>331</v>
      </c>
      <c r="P779" s="1" t="str">
        <f t="shared" si="50"/>
        <v>BC Caiaponia1SG60KTL(COM2-028)46039,420138888946039,420138888946039,4756944444</v>
      </c>
      <c r="Q779" s="1" t="str">
        <f t="shared" si="51"/>
        <v>DAURDE</v>
      </c>
    </row>
    <row r="780" spans="2:17">
      <c r="B780" s="1" t="s">
        <v>268</v>
      </c>
      <c r="C780" s="1" t="s">
        <v>292</v>
      </c>
      <c r="D780" s="52">
        <v>46039.420138888891</v>
      </c>
      <c r="E780" s="52">
        <v>46039.420138888891</v>
      </c>
      <c r="F780" s="52">
        <v>46039.475694444445</v>
      </c>
      <c r="G780" s="53">
        <f t="shared" si="49"/>
        <v>5.5555555554747116E-2</v>
      </c>
      <c r="H780" s="1" t="s">
        <v>248</v>
      </c>
      <c r="J780" s="1" t="s">
        <v>249</v>
      </c>
      <c r="K780" s="1" t="s">
        <v>349</v>
      </c>
      <c r="L780" s="1" t="s">
        <v>450</v>
      </c>
      <c r="M780" s="1" t="s">
        <v>251</v>
      </c>
      <c r="N780" s="1" t="s">
        <v>330</v>
      </c>
      <c r="O780" s="1" t="s">
        <v>331</v>
      </c>
      <c r="P780" s="1" t="str">
        <f t="shared" si="50"/>
        <v>BC Caiaponia1SG60KTL(COM2-029)46039,420138888946039,420138888946039,4756944444</v>
      </c>
      <c r="Q780" s="1" t="str">
        <f t="shared" si="51"/>
        <v>DAURDE</v>
      </c>
    </row>
    <row r="781" spans="2:17">
      <c r="B781" s="1" t="s">
        <v>268</v>
      </c>
      <c r="C781" s="1" t="s">
        <v>293</v>
      </c>
      <c r="D781" s="52">
        <v>46039.420138888891</v>
      </c>
      <c r="E781" s="52">
        <v>46039.420138888891</v>
      </c>
      <c r="F781" s="52">
        <v>46039.475694444445</v>
      </c>
      <c r="G781" s="53">
        <f t="shared" si="49"/>
        <v>5.5555555554747116E-2</v>
      </c>
      <c r="H781" s="1" t="s">
        <v>248</v>
      </c>
      <c r="J781" s="1" t="s">
        <v>249</v>
      </c>
      <c r="K781" s="1" t="s">
        <v>349</v>
      </c>
      <c r="L781" s="1" t="s">
        <v>450</v>
      </c>
      <c r="M781" s="1" t="s">
        <v>251</v>
      </c>
      <c r="N781" s="1" t="s">
        <v>330</v>
      </c>
      <c r="O781" s="1" t="s">
        <v>331</v>
      </c>
      <c r="P781" s="1" t="str">
        <f t="shared" si="50"/>
        <v>BC Caiaponia1SG50CX(COM1-021)46039,420138888946039,420138888946039,4756944444</v>
      </c>
      <c r="Q781" s="1" t="str">
        <f t="shared" si="51"/>
        <v>DAURDE</v>
      </c>
    </row>
    <row r="782" spans="2:17">
      <c r="B782" s="1" t="s">
        <v>268</v>
      </c>
      <c r="C782" s="1" t="s">
        <v>294</v>
      </c>
      <c r="D782" s="52">
        <v>46039.420138888891</v>
      </c>
      <c r="E782" s="52">
        <v>46039.420138888891</v>
      </c>
      <c r="F782" s="52">
        <v>46039.475694444445</v>
      </c>
      <c r="G782" s="53">
        <f t="shared" si="49"/>
        <v>5.5555555554747116E-2</v>
      </c>
      <c r="H782" s="1" t="s">
        <v>248</v>
      </c>
      <c r="J782" s="1" t="s">
        <v>249</v>
      </c>
      <c r="K782" s="1" t="s">
        <v>349</v>
      </c>
      <c r="L782" s="1" t="s">
        <v>450</v>
      </c>
      <c r="M782" s="1" t="s">
        <v>251</v>
      </c>
      <c r="N782" s="1" t="s">
        <v>330</v>
      </c>
      <c r="O782" s="1" t="s">
        <v>331</v>
      </c>
      <c r="P782" s="1" t="str">
        <f t="shared" si="50"/>
        <v>BC Caiaponia1SG50CX(COM1-022)46039,420138888946039,420138888946039,4756944444</v>
      </c>
      <c r="Q782" s="1" t="str">
        <f t="shared" si="51"/>
        <v>DAURDE</v>
      </c>
    </row>
    <row r="783" spans="2:17">
      <c r="B783" s="1" t="s">
        <v>268</v>
      </c>
      <c r="C783" s="1" t="s">
        <v>295</v>
      </c>
      <c r="D783" s="52">
        <v>46039.420138888891</v>
      </c>
      <c r="E783" s="52">
        <v>46039.420138888891</v>
      </c>
      <c r="F783" s="52">
        <v>46039.475694444445</v>
      </c>
      <c r="G783" s="53">
        <f t="shared" si="49"/>
        <v>5.5555555554747116E-2</v>
      </c>
      <c r="H783" s="1" t="s">
        <v>248</v>
      </c>
      <c r="J783" s="1" t="s">
        <v>249</v>
      </c>
      <c r="K783" s="1" t="s">
        <v>349</v>
      </c>
      <c r="L783" s="1" t="s">
        <v>450</v>
      </c>
      <c r="M783" s="1" t="s">
        <v>251</v>
      </c>
      <c r="N783" s="1" t="s">
        <v>330</v>
      </c>
      <c r="O783" s="1" t="s">
        <v>331</v>
      </c>
      <c r="P783" s="1" t="str">
        <f t="shared" si="50"/>
        <v>BC Caiaponia1SG50CX(COM1-023)46039,420138888946039,420138888946039,4756944444</v>
      </c>
      <c r="Q783" s="1" t="str">
        <f t="shared" si="51"/>
        <v>DAURDE</v>
      </c>
    </row>
    <row r="784" spans="2:17">
      <c r="B784" s="1" t="s">
        <v>268</v>
      </c>
      <c r="C784" s="1" t="s">
        <v>296</v>
      </c>
      <c r="D784" s="52">
        <v>46039.420138888891</v>
      </c>
      <c r="E784" s="52">
        <v>46039.420138888891</v>
      </c>
      <c r="F784" s="52">
        <v>46039.475694444445</v>
      </c>
      <c r="G784" s="53">
        <f t="shared" si="49"/>
        <v>5.5555555554747116E-2</v>
      </c>
      <c r="H784" s="1" t="s">
        <v>248</v>
      </c>
      <c r="J784" s="1" t="s">
        <v>249</v>
      </c>
      <c r="K784" s="1" t="s">
        <v>349</v>
      </c>
      <c r="L784" s="1" t="s">
        <v>450</v>
      </c>
      <c r="M784" s="1" t="s">
        <v>251</v>
      </c>
      <c r="N784" s="1" t="s">
        <v>330</v>
      </c>
      <c r="O784" s="1" t="s">
        <v>331</v>
      </c>
      <c r="P784" s="1" t="str">
        <f t="shared" si="50"/>
        <v>BC Caiaponia1SG50CX(COM1-024)46039,420138888946039,420138888946039,4756944444</v>
      </c>
      <c r="Q784" s="1" t="str">
        <f t="shared" si="51"/>
        <v>DAURDE</v>
      </c>
    </row>
    <row r="785" spans="2:17">
      <c r="B785" s="1" t="s">
        <v>268</v>
      </c>
      <c r="C785" s="1" t="s">
        <v>297</v>
      </c>
      <c r="D785" s="52">
        <v>46039.420138888891</v>
      </c>
      <c r="E785" s="52">
        <v>46039.420138888891</v>
      </c>
      <c r="F785" s="52">
        <v>46039.475694444445</v>
      </c>
      <c r="G785" s="53">
        <f t="shared" si="49"/>
        <v>5.5555555554747116E-2</v>
      </c>
      <c r="H785" s="1" t="s">
        <v>248</v>
      </c>
      <c r="J785" s="1" t="s">
        <v>249</v>
      </c>
      <c r="K785" s="1" t="s">
        <v>349</v>
      </c>
      <c r="L785" s="1" t="s">
        <v>450</v>
      </c>
      <c r="M785" s="1" t="s">
        <v>251</v>
      </c>
      <c r="N785" s="1" t="s">
        <v>330</v>
      </c>
      <c r="O785" s="1" t="s">
        <v>331</v>
      </c>
      <c r="P785" s="1" t="str">
        <f t="shared" si="50"/>
        <v>BC Caiaponia1SG50CX(COM1-025)46039,420138888946039,420138888946039,4756944444</v>
      </c>
      <c r="Q785" s="1" t="str">
        <f t="shared" si="51"/>
        <v>DAURDE</v>
      </c>
    </row>
    <row r="786" spans="2:17">
      <c r="B786" s="1" t="s">
        <v>246</v>
      </c>
      <c r="C786" s="1" t="s">
        <v>247</v>
      </c>
      <c r="D786" s="52">
        <v>46039.420138888891</v>
      </c>
      <c r="E786" s="52">
        <v>46039.420138888891</v>
      </c>
      <c r="F786" s="52">
        <v>46039.475694444445</v>
      </c>
      <c r="G786" s="53">
        <f t="shared" si="49"/>
        <v>5.5555555554747116E-2</v>
      </c>
      <c r="H786" s="1" t="s">
        <v>248</v>
      </c>
      <c r="J786" s="1" t="s">
        <v>249</v>
      </c>
      <c r="K786" s="1" t="s">
        <v>349</v>
      </c>
      <c r="L786" s="1" t="s">
        <v>450</v>
      </c>
      <c r="M786" s="1" t="s">
        <v>251</v>
      </c>
      <c r="N786" s="1" t="s">
        <v>330</v>
      </c>
      <c r="O786" s="1" t="s">
        <v>331</v>
      </c>
      <c r="P786" s="1" t="str">
        <f t="shared" si="50"/>
        <v>BC Caiaponia2.1215KTL-H3(MBUS-12)46039,420138888946039,420138888946039,4756944444</v>
      </c>
      <c r="Q786" s="1" t="str">
        <f t="shared" si="51"/>
        <v>DAURDE</v>
      </c>
    </row>
    <row r="787" spans="2:17">
      <c r="B787" s="1" t="s">
        <v>246</v>
      </c>
      <c r="C787" s="1" t="s">
        <v>254</v>
      </c>
      <c r="D787" s="52">
        <v>46039.420138888891</v>
      </c>
      <c r="E787" s="52">
        <v>46039.420138888891</v>
      </c>
      <c r="F787" s="52">
        <v>46039.475694444445</v>
      </c>
      <c r="G787" s="53">
        <f t="shared" si="49"/>
        <v>5.5555555554747116E-2</v>
      </c>
      <c r="H787" s="1" t="s">
        <v>248</v>
      </c>
      <c r="J787" s="1" t="s">
        <v>249</v>
      </c>
      <c r="K787" s="1" t="s">
        <v>349</v>
      </c>
      <c r="L787" s="1" t="s">
        <v>450</v>
      </c>
      <c r="M787" s="1" t="s">
        <v>251</v>
      </c>
      <c r="N787" s="1" t="s">
        <v>330</v>
      </c>
      <c r="O787" s="1" t="s">
        <v>331</v>
      </c>
      <c r="P787" s="1" t="str">
        <f t="shared" si="50"/>
        <v>BC Caiaponia2.1215KTL-H3(MBUS-13)46039,420138888946039,420138888946039,4756944444</v>
      </c>
      <c r="Q787" s="1" t="str">
        <f t="shared" si="51"/>
        <v>DAURDE</v>
      </c>
    </row>
    <row r="788" spans="2:17">
      <c r="B788" s="1" t="s">
        <v>246</v>
      </c>
      <c r="C788" s="1" t="s">
        <v>255</v>
      </c>
      <c r="D788" s="52">
        <v>46039.420138888891</v>
      </c>
      <c r="E788" s="52">
        <v>46039.420138888891</v>
      </c>
      <c r="F788" s="52">
        <v>46039.475694444445</v>
      </c>
      <c r="G788" s="53">
        <f t="shared" si="49"/>
        <v>5.5555555554747116E-2</v>
      </c>
      <c r="H788" s="1" t="s">
        <v>248</v>
      </c>
      <c r="J788" s="1" t="s">
        <v>249</v>
      </c>
      <c r="K788" s="1" t="s">
        <v>349</v>
      </c>
      <c r="L788" s="1" t="s">
        <v>450</v>
      </c>
      <c r="M788" s="1" t="s">
        <v>251</v>
      </c>
      <c r="N788" s="1" t="s">
        <v>330</v>
      </c>
      <c r="O788" s="1" t="s">
        <v>331</v>
      </c>
      <c r="P788" s="1" t="str">
        <f t="shared" si="50"/>
        <v>BC Caiaponia2.1215KTL-H3(MBUS-14)46039,420138888946039,420138888946039,4756944444</v>
      </c>
      <c r="Q788" s="1" t="str">
        <f t="shared" si="51"/>
        <v>DAURDE</v>
      </c>
    </row>
    <row r="789" spans="2:17">
      <c r="B789" s="1" t="s">
        <v>246</v>
      </c>
      <c r="C789" s="1" t="s">
        <v>256</v>
      </c>
      <c r="D789" s="52">
        <v>46039.420138888891</v>
      </c>
      <c r="E789" s="52">
        <v>46039.420138888891</v>
      </c>
      <c r="F789" s="52">
        <v>46039.475694444445</v>
      </c>
      <c r="G789" s="53">
        <f t="shared" si="49"/>
        <v>5.5555555554747116E-2</v>
      </c>
      <c r="H789" s="1" t="s">
        <v>248</v>
      </c>
      <c r="J789" s="1" t="s">
        <v>249</v>
      </c>
      <c r="K789" s="1" t="s">
        <v>349</v>
      </c>
      <c r="L789" s="1" t="s">
        <v>450</v>
      </c>
      <c r="M789" s="1" t="s">
        <v>251</v>
      </c>
      <c r="N789" s="1" t="s">
        <v>330</v>
      </c>
      <c r="O789" s="1" t="s">
        <v>331</v>
      </c>
      <c r="P789" s="1" t="str">
        <f t="shared" si="50"/>
        <v>BC Caiaponia2.1215KTL-H3(MBUS-15)46039,420138888946039,420138888946039,4756944444</v>
      </c>
      <c r="Q789" s="1" t="str">
        <f t="shared" si="51"/>
        <v>DAURDE</v>
      </c>
    </row>
    <row r="790" spans="2:17">
      <c r="B790" s="1" t="s">
        <v>246</v>
      </c>
      <c r="C790" s="1" t="s">
        <v>257</v>
      </c>
      <c r="D790" s="52">
        <v>46039.420138888891</v>
      </c>
      <c r="E790" s="52">
        <v>46039.420138888891</v>
      </c>
      <c r="F790" s="52">
        <v>46039.475694444445</v>
      </c>
      <c r="G790" s="53">
        <f t="shared" si="49"/>
        <v>5.5555555554747116E-2</v>
      </c>
      <c r="H790" s="1" t="s">
        <v>248</v>
      </c>
      <c r="J790" s="1" t="s">
        <v>249</v>
      </c>
      <c r="K790" s="1" t="s">
        <v>349</v>
      </c>
      <c r="L790" s="1" t="s">
        <v>450</v>
      </c>
      <c r="M790" s="1" t="s">
        <v>251</v>
      </c>
      <c r="N790" s="1" t="s">
        <v>330</v>
      </c>
      <c r="O790" s="1" t="s">
        <v>331</v>
      </c>
      <c r="P790" s="1" t="str">
        <f t="shared" si="50"/>
        <v>BC Caiaponia2.1215KTL-H3(MBUS-16)46039,420138888946039,420138888946039,4756944444</v>
      </c>
      <c r="Q790" s="1" t="str">
        <f t="shared" si="51"/>
        <v>DAURDE</v>
      </c>
    </row>
    <row r="791" spans="2:17">
      <c r="B791" s="1" t="s">
        <v>258</v>
      </c>
      <c r="C791" s="1" t="s">
        <v>247</v>
      </c>
      <c r="D791" s="52">
        <v>46039.420138888891</v>
      </c>
      <c r="E791" s="52">
        <v>46039.420138888891</v>
      </c>
      <c r="F791" s="52">
        <v>46039.475694444445</v>
      </c>
      <c r="G791" s="53">
        <f t="shared" si="49"/>
        <v>5.5555555554747116E-2</v>
      </c>
      <c r="H791" s="1" t="s">
        <v>248</v>
      </c>
      <c r="J791" s="1" t="s">
        <v>249</v>
      </c>
      <c r="K791" s="1" t="s">
        <v>349</v>
      </c>
      <c r="L791" s="1" t="s">
        <v>450</v>
      </c>
      <c r="M791" s="1" t="s">
        <v>251</v>
      </c>
      <c r="N791" s="1" t="s">
        <v>330</v>
      </c>
      <c r="O791" s="1" t="s">
        <v>331</v>
      </c>
      <c r="P791" s="1" t="str">
        <f t="shared" si="50"/>
        <v>BC Caiaponia2.2215KTL-H3(MBUS-12)46039,420138888946039,420138888946039,4756944444</v>
      </c>
      <c r="Q791" s="1" t="str">
        <f t="shared" si="51"/>
        <v>DAURDE</v>
      </c>
    </row>
    <row r="792" spans="2:17">
      <c r="B792" s="1" t="s">
        <v>258</v>
      </c>
      <c r="C792" s="1" t="s">
        <v>254</v>
      </c>
      <c r="D792" s="52">
        <v>46039.420138888891</v>
      </c>
      <c r="E792" s="52">
        <v>46039.420138888891</v>
      </c>
      <c r="F792" s="52">
        <v>46039.475694444445</v>
      </c>
      <c r="G792" s="53">
        <f t="shared" si="49"/>
        <v>5.5555555554747116E-2</v>
      </c>
      <c r="H792" s="1" t="s">
        <v>248</v>
      </c>
      <c r="J792" s="1" t="s">
        <v>249</v>
      </c>
      <c r="K792" s="1" t="s">
        <v>349</v>
      </c>
      <c r="L792" s="1" t="s">
        <v>450</v>
      </c>
      <c r="M792" s="1" t="s">
        <v>251</v>
      </c>
      <c r="N792" s="1" t="s">
        <v>330</v>
      </c>
      <c r="O792" s="1" t="s">
        <v>331</v>
      </c>
      <c r="P792" s="1" t="str">
        <f t="shared" si="50"/>
        <v>BC Caiaponia2.2215KTL-H3(MBUS-13)46039,420138888946039,420138888946039,4756944444</v>
      </c>
      <c r="Q792" s="1" t="str">
        <f t="shared" si="51"/>
        <v>DAURDE</v>
      </c>
    </row>
    <row r="793" spans="2:17">
      <c r="B793" s="1" t="s">
        <v>258</v>
      </c>
      <c r="C793" s="1" t="s">
        <v>255</v>
      </c>
      <c r="D793" s="52">
        <v>46039.420138888891</v>
      </c>
      <c r="E793" s="52">
        <v>46039.420138888891</v>
      </c>
      <c r="F793" s="52">
        <v>46039.475694444445</v>
      </c>
      <c r="G793" s="53">
        <f t="shared" si="49"/>
        <v>5.5555555554747116E-2</v>
      </c>
      <c r="H793" s="1" t="s">
        <v>248</v>
      </c>
      <c r="J793" s="1" t="s">
        <v>249</v>
      </c>
      <c r="K793" s="1" t="s">
        <v>349</v>
      </c>
      <c r="L793" s="1" t="s">
        <v>450</v>
      </c>
      <c r="M793" s="1" t="s">
        <v>251</v>
      </c>
      <c r="N793" s="1" t="s">
        <v>330</v>
      </c>
      <c r="O793" s="1" t="s">
        <v>331</v>
      </c>
      <c r="P793" s="1" t="str">
        <f t="shared" si="50"/>
        <v>BC Caiaponia2.2215KTL-H3(MBUS-14)46039,420138888946039,420138888946039,4756944444</v>
      </c>
      <c r="Q793" s="1" t="str">
        <f t="shared" si="51"/>
        <v>DAURDE</v>
      </c>
    </row>
    <row r="794" spans="2:17">
      <c r="B794" s="1" t="s">
        <v>258</v>
      </c>
      <c r="C794" s="1" t="s">
        <v>256</v>
      </c>
      <c r="D794" s="52">
        <v>46039.420138888891</v>
      </c>
      <c r="E794" s="52">
        <v>46039.420138888891</v>
      </c>
      <c r="F794" s="52">
        <v>46039.475694444445</v>
      </c>
      <c r="G794" s="53">
        <f t="shared" si="49"/>
        <v>5.5555555554747116E-2</v>
      </c>
      <c r="H794" s="1" t="s">
        <v>248</v>
      </c>
      <c r="J794" s="1" t="s">
        <v>249</v>
      </c>
      <c r="K794" s="1" t="s">
        <v>349</v>
      </c>
      <c r="L794" s="1" t="s">
        <v>450</v>
      </c>
      <c r="M794" s="1" t="s">
        <v>251</v>
      </c>
      <c r="N794" s="1" t="s">
        <v>330</v>
      </c>
      <c r="O794" s="1" t="s">
        <v>331</v>
      </c>
      <c r="P794" s="1" t="str">
        <f t="shared" si="50"/>
        <v>BC Caiaponia2.2215KTL-H3(MBUS-15)46039,420138888946039,420138888946039,4756944444</v>
      </c>
      <c r="Q794" s="1" t="str">
        <f t="shared" si="51"/>
        <v>DAURDE</v>
      </c>
    </row>
    <row r="795" spans="2:17">
      <c r="B795" s="1" t="s">
        <v>258</v>
      </c>
      <c r="C795" s="1" t="s">
        <v>257</v>
      </c>
      <c r="D795" s="52">
        <v>46039.420138888891</v>
      </c>
      <c r="E795" s="52">
        <v>46039.420138888891</v>
      </c>
      <c r="F795" s="52">
        <v>46039.475694444445</v>
      </c>
      <c r="G795" s="53">
        <f t="shared" si="49"/>
        <v>5.5555555554747116E-2</v>
      </c>
      <c r="H795" s="1" t="s">
        <v>248</v>
      </c>
      <c r="J795" s="1" t="s">
        <v>249</v>
      </c>
      <c r="K795" s="1" t="s">
        <v>349</v>
      </c>
      <c r="L795" s="1" t="s">
        <v>450</v>
      </c>
      <c r="M795" s="1" t="s">
        <v>251</v>
      </c>
      <c r="N795" s="1" t="s">
        <v>330</v>
      </c>
      <c r="O795" s="1" t="s">
        <v>331</v>
      </c>
      <c r="P795" s="1" t="str">
        <f t="shared" si="50"/>
        <v>BC Caiaponia2.2215KTL-H3(MBUS-16)46039,420138888946039,420138888946039,4756944444</v>
      </c>
      <c r="Q795" s="1" t="str">
        <f t="shared" si="51"/>
        <v>DAURDE</v>
      </c>
    </row>
    <row r="796" spans="2:17">
      <c r="B796" s="1" t="s">
        <v>259</v>
      </c>
      <c r="C796" s="1" t="s">
        <v>247</v>
      </c>
      <c r="D796" s="52">
        <v>46039.420138888891</v>
      </c>
      <c r="E796" s="52">
        <v>46039.420138888891</v>
      </c>
      <c r="F796" s="52">
        <v>46039.475694444445</v>
      </c>
      <c r="G796" s="53">
        <f t="shared" si="49"/>
        <v>5.5555555554747116E-2</v>
      </c>
      <c r="H796" s="1" t="s">
        <v>248</v>
      </c>
      <c r="J796" s="1" t="s">
        <v>249</v>
      </c>
      <c r="K796" s="1" t="s">
        <v>349</v>
      </c>
      <c r="L796" s="1" t="s">
        <v>450</v>
      </c>
      <c r="M796" s="1" t="s">
        <v>251</v>
      </c>
      <c r="N796" s="1" t="s">
        <v>330</v>
      </c>
      <c r="O796" s="1" t="s">
        <v>331</v>
      </c>
      <c r="P796" s="1" t="str">
        <f t="shared" si="50"/>
        <v>BC Caiaponia2.3215KTL-H3(MBUS-12)46039,420138888946039,420138888946039,4756944444</v>
      </c>
      <c r="Q796" s="1" t="str">
        <f t="shared" si="51"/>
        <v>DAURDE</v>
      </c>
    </row>
    <row r="797" spans="2:17">
      <c r="B797" s="1" t="s">
        <v>259</v>
      </c>
      <c r="C797" s="1" t="s">
        <v>254</v>
      </c>
      <c r="D797" s="52">
        <v>46039.420138888891</v>
      </c>
      <c r="E797" s="52">
        <v>46039.420138888891</v>
      </c>
      <c r="F797" s="52">
        <v>46039.475694444445</v>
      </c>
      <c r="G797" s="53">
        <f t="shared" si="49"/>
        <v>5.5555555554747116E-2</v>
      </c>
      <c r="H797" s="1" t="s">
        <v>248</v>
      </c>
      <c r="J797" s="1" t="s">
        <v>249</v>
      </c>
      <c r="K797" s="1" t="s">
        <v>349</v>
      </c>
      <c r="L797" s="1" t="s">
        <v>450</v>
      </c>
      <c r="M797" s="1" t="s">
        <v>251</v>
      </c>
      <c r="N797" s="1" t="s">
        <v>330</v>
      </c>
      <c r="O797" s="1" t="s">
        <v>331</v>
      </c>
      <c r="P797" s="1" t="str">
        <f t="shared" si="50"/>
        <v>BC Caiaponia2.3215KTL-H3(MBUS-13)46039,420138888946039,420138888946039,4756944444</v>
      </c>
      <c r="Q797" s="1" t="str">
        <f t="shared" si="51"/>
        <v>DAURDE</v>
      </c>
    </row>
    <row r="798" spans="2:17">
      <c r="B798" s="1" t="s">
        <v>259</v>
      </c>
      <c r="C798" s="1" t="s">
        <v>255</v>
      </c>
      <c r="D798" s="52">
        <v>46039.420138888891</v>
      </c>
      <c r="E798" s="52">
        <v>46039.420138888891</v>
      </c>
      <c r="F798" s="52">
        <v>46039.475694444445</v>
      </c>
      <c r="G798" s="53">
        <f t="shared" si="49"/>
        <v>5.5555555554747116E-2</v>
      </c>
      <c r="H798" s="1" t="s">
        <v>248</v>
      </c>
      <c r="J798" s="1" t="s">
        <v>249</v>
      </c>
      <c r="K798" s="1" t="s">
        <v>349</v>
      </c>
      <c r="L798" s="1" t="s">
        <v>450</v>
      </c>
      <c r="M798" s="1" t="s">
        <v>251</v>
      </c>
      <c r="N798" s="1" t="s">
        <v>330</v>
      </c>
      <c r="O798" s="1" t="s">
        <v>331</v>
      </c>
      <c r="P798" s="1" t="str">
        <f t="shared" si="50"/>
        <v>BC Caiaponia2.3215KTL-H3(MBUS-14)46039,420138888946039,420138888946039,4756944444</v>
      </c>
      <c r="Q798" s="1" t="str">
        <f t="shared" si="51"/>
        <v>DAURDE</v>
      </c>
    </row>
    <row r="799" spans="2:17">
      <c r="B799" s="1" t="s">
        <v>259</v>
      </c>
      <c r="C799" s="1" t="s">
        <v>256</v>
      </c>
      <c r="D799" s="52">
        <v>46039.420138888891</v>
      </c>
      <c r="E799" s="52">
        <v>46039.420138888891</v>
      </c>
      <c r="F799" s="52">
        <v>46039.475694444445</v>
      </c>
      <c r="G799" s="53">
        <f t="shared" si="49"/>
        <v>5.5555555554747116E-2</v>
      </c>
      <c r="H799" s="1" t="s">
        <v>248</v>
      </c>
      <c r="J799" s="1" t="s">
        <v>249</v>
      </c>
      <c r="K799" s="1" t="s">
        <v>349</v>
      </c>
      <c r="L799" s="1" t="s">
        <v>450</v>
      </c>
      <c r="M799" s="1" t="s">
        <v>251</v>
      </c>
      <c r="N799" s="1" t="s">
        <v>330</v>
      </c>
      <c r="O799" s="1" t="s">
        <v>331</v>
      </c>
      <c r="P799" s="1" t="str">
        <f t="shared" si="50"/>
        <v>BC Caiaponia2.3215KTL-H3(MBUS-15)46039,420138888946039,420138888946039,4756944444</v>
      </c>
      <c r="Q799" s="1" t="str">
        <f t="shared" si="51"/>
        <v>DAURDE</v>
      </c>
    </row>
    <row r="800" spans="2:17">
      <c r="B800" s="1" t="s">
        <v>259</v>
      </c>
      <c r="C800" s="1" t="s">
        <v>257</v>
      </c>
      <c r="D800" s="52">
        <v>46039.420138888891</v>
      </c>
      <c r="E800" s="52">
        <v>46039.420138888891</v>
      </c>
      <c r="F800" s="52">
        <v>46039.475694444445</v>
      </c>
      <c r="G800" s="53">
        <f t="shared" si="49"/>
        <v>5.5555555554747116E-2</v>
      </c>
      <c r="H800" s="1" t="s">
        <v>248</v>
      </c>
      <c r="J800" s="1" t="s">
        <v>249</v>
      </c>
      <c r="K800" s="1" t="s">
        <v>349</v>
      </c>
      <c r="L800" s="1" t="s">
        <v>450</v>
      </c>
      <c r="M800" s="1" t="s">
        <v>251</v>
      </c>
      <c r="N800" s="1" t="s">
        <v>330</v>
      </c>
      <c r="O800" s="1" t="s">
        <v>331</v>
      </c>
      <c r="P800" s="1" t="str">
        <f t="shared" si="50"/>
        <v>BC Caiaponia2.3215KTL-H3(MBUS-16)46039,420138888946039,420138888946039,4756944444</v>
      </c>
      <c r="Q800" s="1" t="str">
        <f t="shared" si="51"/>
        <v>DAURDE</v>
      </c>
    </row>
    <row r="801" spans="2:17">
      <c r="B801" s="1" t="s">
        <v>268</v>
      </c>
      <c r="C801" s="1" t="s">
        <v>269</v>
      </c>
      <c r="D801" s="52">
        <v>46039.597222222219</v>
      </c>
      <c r="E801" s="52">
        <v>46039.597222222219</v>
      </c>
      <c r="F801" s="52">
        <v>46039.65902777778</v>
      </c>
      <c r="G801" s="53">
        <f t="shared" si="49"/>
        <v>6.1805555560567882E-2</v>
      </c>
      <c r="H801" s="1" t="s">
        <v>248</v>
      </c>
      <c r="J801" s="1" t="s">
        <v>249</v>
      </c>
      <c r="K801" s="1" t="s">
        <v>349</v>
      </c>
      <c r="L801" s="1" t="s">
        <v>450</v>
      </c>
      <c r="M801" s="1" t="s">
        <v>251</v>
      </c>
      <c r="N801" s="1" t="s">
        <v>330</v>
      </c>
      <c r="O801" s="1" t="s">
        <v>331</v>
      </c>
      <c r="P801" s="1" t="str">
        <f t="shared" si="50"/>
        <v>BC Caiaponia1SG60KTL(COM1-001)_001_00746039,597222222246039,597222222246039,6590277778</v>
      </c>
      <c r="Q801" s="1" t="str">
        <f t="shared" si="51"/>
        <v>DAURDE</v>
      </c>
    </row>
    <row r="802" spans="2:17">
      <c r="B802" s="1" t="s">
        <v>268</v>
      </c>
      <c r="C802" s="1" t="s">
        <v>270</v>
      </c>
      <c r="D802" s="52">
        <v>46039.597222222219</v>
      </c>
      <c r="E802" s="52">
        <v>46039.597222222219</v>
      </c>
      <c r="F802" s="52">
        <v>46039.65902777778</v>
      </c>
      <c r="G802" s="53">
        <f t="shared" si="49"/>
        <v>6.1805555560567882E-2</v>
      </c>
      <c r="H802" s="1" t="s">
        <v>248</v>
      </c>
      <c r="J802" s="1" t="s">
        <v>249</v>
      </c>
      <c r="K802" s="1" t="s">
        <v>349</v>
      </c>
      <c r="L802" s="1" t="s">
        <v>450</v>
      </c>
      <c r="M802" s="1" t="s">
        <v>251</v>
      </c>
      <c r="N802" s="1" t="s">
        <v>330</v>
      </c>
      <c r="O802" s="1" t="s">
        <v>331</v>
      </c>
      <c r="P802" s="1" t="str">
        <f t="shared" si="50"/>
        <v>BC Caiaponia1SG60KTL(COM1-002)_001_01046039,597222222246039,597222222246039,6590277778</v>
      </c>
      <c r="Q802" s="1" t="str">
        <f t="shared" si="51"/>
        <v>DAURDE</v>
      </c>
    </row>
    <row r="803" spans="2:17">
      <c r="B803" s="1" t="s">
        <v>268</v>
      </c>
      <c r="C803" s="1" t="s">
        <v>271</v>
      </c>
      <c r="D803" s="52">
        <v>46039.597222222219</v>
      </c>
      <c r="E803" s="52">
        <v>46039.597222222219</v>
      </c>
      <c r="F803" s="52">
        <v>46039.65902777778</v>
      </c>
      <c r="G803" s="53">
        <f t="shared" si="49"/>
        <v>6.1805555560567882E-2</v>
      </c>
      <c r="H803" s="1" t="s">
        <v>248</v>
      </c>
      <c r="J803" s="1" t="s">
        <v>249</v>
      </c>
      <c r="K803" s="1" t="s">
        <v>349</v>
      </c>
      <c r="L803" s="1" t="s">
        <v>450</v>
      </c>
      <c r="M803" s="1" t="s">
        <v>251</v>
      </c>
      <c r="N803" s="1" t="s">
        <v>330</v>
      </c>
      <c r="O803" s="1" t="s">
        <v>331</v>
      </c>
      <c r="P803" s="1" t="str">
        <f t="shared" si="50"/>
        <v>BC Caiaponia1SG60KTL(COM1-003)_001_01146039,597222222246039,597222222246039,6590277778</v>
      </c>
      <c r="Q803" s="1" t="str">
        <f t="shared" si="51"/>
        <v>DAURDE</v>
      </c>
    </row>
    <row r="804" spans="2:17">
      <c r="B804" s="1" t="s">
        <v>268</v>
      </c>
      <c r="C804" s="1" t="s">
        <v>272</v>
      </c>
      <c r="D804" s="52">
        <v>46039.597222222219</v>
      </c>
      <c r="E804" s="52">
        <v>46039.597222222219</v>
      </c>
      <c r="F804" s="52">
        <v>46039.65902777778</v>
      </c>
      <c r="G804" s="53">
        <f t="shared" si="49"/>
        <v>6.1805555560567882E-2</v>
      </c>
      <c r="H804" s="1" t="s">
        <v>248</v>
      </c>
      <c r="J804" s="1" t="s">
        <v>249</v>
      </c>
      <c r="K804" s="1" t="s">
        <v>349</v>
      </c>
      <c r="L804" s="1" t="s">
        <v>450</v>
      </c>
      <c r="M804" s="1" t="s">
        <v>251</v>
      </c>
      <c r="N804" s="1" t="s">
        <v>330</v>
      </c>
      <c r="O804" s="1" t="s">
        <v>331</v>
      </c>
      <c r="P804" s="1" t="str">
        <f t="shared" si="50"/>
        <v>BC Caiaponia1SG60KTL(COM1-004)_001_01446039,597222222246039,597222222246039,6590277778</v>
      </c>
      <c r="Q804" s="1" t="str">
        <f t="shared" si="51"/>
        <v>DAURDE</v>
      </c>
    </row>
    <row r="805" spans="2:17">
      <c r="B805" s="1" t="s">
        <v>268</v>
      </c>
      <c r="C805" s="1" t="s">
        <v>273</v>
      </c>
      <c r="D805" s="52">
        <v>46039.597222222219</v>
      </c>
      <c r="E805" s="52">
        <v>46039.597222222219</v>
      </c>
      <c r="F805" s="52">
        <v>46039.65902777778</v>
      </c>
      <c r="G805" s="53">
        <f t="shared" si="49"/>
        <v>6.1805555560567882E-2</v>
      </c>
      <c r="H805" s="1" t="s">
        <v>248</v>
      </c>
      <c r="J805" s="1" t="s">
        <v>249</v>
      </c>
      <c r="K805" s="1" t="s">
        <v>349</v>
      </c>
      <c r="L805" s="1" t="s">
        <v>450</v>
      </c>
      <c r="M805" s="1" t="s">
        <v>251</v>
      </c>
      <c r="N805" s="1" t="s">
        <v>330</v>
      </c>
      <c r="O805" s="1" t="s">
        <v>331</v>
      </c>
      <c r="P805" s="1" t="str">
        <f t="shared" si="50"/>
        <v>BC Caiaponia1SG60KTL(COM1-005)_001_01746039,597222222246039,597222222246039,6590277778</v>
      </c>
      <c r="Q805" s="1" t="str">
        <f t="shared" si="51"/>
        <v>DAURDE</v>
      </c>
    </row>
    <row r="806" spans="2:17">
      <c r="B806" s="1" t="s">
        <v>268</v>
      </c>
      <c r="C806" s="1" t="s">
        <v>274</v>
      </c>
      <c r="D806" s="52">
        <v>46039.597222222219</v>
      </c>
      <c r="E806" s="52">
        <v>46039.597222222219</v>
      </c>
      <c r="F806" s="52">
        <v>46039.65902777778</v>
      </c>
      <c r="G806" s="53">
        <f t="shared" si="49"/>
        <v>6.1805555560567882E-2</v>
      </c>
      <c r="H806" s="1" t="s">
        <v>248</v>
      </c>
      <c r="J806" s="1" t="s">
        <v>249</v>
      </c>
      <c r="K806" s="1" t="s">
        <v>349</v>
      </c>
      <c r="L806" s="1" t="s">
        <v>450</v>
      </c>
      <c r="M806" s="1" t="s">
        <v>251</v>
      </c>
      <c r="N806" s="1" t="s">
        <v>330</v>
      </c>
      <c r="O806" s="1" t="s">
        <v>331</v>
      </c>
      <c r="P806" s="1" t="str">
        <f t="shared" si="50"/>
        <v>BC Caiaponia1SG60KTL(COM1-006)_001_01646039,597222222246039,597222222246039,6590277778</v>
      </c>
      <c r="Q806" s="1" t="str">
        <f t="shared" si="51"/>
        <v>DAURDE</v>
      </c>
    </row>
    <row r="807" spans="2:17">
      <c r="B807" s="1" t="s">
        <v>268</v>
      </c>
      <c r="C807" s="1" t="s">
        <v>275</v>
      </c>
      <c r="D807" s="52">
        <v>46039.597222222219</v>
      </c>
      <c r="E807" s="52">
        <v>46039.597222222219</v>
      </c>
      <c r="F807" s="52">
        <v>46039.65902777778</v>
      </c>
      <c r="G807" s="53">
        <f t="shared" si="49"/>
        <v>6.1805555560567882E-2</v>
      </c>
      <c r="H807" s="1" t="s">
        <v>248</v>
      </c>
      <c r="J807" s="1" t="s">
        <v>249</v>
      </c>
      <c r="K807" s="1" t="s">
        <v>349</v>
      </c>
      <c r="L807" s="1" t="s">
        <v>450</v>
      </c>
      <c r="M807" s="1" t="s">
        <v>251</v>
      </c>
      <c r="N807" s="1" t="s">
        <v>330</v>
      </c>
      <c r="O807" s="1" t="s">
        <v>331</v>
      </c>
      <c r="P807" s="1" t="str">
        <f t="shared" si="50"/>
        <v>BC Caiaponia1SG60KTL(COM1-007)_001_01346039,597222222246039,597222222246039,6590277778</v>
      </c>
      <c r="Q807" s="1" t="str">
        <f t="shared" si="51"/>
        <v>DAURDE</v>
      </c>
    </row>
    <row r="808" spans="2:17">
      <c r="B808" s="1" t="s">
        <v>268</v>
      </c>
      <c r="C808" s="1" t="s">
        <v>276</v>
      </c>
      <c r="D808" s="52">
        <v>46039.597222222219</v>
      </c>
      <c r="E808" s="52">
        <v>46039.597222222219</v>
      </c>
      <c r="F808" s="52">
        <v>46039.65902777778</v>
      </c>
      <c r="G808" s="53">
        <f t="shared" si="49"/>
        <v>6.1805555560567882E-2</v>
      </c>
      <c r="H808" s="1" t="s">
        <v>248</v>
      </c>
      <c r="J808" s="1" t="s">
        <v>249</v>
      </c>
      <c r="K808" s="1" t="s">
        <v>349</v>
      </c>
      <c r="L808" s="1" t="s">
        <v>450</v>
      </c>
      <c r="M808" s="1" t="s">
        <v>251</v>
      </c>
      <c r="N808" s="1" t="s">
        <v>330</v>
      </c>
      <c r="O808" s="1" t="s">
        <v>331</v>
      </c>
      <c r="P808" s="1" t="str">
        <f t="shared" si="50"/>
        <v>BC Caiaponia1SG60KTL(COM1-008)_001_00146039,597222222246039,597222222246039,6590277778</v>
      </c>
      <c r="Q808" s="1" t="str">
        <f t="shared" si="51"/>
        <v>DAURDE</v>
      </c>
    </row>
    <row r="809" spans="2:17">
      <c r="B809" s="1" t="s">
        <v>268</v>
      </c>
      <c r="C809" s="1" t="s">
        <v>277</v>
      </c>
      <c r="D809" s="52">
        <v>46039.597222222219</v>
      </c>
      <c r="E809" s="52">
        <v>46039.597222222219</v>
      </c>
      <c r="F809" s="52">
        <v>46039.65902777778</v>
      </c>
      <c r="G809" s="53">
        <f t="shared" si="49"/>
        <v>6.1805555560567882E-2</v>
      </c>
      <c r="H809" s="1" t="s">
        <v>248</v>
      </c>
      <c r="J809" s="1" t="s">
        <v>249</v>
      </c>
      <c r="K809" s="1" t="s">
        <v>349</v>
      </c>
      <c r="L809" s="1" t="s">
        <v>450</v>
      </c>
      <c r="M809" s="1" t="s">
        <v>251</v>
      </c>
      <c r="N809" s="1" t="s">
        <v>330</v>
      </c>
      <c r="O809" s="1" t="s">
        <v>331</v>
      </c>
      <c r="P809" s="1" t="str">
        <f t="shared" si="50"/>
        <v>BC Caiaponia1SG60KTL(COM1-009)46039,597222222246039,597222222246039,6590277778</v>
      </c>
      <c r="Q809" s="1" t="str">
        <f t="shared" si="51"/>
        <v>DAURDE</v>
      </c>
    </row>
    <row r="810" spans="2:17">
      <c r="B810" s="1" t="s">
        <v>268</v>
      </c>
      <c r="C810" s="1" t="s">
        <v>278</v>
      </c>
      <c r="D810" s="52">
        <v>46039.597222222219</v>
      </c>
      <c r="E810" s="52">
        <v>46039.597222222219</v>
      </c>
      <c r="F810" s="52">
        <v>46039.65902777778</v>
      </c>
      <c r="G810" s="53">
        <f t="shared" si="49"/>
        <v>6.1805555560567882E-2</v>
      </c>
      <c r="H810" s="1" t="s">
        <v>248</v>
      </c>
      <c r="J810" s="1" t="s">
        <v>249</v>
      </c>
      <c r="K810" s="1" t="s">
        <v>349</v>
      </c>
      <c r="L810" s="1" t="s">
        <v>450</v>
      </c>
      <c r="M810" s="1" t="s">
        <v>251</v>
      </c>
      <c r="N810" s="1" t="s">
        <v>330</v>
      </c>
      <c r="O810" s="1" t="s">
        <v>331</v>
      </c>
      <c r="P810" s="1" t="str">
        <f t="shared" si="50"/>
        <v>BC Caiaponia1SG60KTL(COM1-010)46039,597222222246039,597222222246039,6590277778</v>
      </c>
      <c r="Q810" s="1" t="str">
        <f t="shared" si="51"/>
        <v>DAURDE</v>
      </c>
    </row>
    <row r="811" spans="2:17">
      <c r="B811" s="1" t="s">
        <v>268</v>
      </c>
      <c r="C811" s="1" t="s">
        <v>279</v>
      </c>
      <c r="D811" s="52">
        <v>46039.597222222219</v>
      </c>
      <c r="E811" s="52">
        <v>46039.597222222219</v>
      </c>
      <c r="F811" s="52">
        <v>46039.65902777778</v>
      </c>
      <c r="G811" s="53">
        <f t="shared" si="49"/>
        <v>6.1805555560567882E-2</v>
      </c>
      <c r="H811" s="1" t="s">
        <v>248</v>
      </c>
      <c r="J811" s="1" t="s">
        <v>249</v>
      </c>
      <c r="K811" s="1" t="s">
        <v>349</v>
      </c>
      <c r="L811" s="1" t="s">
        <v>450</v>
      </c>
      <c r="M811" s="1" t="s">
        <v>251</v>
      </c>
      <c r="N811" s="1" t="s">
        <v>330</v>
      </c>
      <c r="O811" s="1" t="s">
        <v>331</v>
      </c>
      <c r="P811" s="1" t="str">
        <f t="shared" si="50"/>
        <v>BC Caiaponia1SG60KTL(COM1-011)46039,597222222246039,597222222246039,6590277778</v>
      </c>
      <c r="Q811" s="1" t="str">
        <f t="shared" si="51"/>
        <v>DAURDE</v>
      </c>
    </row>
    <row r="812" spans="2:17">
      <c r="B812" s="1" t="s">
        <v>268</v>
      </c>
      <c r="C812" s="1" t="s">
        <v>280</v>
      </c>
      <c r="D812" s="52">
        <v>46039.597222222219</v>
      </c>
      <c r="E812" s="52">
        <v>46039.597222222219</v>
      </c>
      <c r="F812" s="52">
        <v>46039.65902777778</v>
      </c>
      <c r="G812" s="53">
        <f t="shared" si="49"/>
        <v>6.1805555560567882E-2</v>
      </c>
      <c r="H812" s="1" t="s">
        <v>248</v>
      </c>
      <c r="J812" s="1" t="s">
        <v>249</v>
      </c>
      <c r="K812" s="1" t="s">
        <v>349</v>
      </c>
      <c r="L812" s="1" t="s">
        <v>450</v>
      </c>
      <c r="M812" s="1" t="s">
        <v>251</v>
      </c>
      <c r="N812" s="1" t="s">
        <v>330</v>
      </c>
      <c r="O812" s="1" t="s">
        <v>331</v>
      </c>
      <c r="P812" s="1" t="str">
        <f t="shared" si="50"/>
        <v>BC Caiaponia1SG60KTL(COM1-012)46039,597222222246039,597222222246039,6590277778</v>
      </c>
      <c r="Q812" s="1" t="str">
        <f t="shared" si="51"/>
        <v>DAURDE</v>
      </c>
    </row>
    <row r="813" spans="2:17">
      <c r="B813" s="1" t="s">
        <v>268</v>
      </c>
      <c r="C813" s="1" t="s">
        <v>281</v>
      </c>
      <c r="D813" s="52">
        <v>46039.597222222219</v>
      </c>
      <c r="E813" s="52">
        <v>46039.597222222219</v>
      </c>
      <c r="F813" s="52">
        <v>46039.65902777778</v>
      </c>
      <c r="G813" s="53">
        <f t="shared" si="49"/>
        <v>6.1805555560567882E-2</v>
      </c>
      <c r="H813" s="1" t="s">
        <v>248</v>
      </c>
      <c r="J813" s="1" t="s">
        <v>249</v>
      </c>
      <c r="K813" s="1" t="s">
        <v>349</v>
      </c>
      <c r="L813" s="1" t="s">
        <v>450</v>
      </c>
      <c r="M813" s="1" t="s">
        <v>251</v>
      </c>
      <c r="N813" s="1" t="s">
        <v>330</v>
      </c>
      <c r="O813" s="1" t="s">
        <v>331</v>
      </c>
      <c r="P813" s="1" t="str">
        <f t="shared" si="50"/>
        <v>BC Caiaponia1SG60KTL(COM1-013)46039,597222222246039,597222222246039,6590277778</v>
      </c>
      <c r="Q813" s="1" t="str">
        <f t="shared" si="51"/>
        <v>DAURDE</v>
      </c>
    </row>
    <row r="814" spans="2:17">
      <c r="B814" s="1" t="s">
        <v>268</v>
      </c>
      <c r="C814" s="1" t="s">
        <v>282</v>
      </c>
      <c r="D814" s="52">
        <v>46039.597222222219</v>
      </c>
      <c r="E814" s="52">
        <v>46039.597222222219</v>
      </c>
      <c r="F814" s="52">
        <v>46039.65902777778</v>
      </c>
      <c r="G814" s="53">
        <f t="shared" si="49"/>
        <v>6.1805555560567882E-2</v>
      </c>
      <c r="H814" s="1" t="s">
        <v>248</v>
      </c>
      <c r="J814" s="1" t="s">
        <v>249</v>
      </c>
      <c r="K814" s="1" t="s">
        <v>349</v>
      </c>
      <c r="L814" s="1" t="s">
        <v>450</v>
      </c>
      <c r="M814" s="1" t="s">
        <v>251</v>
      </c>
      <c r="N814" s="1" t="s">
        <v>330</v>
      </c>
      <c r="O814" s="1" t="s">
        <v>331</v>
      </c>
      <c r="P814" s="1" t="str">
        <f t="shared" si="50"/>
        <v>BC Caiaponia1SG60KTL(COM1-014)46039,597222222246039,597222222246039,6590277778</v>
      </c>
      <c r="Q814" s="1" t="str">
        <f t="shared" si="51"/>
        <v>DAURDE</v>
      </c>
    </row>
    <row r="815" spans="2:17">
      <c r="B815" s="1" t="s">
        <v>268</v>
      </c>
      <c r="C815" s="1" t="s">
        <v>283</v>
      </c>
      <c r="D815" s="52">
        <v>46039.597222222219</v>
      </c>
      <c r="E815" s="52">
        <v>46039.597222222219</v>
      </c>
      <c r="F815" s="52">
        <v>46039.65902777778</v>
      </c>
      <c r="G815" s="53">
        <f t="shared" si="49"/>
        <v>6.1805555560567882E-2</v>
      </c>
      <c r="H815" s="1" t="s">
        <v>248</v>
      </c>
      <c r="J815" s="1" t="s">
        <v>249</v>
      </c>
      <c r="K815" s="1" t="s">
        <v>349</v>
      </c>
      <c r="L815" s="1" t="s">
        <v>450</v>
      </c>
      <c r="M815" s="1" t="s">
        <v>251</v>
      </c>
      <c r="N815" s="1" t="s">
        <v>330</v>
      </c>
      <c r="O815" s="1" t="s">
        <v>331</v>
      </c>
      <c r="P815" s="1" t="str">
        <f t="shared" si="50"/>
        <v>BC Caiaponia1SG60KTL(COM1-015)46039,597222222246039,597222222246039,6590277778</v>
      </c>
      <c r="Q815" s="1" t="str">
        <f t="shared" si="51"/>
        <v>DAURDE</v>
      </c>
    </row>
    <row r="816" spans="2:17">
      <c r="B816" s="1" t="s">
        <v>268</v>
      </c>
      <c r="C816" s="1" t="s">
        <v>284</v>
      </c>
      <c r="D816" s="52">
        <v>46039.597222222219</v>
      </c>
      <c r="E816" s="52">
        <v>46039.597222222219</v>
      </c>
      <c r="F816" s="52">
        <v>46039.65902777778</v>
      </c>
      <c r="G816" s="53">
        <f t="shared" si="49"/>
        <v>6.1805555560567882E-2</v>
      </c>
      <c r="H816" s="1" t="s">
        <v>248</v>
      </c>
      <c r="J816" s="1" t="s">
        <v>249</v>
      </c>
      <c r="K816" s="1" t="s">
        <v>349</v>
      </c>
      <c r="L816" s="1" t="s">
        <v>450</v>
      </c>
      <c r="M816" s="1" t="s">
        <v>251</v>
      </c>
      <c r="N816" s="1" t="s">
        <v>330</v>
      </c>
      <c r="O816" s="1" t="s">
        <v>331</v>
      </c>
      <c r="P816" s="1" t="str">
        <f t="shared" si="50"/>
        <v>BC Caiaponia1SG60KTL(COM3-016)_001_00946039,597222222246039,597222222246039,6590277778</v>
      </c>
      <c r="Q816" s="1" t="str">
        <f t="shared" si="51"/>
        <v>DAURDE</v>
      </c>
    </row>
    <row r="817" spans="2:17">
      <c r="B817" s="1" t="s">
        <v>268</v>
      </c>
      <c r="C817" s="1" t="s">
        <v>285</v>
      </c>
      <c r="D817" s="52">
        <v>46039.597222222219</v>
      </c>
      <c r="E817" s="52">
        <v>46039.597222222219</v>
      </c>
      <c r="F817" s="52">
        <v>46039.65902777778</v>
      </c>
      <c r="G817" s="53">
        <f t="shared" si="49"/>
        <v>6.1805555560567882E-2</v>
      </c>
      <c r="H817" s="1" t="s">
        <v>248</v>
      </c>
      <c r="J817" s="1" t="s">
        <v>249</v>
      </c>
      <c r="K817" s="1" t="s">
        <v>349</v>
      </c>
      <c r="L817" s="1" t="s">
        <v>450</v>
      </c>
      <c r="M817" s="1" t="s">
        <v>251</v>
      </c>
      <c r="N817" s="1" t="s">
        <v>330</v>
      </c>
      <c r="O817" s="1" t="s">
        <v>331</v>
      </c>
      <c r="P817" s="1" t="str">
        <f t="shared" si="50"/>
        <v>BC Caiaponia1SG60KTL(COM3-017)_001_01246039,597222222246039,597222222246039,6590277778</v>
      </c>
      <c r="Q817" s="1" t="str">
        <f t="shared" si="51"/>
        <v>DAURDE</v>
      </c>
    </row>
    <row r="818" spans="2:17">
      <c r="B818" s="1" t="s">
        <v>268</v>
      </c>
      <c r="C818" s="1" t="s">
        <v>286</v>
      </c>
      <c r="D818" s="52">
        <v>46039.597222222219</v>
      </c>
      <c r="E818" s="52">
        <v>46039.597222222219</v>
      </c>
      <c r="F818" s="52">
        <v>46039.65902777778</v>
      </c>
      <c r="G818" s="53">
        <f t="shared" si="49"/>
        <v>6.1805555560567882E-2</v>
      </c>
      <c r="H818" s="1" t="s">
        <v>248</v>
      </c>
      <c r="J818" s="1" t="s">
        <v>249</v>
      </c>
      <c r="K818" s="1" t="s">
        <v>349</v>
      </c>
      <c r="L818" s="1" t="s">
        <v>450</v>
      </c>
      <c r="M818" s="1" t="s">
        <v>251</v>
      </c>
      <c r="N818" s="1" t="s">
        <v>330</v>
      </c>
      <c r="O818" s="1" t="s">
        <v>331</v>
      </c>
      <c r="P818" s="1" t="str">
        <f t="shared" si="50"/>
        <v>BC Caiaponia1SG60KTL(COM3-018)_001_00846039,597222222246039,597222222246039,6590277778</v>
      </c>
      <c r="Q818" s="1" t="str">
        <f t="shared" si="51"/>
        <v>DAURDE</v>
      </c>
    </row>
    <row r="819" spans="2:17">
      <c r="B819" s="1" t="s">
        <v>268</v>
      </c>
      <c r="C819" s="1" t="s">
        <v>287</v>
      </c>
      <c r="D819" s="52">
        <v>46039.597222222219</v>
      </c>
      <c r="E819" s="52">
        <v>46039.597222222219</v>
      </c>
      <c r="F819" s="52">
        <v>46039.65902777778</v>
      </c>
      <c r="G819" s="53">
        <f t="shared" si="49"/>
        <v>6.1805555560567882E-2</v>
      </c>
      <c r="H819" s="1" t="s">
        <v>248</v>
      </c>
      <c r="J819" s="1" t="s">
        <v>249</v>
      </c>
      <c r="K819" s="1" t="s">
        <v>349</v>
      </c>
      <c r="L819" s="1" t="s">
        <v>450</v>
      </c>
      <c r="M819" s="1" t="s">
        <v>251</v>
      </c>
      <c r="N819" s="1" t="s">
        <v>330</v>
      </c>
      <c r="O819" s="1" t="s">
        <v>331</v>
      </c>
      <c r="P819" s="1" t="str">
        <f t="shared" si="50"/>
        <v>BC Caiaponia1SG60KTL(COM3-019)_001_01946039,597222222246039,597222222246039,6590277778</v>
      </c>
      <c r="Q819" s="1" t="str">
        <f t="shared" si="51"/>
        <v>DAURDE</v>
      </c>
    </row>
    <row r="820" spans="2:17">
      <c r="B820" s="1" t="s">
        <v>268</v>
      </c>
      <c r="C820" s="1" t="s">
        <v>288</v>
      </c>
      <c r="D820" s="52">
        <v>46039.597222222219</v>
      </c>
      <c r="E820" s="52">
        <v>46039.597222222219</v>
      </c>
      <c r="F820" s="52">
        <v>46039.65902777778</v>
      </c>
      <c r="G820" s="53">
        <f t="shared" si="49"/>
        <v>6.1805555560567882E-2</v>
      </c>
      <c r="H820" s="1" t="s">
        <v>248</v>
      </c>
      <c r="J820" s="1" t="s">
        <v>249</v>
      </c>
      <c r="K820" s="1" t="s">
        <v>349</v>
      </c>
      <c r="L820" s="1" t="s">
        <v>450</v>
      </c>
      <c r="M820" s="1" t="s">
        <v>251</v>
      </c>
      <c r="N820" s="1" t="s">
        <v>330</v>
      </c>
      <c r="O820" s="1" t="s">
        <v>331</v>
      </c>
      <c r="P820" s="1" t="str">
        <f t="shared" si="50"/>
        <v>BC Caiaponia1SG60KTL(COM3-020)_001_02046039,597222222246039,597222222246039,6590277778</v>
      </c>
      <c r="Q820" s="1" t="str">
        <f t="shared" si="51"/>
        <v>DAURDE</v>
      </c>
    </row>
    <row r="821" spans="2:17">
      <c r="B821" s="1" t="s">
        <v>268</v>
      </c>
      <c r="C821" s="1" t="s">
        <v>289</v>
      </c>
      <c r="D821" s="52">
        <v>46039.597222222219</v>
      </c>
      <c r="E821" s="52">
        <v>46039.597222222219</v>
      </c>
      <c r="F821" s="52">
        <v>46039.65902777778</v>
      </c>
      <c r="G821" s="53">
        <f t="shared" si="49"/>
        <v>6.1805555560567882E-2</v>
      </c>
      <c r="H821" s="1" t="s">
        <v>248</v>
      </c>
      <c r="J821" s="1" t="s">
        <v>249</v>
      </c>
      <c r="K821" s="1" t="s">
        <v>349</v>
      </c>
      <c r="L821" s="1" t="s">
        <v>450</v>
      </c>
      <c r="M821" s="1" t="s">
        <v>251</v>
      </c>
      <c r="N821" s="1" t="s">
        <v>330</v>
      </c>
      <c r="O821" s="1" t="s">
        <v>331</v>
      </c>
      <c r="P821" s="1" t="str">
        <f t="shared" si="50"/>
        <v>BC Caiaponia1SG60KTL(COM2-026)46039,597222222246039,597222222246039,6590277778</v>
      </c>
      <c r="Q821" s="1" t="str">
        <f t="shared" si="51"/>
        <v>DAURDE</v>
      </c>
    </row>
    <row r="822" spans="2:17">
      <c r="B822" s="1" t="s">
        <v>268</v>
      </c>
      <c r="C822" s="1" t="s">
        <v>290</v>
      </c>
      <c r="D822" s="52">
        <v>46039.597222222219</v>
      </c>
      <c r="E822" s="52">
        <v>46039.597222222219</v>
      </c>
      <c r="F822" s="52">
        <v>46039.65902777778</v>
      </c>
      <c r="G822" s="53">
        <f t="shared" si="49"/>
        <v>6.1805555560567882E-2</v>
      </c>
      <c r="H822" s="1" t="s">
        <v>248</v>
      </c>
      <c r="J822" s="1" t="s">
        <v>249</v>
      </c>
      <c r="K822" s="1" t="s">
        <v>349</v>
      </c>
      <c r="L822" s="1" t="s">
        <v>450</v>
      </c>
      <c r="M822" s="1" t="s">
        <v>251</v>
      </c>
      <c r="N822" s="1" t="s">
        <v>330</v>
      </c>
      <c r="O822" s="1" t="s">
        <v>331</v>
      </c>
      <c r="P822" s="1" t="str">
        <f t="shared" si="50"/>
        <v>BC Caiaponia1SG60KTL(COM2-027)46039,597222222246039,597222222246039,6590277778</v>
      </c>
      <c r="Q822" s="1" t="str">
        <f t="shared" si="51"/>
        <v>DAURDE</v>
      </c>
    </row>
    <row r="823" spans="2:17">
      <c r="B823" s="1" t="s">
        <v>268</v>
      </c>
      <c r="C823" s="1" t="s">
        <v>291</v>
      </c>
      <c r="D823" s="52">
        <v>46039.597222222219</v>
      </c>
      <c r="E823" s="52">
        <v>46039.597222222219</v>
      </c>
      <c r="F823" s="52">
        <v>46039.65902777778</v>
      </c>
      <c r="G823" s="53">
        <f t="shared" si="49"/>
        <v>6.1805555560567882E-2</v>
      </c>
      <c r="H823" s="1" t="s">
        <v>248</v>
      </c>
      <c r="J823" s="1" t="s">
        <v>249</v>
      </c>
      <c r="K823" s="1" t="s">
        <v>349</v>
      </c>
      <c r="L823" s="1" t="s">
        <v>450</v>
      </c>
      <c r="M823" s="1" t="s">
        <v>251</v>
      </c>
      <c r="N823" s="1" t="s">
        <v>330</v>
      </c>
      <c r="O823" s="1" t="s">
        <v>331</v>
      </c>
      <c r="P823" s="1" t="str">
        <f t="shared" si="50"/>
        <v>BC Caiaponia1SG60KTL(COM2-028)46039,597222222246039,597222222246039,6590277778</v>
      </c>
      <c r="Q823" s="1" t="str">
        <f t="shared" si="51"/>
        <v>DAURDE</v>
      </c>
    </row>
    <row r="824" spans="2:17">
      <c r="B824" s="1" t="s">
        <v>268</v>
      </c>
      <c r="C824" s="1" t="s">
        <v>292</v>
      </c>
      <c r="D824" s="52">
        <v>46039.597222222219</v>
      </c>
      <c r="E824" s="52">
        <v>46039.597222222219</v>
      </c>
      <c r="F824" s="52">
        <v>46039.65902777778</v>
      </c>
      <c r="G824" s="53">
        <f t="shared" si="49"/>
        <v>6.1805555560567882E-2</v>
      </c>
      <c r="H824" s="1" t="s">
        <v>248</v>
      </c>
      <c r="J824" s="1" t="s">
        <v>249</v>
      </c>
      <c r="K824" s="1" t="s">
        <v>349</v>
      </c>
      <c r="L824" s="1" t="s">
        <v>450</v>
      </c>
      <c r="M824" s="1" t="s">
        <v>251</v>
      </c>
      <c r="N824" s="1" t="s">
        <v>330</v>
      </c>
      <c r="O824" s="1" t="s">
        <v>331</v>
      </c>
      <c r="P824" s="1" t="str">
        <f t="shared" si="50"/>
        <v>BC Caiaponia1SG60KTL(COM2-029)46039,597222222246039,597222222246039,6590277778</v>
      </c>
      <c r="Q824" s="1" t="str">
        <f t="shared" si="51"/>
        <v>DAURDE</v>
      </c>
    </row>
    <row r="825" spans="2:17">
      <c r="B825" s="1" t="s">
        <v>268</v>
      </c>
      <c r="C825" s="1" t="s">
        <v>293</v>
      </c>
      <c r="D825" s="52">
        <v>46039.597222222219</v>
      </c>
      <c r="E825" s="52">
        <v>46039.597222222219</v>
      </c>
      <c r="F825" s="52">
        <v>46039.65902777778</v>
      </c>
      <c r="G825" s="53">
        <f t="shared" si="49"/>
        <v>6.1805555560567882E-2</v>
      </c>
      <c r="H825" s="1" t="s">
        <v>248</v>
      </c>
      <c r="J825" s="1" t="s">
        <v>249</v>
      </c>
      <c r="K825" s="1" t="s">
        <v>349</v>
      </c>
      <c r="L825" s="1" t="s">
        <v>450</v>
      </c>
      <c r="M825" s="1" t="s">
        <v>251</v>
      </c>
      <c r="N825" s="1" t="s">
        <v>330</v>
      </c>
      <c r="O825" s="1" t="s">
        <v>331</v>
      </c>
      <c r="P825" s="1" t="str">
        <f t="shared" si="50"/>
        <v>BC Caiaponia1SG50CX(COM1-021)46039,597222222246039,597222222246039,6590277778</v>
      </c>
      <c r="Q825" s="1" t="str">
        <f t="shared" si="51"/>
        <v>DAURDE</v>
      </c>
    </row>
    <row r="826" spans="2:17">
      <c r="B826" s="1" t="s">
        <v>268</v>
      </c>
      <c r="C826" s="1" t="s">
        <v>294</v>
      </c>
      <c r="D826" s="52">
        <v>46039.597222222219</v>
      </c>
      <c r="E826" s="52">
        <v>46039.597222222219</v>
      </c>
      <c r="F826" s="52">
        <v>46039.65902777778</v>
      </c>
      <c r="G826" s="53">
        <f t="shared" si="49"/>
        <v>6.1805555560567882E-2</v>
      </c>
      <c r="H826" s="1" t="s">
        <v>248</v>
      </c>
      <c r="J826" s="1" t="s">
        <v>249</v>
      </c>
      <c r="K826" s="1" t="s">
        <v>349</v>
      </c>
      <c r="L826" s="1" t="s">
        <v>450</v>
      </c>
      <c r="M826" s="1" t="s">
        <v>251</v>
      </c>
      <c r="N826" s="1" t="s">
        <v>330</v>
      </c>
      <c r="O826" s="1" t="s">
        <v>331</v>
      </c>
      <c r="P826" s="1" t="str">
        <f t="shared" si="50"/>
        <v>BC Caiaponia1SG50CX(COM1-022)46039,597222222246039,597222222246039,6590277778</v>
      </c>
      <c r="Q826" s="1" t="str">
        <f t="shared" si="51"/>
        <v>DAURDE</v>
      </c>
    </row>
    <row r="827" spans="2:17">
      <c r="B827" s="1" t="s">
        <v>268</v>
      </c>
      <c r="C827" s="1" t="s">
        <v>295</v>
      </c>
      <c r="D827" s="52">
        <v>46039.597222222219</v>
      </c>
      <c r="E827" s="52">
        <v>46039.597222222219</v>
      </c>
      <c r="F827" s="52">
        <v>46039.65902777778</v>
      </c>
      <c r="G827" s="53">
        <f t="shared" si="49"/>
        <v>6.1805555560567882E-2</v>
      </c>
      <c r="H827" s="1" t="s">
        <v>248</v>
      </c>
      <c r="J827" s="1" t="s">
        <v>249</v>
      </c>
      <c r="K827" s="1" t="s">
        <v>349</v>
      </c>
      <c r="L827" s="1" t="s">
        <v>450</v>
      </c>
      <c r="M827" s="1" t="s">
        <v>251</v>
      </c>
      <c r="N827" s="1" t="s">
        <v>330</v>
      </c>
      <c r="O827" s="1" t="s">
        <v>331</v>
      </c>
      <c r="P827" s="1" t="str">
        <f t="shared" si="50"/>
        <v>BC Caiaponia1SG50CX(COM1-023)46039,597222222246039,597222222246039,6590277778</v>
      </c>
      <c r="Q827" s="1" t="str">
        <f t="shared" si="51"/>
        <v>DAURDE</v>
      </c>
    </row>
    <row r="828" spans="2:17">
      <c r="B828" s="1" t="s">
        <v>268</v>
      </c>
      <c r="C828" s="1" t="s">
        <v>296</v>
      </c>
      <c r="D828" s="52">
        <v>46039.597222222219</v>
      </c>
      <c r="E828" s="52">
        <v>46039.597222222219</v>
      </c>
      <c r="F828" s="52">
        <v>46039.65902777778</v>
      </c>
      <c r="G828" s="53">
        <f t="shared" si="49"/>
        <v>6.1805555560567882E-2</v>
      </c>
      <c r="H828" s="1" t="s">
        <v>248</v>
      </c>
      <c r="J828" s="1" t="s">
        <v>249</v>
      </c>
      <c r="K828" s="1" t="s">
        <v>349</v>
      </c>
      <c r="L828" s="1" t="s">
        <v>450</v>
      </c>
      <c r="M828" s="1" t="s">
        <v>251</v>
      </c>
      <c r="N828" s="1" t="s">
        <v>330</v>
      </c>
      <c r="O828" s="1" t="s">
        <v>331</v>
      </c>
      <c r="P828" s="1" t="str">
        <f t="shared" si="50"/>
        <v>BC Caiaponia1SG50CX(COM1-024)46039,597222222246039,597222222246039,6590277778</v>
      </c>
      <c r="Q828" s="1" t="str">
        <f t="shared" si="51"/>
        <v>DAURDE</v>
      </c>
    </row>
    <row r="829" spans="2:17">
      <c r="B829" s="1" t="s">
        <v>268</v>
      </c>
      <c r="C829" s="1" t="s">
        <v>297</v>
      </c>
      <c r="D829" s="52">
        <v>46039.597222222219</v>
      </c>
      <c r="E829" s="52">
        <v>46039.597222222219</v>
      </c>
      <c r="F829" s="52">
        <v>46039.65902777778</v>
      </c>
      <c r="G829" s="53">
        <f t="shared" ref="G829:G892" si="52">F829-E829</f>
        <v>6.1805555560567882E-2</v>
      </c>
      <c r="H829" s="1" t="s">
        <v>248</v>
      </c>
      <c r="J829" s="1" t="s">
        <v>249</v>
      </c>
      <c r="K829" s="1" t="s">
        <v>349</v>
      </c>
      <c r="L829" s="1" t="s">
        <v>450</v>
      </c>
      <c r="M829" s="1" t="s">
        <v>251</v>
      </c>
      <c r="N829" s="1" t="s">
        <v>330</v>
      </c>
      <c r="O829" s="1" t="s">
        <v>331</v>
      </c>
      <c r="P829" s="1" t="str">
        <f t="shared" si="50"/>
        <v>BC Caiaponia1SG50CX(COM1-025)46039,597222222246039,597222222246039,6590277778</v>
      </c>
      <c r="Q829" s="1" t="str">
        <f t="shared" si="51"/>
        <v>DAURDE</v>
      </c>
    </row>
    <row r="830" spans="2:17">
      <c r="B830" s="1" t="s">
        <v>246</v>
      </c>
      <c r="C830" s="1" t="s">
        <v>247</v>
      </c>
      <c r="D830" s="52">
        <v>46039.597222222219</v>
      </c>
      <c r="E830" s="52">
        <v>46039.597222222219</v>
      </c>
      <c r="F830" s="52">
        <v>46039.65902777778</v>
      </c>
      <c r="G830" s="53">
        <f t="shared" si="52"/>
        <v>6.1805555560567882E-2</v>
      </c>
      <c r="H830" s="1" t="s">
        <v>248</v>
      </c>
      <c r="J830" s="1" t="s">
        <v>249</v>
      </c>
      <c r="K830" s="1" t="s">
        <v>349</v>
      </c>
      <c r="L830" s="1" t="s">
        <v>450</v>
      </c>
      <c r="M830" s="1" t="s">
        <v>251</v>
      </c>
      <c r="N830" s="1" t="s">
        <v>330</v>
      </c>
      <c r="O830" s="1" t="s">
        <v>331</v>
      </c>
      <c r="P830" s="1" t="str">
        <f t="shared" si="50"/>
        <v>BC Caiaponia2.1215KTL-H3(MBUS-12)46039,597222222246039,597222222246039,6590277778</v>
      </c>
      <c r="Q830" s="1" t="str">
        <f t="shared" si="51"/>
        <v>DAURDE</v>
      </c>
    </row>
    <row r="831" spans="2:17">
      <c r="B831" s="1" t="s">
        <v>246</v>
      </c>
      <c r="C831" s="1" t="s">
        <v>254</v>
      </c>
      <c r="D831" s="52">
        <v>46039.597222222219</v>
      </c>
      <c r="E831" s="52">
        <v>46039.597222222219</v>
      </c>
      <c r="F831" s="52">
        <v>46039.65902777778</v>
      </c>
      <c r="G831" s="53">
        <f t="shared" si="52"/>
        <v>6.1805555560567882E-2</v>
      </c>
      <c r="H831" s="1" t="s">
        <v>248</v>
      </c>
      <c r="J831" s="1" t="s">
        <v>249</v>
      </c>
      <c r="K831" s="1" t="s">
        <v>349</v>
      </c>
      <c r="L831" s="1" t="s">
        <v>450</v>
      </c>
      <c r="M831" s="1" t="s">
        <v>251</v>
      </c>
      <c r="N831" s="1" t="s">
        <v>330</v>
      </c>
      <c r="O831" s="1" t="s">
        <v>331</v>
      </c>
      <c r="P831" s="1" t="str">
        <f t="shared" si="50"/>
        <v>BC Caiaponia2.1215KTL-H3(MBUS-13)46039,597222222246039,597222222246039,6590277778</v>
      </c>
      <c r="Q831" s="1" t="str">
        <f t="shared" si="51"/>
        <v>DAURDE</v>
      </c>
    </row>
    <row r="832" spans="2:17">
      <c r="B832" s="1" t="s">
        <v>246</v>
      </c>
      <c r="C832" s="1" t="s">
        <v>255</v>
      </c>
      <c r="D832" s="52">
        <v>46039.597222222219</v>
      </c>
      <c r="E832" s="52">
        <v>46039.597222222219</v>
      </c>
      <c r="F832" s="52">
        <v>46039.65902777778</v>
      </c>
      <c r="G832" s="53">
        <f t="shared" si="52"/>
        <v>6.1805555560567882E-2</v>
      </c>
      <c r="H832" s="1" t="s">
        <v>248</v>
      </c>
      <c r="J832" s="1" t="s">
        <v>249</v>
      </c>
      <c r="K832" s="1" t="s">
        <v>349</v>
      </c>
      <c r="L832" s="1" t="s">
        <v>450</v>
      </c>
      <c r="M832" s="1" t="s">
        <v>251</v>
      </c>
      <c r="N832" s="1" t="s">
        <v>330</v>
      </c>
      <c r="O832" s="1" t="s">
        <v>331</v>
      </c>
      <c r="P832" s="1" t="str">
        <f t="shared" si="50"/>
        <v>BC Caiaponia2.1215KTL-H3(MBUS-14)46039,597222222246039,597222222246039,6590277778</v>
      </c>
      <c r="Q832" s="1" t="str">
        <f t="shared" si="51"/>
        <v>DAURDE</v>
      </c>
    </row>
    <row r="833" spans="2:17">
      <c r="B833" s="1" t="s">
        <v>246</v>
      </c>
      <c r="C833" s="1" t="s">
        <v>256</v>
      </c>
      <c r="D833" s="52">
        <v>46039.597222222219</v>
      </c>
      <c r="E833" s="52">
        <v>46039.597222222219</v>
      </c>
      <c r="F833" s="52">
        <v>46039.65902777778</v>
      </c>
      <c r="G833" s="53">
        <f t="shared" si="52"/>
        <v>6.1805555560567882E-2</v>
      </c>
      <c r="H833" s="1" t="s">
        <v>248</v>
      </c>
      <c r="J833" s="1" t="s">
        <v>249</v>
      </c>
      <c r="K833" s="1" t="s">
        <v>349</v>
      </c>
      <c r="L833" s="1" t="s">
        <v>450</v>
      </c>
      <c r="M833" s="1" t="s">
        <v>251</v>
      </c>
      <c r="N833" s="1" t="s">
        <v>330</v>
      </c>
      <c r="O833" s="1" t="s">
        <v>331</v>
      </c>
      <c r="P833" s="1" t="str">
        <f t="shared" si="50"/>
        <v>BC Caiaponia2.1215KTL-H3(MBUS-15)46039,597222222246039,597222222246039,6590277778</v>
      </c>
      <c r="Q833" s="1" t="str">
        <f t="shared" si="51"/>
        <v>DAURDE</v>
      </c>
    </row>
    <row r="834" spans="2:17">
      <c r="B834" s="1" t="s">
        <v>246</v>
      </c>
      <c r="C834" s="1" t="s">
        <v>257</v>
      </c>
      <c r="D834" s="52">
        <v>46039.597222222219</v>
      </c>
      <c r="E834" s="52">
        <v>46039.597222222219</v>
      </c>
      <c r="F834" s="52">
        <v>46039.65902777778</v>
      </c>
      <c r="G834" s="53">
        <f t="shared" si="52"/>
        <v>6.1805555560567882E-2</v>
      </c>
      <c r="H834" s="1" t="s">
        <v>248</v>
      </c>
      <c r="J834" s="1" t="s">
        <v>249</v>
      </c>
      <c r="K834" s="1" t="s">
        <v>349</v>
      </c>
      <c r="L834" s="1" t="s">
        <v>450</v>
      </c>
      <c r="M834" s="1" t="s">
        <v>251</v>
      </c>
      <c r="N834" s="1" t="s">
        <v>330</v>
      </c>
      <c r="O834" s="1" t="s">
        <v>331</v>
      </c>
      <c r="P834" s="1" t="str">
        <f t="shared" si="50"/>
        <v>BC Caiaponia2.1215KTL-H3(MBUS-16)46039,597222222246039,597222222246039,6590277778</v>
      </c>
      <c r="Q834" s="1" t="str">
        <f t="shared" si="51"/>
        <v>DAURDE</v>
      </c>
    </row>
    <row r="835" spans="2:17">
      <c r="B835" s="1" t="s">
        <v>258</v>
      </c>
      <c r="C835" s="1" t="s">
        <v>247</v>
      </c>
      <c r="D835" s="52">
        <v>46039.597222222219</v>
      </c>
      <c r="E835" s="52">
        <v>46039.597222222219</v>
      </c>
      <c r="F835" s="52">
        <v>46039.65902777778</v>
      </c>
      <c r="G835" s="53">
        <f t="shared" si="52"/>
        <v>6.1805555560567882E-2</v>
      </c>
      <c r="H835" s="1" t="s">
        <v>248</v>
      </c>
      <c r="J835" s="1" t="s">
        <v>249</v>
      </c>
      <c r="K835" s="1" t="s">
        <v>349</v>
      </c>
      <c r="L835" s="1" t="s">
        <v>450</v>
      </c>
      <c r="M835" s="1" t="s">
        <v>251</v>
      </c>
      <c r="N835" s="1" t="s">
        <v>330</v>
      </c>
      <c r="O835" s="1" t="s">
        <v>331</v>
      </c>
      <c r="P835" s="1" t="str">
        <f t="shared" si="50"/>
        <v>BC Caiaponia2.2215KTL-H3(MBUS-12)46039,597222222246039,597222222246039,6590277778</v>
      </c>
      <c r="Q835" s="1" t="str">
        <f t="shared" si="51"/>
        <v>DAURDE</v>
      </c>
    </row>
    <row r="836" spans="2:17">
      <c r="B836" s="1" t="s">
        <v>258</v>
      </c>
      <c r="C836" s="1" t="s">
        <v>254</v>
      </c>
      <c r="D836" s="52">
        <v>46039.597222222219</v>
      </c>
      <c r="E836" s="52">
        <v>46039.597222222219</v>
      </c>
      <c r="F836" s="52">
        <v>46039.65902777778</v>
      </c>
      <c r="G836" s="53">
        <f t="shared" si="52"/>
        <v>6.1805555560567882E-2</v>
      </c>
      <c r="H836" s="1" t="s">
        <v>248</v>
      </c>
      <c r="J836" s="1" t="s">
        <v>249</v>
      </c>
      <c r="K836" s="1" t="s">
        <v>349</v>
      </c>
      <c r="L836" s="1" t="s">
        <v>450</v>
      </c>
      <c r="M836" s="1" t="s">
        <v>251</v>
      </c>
      <c r="N836" s="1" t="s">
        <v>330</v>
      </c>
      <c r="O836" s="1" t="s">
        <v>331</v>
      </c>
      <c r="P836" s="1" t="str">
        <f t="shared" si="50"/>
        <v>BC Caiaponia2.2215KTL-H3(MBUS-13)46039,597222222246039,597222222246039,6590277778</v>
      </c>
      <c r="Q836" s="1" t="str">
        <f t="shared" si="51"/>
        <v>DAURDE</v>
      </c>
    </row>
    <row r="837" spans="2:17">
      <c r="B837" s="1" t="s">
        <v>258</v>
      </c>
      <c r="C837" s="1" t="s">
        <v>255</v>
      </c>
      <c r="D837" s="52">
        <v>46039.597222222219</v>
      </c>
      <c r="E837" s="52">
        <v>46039.597222222219</v>
      </c>
      <c r="F837" s="52">
        <v>46039.65902777778</v>
      </c>
      <c r="G837" s="53">
        <f t="shared" si="52"/>
        <v>6.1805555560567882E-2</v>
      </c>
      <c r="H837" s="1" t="s">
        <v>248</v>
      </c>
      <c r="J837" s="1" t="s">
        <v>249</v>
      </c>
      <c r="K837" s="1" t="s">
        <v>349</v>
      </c>
      <c r="L837" s="1" t="s">
        <v>450</v>
      </c>
      <c r="M837" s="1" t="s">
        <v>251</v>
      </c>
      <c r="N837" s="1" t="s">
        <v>330</v>
      </c>
      <c r="O837" s="1" t="s">
        <v>331</v>
      </c>
      <c r="P837" s="1" t="str">
        <f t="shared" si="50"/>
        <v>BC Caiaponia2.2215KTL-H3(MBUS-14)46039,597222222246039,597222222246039,6590277778</v>
      </c>
      <c r="Q837" s="1" t="str">
        <f t="shared" si="51"/>
        <v>DAURDE</v>
      </c>
    </row>
    <row r="838" spans="2:17">
      <c r="B838" s="1" t="s">
        <v>258</v>
      </c>
      <c r="C838" s="1" t="s">
        <v>256</v>
      </c>
      <c r="D838" s="52">
        <v>46039.597222222219</v>
      </c>
      <c r="E838" s="52">
        <v>46039.597222222219</v>
      </c>
      <c r="F838" s="52">
        <v>46039.65902777778</v>
      </c>
      <c r="G838" s="53">
        <f t="shared" si="52"/>
        <v>6.1805555560567882E-2</v>
      </c>
      <c r="H838" s="1" t="s">
        <v>248</v>
      </c>
      <c r="J838" s="1" t="s">
        <v>249</v>
      </c>
      <c r="K838" s="1" t="s">
        <v>349</v>
      </c>
      <c r="L838" s="1" t="s">
        <v>450</v>
      </c>
      <c r="M838" s="1" t="s">
        <v>251</v>
      </c>
      <c r="N838" s="1" t="s">
        <v>330</v>
      </c>
      <c r="O838" s="1" t="s">
        <v>331</v>
      </c>
      <c r="P838" s="1" t="str">
        <f t="shared" si="50"/>
        <v>BC Caiaponia2.2215KTL-H3(MBUS-15)46039,597222222246039,597222222246039,6590277778</v>
      </c>
      <c r="Q838" s="1" t="str">
        <f t="shared" si="51"/>
        <v>DAURDE</v>
      </c>
    </row>
    <row r="839" spans="2:17">
      <c r="B839" s="1" t="s">
        <v>258</v>
      </c>
      <c r="C839" s="1" t="s">
        <v>257</v>
      </c>
      <c r="D839" s="52">
        <v>46039.597222222219</v>
      </c>
      <c r="E839" s="52">
        <v>46039.597222222219</v>
      </c>
      <c r="F839" s="52">
        <v>46039.65902777778</v>
      </c>
      <c r="G839" s="53">
        <f t="shared" si="52"/>
        <v>6.1805555560567882E-2</v>
      </c>
      <c r="H839" s="1" t="s">
        <v>248</v>
      </c>
      <c r="J839" s="1" t="s">
        <v>249</v>
      </c>
      <c r="K839" s="1" t="s">
        <v>349</v>
      </c>
      <c r="L839" s="1" t="s">
        <v>450</v>
      </c>
      <c r="M839" s="1" t="s">
        <v>251</v>
      </c>
      <c r="N839" s="1" t="s">
        <v>330</v>
      </c>
      <c r="O839" s="1" t="s">
        <v>331</v>
      </c>
      <c r="P839" s="1" t="str">
        <f t="shared" ref="P839:P902" si="53">_xlfn.CONCAT(B839,C839,D839,E839,F839)</f>
        <v>BC Caiaponia2.2215KTL-H3(MBUS-16)46039,597222222246039,597222222246039,6590277778</v>
      </c>
      <c r="Q839" s="1" t="str">
        <f t="shared" ref="Q839:Q902" si="54">_xlfn.CONCAT(H839,I839,J839)</f>
        <v>DAURDE</v>
      </c>
    </row>
    <row r="840" spans="2:17">
      <c r="B840" s="1" t="s">
        <v>259</v>
      </c>
      <c r="C840" s="1" t="s">
        <v>247</v>
      </c>
      <c r="D840" s="52">
        <v>46039.597222222219</v>
      </c>
      <c r="E840" s="52">
        <v>46039.597222222219</v>
      </c>
      <c r="F840" s="52">
        <v>46039.65902777778</v>
      </c>
      <c r="G840" s="53">
        <f t="shared" si="52"/>
        <v>6.1805555560567882E-2</v>
      </c>
      <c r="H840" s="1" t="s">
        <v>248</v>
      </c>
      <c r="J840" s="1" t="s">
        <v>249</v>
      </c>
      <c r="K840" s="1" t="s">
        <v>349</v>
      </c>
      <c r="L840" s="1" t="s">
        <v>450</v>
      </c>
      <c r="M840" s="1" t="s">
        <v>251</v>
      </c>
      <c r="N840" s="1" t="s">
        <v>330</v>
      </c>
      <c r="O840" s="1" t="s">
        <v>331</v>
      </c>
      <c r="P840" s="1" t="str">
        <f t="shared" si="53"/>
        <v>BC Caiaponia2.3215KTL-H3(MBUS-12)46039,597222222246039,597222222246039,6590277778</v>
      </c>
      <c r="Q840" s="1" t="str">
        <f t="shared" si="54"/>
        <v>DAURDE</v>
      </c>
    </row>
    <row r="841" spans="2:17">
      <c r="B841" s="1" t="s">
        <v>259</v>
      </c>
      <c r="C841" s="1" t="s">
        <v>254</v>
      </c>
      <c r="D841" s="52">
        <v>46039.597222222219</v>
      </c>
      <c r="E841" s="52">
        <v>46039.597222222219</v>
      </c>
      <c r="F841" s="52">
        <v>46039.65902777778</v>
      </c>
      <c r="G841" s="53">
        <f t="shared" si="52"/>
        <v>6.1805555560567882E-2</v>
      </c>
      <c r="H841" s="1" t="s">
        <v>248</v>
      </c>
      <c r="J841" s="1" t="s">
        <v>249</v>
      </c>
      <c r="K841" s="1" t="s">
        <v>349</v>
      </c>
      <c r="L841" s="1" t="s">
        <v>450</v>
      </c>
      <c r="M841" s="1" t="s">
        <v>251</v>
      </c>
      <c r="N841" s="1" t="s">
        <v>330</v>
      </c>
      <c r="O841" s="1" t="s">
        <v>331</v>
      </c>
      <c r="P841" s="1" t="str">
        <f t="shared" si="53"/>
        <v>BC Caiaponia2.3215KTL-H3(MBUS-13)46039,597222222246039,597222222246039,6590277778</v>
      </c>
      <c r="Q841" s="1" t="str">
        <f t="shared" si="54"/>
        <v>DAURDE</v>
      </c>
    </row>
    <row r="842" spans="2:17">
      <c r="B842" s="1" t="s">
        <v>259</v>
      </c>
      <c r="C842" s="1" t="s">
        <v>255</v>
      </c>
      <c r="D842" s="52">
        <v>46039.597222222219</v>
      </c>
      <c r="E842" s="52">
        <v>46039.597222222219</v>
      </c>
      <c r="F842" s="52">
        <v>46039.65902777778</v>
      </c>
      <c r="G842" s="53">
        <f t="shared" si="52"/>
        <v>6.1805555560567882E-2</v>
      </c>
      <c r="H842" s="1" t="s">
        <v>248</v>
      </c>
      <c r="J842" s="1" t="s">
        <v>249</v>
      </c>
      <c r="K842" s="1" t="s">
        <v>349</v>
      </c>
      <c r="L842" s="1" t="s">
        <v>450</v>
      </c>
      <c r="M842" s="1" t="s">
        <v>251</v>
      </c>
      <c r="N842" s="1" t="s">
        <v>330</v>
      </c>
      <c r="O842" s="1" t="s">
        <v>331</v>
      </c>
      <c r="P842" s="1" t="str">
        <f t="shared" si="53"/>
        <v>BC Caiaponia2.3215KTL-H3(MBUS-14)46039,597222222246039,597222222246039,6590277778</v>
      </c>
      <c r="Q842" s="1" t="str">
        <f t="shared" si="54"/>
        <v>DAURDE</v>
      </c>
    </row>
    <row r="843" spans="2:17">
      <c r="B843" s="1" t="s">
        <v>259</v>
      </c>
      <c r="C843" s="1" t="s">
        <v>256</v>
      </c>
      <c r="D843" s="52">
        <v>46039.597222222219</v>
      </c>
      <c r="E843" s="52">
        <v>46039.597222222219</v>
      </c>
      <c r="F843" s="52">
        <v>46039.65902777778</v>
      </c>
      <c r="G843" s="53">
        <f t="shared" si="52"/>
        <v>6.1805555560567882E-2</v>
      </c>
      <c r="H843" s="1" t="s">
        <v>248</v>
      </c>
      <c r="J843" s="1" t="s">
        <v>249</v>
      </c>
      <c r="K843" s="1" t="s">
        <v>349</v>
      </c>
      <c r="L843" s="1" t="s">
        <v>450</v>
      </c>
      <c r="M843" s="1" t="s">
        <v>251</v>
      </c>
      <c r="N843" s="1" t="s">
        <v>330</v>
      </c>
      <c r="O843" s="1" t="s">
        <v>331</v>
      </c>
      <c r="P843" s="1" t="str">
        <f t="shared" si="53"/>
        <v>BC Caiaponia2.3215KTL-H3(MBUS-15)46039,597222222246039,597222222246039,6590277778</v>
      </c>
      <c r="Q843" s="1" t="str">
        <f t="shared" si="54"/>
        <v>DAURDE</v>
      </c>
    </row>
    <row r="844" spans="2:17">
      <c r="B844" s="1" t="s">
        <v>259</v>
      </c>
      <c r="C844" s="1" t="s">
        <v>257</v>
      </c>
      <c r="D844" s="52">
        <v>46039.597222222219</v>
      </c>
      <c r="E844" s="52">
        <v>46039.597222222219</v>
      </c>
      <c r="F844" s="52">
        <v>46039.65902777778</v>
      </c>
      <c r="G844" s="53">
        <f t="shared" si="52"/>
        <v>6.1805555560567882E-2</v>
      </c>
      <c r="H844" s="1" t="s">
        <v>248</v>
      </c>
      <c r="J844" s="1" t="s">
        <v>249</v>
      </c>
      <c r="K844" s="1" t="s">
        <v>349</v>
      </c>
      <c r="L844" s="1" t="s">
        <v>450</v>
      </c>
      <c r="M844" s="1" t="s">
        <v>251</v>
      </c>
      <c r="N844" s="1" t="s">
        <v>330</v>
      </c>
      <c r="O844" s="1" t="s">
        <v>331</v>
      </c>
      <c r="P844" s="1" t="str">
        <f t="shared" si="53"/>
        <v>BC Caiaponia2.3215KTL-H3(MBUS-16)46039,597222222246039,597222222246039,6590277778</v>
      </c>
      <c r="Q844" s="1" t="str">
        <f t="shared" si="54"/>
        <v>DAURDE</v>
      </c>
    </row>
    <row r="845" spans="2:17">
      <c r="B845" s="1" t="s">
        <v>437</v>
      </c>
      <c r="C845" s="1" t="s">
        <v>354</v>
      </c>
      <c r="D845" s="52">
        <v>46037.604166666664</v>
      </c>
      <c r="E845" s="52">
        <v>46037.604166666664</v>
      </c>
      <c r="F845" s="52">
        <v>46037.618055555555</v>
      </c>
      <c r="G845" s="53">
        <f t="shared" si="52"/>
        <v>1.3888888890505768E-2</v>
      </c>
      <c r="H845" s="1" t="s">
        <v>248</v>
      </c>
      <c r="J845" s="1" t="s">
        <v>249</v>
      </c>
      <c r="K845" s="1" t="s">
        <v>349</v>
      </c>
      <c r="L845" s="1" t="s">
        <v>500</v>
      </c>
      <c r="M845" s="1" t="s">
        <v>251</v>
      </c>
      <c r="N845" s="1" t="s">
        <v>330</v>
      </c>
      <c r="O845" s="1" t="s">
        <v>501</v>
      </c>
      <c r="P845" s="1" t="str">
        <f t="shared" si="53"/>
        <v>BC Ibiuna 1.1Inverter(MBUS-12)46037,604166666746037,604166666746037,6180555556</v>
      </c>
      <c r="Q845" s="1" t="str">
        <f t="shared" si="54"/>
        <v>DAURDE</v>
      </c>
    </row>
    <row r="846" spans="2:17">
      <c r="B846" s="1" t="s">
        <v>437</v>
      </c>
      <c r="C846" s="1" t="s">
        <v>357</v>
      </c>
      <c r="D846" s="52">
        <v>46037.604166666664</v>
      </c>
      <c r="E846" s="52">
        <v>46037.604166666664</v>
      </c>
      <c r="F846" s="52">
        <v>46037.618055555555</v>
      </c>
      <c r="G846" s="53">
        <f t="shared" si="52"/>
        <v>1.3888888890505768E-2</v>
      </c>
      <c r="H846" s="1" t="s">
        <v>248</v>
      </c>
      <c r="J846" s="1" t="s">
        <v>249</v>
      </c>
      <c r="K846" s="1" t="s">
        <v>349</v>
      </c>
      <c r="L846" s="1" t="s">
        <v>500</v>
      </c>
      <c r="M846" s="1" t="s">
        <v>251</v>
      </c>
      <c r="N846" s="1" t="s">
        <v>330</v>
      </c>
      <c r="O846" s="1" t="s">
        <v>501</v>
      </c>
      <c r="P846" s="1" t="str">
        <f t="shared" si="53"/>
        <v>BC Ibiuna 1.1Inverter(MBUS-13)46037,604166666746037,604166666746037,6180555556</v>
      </c>
      <c r="Q846" s="1" t="str">
        <f t="shared" si="54"/>
        <v>DAURDE</v>
      </c>
    </row>
    <row r="847" spans="2:17">
      <c r="B847" s="1" t="s">
        <v>437</v>
      </c>
      <c r="C847" s="1" t="s">
        <v>358</v>
      </c>
      <c r="D847" s="52">
        <v>46037.604166666664</v>
      </c>
      <c r="E847" s="52">
        <v>46037.604166666664</v>
      </c>
      <c r="F847" s="52">
        <v>46037.618055555555</v>
      </c>
      <c r="G847" s="53">
        <f t="shared" si="52"/>
        <v>1.3888888890505768E-2</v>
      </c>
      <c r="H847" s="1" t="s">
        <v>248</v>
      </c>
      <c r="J847" s="1" t="s">
        <v>249</v>
      </c>
      <c r="K847" s="1" t="s">
        <v>349</v>
      </c>
      <c r="L847" s="1" t="s">
        <v>500</v>
      </c>
      <c r="M847" s="1" t="s">
        <v>251</v>
      </c>
      <c r="N847" s="1" t="s">
        <v>330</v>
      </c>
      <c r="O847" s="1" t="s">
        <v>501</v>
      </c>
      <c r="P847" s="1" t="str">
        <f t="shared" si="53"/>
        <v>BC Ibiuna 1.1Inverter(MBUS-14)46037,604166666746037,604166666746037,6180555556</v>
      </c>
      <c r="Q847" s="1" t="str">
        <f t="shared" si="54"/>
        <v>DAURDE</v>
      </c>
    </row>
    <row r="848" spans="2:17">
      <c r="B848" s="1" t="s">
        <v>437</v>
      </c>
      <c r="C848" s="1" t="s">
        <v>359</v>
      </c>
      <c r="D848" s="52">
        <v>46037.604166666664</v>
      </c>
      <c r="E848" s="52">
        <v>46037.604166666664</v>
      </c>
      <c r="F848" s="52">
        <v>46037.618055555555</v>
      </c>
      <c r="G848" s="53">
        <f t="shared" si="52"/>
        <v>1.3888888890505768E-2</v>
      </c>
      <c r="H848" s="1" t="s">
        <v>248</v>
      </c>
      <c r="J848" s="1" t="s">
        <v>249</v>
      </c>
      <c r="K848" s="1" t="s">
        <v>349</v>
      </c>
      <c r="L848" s="1" t="s">
        <v>500</v>
      </c>
      <c r="M848" s="1" t="s">
        <v>251</v>
      </c>
      <c r="N848" s="1" t="s">
        <v>330</v>
      </c>
      <c r="O848" s="1" t="s">
        <v>330</v>
      </c>
      <c r="P848" s="1" t="str">
        <f t="shared" si="53"/>
        <v>BC Ibiuna 1.1Inverter(MBUS-15)46037,604166666746037,604166666746037,6180555556</v>
      </c>
      <c r="Q848" s="1" t="str">
        <f t="shared" si="54"/>
        <v>DAURDE</v>
      </c>
    </row>
    <row r="849" spans="2:17">
      <c r="B849" s="1" t="s">
        <v>439</v>
      </c>
      <c r="C849" s="1" t="s">
        <v>354</v>
      </c>
      <c r="D849" s="52">
        <v>46037.604166666664</v>
      </c>
      <c r="E849" s="52">
        <v>46037.604166666664</v>
      </c>
      <c r="F849" s="52">
        <v>46037.618055555555</v>
      </c>
      <c r="G849" s="53">
        <f t="shared" si="52"/>
        <v>1.3888888890505768E-2</v>
      </c>
      <c r="H849" s="1" t="s">
        <v>248</v>
      </c>
      <c r="J849" s="1" t="s">
        <v>249</v>
      </c>
      <c r="K849" s="1" t="s">
        <v>349</v>
      </c>
      <c r="L849" s="1" t="s">
        <v>500</v>
      </c>
      <c r="M849" s="1" t="s">
        <v>251</v>
      </c>
      <c r="N849" s="1" t="s">
        <v>330</v>
      </c>
      <c r="O849" s="1" t="s">
        <v>330</v>
      </c>
      <c r="P849" s="1" t="str">
        <f t="shared" si="53"/>
        <v>BC Ibiuna 1.2Inverter(MBUS-12)46037,604166666746037,604166666746037,6180555556</v>
      </c>
      <c r="Q849" s="1" t="str">
        <f t="shared" si="54"/>
        <v>DAURDE</v>
      </c>
    </row>
    <row r="850" spans="2:17">
      <c r="B850" s="1" t="s">
        <v>439</v>
      </c>
      <c r="C850" s="1" t="s">
        <v>357</v>
      </c>
      <c r="D850" s="52">
        <v>46037.604166666664</v>
      </c>
      <c r="E850" s="52">
        <v>46037.604166666664</v>
      </c>
      <c r="F850" s="52">
        <v>46037.618055555555</v>
      </c>
      <c r="G850" s="53">
        <f t="shared" si="52"/>
        <v>1.3888888890505768E-2</v>
      </c>
      <c r="H850" s="1" t="s">
        <v>248</v>
      </c>
      <c r="J850" s="1" t="s">
        <v>249</v>
      </c>
      <c r="K850" s="1" t="s">
        <v>349</v>
      </c>
      <c r="L850" s="1" t="s">
        <v>500</v>
      </c>
      <c r="M850" s="1" t="s">
        <v>251</v>
      </c>
      <c r="N850" s="1" t="s">
        <v>330</v>
      </c>
      <c r="O850" s="1" t="s">
        <v>330</v>
      </c>
      <c r="P850" s="1" t="str">
        <f t="shared" si="53"/>
        <v>BC Ibiuna 1.2Inverter(MBUS-13)46037,604166666746037,604166666746037,6180555556</v>
      </c>
      <c r="Q850" s="1" t="str">
        <f t="shared" si="54"/>
        <v>DAURDE</v>
      </c>
    </row>
    <row r="851" spans="2:17">
      <c r="B851" s="1" t="s">
        <v>439</v>
      </c>
      <c r="C851" s="1" t="s">
        <v>358</v>
      </c>
      <c r="D851" s="52">
        <v>46037.604166666664</v>
      </c>
      <c r="E851" s="52">
        <v>46037.604166666664</v>
      </c>
      <c r="F851" s="52">
        <v>46037.618055555555</v>
      </c>
      <c r="G851" s="53">
        <f t="shared" si="52"/>
        <v>1.3888888890505768E-2</v>
      </c>
      <c r="H851" s="1" t="s">
        <v>248</v>
      </c>
      <c r="J851" s="1" t="s">
        <v>249</v>
      </c>
      <c r="K851" s="1" t="s">
        <v>349</v>
      </c>
      <c r="L851" s="1" t="s">
        <v>500</v>
      </c>
      <c r="M851" s="1" t="s">
        <v>251</v>
      </c>
      <c r="N851" s="1" t="s">
        <v>330</v>
      </c>
      <c r="O851" s="1" t="s">
        <v>330</v>
      </c>
      <c r="P851" s="1" t="str">
        <f t="shared" si="53"/>
        <v>BC Ibiuna 1.2Inverter(MBUS-14)46037,604166666746037,604166666746037,6180555556</v>
      </c>
      <c r="Q851" s="1" t="str">
        <f t="shared" si="54"/>
        <v>DAURDE</v>
      </c>
    </row>
    <row r="852" spans="2:17">
      <c r="B852" s="1" t="s">
        <v>439</v>
      </c>
      <c r="C852" s="1" t="s">
        <v>359</v>
      </c>
      <c r="D852" s="52">
        <v>46037.604166666664</v>
      </c>
      <c r="E852" s="52">
        <v>46037.604166666664</v>
      </c>
      <c r="F852" s="52">
        <v>46037.618055555555</v>
      </c>
      <c r="G852" s="53">
        <f t="shared" si="52"/>
        <v>1.3888888890505768E-2</v>
      </c>
      <c r="H852" s="1" t="s">
        <v>248</v>
      </c>
      <c r="J852" s="1" t="s">
        <v>249</v>
      </c>
      <c r="K852" s="1" t="s">
        <v>349</v>
      </c>
      <c r="L852" s="1" t="s">
        <v>500</v>
      </c>
      <c r="M852" s="1" t="s">
        <v>251</v>
      </c>
      <c r="N852" s="1" t="s">
        <v>252</v>
      </c>
      <c r="O852" s="1" t="s">
        <v>330</v>
      </c>
      <c r="P852" s="1" t="str">
        <f t="shared" si="53"/>
        <v>BC Ibiuna 1.2Inverter(MBUS-15)46037,604166666746037,604166666746037,6180555556</v>
      </c>
      <c r="Q852" s="1" t="str">
        <f t="shared" si="54"/>
        <v>DAURDE</v>
      </c>
    </row>
    <row r="853" spans="2:17">
      <c r="B853" s="1" t="s">
        <v>437</v>
      </c>
      <c r="C853" s="1" t="s">
        <v>354</v>
      </c>
      <c r="D853" s="52">
        <v>46037.666666666664</v>
      </c>
      <c r="E853" s="52">
        <v>46037.666666666664</v>
      </c>
      <c r="F853" s="52">
        <v>46038.375</v>
      </c>
      <c r="G853" s="53">
        <f t="shared" si="52"/>
        <v>0.70833333333575865</v>
      </c>
      <c r="H853" s="1" t="s">
        <v>343</v>
      </c>
      <c r="J853" s="1" t="s">
        <v>230</v>
      </c>
      <c r="K853" s="1" t="s">
        <v>230</v>
      </c>
      <c r="L853" s="1" t="s">
        <v>502</v>
      </c>
      <c r="M853" s="1" t="s">
        <v>302</v>
      </c>
      <c r="N853" s="1" t="s">
        <v>503</v>
      </c>
      <c r="O853" s="1" t="s">
        <v>504</v>
      </c>
      <c r="P853" s="1" t="str">
        <f t="shared" si="53"/>
        <v>BC Ibiuna 1.1Inverter(MBUS-12)46037,666666666746037,666666666746038,375</v>
      </c>
      <c r="Q853" s="1" t="str">
        <f t="shared" si="54"/>
        <v>DPRUFV</v>
      </c>
    </row>
    <row r="854" spans="2:17">
      <c r="B854" s="1" t="s">
        <v>437</v>
      </c>
      <c r="C854" s="1" t="s">
        <v>357</v>
      </c>
      <c r="D854" s="52">
        <v>46037.666666666664</v>
      </c>
      <c r="E854" s="52">
        <v>46037.666666666664</v>
      </c>
      <c r="F854" s="52">
        <v>46038.375</v>
      </c>
      <c r="G854" s="53">
        <f t="shared" si="52"/>
        <v>0.70833333333575865</v>
      </c>
      <c r="H854" s="1" t="s">
        <v>343</v>
      </c>
      <c r="J854" s="1" t="s">
        <v>230</v>
      </c>
      <c r="K854" s="1" t="s">
        <v>230</v>
      </c>
      <c r="L854" s="1" t="s">
        <v>502</v>
      </c>
      <c r="M854" s="1" t="s">
        <v>302</v>
      </c>
      <c r="N854" s="1" t="s">
        <v>503</v>
      </c>
      <c r="O854" s="1" t="s">
        <v>504</v>
      </c>
      <c r="P854" s="1" t="str">
        <f t="shared" si="53"/>
        <v>BC Ibiuna 1.1Inverter(MBUS-13)46037,666666666746037,666666666746038,375</v>
      </c>
      <c r="Q854" s="1" t="str">
        <f t="shared" si="54"/>
        <v>DPRUFV</v>
      </c>
    </row>
    <row r="855" spans="2:17">
      <c r="B855" s="1" t="s">
        <v>437</v>
      </c>
      <c r="C855" s="1" t="s">
        <v>358</v>
      </c>
      <c r="D855" s="52">
        <v>46037.666666666664</v>
      </c>
      <c r="E855" s="52">
        <v>46037.666666666664</v>
      </c>
      <c r="F855" s="52">
        <v>46038.375</v>
      </c>
      <c r="G855" s="53">
        <f t="shared" si="52"/>
        <v>0.70833333333575865</v>
      </c>
      <c r="H855" s="1" t="s">
        <v>343</v>
      </c>
      <c r="J855" s="1" t="s">
        <v>230</v>
      </c>
      <c r="K855" s="1" t="s">
        <v>230</v>
      </c>
      <c r="L855" s="1" t="s">
        <v>502</v>
      </c>
      <c r="M855" s="1" t="s">
        <v>302</v>
      </c>
      <c r="N855" s="1" t="s">
        <v>503</v>
      </c>
      <c r="O855" s="1" t="s">
        <v>504</v>
      </c>
      <c r="P855" s="1" t="str">
        <f t="shared" si="53"/>
        <v>BC Ibiuna 1.1Inverter(MBUS-14)46037,666666666746037,666666666746038,375</v>
      </c>
      <c r="Q855" s="1" t="str">
        <f t="shared" si="54"/>
        <v>DPRUFV</v>
      </c>
    </row>
    <row r="856" spans="2:17">
      <c r="B856" s="1" t="s">
        <v>437</v>
      </c>
      <c r="C856" s="1" t="s">
        <v>359</v>
      </c>
      <c r="D856" s="52">
        <v>46037.666666666664</v>
      </c>
      <c r="E856" s="52">
        <v>46037.666666666664</v>
      </c>
      <c r="F856" s="52">
        <v>46038.375</v>
      </c>
      <c r="G856" s="53">
        <f t="shared" si="52"/>
        <v>0.70833333333575865</v>
      </c>
      <c r="H856" s="1" t="s">
        <v>343</v>
      </c>
      <c r="J856" s="1" t="s">
        <v>230</v>
      </c>
      <c r="K856" s="1" t="s">
        <v>230</v>
      </c>
      <c r="L856" s="1" t="s">
        <v>502</v>
      </c>
      <c r="M856" s="1" t="s">
        <v>302</v>
      </c>
      <c r="N856" s="1" t="s">
        <v>503</v>
      </c>
      <c r="O856" s="1" t="s">
        <v>504</v>
      </c>
      <c r="P856" s="1" t="str">
        <f t="shared" si="53"/>
        <v>BC Ibiuna 1.1Inverter(MBUS-15)46037,666666666746037,666666666746038,375</v>
      </c>
      <c r="Q856" s="1" t="str">
        <f t="shared" si="54"/>
        <v>DPRUFV</v>
      </c>
    </row>
    <row r="857" spans="2:17">
      <c r="B857" s="1" t="s">
        <v>439</v>
      </c>
      <c r="C857" s="1" t="s">
        <v>354</v>
      </c>
      <c r="D857" s="52">
        <v>46037.666666666664</v>
      </c>
      <c r="E857" s="52">
        <v>46037.666666666664</v>
      </c>
      <c r="F857" s="52">
        <v>46038.375</v>
      </c>
      <c r="G857" s="53">
        <f t="shared" si="52"/>
        <v>0.70833333333575865</v>
      </c>
      <c r="H857" s="1" t="s">
        <v>343</v>
      </c>
      <c r="J857" s="1" t="s">
        <v>230</v>
      </c>
      <c r="K857" s="1" t="s">
        <v>230</v>
      </c>
      <c r="L857" s="1" t="s">
        <v>502</v>
      </c>
      <c r="M857" s="1" t="s">
        <v>302</v>
      </c>
      <c r="N857" s="1" t="s">
        <v>503</v>
      </c>
      <c r="O857" s="1" t="s">
        <v>504</v>
      </c>
      <c r="P857" s="1" t="str">
        <f t="shared" si="53"/>
        <v>BC Ibiuna 1.2Inverter(MBUS-12)46037,666666666746037,666666666746038,375</v>
      </c>
      <c r="Q857" s="1" t="str">
        <f t="shared" si="54"/>
        <v>DPRUFV</v>
      </c>
    </row>
    <row r="858" spans="2:17">
      <c r="B858" s="1" t="s">
        <v>439</v>
      </c>
      <c r="C858" s="1" t="s">
        <v>357</v>
      </c>
      <c r="D858" s="52">
        <v>46037.666666666664</v>
      </c>
      <c r="E858" s="52">
        <v>46037.666666666664</v>
      </c>
      <c r="F858" s="52">
        <v>46038.375</v>
      </c>
      <c r="G858" s="53">
        <f t="shared" si="52"/>
        <v>0.70833333333575865</v>
      </c>
      <c r="H858" s="1" t="s">
        <v>343</v>
      </c>
      <c r="J858" s="1" t="s">
        <v>230</v>
      </c>
      <c r="K858" s="1" t="s">
        <v>230</v>
      </c>
      <c r="L858" s="1" t="s">
        <v>502</v>
      </c>
      <c r="M858" s="1" t="s">
        <v>302</v>
      </c>
      <c r="N858" s="1" t="s">
        <v>503</v>
      </c>
      <c r="O858" s="1" t="s">
        <v>504</v>
      </c>
      <c r="P858" s="1" t="str">
        <f t="shared" si="53"/>
        <v>BC Ibiuna 1.2Inverter(MBUS-13)46037,666666666746037,666666666746038,375</v>
      </c>
      <c r="Q858" s="1" t="str">
        <f t="shared" si="54"/>
        <v>DPRUFV</v>
      </c>
    </row>
    <row r="859" spans="2:17">
      <c r="B859" s="1" t="s">
        <v>439</v>
      </c>
      <c r="C859" s="1" t="s">
        <v>358</v>
      </c>
      <c r="D859" s="52">
        <v>46037.666666666664</v>
      </c>
      <c r="E859" s="52">
        <v>46037.666666666664</v>
      </c>
      <c r="F859" s="52">
        <v>46038.375</v>
      </c>
      <c r="G859" s="53">
        <f t="shared" si="52"/>
        <v>0.70833333333575865</v>
      </c>
      <c r="H859" s="1" t="s">
        <v>343</v>
      </c>
      <c r="J859" s="1" t="s">
        <v>230</v>
      </c>
      <c r="K859" s="1" t="s">
        <v>230</v>
      </c>
      <c r="L859" s="1" t="s">
        <v>502</v>
      </c>
      <c r="M859" s="1" t="s">
        <v>302</v>
      </c>
      <c r="N859" s="1" t="s">
        <v>503</v>
      </c>
      <c r="O859" s="1" t="s">
        <v>504</v>
      </c>
      <c r="P859" s="1" t="str">
        <f t="shared" si="53"/>
        <v>BC Ibiuna 1.2Inverter(MBUS-14)46037,666666666746037,666666666746038,375</v>
      </c>
      <c r="Q859" s="1" t="str">
        <f t="shared" si="54"/>
        <v>DPRUFV</v>
      </c>
    </row>
    <row r="860" spans="2:17">
      <c r="B860" s="1" t="s">
        <v>439</v>
      </c>
      <c r="C860" s="1" t="s">
        <v>359</v>
      </c>
      <c r="D860" s="52">
        <v>46037.666666666664</v>
      </c>
      <c r="E860" s="52">
        <v>46037.666666666664</v>
      </c>
      <c r="F860" s="52">
        <v>46038.375</v>
      </c>
      <c r="G860" s="53">
        <f t="shared" si="52"/>
        <v>0.70833333333575865</v>
      </c>
      <c r="H860" s="1" t="s">
        <v>343</v>
      </c>
      <c r="J860" s="1" t="s">
        <v>230</v>
      </c>
      <c r="K860" s="1" t="s">
        <v>230</v>
      </c>
      <c r="L860" s="1" t="s">
        <v>502</v>
      </c>
      <c r="M860" s="1" t="s">
        <v>302</v>
      </c>
      <c r="N860" s="1" t="s">
        <v>503</v>
      </c>
      <c r="O860" s="1" t="s">
        <v>504</v>
      </c>
      <c r="P860" s="1" t="str">
        <f t="shared" si="53"/>
        <v>BC Ibiuna 1.2Inverter(MBUS-15)46037,666666666746037,666666666746038,375</v>
      </c>
      <c r="Q860" s="1" t="str">
        <f t="shared" si="54"/>
        <v>DPRUFV</v>
      </c>
    </row>
    <row r="861" spans="2:17">
      <c r="B861" s="1" t="s">
        <v>437</v>
      </c>
      <c r="C861" s="1" t="s">
        <v>357</v>
      </c>
      <c r="D861" s="52">
        <v>46038.463888888888</v>
      </c>
      <c r="E861" s="52">
        <v>46038.463888888888</v>
      </c>
      <c r="F861" s="52">
        <v>46038.513194444444</v>
      </c>
      <c r="G861" s="53">
        <f t="shared" si="52"/>
        <v>4.9305555556202307E-2</v>
      </c>
      <c r="H861" s="1" t="s">
        <v>343</v>
      </c>
      <c r="J861" s="1" t="s">
        <v>230</v>
      </c>
      <c r="K861" s="1" t="s">
        <v>230</v>
      </c>
      <c r="L861" s="1" t="s">
        <v>505</v>
      </c>
      <c r="M861" s="1" t="s">
        <v>302</v>
      </c>
      <c r="N861" s="1" t="s">
        <v>503</v>
      </c>
      <c r="O861" s="1" t="s">
        <v>504</v>
      </c>
      <c r="P861" s="1" t="str">
        <f t="shared" si="53"/>
        <v>BC Ibiuna 1.1Inverter(MBUS-13)46038,463888888946038,463888888946038,5131944444</v>
      </c>
      <c r="Q861" s="1" t="str">
        <f t="shared" si="54"/>
        <v>DPRUFV</v>
      </c>
    </row>
    <row r="862" spans="2:17">
      <c r="B862" s="1" t="s">
        <v>437</v>
      </c>
      <c r="C862" s="1" t="s">
        <v>358</v>
      </c>
      <c r="D862" s="52">
        <v>46038.463888888888</v>
      </c>
      <c r="E862" s="52">
        <v>46038.463888888888</v>
      </c>
      <c r="F862" s="52">
        <v>46038.513194444444</v>
      </c>
      <c r="G862" s="53">
        <f t="shared" si="52"/>
        <v>4.9305555556202307E-2</v>
      </c>
      <c r="H862" s="1" t="s">
        <v>343</v>
      </c>
      <c r="J862" s="1" t="s">
        <v>230</v>
      </c>
      <c r="K862" s="1" t="s">
        <v>230</v>
      </c>
      <c r="L862" s="1" t="s">
        <v>505</v>
      </c>
      <c r="M862" s="1" t="s">
        <v>302</v>
      </c>
      <c r="N862" s="1" t="s">
        <v>503</v>
      </c>
      <c r="O862" s="1" t="s">
        <v>504</v>
      </c>
      <c r="P862" s="1" t="str">
        <f t="shared" si="53"/>
        <v>BC Ibiuna 1.1Inverter(MBUS-14)46038,463888888946038,463888888946038,5131944444</v>
      </c>
      <c r="Q862" s="1" t="str">
        <f t="shared" si="54"/>
        <v>DPRUFV</v>
      </c>
    </row>
    <row r="863" spans="2:17">
      <c r="B863" s="1" t="s">
        <v>437</v>
      </c>
      <c r="C863" s="1" t="s">
        <v>359</v>
      </c>
      <c r="D863" s="52">
        <v>46038.463888888888</v>
      </c>
      <c r="E863" s="52">
        <v>46038.463888888888</v>
      </c>
      <c r="F863" s="52">
        <v>46038.513194444444</v>
      </c>
      <c r="G863" s="53">
        <f t="shared" si="52"/>
        <v>4.9305555556202307E-2</v>
      </c>
      <c r="H863" s="1" t="s">
        <v>343</v>
      </c>
      <c r="J863" s="1" t="s">
        <v>230</v>
      </c>
      <c r="K863" s="1" t="s">
        <v>230</v>
      </c>
      <c r="L863" s="1" t="s">
        <v>505</v>
      </c>
      <c r="M863" s="1" t="s">
        <v>302</v>
      </c>
      <c r="N863" s="1" t="s">
        <v>503</v>
      </c>
      <c r="O863" s="1" t="s">
        <v>504</v>
      </c>
      <c r="P863" s="1" t="str">
        <f t="shared" si="53"/>
        <v>BC Ibiuna 1.1Inverter(MBUS-15)46038,463888888946038,463888888946038,5131944444</v>
      </c>
      <c r="Q863" s="1" t="str">
        <f t="shared" si="54"/>
        <v>DPRUFV</v>
      </c>
    </row>
    <row r="864" spans="2:17">
      <c r="B864" s="1" t="s">
        <v>439</v>
      </c>
      <c r="C864" s="1" t="s">
        <v>354</v>
      </c>
      <c r="D864" s="52">
        <v>46038.463888888888</v>
      </c>
      <c r="E864" s="52">
        <v>46038.463888888888</v>
      </c>
      <c r="F864" s="52">
        <v>46038.513194444444</v>
      </c>
      <c r="G864" s="53">
        <f t="shared" si="52"/>
        <v>4.9305555556202307E-2</v>
      </c>
      <c r="H864" s="1" t="s">
        <v>343</v>
      </c>
      <c r="J864" s="1" t="s">
        <v>230</v>
      </c>
      <c r="K864" s="1" t="s">
        <v>230</v>
      </c>
      <c r="L864" s="1" t="s">
        <v>505</v>
      </c>
      <c r="M864" s="1" t="s">
        <v>302</v>
      </c>
      <c r="N864" s="1" t="s">
        <v>503</v>
      </c>
      <c r="O864" s="1" t="s">
        <v>504</v>
      </c>
      <c r="P864" s="1" t="str">
        <f t="shared" si="53"/>
        <v>BC Ibiuna 1.2Inverter(MBUS-12)46038,463888888946038,463888888946038,5131944444</v>
      </c>
      <c r="Q864" s="1" t="str">
        <f t="shared" si="54"/>
        <v>DPRUFV</v>
      </c>
    </row>
    <row r="865" spans="2:17">
      <c r="B865" s="1" t="s">
        <v>439</v>
      </c>
      <c r="C865" s="1" t="s">
        <v>357</v>
      </c>
      <c r="D865" s="52">
        <v>46038.463888888888</v>
      </c>
      <c r="E865" s="52">
        <v>46038.463888888888</v>
      </c>
      <c r="F865" s="52">
        <v>46038.513194444444</v>
      </c>
      <c r="G865" s="53">
        <f t="shared" si="52"/>
        <v>4.9305555556202307E-2</v>
      </c>
      <c r="H865" s="1" t="s">
        <v>343</v>
      </c>
      <c r="J865" s="1" t="s">
        <v>230</v>
      </c>
      <c r="K865" s="1" t="s">
        <v>230</v>
      </c>
      <c r="L865" s="1" t="s">
        <v>505</v>
      </c>
      <c r="M865" s="1" t="s">
        <v>302</v>
      </c>
      <c r="N865" s="1" t="s">
        <v>503</v>
      </c>
      <c r="O865" s="1" t="s">
        <v>504</v>
      </c>
      <c r="P865" s="1" t="str">
        <f t="shared" si="53"/>
        <v>BC Ibiuna 1.2Inverter(MBUS-13)46038,463888888946038,463888888946038,5131944444</v>
      </c>
      <c r="Q865" s="1" t="str">
        <f t="shared" si="54"/>
        <v>DPRUFV</v>
      </c>
    </row>
    <row r="866" spans="2:17">
      <c r="B866" s="1" t="s">
        <v>439</v>
      </c>
      <c r="C866" s="1" t="s">
        <v>358</v>
      </c>
      <c r="D866" s="52">
        <v>46038.463888888888</v>
      </c>
      <c r="E866" s="52">
        <v>46038.463888888888</v>
      </c>
      <c r="F866" s="52">
        <v>46038.513194444444</v>
      </c>
      <c r="G866" s="53">
        <f t="shared" si="52"/>
        <v>4.9305555556202307E-2</v>
      </c>
      <c r="H866" s="1" t="s">
        <v>343</v>
      </c>
      <c r="J866" s="1" t="s">
        <v>230</v>
      </c>
      <c r="K866" s="1" t="s">
        <v>230</v>
      </c>
      <c r="L866" s="1" t="s">
        <v>505</v>
      </c>
      <c r="M866" s="1" t="s">
        <v>302</v>
      </c>
      <c r="N866" s="1" t="s">
        <v>503</v>
      </c>
      <c r="O866" s="1" t="s">
        <v>504</v>
      </c>
      <c r="P866" s="1" t="str">
        <f t="shared" si="53"/>
        <v>BC Ibiuna 1.2Inverter(MBUS-14)46038,463888888946038,463888888946038,5131944444</v>
      </c>
      <c r="Q866" s="1" t="str">
        <f t="shared" si="54"/>
        <v>DPRUFV</v>
      </c>
    </row>
    <row r="867" spans="2:17">
      <c r="B867" s="1" t="s">
        <v>439</v>
      </c>
      <c r="C867" s="1" t="s">
        <v>359</v>
      </c>
      <c r="D867" s="52">
        <v>46038.463888888888</v>
      </c>
      <c r="E867" s="52">
        <v>46038.463888888888</v>
      </c>
      <c r="F867" s="52">
        <v>46038.513194444444</v>
      </c>
      <c r="G867" s="53">
        <f t="shared" si="52"/>
        <v>4.9305555556202307E-2</v>
      </c>
      <c r="H867" s="1" t="s">
        <v>343</v>
      </c>
      <c r="J867" s="1" t="s">
        <v>230</v>
      </c>
      <c r="K867" s="1" t="s">
        <v>230</v>
      </c>
      <c r="L867" s="1" t="s">
        <v>505</v>
      </c>
      <c r="M867" s="1" t="s">
        <v>302</v>
      </c>
      <c r="N867" s="1" t="s">
        <v>503</v>
      </c>
      <c r="O867" s="1" t="s">
        <v>504</v>
      </c>
      <c r="P867" s="1" t="str">
        <f t="shared" si="53"/>
        <v>BC Ibiuna 1.2Inverter(MBUS-15)46038,463888888946038,463888888946038,5131944444</v>
      </c>
      <c r="Q867" s="1" t="str">
        <f t="shared" si="54"/>
        <v>DPRUFV</v>
      </c>
    </row>
    <row r="868" spans="2:17">
      <c r="B868" s="1" t="s">
        <v>437</v>
      </c>
      <c r="C868" s="1" t="s">
        <v>357</v>
      </c>
      <c r="D868" s="52">
        <v>46039.493055555555</v>
      </c>
      <c r="E868" s="52">
        <v>46039.493055555555</v>
      </c>
      <c r="F868" s="52">
        <v>46039.540972222225</v>
      </c>
      <c r="G868" s="53">
        <f t="shared" si="52"/>
        <v>4.7916666670062114E-2</v>
      </c>
      <c r="H868" s="1" t="s">
        <v>248</v>
      </c>
      <c r="J868" s="1" t="s">
        <v>249</v>
      </c>
      <c r="K868" s="1" t="s">
        <v>349</v>
      </c>
      <c r="L868" s="1" t="s">
        <v>506</v>
      </c>
      <c r="M868" s="1" t="s">
        <v>251</v>
      </c>
      <c r="N868" s="1" t="s">
        <v>330</v>
      </c>
      <c r="O868" s="1" t="s">
        <v>507</v>
      </c>
      <c r="P868" s="1" t="str">
        <f t="shared" si="53"/>
        <v>BC Ibiuna 1.1Inverter(MBUS-13)46039,493055555646039,493055555646039,5409722222</v>
      </c>
      <c r="Q868" s="1" t="str">
        <f t="shared" si="54"/>
        <v>DAURDE</v>
      </c>
    </row>
    <row r="869" spans="2:17">
      <c r="B869" s="1" t="s">
        <v>437</v>
      </c>
      <c r="C869" s="1" t="s">
        <v>358</v>
      </c>
      <c r="D869" s="52">
        <v>46039.493055555555</v>
      </c>
      <c r="E869" s="52">
        <v>46039.493055555555</v>
      </c>
      <c r="F869" s="52">
        <v>46039.540972222225</v>
      </c>
      <c r="G869" s="53">
        <f t="shared" si="52"/>
        <v>4.7916666670062114E-2</v>
      </c>
      <c r="H869" s="1" t="s">
        <v>248</v>
      </c>
      <c r="J869" s="1" t="s">
        <v>249</v>
      </c>
      <c r="K869" s="1" t="s">
        <v>349</v>
      </c>
      <c r="L869" s="1" t="s">
        <v>506</v>
      </c>
      <c r="M869" s="1" t="s">
        <v>251</v>
      </c>
      <c r="N869" s="1" t="s">
        <v>330</v>
      </c>
      <c r="O869" s="1" t="s">
        <v>507</v>
      </c>
      <c r="P869" s="1" t="str">
        <f t="shared" si="53"/>
        <v>BC Ibiuna 1.1Inverter(MBUS-14)46039,493055555646039,493055555646039,5409722222</v>
      </c>
      <c r="Q869" s="1" t="str">
        <f t="shared" si="54"/>
        <v>DAURDE</v>
      </c>
    </row>
    <row r="870" spans="2:17">
      <c r="B870" s="1" t="s">
        <v>437</v>
      </c>
      <c r="C870" s="1" t="s">
        <v>359</v>
      </c>
      <c r="D870" s="52">
        <v>46039.493055555555</v>
      </c>
      <c r="E870" s="52">
        <v>46039.493055555555</v>
      </c>
      <c r="F870" s="52">
        <v>46039.540972222225</v>
      </c>
      <c r="G870" s="53">
        <f t="shared" si="52"/>
        <v>4.7916666670062114E-2</v>
      </c>
      <c r="H870" s="1" t="s">
        <v>248</v>
      </c>
      <c r="J870" s="1" t="s">
        <v>249</v>
      </c>
      <c r="K870" s="1" t="s">
        <v>349</v>
      </c>
      <c r="L870" s="1" t="s">
        <v>506</v>
      </c>
      <c r="M870" s="1" t="s">
        <v>251</v>
      </c>
      <c r="N870" s="1" t="s">
        <v>330</v>
      </c>
      <c r="O870" s="1" t="s">
        <v>507</v>
      </c>
      <c r="P870" s="1" t="str">
        <f t="shared" si="53"/>
        <v>BC Ibiuna 1.1Inverter(MBUS-15)46039,493055555646039,493055555646039,5409722222</v>
      </c>
      <c r="Q870" s="1" t="str">
        <f t="shared" si="54"/>
        <v>DAURDE</v>
      </c>
    </row>
    <row r="871" spans="2:17">
      <c r="B871" s="1" t="s">
        <v>439</v>
      </c>
      <c r="C871" s="1" t="s">
        <v>354</v>
      </c>
      <c r="D871" s="52">
        <v>46039.493055555555</v>
      </c>
      <c r="E871" s="52">
        <v>46039.493055555555</v>
      </c>
      <c r="F871" s="52">
        <v>46039.540972222225</v>
      </c>
      <c r="G871" s="53">
        <f t="shared" si="52"/>
        <v>4.7916666670062114E-2</v>
      </c>
      <c r="H871" s="1" t="s">
        <v>248</v>
      </c>
      <c r="J871" s="1" t="s">
        <v>249</v>
      </c>
      <c r="K871" s="1" t="s">
        <v>349</v>
      </c>
      <c r="L871" s="1" t="s">
        <v>506</v>
      </c>
      <c r="M871" s="1" t="s">
        <v>251</v>
      </c>
      <c r="N871" s="1" t="s">
        <v>330</v>
      </c>
      <c r="O871" s="1" t="s">
        <v>507</v>
      </c>
      <c r="P871" s="1" t="str">
        <f t="shared" si="53"/>
        <v>BC Ibiuna 1.2Inverter(MBUS-12)46039,493055555646039,493055555646039,5409722222</v>
      </c>
      <c r="Q871" s="1" t="str">
        <f t="shared" si="54"/>
        <v>DAURDE</v>
      </c>
    </row>
    <row r="872" spans="2:17">
      <c r="B872" s="1" t="s">
        <v>439</v>
      </c>
      <c r="C872" s="1" t="s">
        <v>357</v>
      </c>
      <c r="D872" s="52">
        <v>46039.493055555555</v>
      </c>
      <c r="E872" s="52">
        <v>46039.493055555555</v>
      </c>
      <c r="F872" s="52">
        <v>46039.540972222225</v>
      </c>
      <c r="G872" s="53">
        <f t="shared" si="52"/>
        <v>4.7916666670062114E-2</v>
      </c>
      <c r="H872" s="1" t="s">
        <v>248</v>
      </c>
      <c r="J872" s="1" t="s">
        <v>249</v>
      </c>
      <c r="K872" s="1" t="s">
        <v>349</v>
      </c>
      <c r="L872" s="1" t="s">
        <v>506</v>
      </c>
      <c r="M872" s="1" t="s">
        <v>251</v>
      </c>
      <c r="N872" s="1" t="s">
        <v>330</v>
      </c>
      <c r="O872" s="1" t="s">
        <v>507</v>
      </c>
      <c r="P872" s="1" t="str">
        <f t="shared" si="53"/>
        <v>BC Ibiuna 1.2Inverter(MBUS-13)46039,493055555646039,493055555646039,5409722222</v>
      </c>
      <c r="Q872" s="1" t="str">
        <f t="shared" si="54"/>
        <v>DAURDE</v>
      </c>
    </row>
    <row r="873" spans="2:17">
      <c r="B873" s="1" t="s">
        <v>439</v>
      </c>
      <c r="C873" s="1" t="s">
        <v>358</v>
      </c>
      <c r="D873" s="52">
        <v>46039.493055555555</v>
      </c>
      <c r="E873" s="52">
        <v>46039.493055555555</v>
      </c>
      <c r="F873" s="52">
        <v>46039.540972222225</v>
      </c>
      <c r="G873" s="53">
        <f t="shared" si="52"/>
        <v>4.7916666670062114E-2</v>
      </c>
      <c r="H873" s="1" t="s">
        <v>248</v>
      </c>
      <c r="J873" s="1" t="s">
        <v>249</v>
      </c>
      <c r="K873" s="1" t="s">
        <v>349</v>
      </c>
      <c r="L873" s="1" t="s">
        <v>506</v>
      </c>
      <c r="M873" s="1" t="s">
        <v>251</v>
      </c>
      <c r="N873" s="1" t="s">
        <v>330</v>
      </c>
      <c r="O873" s="1" t="s">
        <v>507</v>
      </c>
      <c r="P873" s="1" t="str">
        <f t="shared" si="53"/>
        <v>BC Ibiuna 1.2Inverter(MBUS-14)46039,493055555646039,493055555646039,5409722222</v>
      </c>
      <c r="Q873" s="1" t="str">
        <f t="shared" si="54"/>
        <v>DAURDE</v>
      </c>
    </row>
    <row r="874" spans="2:17">
      <c r="B874" s="1" t="s">
        <v>439</v>
      </c>
      <c r="C874" s="1" t="s">
        <v>359</v>
      </c>
      <c r="D874" s="52">
        <v>46039.493055555555</v>
      </c>
      <c r="E874" s="52">
        <v>46039.493055555555</v>
      </c>
      <c r="F874" s="52">
        <v>46039.540972222225</v>
      </c>
      <c r="G874" s="53">
        <f t="shared" si="52"/>
        <v>4.7916666670062114E-2</v>
      </c>
      <c r="H874" s="1" t="s">
        <v>248</v>
      </c>
      <c r="J874" s="1" t="s">
        <v>249</v>
      </c>
      <c r="K874" s="1" t="s">
        <v>349</v>
      </c>
      <c r="L874" s="1" t="s">
        <v>506</v>
      </c>
      <c r="M874" s="1" t="s">
        <v>251</v>
      </c>
      <c r="N874" s="1" t="s">
        <v>330</v>
      </c>
      <c r="O874" s="1" t="s">
        <v>507</v>
      </c>
      <c r="P874" s="1" t="str">
        <f t="shared" si="53"/>
        <v>BC Ibiuna 1.2Inverter(MBUS-15)46039,493055555646039,493055555646039,5409722222</v>
      </c>
      <c r="Q874" s="1" t="str">
        <f t="shared" si="54"/>
        <v>DAURDE</v>
      </c>
    </row>
    <row r="875" spans="2:17">
      <c r="B875" s="1" t="s">
        <v>437</v>
      </c>
      <c r="C875" s="1" t="s">
        <v>357</v>
      </c>
      <c r="D875" s="52">
        <v>46040.572916666664</v>
      </c>
      <c r="E875" s="52">
        <v>46040.572916666664</v>
      </c>
      <c r="F875" s="52">
        <v>46040.618055555555</v>
      </c>
      <c r="G875" s="53">
        <f>F875-E875</f>
        <v>4.5138888890505768E-2</v>
      </c>
      <c r="H875" s="1" t="s">
        <v>248</v>
      </c>
      <c r="J875" s="1" t="s">
        <v>249</v>
      </c>
      <c r="K875" s="1" t="s">
        <v>349</v>
      </c>
      <c r="L875" s="1" t="s">
        <v>506</v>
      </c>
      <c r="M875" s="1" t="s">
        <v>251</v>
      </c>
      <c r="N875" s="1" t="s">
        <v>330</v>
      </c>
      <c r="O875" s="1" t="s">
        <v>507</v>
      </c>
      <c r="P875" s="1" t="str">
        <f t="shared" si="53"/>
        <v>BC Ibiuna 1.1Inverter(MBUS-13)46040,572916666746040,572916666746040,6180555556</v>
      </c>
      <c r="Q875" s="1" t="str">
        <f t="shared" si="54"/>
        <v>DAURDE</v>
      </c>
    </row>
    <row r="876" spans="2:17">
      <c r="B876" s="1" t="s">
        <v>437</v>
      </c>
      <c r="C876" s="1" t="s">
        <v>358</v>
      </c>
      <c r="D876" s="52">
        <v>46040.572916666664</v>
      </c>
      <c r="E876" s="52">
        <v>46040.572916666664</v>
      </c>
      <c r="F876" s="52">
        <v>46040.618055555555</v>
      </c>
      <c r="G876" s="53">
        <f t="shared" si="52"/>
        <v>4.5138888890505768E-2</v>
      </c>
      <c r="H876" s="1" t="s">
        <v>248</v>
      </c>
      <c r="J876" s="1" t="s">
        <v>249</v>
      </c>
      <c r="K876" s="1" t="s">
        <v>349</v>
      </c>
      <c r="L876" s="1" t="s">
        <v>506</v>
      </c>
      <c r="M876" s="1" t="s">
        <v>251</v>
      </c>
      <c r="N876" s="1" t="s">
        <v>330</v>
      </c>
      <c r="O876" s="1" t="s">
        <v>507</v>
      </c>
      <c r="P876" s="1" t="str">
        <f t="shared" si="53"/>
        <v>BC Ibiuna 1.1Inverter(MBUS-14)46040,572916666746040,572916666746040,6180555556</v>
      </c>
      <c r="Q876" s="1" t="str">
        <f t="shared" si="54"/>
        <v>DAURDE</v>
      </c>
    </row>
    <row r="877" spans="2:17">
      <c r="B877" s="1" t="s">
        <v>437</v>
      </c>
      <c r="C877" s="1" t="s">
        <v>359</v>
      </c>
      <c r="D877" s="52">
        <v>46040.572916666664</v>
      </c>
      <c r="E877" s="52">
        <v>46040.572916666664</v>
      </c>
      <c r="F877" s="52">
        <v>46040.618055555555</v>
      </c>
      <c r="G877" s="53">
        <f t="shared" si="52"/>
        <v>4.5138888890505768E-2</v>
      </c>
      <c r="H877" s="1" t="s">
        <v>248</v>
      </c>
      <c r="J877" s="1" t="s">
        <v>249</v>
      </c>
      <c r="K877" s="1" t="s">
        <v>349</v>
      </c>
      <c r="L877" s="1" t="s">
        <v>506</v>
      </c>
      <c r="M877" s="1" t="s">
        <v>251</v>
      </c>
      <c r="N877" s="1" t="s">
        <v>330</v>
      </c>
      <c r="O877" s="1" t="s">
        <v>507</v>
      </c>
      <c r="P877" s="1" t="str">
        <f t="shared" si="53"/>
        <v>BC Ibiuna 1.1Inverter(MBUS-15)46040,572916666746040,572916666746040,6180555556</v>
      </c>
      <c r="Q877" s="1" t="str">
        <f t="shared" si="54"/>
        <v>DAURDE</v>
      </c>
    </row>
    <row r="878" spans="2:17">
      <c r="B878" s="1" t="s">
        <v>439</v>
      </c>
      <c r="C878" s="1" t="s">
        <v>354</v>
      </c>
      <c r="D878" s="52">
        <v>46040.572916666664</v>
      </c>
      <c r="E878" s="52">
        <v>46040.572916666664</v>
      </c>
      <c r="F878" s="52">
        <v>46040.618055555555</v>
      </c>
      <c r="G878" s="53">
        <f t="shared" si="52"/>
        <v>4.5138888890505768E-2</v>
      </c>
      <c r="H878" s="1" t="s">
        <v>248</v>
      </c>
      <c r="J878" s="1" t="s">
        <v>249</v>
      </c>
      <c r="K878" s="1" t="s">
        <v>349</v>
      </c>
      <c r="L878" s="1" t="s">
        <v>506</v>
      </c>
      <c r="M878" s="1" t="s">
        <v>251</v>
      </c>
      <c r="N878" s="1" t="s">
        <v>330</v>
      </c>
      <c r="O878" s="1" t="s">
        <v>507</v>
      </c>
      <c r="P878" s="1" t="str">
        <f t="shared" si="53"/>
        <v>BC Ibiuna 1.2Inverter(MBUS-12)46040,572916666746040,572916666746040,6180555556</v>
      </c>
      <c r="Q878" s="1" t="str">
        <f t="shared" si="54"/>
        <v>DAURDE</v>
      </c>
    </row>
    <row r="879" spans="2:17">
      <c r="B879" s="1" t="s">
        <v>439</v>
      </c>
      <c r="C879" s="1" t="s">
        <v>357</v>
      </c>
      <c r="D879" s="52">
        <v>46040.572916666664</v>
      </c>
      <c r="E879" s="52">
        <v>46040.572916666664</v>
      </c>
      <c r="F879" s="52">
        <v>46040.618055555555</v>
      </c>
      <c r="G879" s="53">
        <f t="shared" si="52"/>
        <v>4.5138888890505768E-2</v>
      </c>
      <c r="H879" s="1" t="s">
        <v>248</v>
      </c>
      <c r="J879" s="1" t="s">
        <v>249</v>
      </c>
      <c r="K879" s="1" t="s">
        <v>349</v>
      </c>
      <c r="L879" s="1" t="s">
        <v>506</v>
      </c>
      <c r="M879" s="1" t="s">
        <v>251</v>
      </c>
      <c r="N879" s="1" t="s">
        <v>330</v>
      </c>
      <c r="O879" s="1" t="s">
        <v>507</v>
      </c>
      <c r="P879" s="1" t="str">
        <f t="shared" si="53"/>
        <v>BC Ibiuna 1.2Inverter(MBUS-13)46040,572916666746040,572916666746040,6180555556</v>
      </c>
      <c r="Q879" s="1" t="str">
        <f t="shared" si="54"/>
        <v>DAURDE</v>
      </c>
    </row>
    <row r="880" spans="2:17">
      <c r="B880" s="1" t="s">
        <v>439</v>
      </c>
      <c r="C880" s="1" t="s">
        <v>358</v>
      </c>
      <c r="D880" s="52">
        <v>46040.572916666664</v>
      </c>
      <c r="E880" s="52">
        <v>46040.572916666664</v>
      </c>
      <c r="F880" s="52">
        <v>46040.618055555555</v>
      </c>
      <c r="G880" s="53">
        <f t="shared" si="52"/>
        <v>4.5138888890505768E-2</v>
      </c>
      <c r="H880" s="1" t="s">
        <v>248</v>
      </c>
      <c r="J880" s="1" t="s">
        <v>249</v>
      </c>
      <c r="K880" s="1" t="s">
        <v>349</v>
      </c>
      <c r="L880" s="1" t="s">
        <v>506</v>
      </c>
      <c r="M880" s="1" t="s">
        <v>251</v>
      </c>
      <c r="N880" s="1" t="s">
        <v>330</v>
      </c>
      <c r="O880" s="1" t="s">
        <v>507</v>
      </c>
      <c r="P880" s="1" t="str">
        <f t="shared" si="53"/>
        <v>BC Ibiuna 1.2Inverter(MBUS-14)46040,572916666746040,572916666746040,6180555556</v>
      </c>
      <c r="Q880" s="1" t="str">
        <f t="shared" si="54"/>
        <v>DAURDE</v>
      </c>
    </row>
    <row r="881" spans="2:17">
      <c r="B881" s="1" t="s">
        <v>439</v>
      </c>
      <c r="C881" s="1" t="s">
        <v>359</v>
      </c>
      <c r="D881" s="52">
        <v>46040.572916666664</v>
      </c>
      <c r="E881" s="52">
        <v>46040.572916666664</v>
      </c>
      <c r="F881" s="52">
        <v>46040.618055555555</v>
      </c>
      <c r="G881" s="53">
        <f t="shared" si="52"/>
        <v>4.5138888890505768E-2</v>
      </c>
      <c r="H881" s="1" t="s">
        <v>248</v>
      </c>
      <c r="J881" s="1" t="s">
        <v>249</v>
      </c>
      <c r="K881" s="1" t="s">
        <v>349</v>
      </c>
      <c r="L881" s="1" t="s">
        <v>506</v>
      </c>
      <c r="M881" s="1" t="s">
        <v>251</v>
      </c>
      <c r="N881" s="1" t="s">
        <v>330</v>
      </c>
      <c r="O881" s="1" t="s">
        <v>507</v>
      </c>
      <c r="P881" s="1" t="str">
        <f t="shared" si="53"/>
        <v>BC Ibiuna 1.2Inverter(MBUS-15)46040,572916666746040,572916666746040,6180555556</v>
      </c>
      <c r="Q881" s="1" t="str">
        <f t="shared" si="54"/>
        <v>DAURDE</v>
      </c>
    </row>
    <row r="882" spans="2:17">
      <c r="B882" s="1" t="s">
        <v>437</v>
      </c>
      <c r="C882" s="1" t="s">
        <v>357</v>
      </c>
      <c r="D882" s="52">
        <v>46040.669444444444</v>
      </c>
      <c r="E882" s="52">
        <v>46040.669444444444</v>
      </c>
      <c r="F882" s="52">
        <v>46040.724999999999</v>
      </c>
      <c r="G882" s="53">
        <f t="shared" si="52"/>
        <v>5.5555555554747116E-2</v>
      </c>
      <c r="H882" s="1" t="s">
        <v>248</v>
      </c>
      <c r="J882" s="1" t="s">
        <v>249</v>
      </c>
      <c r="K882" s="1" t="s">
        <v>349</v>
      </c>
      <c r="L882" s="1" t="s">
        <v>506</v>
      </c>
      <c r="M882" s="1" t="s">
        <v>251</v>
      </c>
      <c r="N882" s="1" t="s">
        <v>330</v>
      </c>
      <c r="O882" s="1" t="s">
        <v>507</v>
      </c>
      <c r="P882" s="1" t="str">
        <f t="shared" si="53"/>
        <v>BC Ibiuna 1.1Inverter(MBUS-13)46040,669444444446040,669444444446040,725</v>
      </c>
      <c r="Q882" s="1" t="str">
        <f t="shared" si="54"/>
        <v>DAURDE</v>
      </c>
    </row>
    <row r="883" spans="2:17">
      <c r="B883" s="1" t="s">
        <v>437</v>
      </c>
      <c r="C883" s="1" t="s">
        <v>358</v>
      </c>
      <c r="D883" s="52">
        <v>46040.669444444444</v>
      </c>
      <c r="E883" s="52">
        <v>46040.669444444444</v>
      </c>
      <c r="F883" s="52">
        <v>46040.724999999999</v>
      </c>
      <c r="G883" s="53">
        <f t="shared" si="52"/>
        <v>5.5555555554747116E-2</v>
      </c>
      <c r="H883" s="1" t="s">
        <v>248</v>
      </c>
      <c r="J883" s="1" t="s">
        <v>249</v>
      </c>
      <c r="K883" s="1" t="s">
        <v>349</v>
      </c>
      <c r="L883" s="1" t="s">
        <v>506</v>
      </c>
      <c r="M883" s="1" t="s">
        <v>251</v>
      </c>
      <c r="N883" s="1" t="s">
        <v>330</v>
      </c>
      <c r="O883" s="1" t="s">
        <v>507</v>
      </c>
      <c r="P883" s="1" t="str">
        <f t="shared" si="53"/>
        <v>BC Ibiuna 1.1Inverter(MBUS-14)46040,669444444446040,669444444446040,725</v>
      </c>
      <c r="Q883" s="1" t="str">
        <f t="shared" si="54"/>
        <v>DAURDE</v>
      </c>
    </row>
    <row r="884" spans="2:17">
      <c r="B884" s="1" t="s">
        <v>437</v>
      </c>
      <c r="C884" s="1" t="s">
        <v>359</v>
      </c>
      <c r="D884" s="52">
        <v>46040.669444444444</v>
      </c>
      <c r="E884" s="52">
        <v>46040.669444444444</v>
      </c>
      <c r="F884" s="52">
        <v>46040.724999999999</v>
      </c>
      <c r="G884" s="53">
        <f t="shared" si="52"/>
        <v>5.5555555554747116E-2</v>
      </c>
      <c r="H884" s="1" t="s">
        <v>248</v>
      </c>
      <c r="J884" s="1" t="s">
        <v>249</v>
      </c>
      <c r="K884" s="1" t="s">
        <v>349</v>
      </c>
      <c r="L884" s="1" t="s">
        <v>506</v>
      </c>
      <c r="M884" s="1" t="s">
        <v>251</v>
      </c>
      <c r="N884" s="1" t="s">
        <v>330</v>
      </c>
      <c r="O884" s="1" t="s">
        <v>507</v>
      </c>
      <c r="P884" s="1" t="str">
        <f t="shared" si="53"/>
        <v>BC Ibiuna 1.1Inverter(MBUS-15)46040,669444444446040,669444444446040,725</v>
      </c>
      <c r="Q884" s="1" t="str">
        <f t="shared" si="54"/>
        <v>DAURDE</v>
      </c>
    </row>
    <row r="885" spans="2:17">
      <c r="B885" s="1" t="s">
        <v>439</v>
      </c>
      <c r="C885" s="1" t="s">
        <v>354</v>
      </c>
      <c r="D885" s="52">
        <v>46040.669444444444</v>
      </c>
      <c r="E885" s="52">
        <v>46040.669444444444</v>
      </c>
      <c r="F885" s="52">
        <v>46040.724999999999</v>
      </c>
      <c r="G885" s="53">
        <f t="shared" si="52"/>
        <v>5.5555555554747116E-2</v>
      </c>
      <c r="H885" s="1" t="s">
        <v>248</v>
      </c>
      <c r="J885" s="1" t="s">
        <v>249</v>
      </c>
      <c r="K885" s="1" t="s">
        <v>349</v>
      </c>
      <c r="L885" s="1" t="s">
        <v>506</v>
      </c>
      <c r="M885" s="1" t="s">
        <v>251</v>
      </c>
      <c r="N885" s="1" t="s">
        <v>330</v>
      </c>
      <c r="O885" s="1" t="s">
        <v>507</v>
      </c>
      <c r="P885" s="1" t="str">
        <f t="shared" si="53"/>
        <v>BC Ibiuna 1.2Inverter(MBUS-12)46040,669444444446040,669444444446040,725</v>
      </c>
      <c r="Q885" s="1" t="str">
        <f t="shared" si="54"/>
        <v>DAURDE</v>
      </c>
    </row>
    <row r="886" spans="2:17">
      <c r="B886" s="1" t="s">
        <v>439</v>
      </c>
      <c r="C886" s="1" t="s">
        <v>357</v>
      </c>
      <c r="D886" s="52">
        <v>46040.669444444444</v>
      </c>
      <c r="E886" s="52">
        <v>46040.669444444444</v>
      </c>
      <c r="F886" s="52">
        <v>46040.724999999999</v>
      </c>
      <c r="G886" s="53">
        <f t="shared" si="52"/>
        <v>5.5555555554747116E-2</v>
      </c>
      <c r="H886" s="1" t="s">
        <v>248</v>
      </c>
      <c r="J886" s="1" t="s">
        <v>249</v>
      </c>
      <c r="K886" s="1" t="s">
        <v>349</v>
      </c>
      <c r="L886" s="1" t="s">
        <v>506</v>
      </c>
      <c r="M886" s="1" t="s">
        <v>251</v>
      </c>
      <c r="N886" s="1" t="s">
        <v>330</v>
      </c>
      <c r="O886" s="1" t="s">
        <v>507</v>
      </c>
      <c r="P886" s="1" t="str">
        <f t="shared" si="53"/>
        <v>BC Ibiuna 1.2Inverter(MBUS-13)46040,669444444446040,669444444446040,725</v>
      </c>
      <c r="Q886" s="1" t="str">
        <f t="shared" si="54"/>
        <v>DAURDE</v>
      </c>
    </row>
    <row r="887" spans="2:17">
      <c r="B887" s="1" t="s">
        <v>439</v>
      </c>
      <c r="C887" s="1" t="s">
        <v>358</v>
      </c>
      <c r="D887" s="52">
        <v>46040.669444444444</v>
      </c>
      <c r="E887" s="52">
        <v>46040.669444444444</v>
      </c>
      <c r="F887" s="52">
        <v>46040.724999999999</v>
      </c>
      <c r="G887" s="53">
        <f t="shared" si="52"/>
        <v>5.5555555554747116E-2</v>
      </c>
      <c r="H887" s="1" t="s">
        <v>248</v>
      </c>
      <c r="J887" s="1" t="s">
        <v>249</v>
      </c>
      <c r="K887" s="1" t="s">
        <v>349</v>
      </c>
      <c r="L887" s="1" t="s">
        <v>506</v>
      </c>
      <c r="M887" s="1" t="s">
        <v>251</v>
      </c>
      <c r="N887" s="1" t="s">
        <v>330</v>
      </c>
      <c r="O887" s="1" t="s">
        <v>507</v>
      </c>
      <c r="P887" s="1" t="str">
        <f t="shared" si="53"/>
        <v>BC Ibiuna 1.2Inverter(MBUS-14)46040,669444444446040,669444444446040,725</v>
      </c>
      <c r="Q887" s="1" t="str">
        <f t="shared" si="54"/>
        <v>DAURDE</v>
      </c>
    </row>
    <row r="888" spans="2:17">
      <c r="B888" s="1" t="s">
        <v>439</v>
      </c>
      <c r="C888" s="1" t="s">
        <v>359</v>
      </c>
      <c r="D888" s="52">
        <v>46040.669444444444</v>
      </c>
      <c r="E888" s="52">
        <v>46040.669444444444</v>
      </c>
      <c r="F888" s="52">
        <v>46040.724999999999</v>
      </c>
      <c r="G888" s="53">
        <f t="shared" si="52"/>
        <v>5.5555555554747116E-2</v>
      </c>
      <c r="H888" s="1" t="s">
        <v>248</v>
      </c>
      <c r="J888" s="1" t="s">
        <v>249</v>
      </c>
      <c r="K888" s="1" t="s">
        <v>349</v>
      </c>
      <c r="L888" s="1" t="s">
        <v>506</v>
      </c>
      <c r="M888" s="1" t="s">
        <v>251</v>
      </c>
      <c r="N888" s="1" t="s">
        <v>330</v>
      </c>
      <c r="O888" s="1" t="s">
        <v>507</v>
      </c>
      <c r="P888" s="1" t="str">
        <f t="shared" si="53"/>
        <v>BC Ibiuna 1.2Inverter(MBUS-15)46040,669444444446040,669444444446040,725</v>
      </c>
      <c r="Q888" s="1" t="str">
        <f t="shared" si="54"/>
        <v>DAURDE</v>
      </c>
    </row>
    <row r="889" spans="2:17">
      <c r="B889" s="1" t="s">
        <v>508</v>
      </c>
      <c r="C889" s="1" t="s">
        <v>509</v>
      </c>
      <c r="D889" s="52">
        <v>46039.579861111109</v>
      </c>
      <c r="E889" s="52">
        <v>46039.579861111109</v>
      </c>
      <c r="F889" s="52">
        <v>46039.65347222222</v>
      </c>
      <c r="G889" s="53">
        <f t="shared" si="52"/>
        <v>7.3611111110949423E-2</v>
      </c>
      <c r="H889" s="1" t="s">
        <v>248</v>
      </c>
      <c r="J889" s="1" t="s">
        <v>249</v>
      </c>
      <c r="K889" s="1" t="s">
        <v>349</v>
      </c>
      <c r="L889" s="1" t="s">
        <v>510</v>
      </c>
      <c r="M889" s="1" t="s">
        <v>251</v>
      </c>
      <c r="N889" s="1" t="s">
        <v>330</v>
      </c>
      <c r="O889" s="1" t="s">
        <v>507</v>
      </c>
      <c r="P889" s="1" t="str">
        <f t="shared" si="53"/>
        <v>BC ParanoaSG60KTL(COM1-014)_001_01346039,579861111146039,579861111146039,6534722222</v>
      </c>
      <c r="Q889" s="1" t="str">
        <f t="shared" si="54"/>
        <v>DAURDE</v>
      </c>
    </row>
    <row r="890" spans="2:17">
      <c r="B890" s="1" t="s">
        <v>508</v>
      </c>
      <c r="C890" s="1" t="s">
        <v>511</v>
      </c>
      <c r="D890" s="52">
        <v>46039.579861111109</v>
      </c>
      <c r="E890" s="52">
        <v>46039.579861111109</v>
      </c>
      <c r="F890" s="52">
        <v>46039.65347222222</v>
      </c>
      <c r="G890" s="53">
        <f t="shared" si="52"/>
        <v>7.3611111110949423E-2</v>
      </c>
      <c r="H890" s="1" t="s">
        <v>248</v>
      </c>
      <c r="J890" s="1" t="s">
        <v>249</v>
      </c>
      <c r="K890" s="1" t="s">
        <v>349</v>
      </c>
      <c r="L890" s="1" t="s">
        <v>510</v>
      </c>
      <c r="M890" s="1" t="s">
        <v>251</v>
      </c>
      <c r="N890" s="1" t="s">
        <v>330</v>
      </c>
      <c r="O890" s="1" t="s">
        <v>507</v>
      </c>
      <c r="P890" s="1" t="str">
        <f t="shared" si="53"/>
        <v>BC ParanoaSG60KTL(COM1-013)_001_01046039,579861111146039,579861111146039,6534722222</v>
      </c>
      <c r="Q890" s="1" t="str">
        <f t="shared" si="54"/>
        <v>DAURDE</v>
      </c>
    </row>
    <row r="891" spans="2:17">
      <c r="B891" s="1" t="s">
        <v>508</v>
      </c>
      <c r="C891" s="1" t="s">
        <v>512</v>
      </c>
      <c r="D891" s="52">
        <v>46039.579861111109</v>
      </c>
      <c r="E891" s="52">
        <v>46039.579861111109</v>
      </c>
      <c r="F891" s="52">
        <v>46039.65347222222</v>
      </c>
      <c r="G891" s="53">
        <f t="shared" si="52"/>
        <v>7.3611111110949423E-2</v>
      </c>
      <c r="H891" s="1" t="s">
        <v>248</v>
      </c>
      <c r="J891" s="1" t="s">
        <v>249</v>
      </c>
      <c r="K891" s="1" t="s">
        <v>349</v>
      </c>
      <c r="L891" s="1" t="s">
        <v>510</v>
      </c>
      <c r="M891" s="1" t="s">
        <v>251</v>
      </c>
      <c r="N891" s="1" t="s">
        <v>330</v>
      </c>
      <c r="O891" s="1" t="s">
        <v>507</v>
      </c>
      <c r="P891" s="1" t="str">
        <f t="shared" si="53"/>
        <v>BC ParanoaSG60KTL(COM1-012)_001_01146039,579861111146039,579861111146039,6534722222</v>
      </c>
      <c r="Q891" s="1" t="str">
        <f t="shared" si="54"/>
        <v>DAURDE</v>
      </c>
    </row>
    <row r="892" spans="2:17">
      <c r="B892" s="1" t="s">
        <v>508</v>
      </c>
      <c r="C892" s="1" t="s">
        <v>513</v>
      </c>
      <c r="D892" s="52">
        <v>46039.579861111109</v>
      </c>
      <c r="E892" s="52">
        <v>46039.579861111109</v>
      </c>
      <c r="F892" s="52">
        <v>46039.65347222222</v>
      </c>
      <c r="G892" s="53">
        <f t="shared" si="52"/>
        <v>7.3611111110949423E-2</v>
      </c>
      <c r="H892" s="1" t="s">
        <v>248</v>
      </c>
      <c r="J892" s="1" t="s">
        <v>249</v>
      </c>
      <c r="K892" s="1" t="s">
        <v>349</v>
      </c>
      <c r="L892" s="1" t="s">
        <v>510</v>
      </c>
      <c r="M892" s="1" t="s">
        <v>251</v>
      </c>
      <c r="N892" s="1" t="s">
        <v>330</v>
      </c>
      <c r="O892" s="1" t="s">
        <v>507</v>
      </c>
      <c r="P892" s="1" t="str">
        <f t="shared" si="53"/>
        <v>BC ParanoaSG60KTL(COM1-011)_001_00546039,579861111146039,579861111146039,6534722222</v>
      </c>
      <c r="Q892" s="1" t="str">
        <f t="shared" si="54"/>
        <v>DAURDE</v>
      </c>
    </row>
    <row r="893" spans="2:17">
      <c r="B893" s="1" t="s">
        <v>508</v>
      </c>
      <c r="C893" s="1" t="s">
        <v>514</v>
      </c>
      <c r="D893" s="52">
        <v>46039.579861111109</v>
      </c>
      <c r="E893" s="52">
        <v>46039.579861111109</v>
      </c>
      <c r="F893" s="52">
        <v>46039.65347222222</v>
      </c>
      <c r="G893" s="53">
        <f t="shared" ref="G893:G952" si="55">F893-E893</f>
        <v>7.3611111110949423E-2</v>
      </c>
      <c r="H893" s="1" t="s">
        <v>248</v>
      </c>
      <c r="J893" s="1" t="s">
        <v>249</v>
      </c>
      <c r="K893" s="1" t="s">
        <v>349</v>
      </c>
      <c r="L893" s="1" t="s">
        <v>510</v>
      </c>
      <c r="M893" s="1" t="s">
        <v>251</v>
      </c>
      <c r="N893" s="1" t="s">
        <v>330</v>
      </c>
      <c r="O893" s="1" t="s">
        <v>507</v>
      </c>
      <c r="P893" s="1" t="str">
        <f t="shared" si="53"/>
        <v>BC ParanoaSG60KTL(COM1-010)_001_00346039,579861111146039,579861111146039,6534722222</v>
      </c>
      <c r="Q893" s="1" t="str">
        <f t="shared" si="54"/>
        <v>DAURDE</v>
      </c>
    </row>
    <row r="894" spans="2:17">
      <c r="B894" s="1" t="s">
        <v>508</v>
      </c>
      <c r="C894" s="1" t="s">
        <v>515</v>
      </c>
      <c r="D894" s="52">
        <v>46039.579861111109</v>
      </c>
      <c r="E894" s="52">
        <v>46039.579861111109</v>
      </c>
      <c r="F894" s="52">
        <v>46039.65347222222</v>
      </c>
      <c r="G894" s="53">
        <f t="shared" si="55"/>
        <v>7.3611111110949423E-2</v>
      </c>
      <c r="H894" s="1" t="s">
        <v>248</v>
      </c>
      <c r="J894" s="1" t="s">
        <v>249</v>
      </c>
      <c r="K894" s="1" t="s">
        <v>349</v>
      </c>
      <c r="L894" s="1" t="s">
        <v>510</v>
      </c>
      <c r="M894" s="1" t="s">
        <v>251</v>
      </c>
      <c r="N894" s="1" t="s">
        <v>330</v>
      </c>
      <c r="O894" s="1" t="s">
        <v>507</v>
      </c>
      <c r="P894" s="1" t="str">
        <f t="shared" si="53"/>
        <v>BC ParanoaSG60KTL(COM1-018)_001_01246039,579861111146039,579861111146039,6534722222</v>
      </c>
      <c r="Q894" s="1" t="str">
        <f t="shared" si="54"/>
        <v>DAURDE</v>
      </c>
    </row>
    <row r="895" spans="2:17">
      <c r="B895" s="1" t="s">
        <v>508</v>
      </c>
      <c r="C895" s="1" t="s">
        <v>516</v>
      </c>
      <c r="D895" s="52">
        <v>46039.579861111109</v>
      </c>
      <c r="E895" s="52">
        <v>46039.579861111109</v>
      </c>
      <c r="F895" s="52">
        <v>46039.65347222222</v>
      </c>
      <c r="G895" s="53">
        <f t="shared" si="55"/>
        <v>7.3611111110949423E-2</v>
      </c>
      <c r="H895" s="1" t="s">
        <v>248</v>
      </c>
      <c r="J895" s="1" t="s">
        <v>249</v>
      </c>
      <c r="K895" s="1" t="s">
        <v>349</v>
      </c>
      <c r="L895" s="1" t="s">
        <v>510</v>
      </c>
      <c r="M895" s="1" t="s">
        <v>251</v>
      </c>
      <c r="N895" s="1" t="s">
        <v>330</v>
      </c>
      <c r="O895" s="1" t="s">
        <v>507</v>
      </c>
      <c r="P895" s="1" t="str">
        <f t="shared" si="53"/>
        <v>BC ParanoaSG60KTL(COM1-017)_001_00746039,579861111146039,579861111146039,6534722222</v>
      </c>
      <c r="Q895" s="1" t="str">
        <f t="shared" si="54"/>
        <v>DAURDE</v>
      </c>
    </row>
    <row r="896" spans="2:17">
      <c r="B896" s="1" t="s">
        <v>508</v>
      </c>
      <c r="C896" s="1" t="s">
        <v>517</v>
      </c>
      <c r="D896" s="52">
        <v>46039.579861111109</v>
      </c>
      <c r="E896" s="52">
        <v>46039.579861111109</v>
      </c>
      <c r="F896" s="52">
        <v>46039.65347222222</v>
      </c>
      <c r="G896" s="53">
        <f t="shared" si="55"/>
        <v>7.3611111110949423E-2</v>
      </c>
      <c r="H896" s="1" t="s">
        <v>248</v>
      </c>
      <c r="J896" s="1" t="s">
        <v>249</v>
      </c>
      <c r="K896" s="1" t="s">
        <v>349</v>
      </c>
      <c r="L896" s="1" t="s">
        <v>510</v>
      </c>
      <c r="M896" s="1" t="s">
        <v>251</v>
      </c>
      <c r="N896" s="1" t="s">
        <v>330</v>
      </c>
      <c r="O896" s="1" t="s">
        <v>507</v>
      </c>
      <c r="P896" s="1" t="str">
        <f t="shared" si="53"/>
        <v>BC ParanoaSG60KTL(COM1-016)_001_00646039,579861111146039,579861111146039,6534722222</v>
      </c>
      <c r="Q896" s="1" t="str">
        <f t="shared" si="54"/>
        <v>DAURDE</v>
      </c>
    </row>
    <row r="897" spans="2:17">
      <c r="B897" s="1" t="s">
        <v>508</v>
      </c>
      <c r="C897" s="1" t="s">
        <v>518</v>
      </c>
      <c r="D897" s="52">
        <v>46039.579861111109</v>
      </c>
      <c r="E897" s="52">
        <v>46039.579861111109</v>
      </c>
      <c r="F897" s="52">
        <v>46039.65347222222</v>
      </c>
      <c r="G897" s="53">
        <f t="shared" si="55"/>
        <v>7.3611111110949423E-2</v>
      </c>
      <c r="H897" s="1" t="s">
        <v>248</v>
      </c>
      <c r="J897" s="1" t="s">
        <v>249</v>
      </c>
      <c r="K897" s="1" t="s">
        <v>349</v>
      </c>
      <c r="L897" s="1" t="s">
        <v>510</v>
      </c>
      <c r="M897" s="1" t="s">
        <v>251</v>
      </c>
      <c r="N897" s="1" t="s">
        <v>330</v>
      </c>
      <c r="O897" s="1" t="s">
        <v>507</v>
      </c>
      <c r="P897" s="1" t="str">
        <f t="shared" si="53"/>
        <v>BC ParanoaSG50CX(COM2-015)_001_01746039,579861111146039,579861111146039,6534722222</v>
      </c>
      <c r="Q897" s="1" t="str">
        <f t="shared" si="54"/>
        <v>DAURDE</v>
      </c>
    </row>
    <row r="898" spans="2:17">
      <c r="B898" s="1" t="s">
        <v>508</v>
      </c>
      <c r="C898" s="1" t="s">
        <v>519</v>
      </c>
      <c r="D898" s="52">
        <v>46039.579861111109</v>
      </c>
      <c r="E898" s="52">
        <v>46039.579861111109</v>
      </c>
      <c r="F898" s="52">
        <v>46039.65347222222</v>
      </c>
      <c r="G898" s="53">
        <f t="shared" si="55"/>
        <v>7.3611111110949423E-2</v>
      </c>
      <c r="H898" s="1" t="s">
        <v>248</v>
      </c>
      <c r="J898" s="1" t="s">
        <v>249</v>
      </c>
      <c r="K898" s="1" t="s">
        <v>349</v>
      </c>
      <c r="L898" s="1" t="s">
        <v>510</v>
      </c>
      <c r="M898" s="1" t="s">
        <v>251</v>
      </c>
      <c r="N898" s="1" t="s">
        <v>330</v>
      </c>
      <c r="O898" s="1" t="s">
        <v>507</v>
      </c>
      <c r="P898" s="1" t="str">
        <f t="shared" si="53"/>
        <v>BC ParanoaSG60KTL(COM1-009)_001_00246039,579861111146039,579861111146039,6534722222</v>
      </c>
      <c r="Q898" s="1" t="str">
        <f t="shared" si="54"/>
        <v>DAURDE</v>
      </c>
    </row>
    <row r="899" spans="2:17">
      <c r="B899" s="1" t="s">
        <v>508</v>
      </c>
      <c r="C899" s="1" t="s">
        <v>520</v>
      </c>
      <c r="D899" s="52">
        <v>46039.579861111109</v>
      </c>
      <c r="E899" s="52">
        <v>46039.579861111109</v>
      </c>
      <c r="F899" s="52">
        <v>46039.65347222222</v>
      </c>
      <c r="G899" s="53">
        <f t="shared" si="55"/>
        <v>7.3611111110949423E-2</v>
      </c>
      <c r="H899" s="1" t="s">
        <v>248</v>
      </c>
      <c r="J899" s="1" t="s">
        <v>249</v>
      </c>
      <c r="K899" s="1" t="s">
        <v>349</v>
      </c>
      <c r="L899" s="1" t="s">
        <v>510</v>
      </c>
      <c r="M899" s="1" t="s">
        <v>251</v>
      </c>
      <c r="N899" s="1" t="s">
        <v>330</v>
      </c>
      <c r="O899" s="1" t="s">
        <v>507</v>
      </c>
      <c r="P899" s="1" t="str">
        <f t="shared" si="53"/>
        <v>BC ParanoaSG60KTL(COM1-008)_001_00946039,579861111146039,579861111146039,6534722222</v>
      </c>
      <c r="Q899" s="1" t="str">
        <f t="shared" si="54"/>
        <v>DAURDE</v>
      </c>
    </row>
    <row r="900" spans="2:17">
      <c r="B900" s="1" t="s">
        <v>508</v>
      </c>
      <c r="C900" s="1" t="s">
        <v>521</v>
      </c>
      <c r="D900" s="52">
        <v>46039.579861111109</v>
      </c>
      <c r="E900" s="52">
        <v>46039.579861111109</v>
      </c>
      <c r="F900" s="52">
        <v>46039.65347222222</v>
      </c>
      <c r="G900" s="53">
        <f t="shared" si="55"/>
        <v>7.3611111110949423E-2</v>
      </c>
      <c r="H900" s="1" t="s">
        <v>248</v>
      </c>
      <c r="J900" s="1" t="s">
        <v>249</v>
      </c>
      <c r="K900" s="1" t="s">
        <v>349</v>
      </c>
      <c r="L900" s="1" t="s">
        <v>510</v>
      </c>
      <c r="M900" s="1" t="s">
        <v>251</v>
      </c>
      <c r="N900" s="1" t="s">
        <v>330</v>
      </c>
      <c r="O900" s="1" t="s">
        <v>507</v>
      </c>
      <c r="P900" s="1" t="str">
        <f t="shared" si="53"/>
        <v>BC ParanoaSG60KTL(COM1-007)_001_00446039,579861111146039,579861111146039,6534722222</v>
      </c>
      <c r="Q900" s="1" t="str">
        <f t="shared" si="54"/>
        <v>DAURDE</v>
      </c>
    </row>
    <row r="901" spans="2:17">
      <c r="B901" s="1" t="s">
        <v>508</v>
      </c>
      <c r="C901" s="1" t="s">
        <v>522</v>
      </c>
      <c r="D901" s="52">
        <v>46039.579861111109</v>
      </c>
      <c r="E901" s="52">
        <v>46039.579861111109</v>
      </c>
      <c r="F901" s="52">
        <v>46039.65347222222</v>
      </c>
      <c r="G901" s="53">
        <f t="shared" si="55"/>
        <v>7.3611111110949423E-2</v>
      </c>
      <c r="H901" s="1" t="s">
        <v>248</v>
      </c>
      <c r="J901" s="1" t="s">
        <v>249</v>
      </c>
      <c r="K901" s="1" t="s">
        <v>349</v>
      </c>
      <c r="L901" s="1" t="s">
        <v>510</v>
      </c>
      <c r="M901" s="1" t="s">
        <v>251</v>
      </c>
      <c r="N901" s="1" t="s">
        <v>330</v>
      </c>
      <c r="O901" s="1" t="s">
        <v>507</v>
      </c>
      <c r="P901" s="1" t="str">
        <f t="shared" si="53"/>
        <v>BC ParanoaSG60KTL(COM1-006)_001_01446039,579861111146039,579861111146039,6534722222</v>
      </c>
      <c r="Q901" s="1" t="str">
        <f t="shared" si="54"/>
        <v>DAURDE</v>
      </c>
    </row>
    <row r="902" spans="2:17">
      <c r="B902" s="1" t="s">
        <v>508</v>
      </c>
      <c r="C902" s="1" t="s">
        <v>523</v>
      </c>
      <c r="D902" s="52">
        <v>46039.579861111109</v>
      </c>
      <c r="E902" s="52">
        <v>46039.579861111109</v>
      </c>
      <c r="F902" s="52">
        <v>46039.65347222222</v>
      </c>
      <c r="G902" s="53">
        <f t="shared" si="55"/>
        <v>7.3611111110949423E-2</v>
      </c>
      <c r="H902" s="1" t="s">
        <v>248</v>
      </c>
      <c r="J902" s="1" t="s">
        <v>249</v>
      </c>
      <c r="K902" s="1" t="s">
        <v>349</v>
      </c>
      <c r="L902" s="1" t="s">
        <v>510</v>
      </c>
      <c r="M902" s="1" t="s">
        <v>251</v>
      </c>
      <c r="N902" s="1" t="s">
        <v>330</v>
      </c>
      <c r="O902" s="1" t="s">
        <v>507</v>
      </c>
      <c r="P902" s="1" t="str">
        <f t="shared" si="53"/>
        <v>BC ParanoaSG40CX(COM2-005)_001_01546039,579861111146039,579861111146039,6534722222</v>
      </c>
      <c r="Q902" s="1" t="str">
        <f t="shared" si="54"/>
        <v>DAURDE</v>
      </c>
    </row>
    <row r="903" spans="2:17">
      <c r="B903" s="1" t="s">
        <v>508</v>
      </c>
      <c r="C903" s="1" t="s">
        <v>524</v>
      </c>
      <c r="D903" s="52">
        <v>46039.579861111109</v>
      </c>
      <c r="E903" s="52">
        <v>46039.579861111109</v>
      </c>
      <c r="F903" s="52">
        <v>46039.65347222222</v>
      </c>
      <c r="G903" s="53">
        <f t="shared" si="55"/>
        <v>7.3611111110949423E-2</v>
      </c>
      <c r="H903" s="1" t="s">
        <v>248</v>
      </c>
      <c r="J903" s="1" t="s">
        <v>249</v>
      </c>
      <c r="K903" s="1" t="s">
        <v>349</v>
      </c>
      <c r="L903" s="1" t="s">
        <v>510</v>
      </c>
      <c r="M903" s="1" t="s">
        <v>251</v>
      </c>
      <c r="N903" s="1" t="s">
        <v>330</v>
      </c>
      <c r="O903" s="1" t="s">
        <v>507</v>
      </c>
      <c r="P903" s="1" t="str">
        <f t="shared" ref="P903:P966" si="56">_xlfn.CONCAT(B903,C903,D903,E903,F903)</f>
        <v>BC ParanoaSG60KTL(COM1-019)_002_00746039,579861111146039,579861111146039,6534722222</v>
      </c>
      <c r="Q903" s="1" t="str">
        <f t="shared" ref="Q903:Q962" si="57">_xlfn.CONCAT(H903,I903,J903)</f>
        <v>DAURDE</v>
      </c>
    </row>
    <row r="904" spans="2:17">
      <c r="B904" s="1" t="s">
        <v>508</v>
      </c>
      <c r="C904" s="1" t="s">
        <v>525</v>
      </c>
      <c r="D904" s="52">
        <v>46039.579861111109</v>
      </c>
      <c r="E904" s="52">
        <v>46039.579861111109</v>
      </c>
      <c r="F904" s="52">
        <v>46039.65347222222</v>
      </c>
      <c r="G904" s="53">
        <f t="shared" si="55"/>
        <v>7.3611111110949423E-2</v>
      </c>
      <c r="H904" s="1" t="s">
        <v>248</v>
      </c>
      <c r="J904" s="1" t="s">
        <v>249</v>
      </c>
      <c r="K904" s="1" t="s">
        <v>349</v>
      </c>
      <c r="L904" s="1" t="s">
        <v>510</v>
      </c>
      <c r="M904" s="1" t="s">
        <v>251</v>
      </c>
      <c r="N904" s="1" t="s">
        <v>330</v>
      </c>
      <c r="O904" s="1" t="s">
        <v>507</v>
      </c>
      <c r="P904" s="1" t="str">
        <f t="shared" si="56"/>
        <v>BC ParanoaSG60KTL(COM1-020)_002_01146039,579861111146039,579861111146039,6534722222</v>
      </c>
      <c r="Q904" s="1" t="str">
        <f t="shared" si="57"/>
        <v>DAURDE</v>
      </c>
    </row>
    <row r="905" spans="2:17">
      <c r="B905" s="1" t="s">
        <v>508</v>
      </c>
      <c r="C905" s="1" t="s">
        <v>526</v>
      </c>
      <c r="D905" s="52">
        <v>46039.579861111109</v>
      </c>
      <c r="E905" s="52">
        <v>46039.579861111109</v>
      </c>
      <c r="F905" s="52">
        <v>46039.65347222222</v>
      </c>
      <c r="G905" s="53">
        <f t="shared" si="55"/>
        <v>7.3611111110949423E-2</v>
      </c>
      <c r="H905" s="1" t="s">
        <v>248</v>
      </c>
      <c r="J905" s="1" t="s">
        <v>249</v>
      </c>
      <c r="K905" s="1" t="s">
        <v>349</v>
      </c>
      <c r="L905" s="1" t="s">
        <v>510</v>
      </c>
      <c r="M905" s="1" t="s">
        <v>251</v>
      </c>
      <c r="N905" s="1" t="s">
        <v>330</v>
      </c>
      <c r="O905" s="1" t="s">
        <v>507</v>
      </c>
      <c r="P905" s="1" t="str">
        <f t="shared" si="56"/>
        <v>BC ParanoaSG60KTL(COM1-021)_002_01746039,579861111146039,579861111146039,6534722222</v>
      </c>
      <c r="Q905" s="1" t="str">
        <f t="shared" si="57"/>
        <v>DAURDE</v>
      </c>
    </row>
    <row r="906" spans="2:17">
      <c r="B906" s="1" t="s">
        <v>508</v>
      </c>
      <c r="C906" s="1" t="s">
        <v>527</v>
      </c>
      <c r="D906" s="52">
        <v>46039.579861111109</v>
      </c>
      <c r="E906" s="52">
        <v>46039.579861111109</v>
      </c>
      <c r="F906" s="52">
        <v>46039.65347222222</v>
      </c>
      <c r="G906" s="53">
        <f t="shared" si="55"/>
        <v>7.3611111110949423E-2</v>
      </c>
      <c r="H906" s="1" t="s">
        <v>248</v>
      </c>
      <c r="J906" s="1" t="s">
        <v>249</v>
      </c>
      <c r="K906" s="1" t="s">
        <v>349</v>
      </c>
      <c r="L906" s="1" t="s">
        <v>510</v>
      </c>
      <c r="M906" s="1" t="s">
        <v>251</v>
      </c>
      <c r="N906" s="1" t="s">
        <v>330</v>
      </c>
      <c r="O906" s="1" t="s">
        <v>507</v>
      </c>
      <c r="P906" s="1" t="str">
        <f t="shared" si="56"/>
        <v>BC ParanoaSG60KTL(COM1-022)_002_02046039,579861111146039,579861111146039,6534722222</v>
      </c>
      <c r="Q906" s="1" t="str">
        <f t="shared" si="57"/>
        <v>DAURDE</v>
      </c>
    </row>
    <row r="907" spans="2:17">
      <c r="B907" s="1" t="s">
        <v>508</v>
      </c>
      <c r="C907" s="1" t="s">
        <v>528</v>
      </c>
      <c r="D907" s="52">
        <v>46039.579861111109</v>
      </c>
      <c r="E907" s="52">
        <v>46039.579861111109</v>
      </c>
      <c r="F907" s="52">
        <v>46039.65347222222</v>
      </c>
      <c r="G907" s="53">
        <f t="shared" si="55"/>
        <v>7.3611111110949423E-2</v>
      </c>
      <c r="H907" s="1" t="s">
        <v>248</v>
      </c>
      <c r="J907" s="1" t="s">
        <v>249</v>
      </c>
      <c r="K907" s="1" t="s">
        <v>349</v>
      </c>
      <c r="L907" s="1" t="s">
        <v>510</v>
      </c>
      <c r="M907" s="1" t="s">
        <v>251</v>
      </c>
      <c r="N907" s="1" t="s">
        <v>330</v>
      </c>
      <c r="O907" s="1" t="s">
        <v>507</v>
      </c>
      <c r="P907" s="1" t="str">
        <f t="shared" si="56"/>
        <v>BC ParanoaSG40CX(COM2-023)_002_02446039,579861111146039,579861111146039,6534722222</v>
      </c>
      <c r="Q907" s="1" t="str">
        <f t="shared" si="57"/>
        <v>DAURDE</v>
      </c>
    </row>
    <row r="908" spans="2:17">
      <c r="B908" s="1" t="s">
        <v>508</v>
      </c>
      <c r="C908" s="1" t="s">
        <v>529</v>
      </c>
      <c r="D908" s="52">
        <v>46039.579861111109</v>
      </c>
      <c r="E908" s="52">
        <v>46039.579861111109</v>
      </c>
      <c r="F908" s="52">
        <v>46039.65347222222</v>
      </c>
      <c r="G908" s="53">
        <f t="shared" si="55"/>
        <v>7.3611111110949423E-2</v>
      </c>
      <c r="H908" s="1" t="s">
        <v>248</v>
      </c>
      <c r="J908" s="1" t="s">
        <v>249</v>
      </c>
      <c r="K908" s="1" t="s">
        <v>349</v>
      </c>
      <c r="L908" s="1" t="s">
        <v>510</v>
      </c>
      <c r="M908" s="1" t="s">
        <v>251</v>
      </c>
      <c r="N908" s="1" t="s">
        <v>330</v>
      </c>
      <c r="O908" s="1" t="s">
        <v>507</v>
      </c>
      <c r="P908" s="1" t="str">
        <f t="shared" si="56"/>
        <v>BC ParanoaSG40CX(COM2-024)_002_02246039,579861111146039,579861111146039,6534722222</v>
      </c>
      <c r="Q908" s="1" t="str">
        <f t="shared" si="57"/>
        <v>DAURDE</v>
      </c>
    </row>
    <row r="909" spans="2:17">
      <c r="B909" s="1" t="s">
        <v>508</v>
      </c>
      <c r="C909" s="1" t="s">
        <v>530</v>
      </c>
      <c r="D909" s="52">
        <v>46039.579861111109</v>
      </c>
      <c r="E909" s="52">
        <v>46039.579861111109</v>
      </c>
      <c r="F909" s="52">
        <v>46039.65347222222</v>
      </c>
      <c r="G909" s="53">
        <f t="shared" si="55"/>
        <v>7.3611111110949423E-2</v>
      </c>
      <c r="H909" s="1" t="s">
        <v>248</v>
      </c>
      <c r="J909" s="1" t="s">
        <v>249</v>
      </c>
      <c r="K909" s="1" t="s">
        <v>349</v>
      </c>
      <c r="L909" s="1" t="s">
        <v>510</v>
      </c>
      <c r="M909" s="1" t="s">
        <v>251</v>
      </c>
      <c r="N909" s="1" t="s">
        <v>330</v>
      </c>
      <c r="O909" s="1" t="s">
        <v>507</v>
      </c>
      <c r="P909" s="1" t="str">
        <f t="shared" si="56"/>
        <v>BC ParanoaSG60KTL(COM1-007)_002_01346039,579861111146039,579861111146039,6534722222</v>
      </c>
      <c r="Q909" s="1" t="str">
        <f t="shared" si="57"/>
        <v>DAURDE</v>
      </c>
    </row>
    <row r="910" spans="2:17">
      <c r="B910" s="1" t="s">
        <v>508</v>
      </c>
      <c r="C910" s="1" t="s">
        <v>531</v>
      </c>
      <c r="D910" s="52">
        <v>46039.579861111109</v>
      </c>
      <c r="E910" s="52">
        <v>46039.579861111109</v>
      </c>
      <c r="F910" s="52">
        <v>46039.65347222222</v>
      </c>
      <c r="G910" s="53">
        <f t="shared" si="55"/>
        <v>7.3611111110949423E-2</v>
      </c>
      <c r="H910" s="1" t="s">
        <v>248</v>
      </c>
      <c r="J910" s="1" t="s">
        <v>249</v>
      </c>
      <c r="K910" s="1" t="s">
        <v>349</v>
      </c>
      <c r="L910" s="1" t="s">
        <v>510</v>
      </c>
      <c r="M910" s="1" t="s">
        <v>251</v>
      </c>
      <c r="N910" s="1" t="s">
        <v>330</v>
      </c>
      <c r="O910" s="1" t="s">
        <v>507</v>
      </c>
      <c r="P910" s="1" t="str">
        <f t="shared" si="56"/>
        <v>BC ParanoaSG60KTL(COM1-008)_002_00246039,579861111146039,579861111146039,6534722222</v>
      </c>
      <c r="Q910" s="1" t="str">
        <f t="shared" si="57"/>
        <v>DAURDE</v>
      </c>
    </row>
    <row r="911" spans="2:17">
      <c r="B911" s="1" t="s">
        <v>508</v>
      </c>
      <c r="C911" s="1" t="s">
        <v>532</v>
      </c>
      <c r="D911" s="52">
        <v>46039.579861111109</v>
      </c>
      <c r="E911" s="52">
        <v>46039.579861111109</v>
      </c>
      <c r="F911" s="52">
        <v>46039.65347222222</v>
      </c>
      <c r="G911" s="53">
        <f t="shared" si="55"/>
        <v>7.3611111110949423E-2</v>
      </c>
      <c r="H911" s="1" t="s">
        <v>248</v>
      </c>
      <c r="J911" s="1" t="s">
        <v>249</v>
      </c>
      <c r="K911" s="1" t="s">
        <v>349</v>
      </c>
      <c r="L911" s="1" t="s">
        <v>510</v>
      </c>
      <c r="M911" s="1" t="s">
        <v>251</v>
      </c>
      <c r="N911" s="1" t="s">
        <v>330</v>
      </c>
      <c r="O911" s="1" t="s">
        <v>507</v>
      </c>
      <c r="P911" s="1" t="str">
        <f t="shared" si="56"/>
        <v>BC ParanoaSG60KTL(COM1-009)_002_00846039,579861111146039,579861111146039,6534722222</v>
      </c>
      <c r="Q911" s="1" t="str">
        <f t="shared" si="57"/>
        <v>DAURDE</v>
      </c>
    </row>
    <row r="912" spans="2:17">
      <c r="B912" s="1" t="s">
        <v>508</v>
      </c>
      <c r="C912" s="1" t="s">
        <v>533</v>
      </c>
      <c r="D912" s="52">
        <v>46039.579861111109</v>
      </c>
      <c r="E912" s="52">
        <v>46039.579861111109</v>
      </c>
      <c r="F912" s="52">
        <v>46039.65347222222</v>
      </c>
      <c r="G912" s="53">
        <f t="shared" si="55"/>
        <v>7.3611111110949423E-2</v>
      </c>
      <c r="H912" s="1" t="s">
        <v>248</v>
      </c>
      <c r="J912" s="1" t="s">
        <v>249</v>
      </c>
      <c r="K912" s="1" t="s">
        <v>349</v>
      </c>
      <c r="L912" s="1" t="s">
        <v>510</v>
      </c>
      <c r="M912" s="1" t="s">
        <v>251</v>
      </c>
      <c r="N912" s="1" t="s">
        <v>330</v>
      </c>
      <c r="O912" s="1" t="s">
        <v>507</v>
      </c>
      <c r="P912" s="1" t="str">
        <f t="shared" si="56"/>
        <v>BC ParanoaSG60KTL(COM1-010)_002_00346039,579861111146039,579861111146039,6534722222</v>
      </c>
      <c r="Q912" s="1" t="str">
        <f t="shared" si="57"/>
        <v>DAURDE</v>
      </c>
    </row>
    <row r="913" spans="2:17">
      <c r="B913" s="1" t="s">
        <v>508</v>
      </c>
      <c r="C913" s="1" t="s">
        <v>534</v>
      </c>
      <c r="D913" s="52">
        <v>46039.579861111109</v>
      </c>
      <c r="E913" s="52">
        <v>46039.579861111109</v>
      </c>
      <c r="F913" s="52">
        <v>46039.65347222222</v>
      </c>
      <c r="G913" s="53">
        <f t="shared" si="55"/>
        <v>7.3611111110949423E-2</v>
      </c>
      <c r="H913" s="1" t="s">
        <v>248</v>
      </c>
      <c r="J913" s="1" t="s">
        <v>249</v>
      </c>
      <c r="K913" s="1" t="s">
        <v>349</v>
      </c>
      <c r="L913" s="1" t="s">
        <v>510</v>
      </c>
      <c r="M913" s="1" t="s">
        <v>251</v>
      </c>
      <c r="N913" s="1" t="s">
        <v>330</v>
      </c>
      <c r="O913" s="1" t="s">
        <v>507</v>
      </c>
      <c r="P913" s="1" t="str">
        <f t="shared" si="56"/>
        <v>BC ParanoaSG60KTL(COM1-011)_002_01046039,579861111146039,579861111146039,6534722222</v>
      </c>
      <c r="Q913" s="1" t="str">
        <f t="shared" si="57"/>
        <v>DAURDE</v>
      </c>
    </row>
    <row r="914" spans="2:17">
      <c r="B914" s="1" t="s">
        <v>508</v>
      </c>
      <c r="C914" s="1" t="s">
        <v>535</v>
      </c>
      <c r="D914" s="52">
        <v>46039.579861111109</v>
      </c>
      <c r="E914" s="52">
        <v>46039.579861111109</v>
      </c>
      <c r="F914" s="52">
        <v>46039.65347222222</v>
      </c>
      <c r="G914" s="53">
        <f t="shared" si="55"/>
        <v>7.3611111110949423E-2</v>
      </c>
      <c r="H914" s="1" t="s">
        <v>248</v>
      </c>
      <c r="J914" s="1" t="s">
        <v>249</v>
      </c>
      <c r="K914" s="1" t="s">
        <v>349</v>
      </c>
      <c r="L914" s="1" t="s">
        <v>510</v>
      </c>
      <c r="M914" s="1" t="s">
        <v>251</v>
      </c>
      <c r="N914" s="1" t="s">
        <v>330</v>
      </c>
      <c r="O914" s="1" t="s">
        <v>507</v>
      </c>
      <c r="P914" s="1" t="str">
        <f t="shared" si="56"/>
        <v>BC ParanoaSG60KTL(COM1-012)_002_00546039,579861111146039,579861111146039,6534722222</v>
      </c>
      <c r="Q914" s="1" t="str">
        <f t="shared" si="57"/>
        <v>DAURDE</v>
      </c>
    </row>
    <row r="915" spans="2:17">
      <c r="B915" s="1" t="s">
        <v>508</v>
      </c>
      <c r="C915" s="1" t="s">
        <v>536</v>
      </c>
      <c r="D915" s="52">
        <v>46039.579861111109</v>
      </c>
      <c r="E915" s="52">
        <v>46039.579861111109</v>
      </c>
      <c r="F915" s="52">
        <v>46039.65347222222</v>
      </c>
      <c r="G915" s="53">
        <f t="shared" si="55"/>
        <v>7.3611111110949423E-2</v>
      </c>
      <c r="H915" s="1" t="s">
        <v>248</v>
      </c>
      <c r="J915" s="1" t="s">
        <v>249</v>
      </c>
      <c r="K915" s="1" t="s">
        <v>349</v>
      </c>
      <c r="L915" s="1" t="s">
        <v>510</v>
      </c>
      <c r="M915" s="1" t="s">
        <v>251</v>
      </c>
      <c r="N915" s="1" t="s">
        <v>330</v>
      </c>
      <c r="O915" s="1" t="s">
        <v>507</v>
      </c>
      <c r="P915" s="1" t="str">
        <f t="shared" si="56"/>
        <v>BC ParanoaSG60KTL(COM1-001)_002_00646039,579861111146039,579861111146039,6534722222</v>
      </c>
      <c r="Q915" s="1" t="str">
        <f t="shared" si="57"/>
        <v>DAURDE</v>
      </c>
    </row>
    <row r="916" spans="2:17">
      <c r="B916" s="1" t="s">
        <v>508</v>
      </c>
      <c r="C916" s="1" t="s">
        <v>537</v>
      </c>
      <c r="D916" s="52">
        <v>46039.579861111109</v>
      </c>
      <c r="E916" s="52">
        <v>46039.579861111109</v>
      </c>
      <c r="F916" s="52">
        <v>46039.65347222222</v>
      </c>
      <c r="G916" s="53">
        <f t="shared" si="55"/>
        <v>7.3611111110949423E-2</v>
      </c>
      <c r="H916" s="1" t="s">
        <v>248</v>
      </c>
      <c r="J916" s="1" t="s">
        <v>249</v>
      </c>
      <c r="K916" s="1" t="s">
        <v>349</v>
      </c>
      <c r="L916" s="1" t="s">
        <v>510</v>
      </c>
      <c r="M916" s="1" t="s">
        <v>251</v>
      </c>
      <c r="N916" s="1" t="s">
        <v>330</v>
      </c>
      <c r="O916" s="1" t="s">
        <v>507</v>
      </c>
      <c r="P916" s="1" t="str">
        <f t="shared" si="56"/>
        <v>BC ParanoaSG60KTL(COM1-002)_002_01646039,579861111146039,579861111146039,6534722222</v>
      </c>
      <c r="Q916" s="1" t="str">
        <f t="shared" si="57"/>
        <v>DAURDE</v>
      </c>
    </row>
    <row r="917" spans="2:17">
      <c r="B917" s="1" t="s">
        <v>508</v>
      </c>
      <c r="C917" s="1" t="s">
        <v>538</v>
      </c>
      <c r="D917" s="52">
        <v>46039.579861111109</v>
      </c>
      <c r="E917" s="52">
        <v>46039.579861111109</v>
      </c>
      <c r="F917" s="52">
        <v>46039.65347222222</v>
      </c>
      <c r="G917" s="53">
        <f t="shared" si="55"/>
        <v>7.3611111110949423E-2</v>
      </c>
      <c r="H917" s="1" t="s">
        <v>248</v>
      </c>
      <c r="J917" s="1" t="s">
        <v>249</v>
      </c>
      <c r="K917" s="1" t="s">
        <v>349</v>
      </c>
      <c r="L917" s="1" t="s">
        <v>510</v>
      </c>
      <c r="M917" s="1" t="s">
        <v>251</v>
      </c>
      <c r="N917" s="1" t="s">
        <v>330</v>
      </c>
      <c r="O917" s="1" t="s">
        <v>507</v>
      </c>
      <c r="P917" s="1" t="str">
        <f t="shared" si="56"/>
        <v>BC ParanoaSG50CX(COM2-003)_002_02146039,579861111146039,579861111146039,6534722222</v>
      </c>
      <c r="Q917" s="1" t="str">
        <f t="shared" si="57"/>
        <v>DAURDE</v>
      </c>
    </row>
    <row r="918" spans="2:17">
      <c r="B918" s="1" t="s">
        <v>508</v>
      </c>
      <c r="C918" s="1" t="s">
        <v>539</v>
      </c>
      <c r="D918" s="52">
        <v>46039.579861111109</v>
      </c>
      <c r="E918" s="52">
        <v>46039.579861111109</v>
      </c>
      <c r="F918" s="52">
        <v>46039.65347222222</v>
      </c>
      <c r="G918" s="53">
        <f t="shared" si="55"/>
        <v>7.3611111110949423E-2</v>
      </c>
      <c r="H918" s="1" t="s">
        <v>248</v>
      </c>
      <c r="J918" s="1" t="s">
        <v>249</v>
      </c>
      <c r="K918" s="1" t="s">
        <v>349</v>
      </c>
      <c r="L918" s="1" t="s">
        <v>510</v>
      </c>
      <c r="M918" s="1" t="s">
        <v>251</v>
      </c>
      <c r="N918" s="1" t="s">
        <v>330</v>
      </c>
      <c r="O918" s="1" t="s">
        <v>507</v>
      </c>
      <c r="P918" s="1" t="str">
        <f t="shared" si="56"/>
        <v>BC ParanoaSG50CX(COM2-004)_002_02346039,579861111146039,579861111146039,6534722222</v>
      </c>
      <c r="Q918" s="1" t="str">
        <f t="shared" si="57"/>
        <v>DAURDE</v>
      </c>
    </row>
    <row r="919" spans="2:17">
      <c r="B919" s="1" t="s">
        <v>508</v>
      </c>
      <c r="C919" s="1" t="s">
        <v>540</v>
      </c>
      <c r="D919" s="52">
        <v>46039.579861111109</v>
      </c>
      <c r="E919" s="52">
        <v>46039.579861111109</v>
      </c>
      <c r="F919" s="52">
        <v>46039.65347222222</v>
      </c>
      <c r="G919" s="53">
        <f t="shared" si="55"/>
        <v>7.3611111110949423E-2</v>
      </c>
      <c r="H919" s="1" t="s">
        <v>248</v>
      </c>
      <c r="J919" s="1" t="s">
        <v>249</v>
      </c>
      <c r="K919" s="1" t="s">
        <v>349</v>
      </c>
      <c r="L919" s="1" t="s">
        <v>510</v>
      </c>
      <c r="M919" s="1" t="s">
        <v>251</v>
      </c>
      <c r="N919" s="1" t="s">
        <v>330</v>
      </c>
      <c r="O919" s="1" t="s">
        <v>507</v>
      </c>
      <c r="P919" s="1" t="str">
        <f t="shared" si="56"/>
        <v>BC ParanoaSG60KTL(COM1-005)_002_00946039,579861111146039,579861111146039,6534722222</v>
      </c>
      <c r="Q919" s="1" t="str">
        <f t="shared" si="57"/>
        <v>DAURDE</v>
      </c>
    </row>
    <row r="920" spans="2:17">
      <c r="B920" s="1" t="s">
        <v>508</v>
      </c>
      <c r="C920" s="1" t="s">
        <v>541</v>
      </c>
      <c r="D920" s="52">
        <v>46039.579861111109</v>
      </c>
      <c r="E920" s="52">
        <v>46039.579861111109</v>
      </c>
      <c r="F920" s="52">
        <v>46039.65347222222</v>
      </c>
      <c r="G920" s="53">
        <f t="shared" si="55"/>
        <v>7.3611111110949423E-2</v>
      </c>
      <c r="H920" s="1" t="s">
        <v>248</v>
      </c>
      <c r="J920" s="1" t="s">
        <v>249</v>
      </c>
      <c r="K920" s="1" t="s">
        <v>349</v>
      </c>
      <c r="L920" s="1" t="s">
        <v>510</v>
      </c>
      <c r="M920" s="1" t="s">
        <v>251</v>
      </c>
      <c r="N920" s="1" t="s">
        <v>330</v>
      </c>
      <c r="O920" s="1" t="s">
        <v>507</v>
      </c>
      <c r="P920" s="1" t="str">
        <f t="shared" si="56"/>
        <v>BC ParanoaSG60KTL(COM1-006)_002_00146039,579861111146039,579861111146039,6534722222</v>
      </c>
      <c r="Q920" s="1" t="str">
        <f t="shared" si="57"/>
        <v>DAURDE</v>
      </c>
    </row>
    <row r="921" spans="2:17">
      <c r="B921" s="1" t="s">
        <v>508</v>
      </c>
      <c r="C921" s="1" t="s">
        <v>542</v>
      </c>
      <c r="D921" s="52">
        <v>46039.579861111109</v>
      </c>
      <c r="E921" s="52">
        <v>46039.579861111109</v>
      </c>
      <c r="F921" s="52">
        <v>46039.65347222222</v>
      </c>
      <c r="G921" s="53">
        <f t="shared" si="55"/>
        <v>7.3611111110949423E-2</v>
      </c>
      <c r="H921" s="1" t="s">
        <v>248</v>
      </c>
      <c r="J921" s="1" t="s">
        <v>249</v>
      </c>
      <c r="K921" s="1" t="s">
        <v>349</v>
      </c>
      <c r="L921" s="1" t="s">
        <v>510</v>
      </c>
      <c r="M921" s="1" t="s">
        <v>251</v>
      </c>
      <c r="N921" s="1" t="s">
        <v>330</v>
      </c>
      <c r="O921" s="1" t="s">
        <v>507</v>
      </c>
      <c r="P921" s="1" t="str">
        <f t="shared" si="56"/>
        <v>BC ParanoaSG60KTL(COM1-013)_002_00446039,579861111146039,579861111146039,6534722222</v>
      </c>
      <c r="Q921" s="1" t="str">
        <f t="shared" si="57"/>
        <v>DAURDE</v>
      </c>
    </row>
    <row r="922" spans="2:17">
      <c r="B922" s="1" t="s">
        <v>508</v>
      </c>
      <c r="C922" s="1" t="s">
        <v>543</v>
      </c>
      <c r="D922" s="52">
        <v>46039.579861111109</v>
      </c>
      <c r="E922" s="52">
        <v>46039.579861111109</v>
      </c>
      <c r="F922" s="52">
        <v>46039.65347222222</v>
      </c>
      <c r="G922" s="53">
        <f t="shared" si="55"/>
        <v>7.3611111110949423E-2</v>
      </c>
      <c r="H922" s="1" t="s">
        <v>248</v>
      </c>
      <c r="J922" s="1" t="s">
        <v>249</v>
      </c>
      <c r="K922" s="1" t="s">
        <v>349</v>
      </c>
      <c r="L922" s="1" t="s">
        <v>510</v>
      </c>
      <c r="M922" s="1" t="s">
        <v>251</v>
      </c>
      <c r="N922" s="1" t="s">
        <v>330</v>
      </c>
      <c r="O922" s="1" t="s">
        <v>507</v>
      </c>
      <c r="P922" s="1" t="str">
        <f t="shared" si="56"/>
        <v>BC ParanoaSG60KTL(COM1-014)_002_01946039,579861111146039,579861111146039,6534722222</v>
      </c>
      <c r="Q922" s="1" t="str">
        <f t="shared" si="57"/>
        <v>DAURDE</v>
      </c>
    </row>
    <row r="923" spans="2:17">
      <c r="B923" s="1" t="s">
        <v>508</v>
      </c>
      <c r="C923" s="1" t="s">
        <v>544</v>
      </c>
      <c r="D923" s="52">
        <v>46039.579861111109</v>
      </c>
      <c r="E923" s="52">
        <v>46039.579861111109</v>
      </c>
      <c r="F923" s="52">
        <v>46039.65347222222</v>
      </c>
      <c r="G923" s="53">
        <f t="shared" si="55"/>
        <v>7.3611111110949423E-2</v>
      </c>
      <c r="H923" s="1" t="s">
        <v>248</v>
      </c>
      <c r="J923" s="1" t="s">
        <v>249</v>
      </c>
      <c r="K923" s="1" t="s">
        <v>349</v>
      </c>
      <c r="L923" s="1" t="s">
        <v>510</v>
      </c>
      <c r="M923" s="1" t="s">
        <v>251</v>
      </c>
      <c r="N923" s="1" t="s">
        <v>330</v>
      </c>
      <c r="O923" s="1" t="s">
        <v>507</v>
      </c>
      <c r="P923" s="1" t="str">
        <f t="shared" si="56"/>
        <v>BC ParanoaSG60KTL(COM1-015)_002_01846039,579861111146039,579861111146039,6534722222</v>
      </c>
      <c r="Q923" s="1" t="str">
        <f t="shared" si="57"/>
        <v>DAURDE</v>
      </c>
    </row>
    <row r="924" spans="2:17">
      <c r="B924" s="1" t="s">
        <v>508</v>
      </c>
      <c r="C924" s="1" t="s">
        <v>545</v>
      </c>
      <c r="D924" s="52">
        <v>46039.579861111109</v>
      </c>
      <c r="E924" s="52">
        <v>46039.579861111109</v>
      </c>
      <c r="F924" s="52">
        <v>46039.65347222222</v>
      </c>
      <c r="G924" s="53">
        <f t="shared" si="55"/>
        <v>7.3611111110949423E-2</v>
      </c>
      <c r="H924" s="1" t="s">
        <v>248</v>
      </c>
      <c r="J924" s="1" t="s">
        <v>249</v>
      </c>
      <c r="K924" s="1" t="s">
        <v>349</v>
      </c>
      <c r="L924" s="1" t="s">
        <v>510</v>
      </c>
      <c r="M924" s="1" t="s">
        <v>251</v>
      </c>
      <c r="N924" s="1" t="s">
        <v>330</v>
      </c>
      <c r="O924" s="1" t="s">
        <v>507</v>
      </c>
      <c r="P924" s="1" t="str">
        <f t="shared" si="56"/>
        <v>BC ParanoaSG60KTL(COM1-016)_002_01446039,579861111146039,579861111146039,6534722222</v>
      </c>
      <c r="Q924" s="1" t="str">
        <f t="shared" si="57"/>
        <v>DAURDE</v>
      </c>
    </row>
    <row r="925" spans="2:17">
      <c r="B925" s="1" t="s">
        <v>508</v>
      </c>
      <c r="C925" s="1" t="s">
        <v>546</v>
      </c>
      <c r="D925" s="52">
        <v>46039.579861111109</v>
      </c>
      <c r="E925" s="52">
        <v>46039.579861111109</v>
      </c>
      <c r="F925" s="52">
        <v>46039.65347222222</v>
      </c>
      <c r="G925" s="53">
        <f t="shared" si="55"/>
        <v>7.3611111110949423E-2</v>
      </c>
      <c r="H925" s="1" t="s">
        <v>248</v>
      </c>
      <c r="J925" s="1" t="s">
        <v>249</v>
      </c>
      <c r="K925" s="1" t="s">
        <v>349</v>
      </c>
      <c r="L925" s="1" t="s">
        <v>510</v>
      </c>
      <c r="M925" s="1" t="s">
        <v>251</v>
      </c>
      <c r="N925" s="1" t="s">
        <v>330</v>
      </c>
      <c r="O925" s="1" t="s">
        <v>507</v>
      </c>
      <c r="P925" s="1" t="str">
        <f t="shared" si="56"/>
        <v>BC ParanoaSG60KTL(COM1-017)_002_01546039,579861111146039,579861111146039,6534722222</v>
      </c>
      <c r="Q925" s="1" t="str">
        <f t="shared" si="57"/>
        <v>DAURDE</v>
      </c>
    </row>
    <row r="926" spans="2:17">
      <c r="B926" s="1" t="s">
        <v>508</v>
      </c>
      <c r="C926" s="1" t="s">
        <v>547</v>
      </c>
      <c r="D926" s="52">
        <v>46039.579861111109</v>
      </c>
      <c r="E926" s="52">
        <v>46039.579861111109</v>
      </c>
      <c r="F926" s="52">
        <v>46039.65347222222</v>
      </c>
      <c r="G926" s="53">
        <f t="shared" si="55"/>
        <v>7.3611111110949423E-2</v>
      </c>
      <c r="H926" s="1" t="s">
        <v>248</v>
      </c>
      <c r="J926" s="1" t="s">
        <v>249</v>
      </c>
      <c r="K926" s="1" t="s">
        <v>349</v>
      </c>
      <c r="L926" s="1" t="s">
        <v>510</v>
      </c>
      <c r="M926" s="1" t="s">
        <v>251</v>
      </c>
      <c r="N926" s="1" t="s">
        <v>330</v>
      </c>
      <c r="O926" s="1" t="s">
        <v>507</v>
      </c>
      <c r="P926" s="1" t="str">
        <f t="shared" si="56"/>
        <v>BC ParanoaSG60KTL(COM1-018)_002_01246039,579861111146039,579861111146039,6534722222</v>
      </c>
      <c r="Q926" s="1" t="str">
        <f t="shared" si="57"/>
        <v>DAURDE</v>
      </c>
    </row>
    <row r="927" spans="2:17">
      <c r="B927" s="1" t="s">
        <v>508</v>
      </c>
      <c r="C927" s="1" t="s">
        <v>548</v>
      </c>
      <c r="D927" s="52">
        <v>46039.579861111109</v>
      </c>
      <c r="E927" s="52">
        <v>46039.579861111109</v>
      </c>
      <c r="F927" s="52">
        <v>46039.65347222222</v>
      </c>
      <c r="G927" s="53">
        <f t="shared" si="55"/>
        <v>7.3611111110949423E-2</v>
      </c>
      <c r="H927" s="1" t="s">
        <v>248</v>
      </c>
      <c r="J927" s="1" t="s">
        <v>249</v>
      </c>
      <c r="K927" s="1" t="s">
        <v>349</v>
      </c>
      <c r="L927" s="1" t="s">
        <v>510</v>
      </c>
      <c r="M927" s="1" t="s">
        <v>251</v>
      </c>
      <c r="N927" s="1" t="s">
        <v>330</v>
      </c>
      <c r="O927" s="1" t="s">
        <v>507</v>
      </c>
      <c r="P927" s="1" t="str">
        <f t="shared" si="56"/>
        <v>BC ParanoaSG50CX(COM2-004)_001_01846039,579861111146039,579861111146039,6534722222</v>
      </c>
      <c r="Q927" s="1" t="str">
        <f t="shared" si="57"/>
        <v>DAURDE</v>
      </c>
    </row>
    <row r="928" spans="2:17">
      <c r="B928" s="1" t="s">
        <v>508</v>
      </c>
      <c r="C928" s="1" t="s">
        <v>549</v>
      </c>
      <c r="D928" s="52">
        <v>46039.579861111109</v>
      </c>
      <c r="E928" s="52">
        <v>46039.579861111109</v>
      </c>
      <c r="F928" s="52">
        <v>46039.65347222222</v>
      </c>
      <c r="G928" s="53">
        <f t="shared" si="55"/>
        <v>7.3611111110949423E-2</v>
      </c>
      <c r="H928" s="1" t="s">
        <v>248</v>
      </c>
      <c r="J928" s="1" t="s">
        <v>249</v>
      </c>
      <c r="K928" s="1" t="s">
        <v>349</v>
      </c>
      <c r="L928" s="1" t="s">
        <v>510</v>
      </c>
      <c r="M928" s="1" t="s">
        <v>251</v>
      </c>
      <c r="N928" s="1" t="s">
        <v>330</v>
      </c>
      <c r="O928" s="1" t="s">
        <v>507</v>
      </c>
      <c r="P928" s="1" t="str">
        <f t="shared" si="56"/>
        <v>BC ParanoaSG50CX(COM2-003)_001_01646039,579861111146039,579861111146039,6534722222</v>
      </c>
      <c r="Q928" s="1" t="str">
        <f t="shared" si="57"/>
        <v>DAURDE</v>
      </c>
    </row>
    <row r="929" spans="2:17">
      <c r="B929" s="1" t="s">
        <v>508</v>
      </c>
      <c r="C929" s="1" t="s">
        <v>550</v>
      </c>
      <c r="D929" s="52">
        <v>46039.579861111109</v>
      </c>
      <c r="E929" s="52">
        <v>46039.579861111109</v>
      </c>
      <c r="F929" s="52">
        <v>46039.65347222222</v>
      </c>
      <c r="G929" s="53">
        <f t="shared" si="55"/>
        <v>7.3611111110949423E-2</v>
      </c>
      <c r="H929" s="1" t="s">
        <v>248</v>
      </c>
      <c r="J929" s="1" t="s">
        <v>249</v>
      </c>
      <c r="K929" s="1" t="s">
        <v>349</v>
      </c>
      <c r="L929" s="1" t="s">
        <v>510</v>
      </c>
      <c r="M929" s="1" t="s">
        <v>251</v>
      </c>
      <c r="N929" s="1" t="s">
        <v>330</v>
      </c>
      <c r="O929" s="1" t="s">
        <v>507</v>
      </c>
      <c r="P929" s="1" t="str">
        <f t="shared" si="56"/>
        <v>BC ParanoaSG60KTL(COM1-002)_001_00846039,579861111146039,579861111146039,6534722222</v>
      </c>
      <c r="Q929" s="1" t="str">
        <f t="shared" si="57"/>
        <v>DAURDE</v>
      </c>
    </row>
    <row r="930" spans="2:17">
      <c r="B930" s="1" t="s">
        <v>482</v>
      </c>
      <c r="C930" s="1" t="s">
        <v>358</v>
      </c>
      <c r="D930" s="52">
        <v>46037.552777777775</v>
      </c>
      <c r="E930" s="52">
        <v>46037.554166666669</v>
      </c>
      <c r="F930" s="52">
        <v>46037.625</v>
      </c>
      <c r="G930" s="53">
        <f t="shared" si="55"/>
        <v>7.0833333331393078E-2</v>
      </c>
      <c r="H930" s="1" t="s">
        <v>260</v>
      </c>
      <c r="I930" s="1" t="s">
        <v>261</v>
      </c>
      <c r="J930" s="1" t="s">
        <v>262</v>
      </c>
      <c r="K930" s="1" t="s">
        <v>263</v>
      </c>
      <c r="L930" s="1" t="s">
        <v>551</v>
      </c>
      <c r="M930" s="1" t="s">
        <v>265</v>
      </c>
      <c r="N930" s="1" t="s">
        <v>266</v>
      </c>
      <c r="O930" s="1" t="s">
        <v>552</v>
      </c>
      <c r="P930" s="1" t="str">
        <f t="shared" si="56"/>
        <v>BC Turvania1.2Inverter(MBUS-14)46037,552777777846037,554166666746037,625</v>
      </c>
      <c r="Q930" s="1" t="str">
        <f t="shared" si="57"/>
        <v>LIGRFOCOM</v>
      </c>
    </row>
    <row r="931" spans="2:17">
      <c r="B931" s="1" t="s">
        <v>482</v>
      </c>
      <c r="C931" s="1" t="s">
        <v>357</v>
      </c>
      <c r="D931" s="52">
        <v>46037.552777777775</v>
      </c>
      <c r="E931" s="52">
        <v>46037.554166666669</v>
      </c>
      <c r="F931" s="52">
        <v>46037.625</v>
      </c>
      <c r="G931" s="53">
        <f t="shared" si="55"/>
        <v>7.0833333331393078E-2</v>
      </c>
      <c r="H931" s="1" t="s">
        <v>260</v>
      </c>
      <c r="I931" s="1" t="s">
        <v>261</v>
      </c>
      <c r="J931" s="1" t="s">
        <v>262</v>
      </c>
      <c r="K931" s="1" t="s">
        <v>263</v>
      </c>
      <c r="L931" s="1" t="s">
        <v>551</v>
      </c>
      <c r="M931" s="1" t="s">
        <v>265</v>
      </c>
      <c r="N931" s="1" t="s">
        <v>266</v>
      </c>
      <c r="O931" s="1" t="s">
        <v>552</v>
      </c>
      <c r="P931" s="1" t="str">
        <f t="shared" si="56"/>
        <v>BC Turvania1.2Inverter(MBUS-13)46037,552777777846037,554166666746037,625</v>
      </c>
      <c r="Q931" s="1" t="str">
        <f t="shared" si="57"/>
        <v>LIGRFOCOM</v>
      </c>
    </row>
    <row r="932" spans="2:17">
      <c r="B932" s="1" t="s">
        <v>482</v>
      </c>
      <c r="C932" s="1" t="s">
        <v>354</v>
      </c>
      <c r="D932" s="52">
        <v>46037.552777777775</v>
      </c>
      <c r="E932" s="52">
        <v>46037.554166666669</v>
      </c>
      <c r="F932" s="52">
        <v>46037.625</v>
      </c>
      <c r="G932" s="53">
        <f t="shared" si="55"/>
        <v>7.0833333331393078E-2</v>
      </c>
      <c r="H932" s="1" t="s">
        <v>260</v>
      </c>
      <c r="I932" s="1" t="s">
        <v>261</v>
      </c>
      <c r="J932" s="1" t="s">
        <v>262</v>
      </c>
      <c r="K932" s="1" t="s">
        <v>263</v>
      </c>
      <c r="L932" s="1" t="s">
        <v>551</v>
      </c>
      <c r="M932" s="1" t="s">
        <v>265</v>
      </c>
      <c r="N932" s="1" t="s">
        <v>266</v>
      </c>
      <c r="O932" s="1" t="s">
        <v>552</v>
      </c>
      <c r="P932" s="1" t="str">
        <f t="shared" si="56"/>
        <v>BC Turvania1.2Inverter(MBUS-12)46037,552777777846037,554166666746037,625</v>
      </c>
      <c r="Q932" s="1" t="str">
        <f t="shared" si="57"/>
        <v>LIGRFOCOM</v>
      </c>
    </row>
    <row r="933" spans="2:17">
      <c r="B933" s="1" t="s">
        <v>482</v>
      </c>
      <c r="C933" s="1" t="s">
        <v>359</v>
      </c>
      <c r="D933" s="52">
        <v>46037.552777777775</v>
      </c>
      <c r="E933" s="52">
        <v>46037.554166666669</v>
      </c>
      <c r="F933" s="52">
        <v>46037.625</v>
      </c>
      <c r="G933" s="53">
        <f t="shared" si="55"/>
        <v>7.0833333331393078E-2</v>
      </c>
      <c r="H933" s="1" t="s">
        <v>260</v>
      </c>
      <c r="I933" s="1" t="s">
        <v>261</v>
      </c>
      <c r="J933" s="1" t="s">
        <v>262</v>
      </c>
      <c r="K933" s="1" t="s">
        <v>263</v>
      </c>
      <c r="L933" s="1" t="s">
        <v>551</v>
      </c>
      <c r="M933" s="1" t="s">
        <v>265</v>
      </c>
      <c r="N933" s="1" t="s">
        <v>266</v>
      </c>
      <c r="O933" s="1" t="s">
        <v>552</v>
      </c>
      <c r="P933" s="1" t="str">
        <f t="shared" si="56"/>
        <v>BC Turvania1.2Inverter(MBUS-15)46037,552777777846037,554166666746037,625</v>
      </c>
      <c r="Q933" s="1" t="str">
        <f t="shared" si="57"/>
        <v>LIGRFOCOM</v>
      </c>
    </row>
    <row r="934" spans="2:17">
      <c r="B934" s="1" t="s">
        <v>482</v>
      </c>
      <c r="C934" s="1" t="s">
        <v>358</v>
      </c>
      <c r="D934" s="52">
        <v>46038.284722222219</v>
      </c>
      <c r="E934" s="52">
        <v>46038.284722222219</v>
      </c>
      <c r="F934" s="52">
        <v>46038.390972222223</v>
      </c>
      <c r="G934" s="53">
        <f t="shared" si="55"/>
        <v>0.10625000000436557</v>
      </c>
      <c r="H934" s="1" t="s">
        <v>260</v>
      </c>
      <c r="I934" s="1" t="s">
        <v>261</v>
      </c>
      <c r="J934" s="1" t="s">
        <v>262</v>
      </c>
      <c r="K934" s="1" t="s">
        <v>263</v>
      </c>
      <c r="L934" s="1" t="s">
        <v>551</v>
      </c>
      <c r="M934" s="1" t="s">
        <v>265</v>
      </c>
      <c r="N934" s="1" t="s">
        <v>266</v>
      </c>
      <c r="O934" s="1" t="s">
        <v>552</v>
      </c>
      <c r="P934" s="1" t="str">
        <f t="shared" si="56"/>
        <v>BC Turvania1.2Inverter(MBUS-14)46038,284722222246038,284722222246038,3909722222</v>
      </c>
      <c r="Q934" s="1" t="str">
        <f t="shared" si="57"/>
        <v>LIGRFOCOM</v>
      </c>
    </row>
    <row r="935" spans="2:17">
      <c r="B935" s="1" t="s">
        <v>482</v>
      </c>
      <c r="C935" s="1" t="s">
        <v>357</v>
      </c>
      <c r="D935" s="52">
        <v>46038.284722222219</v>
      </c>
      <c r="E935" s="52">
        <v>46038.284722222219</v>
      </c>
      <c r="F935" s="52">
        <v>46038.390972222223</v>
      </c>
      <c r="G935" s="53">
        <f t="shared" si="55"/>
        <v>0.10625000000436557</v>
      </c>
      <c r="H935" s="1" t="s">
        <v>260</v>
      </c>
      <c r="I935" s="1" t="s">
        <v>261</v>
      </c>
      <c r="J935" s="1" t="s">
        <v>262</v>
      </c>
      <c r="K935" s="1" t="s">
        <v>263</v>
      </c>
      <c r="L935" s="1" t="s">
        <v>551</v>
      </c>
      <c r="M935" s="1" t="s">
        <v>265</v>
      </c>
      <c r="N935" s="1" t="s">
        <v>266</v>
      </c>
      <c r="O935" s="1" t="s">
        <v>552</v>
      </c>
      <c r="P935" s="1" t="str">
        <f t="shared" si="56"/>
        <v>BC Turvania1.2Inverter(MBUS-13)46038,284722222246038,284722222246038,3909722222</v>
      </c>
      <c r="Q935" s="1" t="str">
        <f t="shared" si="57"/>
        <v>LIGRFOCOM</v>
      </c>
    </row>
    <row r="936" spans="2:17">
      <c r="B936" s="1" t="s">
        <v>482</v>
      </c>
      <c r="C936" s="1" t="s">
        <v>354</v>
      </c>
      <c r="D936" s="52">
        <v>46038.284722222219</v>
      </c>
      <c r="E936" s="52">
        <v>46038.284722222219</v>
      </c>
      <c r="F936" s="52">
        <v>46038.390972222223</v>
      </c>
      <c r="G936" s="53">
        <f t="shared" si="55"/>
        <v>0.10625000000436557</v>
      </c>
      <c r="H936" s="1" t="s">
        <v>260</v>
      </c>
      <c r="I936" s="1" t="s">
        <v>261</v>
      </c>
      <c r="J936" s="1" t="s">
        <v>262</v>
      </c>
      <c r="K936" s="1" t="s">
        <v>263</v>
      </c>
      <c r="L936" s="1" t="s">
        <v>551</v>
      </c>
      <c r="M936" s="1" t="s">
        <v>265</v>
      </c>
      <c r="N936" s="1" t="s">
        <v>266</v>
      </c>
      <c r="O936" s="1" t="s">
        <v>552</v>
      </c>
      <c r="P936" s="1" t="str">
        <f t="shared" si="56"/>
        <v>BC Turvania1.2Inverter(MBUS-12)46038,284722222246038,284722222246038,3909722222</v>
      </c>
      <c r="Q936" s="1" t="str">
        <f t="shared" si="57"/>
        <v>LIGRFOCOM</v>
      </c>
    </row>
    <row r="937" spans="2:17">
      <c r="B937" s="1" t="s">
        <v>482</v>
      </c>
      <c r="C937" s="1" t="s">
        <v>359</v>
      </c>
      <c r="D937" s="52">
        <v>46038.284722222219</v>
      </c>
      <c r="E937" s="52">
        <v>46038.284722222219</v>
      </c>
      <c r="F937" s="52">
        <v>46038.390972222223</v>
      </c>
      <c r="G937" s="53">
        <f t="shared" si="55"/>
        <v>0.10625000000436557</v>
      </c>
      <c r="H937" s="1" t="s">
        <v>260</v>
      </c>
      <c r="I937" s="1" t="s">
        <v>261</v>
      </c>
      <c r="J937" s="1" t="s">
        <v>262</v>
      </c>
      <c r="K937" s="1" t="s">
        <v>263</v>
      </c>
      <c r="L937" s="1" t="s">
        <v>551</v>
      </c>
      <c r="M937" s="1" t="s">
        <v>265</v>
      </c>
      <c r="N937" s="1" t="s">
        <v>266</v>
      </c>
      <c r="O937" s="1" t="s">
        <v>552</v>
      </c>
      <c r="P937" s="1" t="str">
        <f t="shared" si="56"/>
        <v>BC Turvania1.2Inverter(MBUS-15)46038,284722222246038,284722222246038,3909722222</v>
      </c>
      <c r="Q937" s="1" t="str">
        <f t="shared" si="57"/>
        <v>LIGRFOCOM</v>
      </c>
    </row>
    <row r="938" spans="2:17">
      <c r="B938" s="1" t="s">
        <v>553</v>
      </c>
      <c r="C938" s="1" t="s">
        <v>465</v>
      </c>
      <c r="D938" s="52">
        <v>46038.503472222219</v>
      </c>
      <c r="E938" s="52">
        <v>46038.503472222219</v>
      </c>
      <c r="F938" s="52">
        <v>46038.545138888891</v>
      </c>
      <c r="G938" s="53">
        <f t="shared" si="55"/>
        <v>4.1666666671517305E-2</v>
      </c>
      <c r="H938" s="1" t="s">
        <v>248</v>
      </c>
      <c r="J938" s="1" t="s">
        <v>300</v>
      </c>
      <c r="K938" s="1" t="s">
        <v>350</v>
      </c>
      <c r="L938" s="1" t="s">
        <v>554</v>
      </c>
      <c r="M938" s="1" t="s">
        <v>375</v>
      </c>
      <c r="N938" s="1" t="s">
        <v>266</v>
      </c>
      <c r="O938" s="1" t="s">
        <v>555</v>
      </c>
      <c r="P938" s="1" t="str">
        <f t="shared" si="56"/>
        <v>BC Varjao1.2215KTL-H0(MBUS-15)46038,503472222246038,503472222246038,5451388889</v>
      </c>
      <c r="Q938" s="1" t="str">
        <f t="shared" si="57"/>
        <v>DAUINV</v>
      </c>
    </row>
    <row r="939" spans="2:17">
      <c r="B939" s="1" t="s">
        <v>553</v>
      </c>
      <c r="C939" s="1" t="s">
        <v>466</v>
      </c>
      <c r="D939" s="52">
        <v>46038.568749999999</v>
      </c>
      <c r="E939" s="52">
        <v>46038.568749999999</v>
      </c>
      <c r="F939" s="52">
        <v>46038.652777777781</v>
      </c>
      <c r="G939" s="53">
        <f t="shared" si="55"/>
        <v>8.4027777782466728E-2</v>
      </c>
      <c r="H939" s="1" t="s">
        <v>248</v>
      </c>
      <c r="J939" s="1" t="s">
        <v>300</v>
      </c>
      <c r="K939" s="1" t="s">
        <v>350</v>
      </c>
      <c r="L939" s="1" t="s">
        <v>554</v>
      </c>
      <c r="M939" s="1" t="s">
        <v>375</v>
      </c>
      <c r="N939" s="1" t="s">
        <v>266</v>
      </c>
      <c r="O939" s="1" t="s">
        <v>555</v>
      </c>
      <c r="P939" s="1" t="str">
        <f t="shared" si="56"/>
        <v>BC Varjao1.2215KTL-H0(MBUS-16)46038,5687546038,5687546038,6527777778</v>
      </c>
      <c r="Q939" s="1" t="str">
        <f t="shared" si="57"/>
        <v>DAUINV</v>
      </c>
    </row>
    <row r="940" spans="2:17">
      <c r="B940" s="1" t="s">
        <v>553</v>
      </c>
      <c r="C940" s="1" t="s">
        <v>463</v>
      </c>
      <c r="D940" s="52">
        <v>46038.503472222219</v>
      </c>
      <c r="E940" s="52">
        <v>46038.503472222219</v>
      </c>
      <c r="F940" s="52">
        <v>46038.545138888891</v>
      </c>
      <c r="G940" s="53">
        <f t="shared" si="55"/>
        <v>4.1666666671517305E-2</v>
      </c>
      <c r="H940" s="1" t="s">
        <v>248</v>
      </c>
      <c r="J940" s="1" t="s">
        <v>300</v>
      </c>
      <c r="K940" s="1" t="s">
        <v>350</v>
      </c>
      <c r="L940" s="1" t="s">
        <v>554</v>
      </c>
      <c r="M940" s="1" t="s">
        <v>375</v>
      </c>
      <c r="N940" s="1" t="s">
        <v>266</v>
      </c>
      <c r="O940" s="1" t="s">
        <v>555</v>
      </c>
      <c r="P940" s="1" t="str">
        <f t="shared" si="56"/>
        <v>BC Varjao1.2215KTL-H0(MBUS-13)46038,503472222246038,503472222246038,5451388889</v>
      </c>
      <c r="Q940" s="1" t="str">
        <f t="shared" si="57"/>
        <v>DAUINV</v>
      </c>
    </row>
    <row r="941" spans="2:17">
      <c r="B941" s="73" t="s">
        <v>556</v>
      </c>
      <c r="C941" s="1" t="s">
        <v>557</v>
      </c>
      <c r="D941" s="52">
        <v>46023.359027777777</v>
      </c>
      <c r="E941" s="52">
        <v>46023.359027777777</v>
      </c>
      <c r="F941" s="52">
        <v>46036.479166666664</v>
      </c>
      <c r="G941" s="53">
        <f t="shared" si="55"/>
        <v>13.120138888887595</v>
      </c>
      <c r="H941" s="1" t="s">
        <v>248</v>
      </c>
      <c r="J941" s="1" t="s">
        <v>300</v>
      </c>
      <c r="K941" s="1" t="s">
        <v>350</v>
      </c>
      <c r="L941" s="1" t="s">
        <v>558</v>
      </c>
      <c r="M941" s="1" t="s">
        <v>375</v>
      </c>
      <c r="N941" s="1" t="s">
        <v>266</v>
      </c>
      <c r="O941" s="73" t="s">
        <v>559</v>
      </c>
      <c r="P941" s="1" t="str">
        <f t="shared" si="56"/>
        <v>BC Vazante 1.1Inverter1346023,359027777846023,359027777846036,4791666667</v>
      </c>
      <c r="Q941" s="1" t="str">
        <f t="shared" si="57"/>
        <v>DAUINV</v>
      </c>
    </row>
    <row r="942" spans="2:17">
      <c r="B942" s="1" t="s">
        <v>423</v>
      </c>
      <c r="C942" s="1" t="s">
        <v>358</v>
      </c>
      <c r="D942" s="52">
        <v>46041.459722222222</v>
      </c>
      <c r="E942" s="52">
        <v>46041.459722222222</v>
      </c>
      <c r="F942" s="52">
        <v>46041.46875</v>
      </c>
      <c r="G942" s="53">
        <f t="shared" si="55"/>
        <v>9.0277777781011537E-3</v>
      </c>
      <c r="H942" s="1" t="s">
        <v>343</v>
      </c>
      <c r="I942" s="1" t="s">
        <v>560</v>
      </c>
      <c r="J942" s="1" t="s">
        <v>300</v>
      </c>
      <c r="K942" s="1" t="s">
        <v>350</v>
      </c>
      <c r="L942" s="1" t="s">
        <v>561</v>
      </c>
      <c r="M942" s="1" t="s">
        <v>375</v>
      </c>
      <c r="N942" s="1" t="s">
        <v>266</v>
      </c>
      <c r="O942" s="1" t="s">
        <v>562</v>
      </c>
      <c r="P942" s="1" t="str">
        <f t="shared" si="56"/>
        <v>BC Formoso2.1Inverter(MBUS-14)46041,459722222246041,459722222246041,46875</v>
      </c>
      <c r="Q942" s="1" t="str">
        <f t="shared" si="57"/>
        <v>DPROEMINV</v>
      </c>
    </row>
    <row r="943" spans="2:17">
      <c r="B943" s="1" t="s">
        <v>327</v>
      </c>
      <c r="C943" s="1" t="s">
        <v>328</v>
      </c>
      <c r="D943" s="52">
        <v>46041.545138888891</v>
      </c>
      <c r="E943" s="52">
        <v>46041.545138888891</v>
      </c>
      <c r="F943" s="52">
        <v>46041.550694444442</v>
      </c>
      <c r="G943" s="53">
        <f t="shared" si="55"/>
        <v>5.5555555518367328E-3</v>
      </c>
      <c r="H943" s="1" t="s">
        <v>248</v>
      </c>
      <c r="J943" s="1" t="s">
        <v>249</v>
      </c>
      <c r="K943" s="1" t="s">
        <v>349</v>
      </c>
      <c r="L943" s="1" t="s">
        <v>329</v>
      </c>
      <c r="M943" s="1" t="s">
        <v>251</v>
      </c>
      <c r="N943" s="1" t="s">
        <v>252</v>
      </c>
      <c r="O943" s="1" t="s">
        <v>563</v>
      </c>
      <c r="P943" s="1" t="str">
        <f t="shared" si="56"/>
        <v>BC Aracu5.1Inverter(MBUS-1)46041,545138888946041,545138888946041,5506944444</v>
      </c>
      <c r="Q943" s="1" t="str">
        <f t="shared" si="57"/>
        <v>DAURDE</v>
      </c>
    </row>
    <row r="944" spans="2:17">
      <c r="B944" s="1" t="s">
        <v>332</v>
      </c>
      <c r="C944" s="1" t="s">
        <v>328</v>
      </c>
      <c r="D944" s="52">
        <v>46041.545138888891</v>
      </c>
      <c r="E944" s="52">
        <v>46041.545138888891</v>
      </c>
      <c r="F944" s="52">
        <v>46041.550694444442</v>
      </c>
      <c r="G944" s="53">
        <f t="shared" si="55"/>
        <v>5.5555555518367328E-3</v>
      </c>
      <c r="H944" s="1" t="s">
        <v>248</v>
      </c>
      <c r="J944" s="1" t="s">
        <v>249</v>
      </c>
      <c r="K944" s="1" t="s">
        <v>349</v>
      </c>
      <c r="L944" s="1" t="s">
        <v>329</v>
      </c>
      <c r="M944" s="1" t="s">
        <v>251</v>
      </c>
      <c r="N944" s="1" t="s">
        <v>252</v>
      </c>
      <c r="O944" s="1" t="s">
        <v>563</v>
      </c>
      <c r="P944" s="1" t="str">
        <f t="shared" si="56"/>
        <v>BC Aracu5.2Inverter(MBUS-1)46041,545138888946041,545138888946041,5506944444</v>
      </c>
      <c r="Q944" s="1" t="str">
        <f t="shared" si="57"/>
        <v>DAURDE</v>
      </c>
    </row>
    <row r="945" spans="2:17">
      <c r="B945" s="1" t="s">
        <v>333</v>
      </c>
      <c r="C945" s="1" t="s">
        <v>328</v>
      </c>
      <c r="D945" s="52">
        <v>46041.545138888891</v>
      </c>
      <c r="E945" s="52">
        <v>46041.545138888891</v>
      </c>
      <c r="F945" s="52">
        <v>46041.550694444442</v>
      </c>
      <c r="G945" s="53">
        <f t="shared" si="55"/>
        <v>5.5555555518367328E-3</v>
      </c>
      <c r="H945" s="1" t="s">
        <v>248</v>
      </c>
      <c r="J945" s="1" t="s">
        <v>249</v>
      </c>
      <c r="K945" s="1" t="s">
        <v>349</v>
      </c>
      <c r="L945" s="1" t="s">
        <v>329</v>
      </c>
      <c r="M945" s="1" t="s">
        <v>251</v>
      </c>
      <c r="N945" s="1" t="s">
        <v>252</v>
      </c>
      <c r="O945" s="1" t="s">
        <v>563</v>
      </c>
      <c r="P945" s="1" t="str">
        <f t="shared" si="56"/>
        <v>BC Aracu5.3Inverter(MBUS-1)46041,545138888946041,545138888946041,5506944444</v>
      </c>
      <c r="Q945" s="1" t="str">
        <f t="shared" si="57"/>
        <v>DAURDE</v>
      </c>
    </row>
    <row r="946" spans="2:17">
      <c r="B946" s="1" t="s">
        <v>334</v>
      </c>
      <c r="C946" s="1" t="s">
        <v>328</v>
      </c>
      <c r="D946" s="52">
        <v>46041.545138888891</v>
      </c>
      <c r="E946" s="52">
        <v>46041.545138888891</v>
      </c>
      <c r="F946" s="52">
        <v>46041.550694444442</v>
      </c>
      <c r="G946" s="53">
        <f t="shared" si="55"/>
        <v>5.5555555518367328E-3</v>
      </c>
      <c r="H946" s="1" t="s">
        <v>248</v>
      </c>
      <c r="J946" s="1" t="s">
        <v>249</v>
      </c>
      <c r="K946" s="1" t="s">
        <v>349</v>
      </c>
      <c r="L946" s="1" t="s">
        <v>329</v>
      </c>
      <c r="M946" s="1" t="s">
        <v>251</v>
      </c>
      <c r="N946" s="1" t="s">
        <v>252</v>
      </c>
      <c r="O946" s="1" t="s">
        <v>563</v>
      </c>
      <c r="P946" s="1" t="str">
        <f t="shared" si="56"/>
        <v>BC Aracu5.4Inverter(MBUS-1)46041,545138888946041,545138888946041,5506944444</v>
      </c>
      <c r="Q946" s="1" t="str">
        <f t="shared" si="57"/>
        <v>DAURDE</v>
      </c>
    </row>
    <row r="947" spans="2:17">
      <c r="B947" s="1" t="s">
        <v>335</v>
      </c>
      <c r="C947" s="1" t="s">
        <v>328</v>
      </c>
      <c r="D947" s="52">
        <v>46041.545138888891</v>
      </c>
      <c r="E947" s="52">
        <v>46041.545138888891</v>
      </c>
      <c r="F947" s="52">
        <v>46041.550694444442</v>
      </c>
      <c r="G947" s="53">
        <f t="shared" si="55"/>
        <v>5.5555555518367328E-3</v>
      </c>
      <c r="H947" s="1" t="s">
        <v>248</v>
      </c>
      <c r="J947" s="1" t="s">
        <v>249</v>
      </c>
      <c r="K947" s="1" t="s">
        <v>349</v>
      </c>
      <c r="L947" s="1" t="s">
        <v>329</v>
      </c>
      <c r="M947" s="1" t="s">
        <v>251</v>
      </c>
      <c r="N947" s="1" t="s">
        <v>252</v>
      </c>
      <c r="O947" s="1" t="s">
        <v>563</v>
      </c>
      <c r="P947" s="1" t="str">
        <f t="shared" si="56"/>
        <v>BC Aracu5.5Inverter(MBUS-1)46041,545138888946041,545138888946041,5506944444</v>
      </c>
      <c r="Q947" s="1" t="str">
        <f t="shared" si="57"/>
        <v>DAURDE</v>
      </c>
    </row>
    <row r="948" spans="2:17">
      <c r="B948" s="1" t="s">
        <v>459</v>
      </c>
      <c r="C948" s="1" t="s">
        <v>460</v>
      </c>
      <c r="D948" s="52">
        <v>46041.703472222223</v>
      </c>
      <c r="E948" s="52">
        <v>46041.703472222223</v>
      </c>
      <c r="F948" s="52">
        <v>46041.708333333336</v>
      </c>
      <c r="G948" s="53">
        <f t="shared" si="55"/>
        <v>4.8611111124046147E-3</v>
      </c>
      <c r="H948" s="1" t="s">
        <v>260</v>
      </c>
      <c r="I948" s="1" t="s">
        <v>261</v>
      </c>
      <c r="J948" s="1" t="s">
        <v>262</v>
      </c>
      <c r="K948" s="1" t="s">
        <v>263</v>
      </c>
      <c r="L948" s="1" t="s">
        <v>564</v>
      </c>
      <c r="M948" s="1" t="s">
        <v>265</v>
      </c>
      <c r="N948" s="1" t="s">
        <v>266</v>
      </c>
      <c r="O948" s="1" t="s">
        <v>565</v>
      </c>
      <c r="P948" s="1" t="str">
        <f t="shared" si="56"/>
        <v>BC Varjao2.1215KTL-H0(MBUS-12)46041,703472222246041,703472222246041,7083333333</v>
      </c>
      <c r="Q948" s="1" t="str">
        <f t="shared" si="57"/>
        <v>LIGRFOCOM</v>
      </c>
    </row>
    <row r="949" spans="2:17">
      <c r="B949" s="1" t="s">
        <v>459</v>
      </c>
      <c r="C949" s="1" t="s">
        <v>463</v>
      </c>
      <c r="D949" s="52">
        <v>46041.703472222223</v>
      </c>
      <c r="E949" s="52">
        <v>46041.703472222223</v>
      </c>
      <c r="F949" s="52">
        <v>46041.708333333336</v>
      </c>
      <c r="G949" s="53">
        <f t="shared" si="55"/>
        <v>4.8611111124046147E-3</v>
      </c>
      <c r="H949" s="1" t="s">
        <v>260</v>
      </c>
      <c r="I949" s="1" t="s">
        <v>261</v>
      </c>
      <c r="J949" s="1" t="s">
        <v>262</v>
      </c>
      <c r="K949" s="1" t="s">
        <v>263</v>
      </c>
      <c r="L949" s="1" t="s">
        <v>564</v>
      </c>
      <c r="M949" s="1" t="s">
        <v>265</v>
      </c>
      <c r="N949" s="1" t="s">
        <v>266</v>
      </c>
      <c r="O949" s="1" t="s">
        <v>565</v>
      </c>
      <c r="P949" s="1" t="str">
        <f t="shared" si="56"/>
        <v>BC Varjao2.1215KTL-H0(MBUS-13)46041,703472222246041,703472222246041,7083333333</v>
      </c>
      <c r="Q949" s="1" t="str">
        <f t="shared" si="57"/>
        <v>LIGRFOCOM</v>
      </c>
    </row>
    <row r="950" spans="2:17">
      <c r="B950" s="1" t="s">
        <v>459</v>
      </c>
      <c r="C950" s="1" t="s">
        <v>464</v>
      </c>
      <c r="D950" s="52">
        <v>46041.703472222223</v>
      </c>
      <c r="E950" s="52">
        <v>46041.703472222223</v>
      </c>
      <c r="F950" s="52">
        <v>46041.708333333336</v>
      </c>
      <c r="G950" s="53">
        <f t="shared" si="55"/>
        <v>4.8611111124046147E-3</v>
      </c>
      <c r="H950" s="1" t="s">
        <v>260</v>
      </c>
      <c r="I950" s="1" t="s">
        <v>261</v>
      </c>
      <c r="J950" s="1" t="s">
        <v>262</v>
      </c>
      <c r="K950" s="1" t="s">
        <v>263</v>
      </c>
      <c r="L950" s="1" t="s">
        <v>564</v>
      </c>
      <c r="M950" s="1" t="s">
        <v>265</v>
      </c>
      <c r="N950" s="1" t="s">
        <v>266</v>
      </c>
      <c r="O950" s="1" t="s">
        <v>565</v>
      </c>
      <c r="P950" s="1" t="str">
        <f t="shared" si="56"/>
        <v>BC Varjao2.1215KTL-H0(MBUS-14)46041,703472222246041,703472222246041,7083333333</v>
      </c>
      <c r="Q950" s="1" t="str">
        <f t="shared" si="57"/>
        <v>LIGRFOCOM</v>
      </c>
    </row>
    <row r="951" spans="2:17">
      <c r="B951" s="1" t="s">
        <v>459</v>
      </c>
      <c r="C951" s="1" t="s">
        <v>465</v>
      </c>
      <c r="D951" s="52">
        <v>46041.703472222223</v>
      </c>
      <c r="E951" s="52">
        <v>46041.703472222223</v>
      </c>
      <c r="F951" s="52">
        <v>46041.708333333336</v>
      </c>
      <c r="G951" s="53">
        <f t="shared" si="55"/>
        <v>4.8611111124046147E-3</v>
      </c>
      <c r="H951" s="1" t="s">
        <v>260</v>
      </c>
      <c r="I951" s="1" t="s">
        <v>261</v>
      </c>
      <c r="J951" s="1" t="s">
        <v>262</v>
      </c>
      <c r="K951" s="1" t="s">
        <v>263</v>
      </c>
      <c r="L951" s="1" t="s">
        <v>564</v>
      </c>
      <c r="M951" s="1" t="s">
        <v>265</v>
      </c>
      <c r="N951" s="1" t="s">
        <v>266</v>
      </c>
      <c r="O951" s="1" t="s">
        <v>565</v>
      </c>
      <c r="P951" s="1" t="str">
        <f t="shared" si="56"/>
        <v>BC Varjao2.1215KTL-H0(MBUS-15)46041,703472222246041,703472222246041,7083333333</v>
      </c>
      <c r="Q951" s="1" t="str">
        <f t="shared" si="57"/>
        <v>LIGRFOCOM</v>
      </c>
    </row>
    <row r="952" spans="2:17">
      <c r="B952" s="1" t="s">
        <v>459</v>
      </c>
      <c r="C952" s="1" t="s">
        <v>466</v>
      </c>
      <c r="D952" s="52">
        <v>46041.703472222223</v>
      </c>
      <c r="E952" s="52">
        <v>46041.703472222223</v>
      </c>
      <c r="F952" s="52">
        <v>46041.708333333336</v>
      </c>
      <c r="G952" s="53">
        <f t="shared" si="55"/>
        <v>4.8611111124046147E-3</v>
      </c>
      <c r="H952" s="1" t="s">
        <v>260</v>
      </c>
      <c r="I952" s="1" t="s">
        <v>261</v>
      </c>
      <c r="J952" s="1" t="s">
        <v>262</v>
      </c>
      <c r="K952" s="1" t="s">
        <v>263</v>
      </c>
      <c r="L952" s="1" t="s">
        <v>564</v>
      </c>
      <c r="M952" s="1" t="s">
        <v>265</v>
      </c>
      <c r="N952" s="1" t="s">
        <v>266</v>
      </c>
      <c r="O952" s="1" t="s">
        <v>565</v>
      </c>
      <c r="P952" s="1" t="str">
        <f t="shared" si="56"/>
        <v>BC Varjao2.1215KTL-H0(MBUS-16)46041,703472222246041,703472222246041,7083333333</v>
      </c>
      <c r="Q952" s="1" t="str">
        <f t="shared" si="57"/>
        <v>LIGRFOCOM</v>
      </c>
    </row>
    <row r="953" spans="2:17">
      <c r="B953" s="1" t="s">
        <v>467</v>
      </c>
      <c r="C953" s="1" t="s">
        <v>463</v>
      </c>
      <c r="D953" s="52">
        <v>46041.703472222223</v>
      </c>
      <c r="E953" s="52">
        <v>46041.703472222223</v>
      </c>
      <c r="F953" s="52">
        <v>46041.708333333336</v>
      </c>
      <c r="G953" s="53">
        <f t="shared" ref="G953:G1016" si="58">F953-E953</f>
        <v>4.8611111124046147E-3</v>
      </c>
      <c r="H953" s="1" t="s">
        <v>260</v>
      </c>
      <c r="I953" s="1" t="s">
        <v>261</v>
      </c>
      <c r="J953" s="1" t="s">
        <v>262</v>
      </c>
      <c r="K953" s="1" t="s">
        <v>263</v>
      </c>
      <c r="L953" s="1" t="s">
        <v>564</v>
      </c>
      <c r="M953" s="1" t="s">
        <v>265</v>
      </c>
      <c r="N953" s="1" t="s">
        <v>266</v>
      </c>
      <c r="O953" s="1" t="s">
        <v>565</v>
      </c>
      <c r="P953" s="1" t="str">
        <f t="shared" si="56"/>
        <v>BC Varjao2.2215KTL-H0(MBUS-13)46041,703472222246041,703472222246041,7083333333</v>
      </c>
      <c r="Q953" s="1" t="str">
        <f t="shared" si="57"/>
        <v>LIGRFOCOM</v>
      </c>
    </row>
    <row r="954" spans="2:17">
      <c r="B954" s="1" t="s">
        <v>467</v>
      </c>
      <c r="C954" s="1" t="s">
        <v>464</v>
      </c>
      <c r="D954" s="52">
        <v>46041.703472222223</v>
      </c>
      <c r="E954" s="52">
        <v>46041.703472222223</v>
      </c>
      <c r="F954" s="52">
        <v>46041.708333333336</v>
      </c>
      <c r="G954" s="53">
        <f t="shared" si="58"/>
        <v>4.8611111124046147E-3</v>
      </c>
      <c r="H954" s="1" t="s">
        <v>260</v>
      </c>
      <c r="I954" s="1" t="s">
        <v>261</v>
      </c>
      <c r="J954" s="1" t="s">
        <v>262</v>
      </c>
      <c r="K954" s="1" t="s">
        <v>263</v>
      </c>
      <c r="L954" s="1" t="s">
        <v>564</v>
      </c>
      <c r="M954" s="1" t="s">
        <v>265</v>
      </c>
      <c r="N954" s="1" t="s">
        <v>266</v>
      </c>
      <c r="O954" s="1" t="s">
        <v>565</v>
      </c>
      <c r="P954" s="1" t="str">
        <f t="shared" si="56"/>
        <v>BC Varjao2.2215KTL-H0(MBUS-14)46041,703472222246041,703472222246041,7083333333</v>
      </c>
      <c r="Q954" s="1" t="str">
        <f t="shared" si="57"/>
        <v>LIGRFOCOM</v>
      </c>
    </row>
    <row r="955" spans="2:17">
      <c r="B955" s="1" t="s">
        <v>467</v>
      </c>
      <c r="C955" s="1" t="s">
        <v>465</v>
      </c>
      <c r="D955" s="52">
        <v>46041.703472222223</v>
      </c>
      <c r="E955" s="52">
        <v>46041.703472222223</v>
      </c>
      <c r="F955" s="52">
        <v>46041.708333333336</v>
      </c>
      <c r="G955" s="53">
        <f t="shared" si="58"/>
        <v>4.8611111124046147E-3</v>
      </c>
      <c r="H955" s="1" t="s">
        <v>260</v>
      </c>
      <c r="I955" s="1" t="s">
        <v>261</v>
      </c>
      <c r="J955" s="1" t="s">
        <v>262</v>
      </c>
      <c r="K955" s="1" t="s">
        <v>263</v>
      </c>
      <c r="L955" s="1" t="s">
        <v>564</v>
      </c>
      <c r="M955" s="1" t="s">
        <v>265</v>
      </c>
      <c r="N955" s="1" t="s">
        <v>266</v>
      </c>
      <c r="O955" s="1" t="s">
        <v>565</v>
      </c>
      <c r="P955" s="1" t="str">
        <f t="shared" si="56"/>
        <v>BC Varjao2.2215KTL-H0(MBUS-15)46041,703472222246041,703472222246041,7083333333</v>
      </c>
      <c r="Q955" s="1" t="str">
        <f t="shared" si="57"/>
        <v>LIGRFOCOM</v>
      </c>
    </row>
    <row r="956" spans="2:17">
      <c r="B956" s="1" t="s">
        <v>467</v>
      </c>
      <c r="C956" s="1" t="s">
        <v>466</v>
      </c>
      <c r="D956" s="52">
        <v>46041.703472222223</v>
      </c>
      <c r="E956" s="52">
        <v>46041.703472222223</v>
      </c>
      <c r="F956" s="52">
        <v>46041.708333333336</v>
      </c>
      <c r="G956" s="53">
        <f t="shared" si="58"/>
        <v>4.8611111124046147E-3</v>
      </c>
      <c r="H956" s="1" t="s">
        <v>260</v>
      </c>
      <c r="I956" s="1" t="s">
        <v>261</v>
      </c>
      <c r="J956" s="1" t="s">
        <v>262</v>
      </c>
      <c r="K956" s="1" t="s">
        <v>263</v>
      </c>
      <c r="L956" s="1" t="s">
        <v>564</v>
      </c>
      <c r="M956" s="1" t="s">
        <v>265</v>
      </c>
      <c r="N956" s="1" t="s">
        <v>266</v>
      </c>
      <c r="O956" s="1" t="s">
        <v>565</v>
      </c>
      <c r="P956" s="1" t="str">
        <f t="shared" si="56"/>
        <v>BC Varjao2.2215KTL-H0(MBUS-16)46041,703472222246041,703472222246041,7083333333</v>
      </c>
      <c r="Q956" s="1" t="str">
        <f t="shared" si="57"/>
        <v>LIGRFOCOM</v>
      </c>
    </row>
    <row r="957" spans="2:17">
      <c r="B957" s="1" t="s">
        <v>467</v>
      </c>
      <c r="C957" s="1" t="s">
        <v>460</v>
      </c>
      <c r="D957" s="52">
        <v>46041.703472222223</v>
      </c>
      <c r="E957" s="52">
        <v>46041.703472222223</v>
      </c>
      <c r="F957" s="52">
        <v>46041.708333333336</v>
      </c>
      <c r="G957" s="53">
        <f t="shared" si="58"/>
        <v>4.8611111124046147E-3</v>
      </c>
      <c r="H957" s="1" t="s">
        <v>260</v>
      </c>
      <c r="I957" s="1" t="s">
        <v>261</v>
      </c>
      <c r="J957" s="1" t="s">
        <v>262</v>
      </c>
      <c r="K957" s="1" t="s">
        <v>263</v>
      </c>
      <c r="L957" s="1" t="s">
        <v>564</v>
      </c>
      <c r="M957" s="1" t="s">
        <v>265</v>
      </c>
      <c r="N957" s="1" t="s">
        <v>266</v>
      </c>
      <c r="O957" s="1" t="s">
        <v>565</v>
      </c>
      <c r="P957" s="1" t="str">
        <f t="shared" si="56"/>
        <v>BC Varjao2.2215KTL-H0(MBUS-12)46041,703472222246041,703472222246041,7083333333</v>
      </c>
      <c r="Q957" s="1" t="str">
        <f t="shared" si="57"/>
        <v>LIGRFOCOM</v>
      </c>
    </row>
    <row r="958" spans="2:17">
      <c r="B958" s="1" t="s">
        <v>566</v>
      </c>
      <c r="C958" s="1" t="s">
        <v>567</v>
      </c>
      <c r="D958" s="52">
        <v>46042.017361111109</v>
      </c>
      <c r="E958" s="52">
        <v>46042.017361111109</v>
      </c>
      <c r="F958" s="52">
        <v>46042.263194444444</v>
      </c>
      <c r="G958" s="53">
        <f t="shared" si="58"/>
        <v>0.24583333333430346</v>
      </c>
      <c r="H958" s="1" t="s">
        <v>248</v>
      </c>
      <c r="J958" s="1" t="s">
        <v>249</v>
      </c>
      <c r="K958" s="1" t="s">
        <v>349</v>
      </c>
      <c r="L958" s="1" t="s">
        <v>329</v>
      </c>
      <c r="M958" s="1" t="s">
        <v>251</v>
      </c>
      <c r="N958" s="1" t="s">
        <v>252</v>
      </c>
      <c r="O958" s="1" t="s">
        <v>563</v>
      </c>
      <c r="P958" s="1" t="str">
        <f t="shared" si="56"/>
        <v>BC Aracu4SG75CX(COM1-018)_001_01846042,017361111146042,017361111146042,2631944444</v>
      </c>
      <c r="Q958" s="1" t="str">
        <f t="shared" si="57"/>
        <v>DAURDE</v>
      </c>
    </row>
    <row r="959" spans="2:17">
      <c r="B959" s="1" t="s">
        <v>566</v>
      </c>
      <c r="C959" s="1" t="s">
        <v>568</v>
      </c>
      <c r="D959" s="52">
        <v>46042.017361111109</v>
      </c>
      <c r="E959" s="52">
        <v>46042.017361111109</v>
      </c>
      <c r="F959" s="52">
        <v>46042.263194444444</v>
      </c>
      <c r="G959" s="53">
        <f t="shared" si="58"/>
        <v>0.24583333333430346</v>
      </c>
      <c r="H959" s="1" t="s">
        <v>248</v>
      </c>
      <c r="J959" s="1" t="s">
        <v>249</v>
      </c>
      <c r="K959" s="1" t="s">
        <v>349</v>
      </c>
      <c r="L959" s="1" t="s">
        <v>329</v>
      </c>
      <c r="M959" s="1" t="s">
        <v>251</v>
      </c>
      <c r="N959" s="1" t="s">
        <v>252</v>
      </c>
      <c r="O959" s="1" t="s">
        <v>563</v>
      </c>
      <c r="P959" s="1" t="str">
        <f t="shared" si="56"/>
        <v>BC Aracu4SG75CX(COM1-019)_001_01946042,017361111146042,017361111146042,2631944444</v>
      </c>
      <c r="Q959" s="1" t="str">
        <f t="shared" si="57"/>
        <v>DAURDE</v>
      </c>
    </row>
    <row r="960" spans="2:17">
      <c r="B960" s="1" t="s">
        <v>566</v>
      </c>
      <c r="C960" s="1" t="s">
        <v>569</v>
      </c>
      <c r="D960" s="52">
        <v>46042.017361111109</v>
      </c>
      <c r="E960" s="52">
        <v>46042.017361111109</v>
      </c>
      <c r="F960" s="52">
        <v>46042.263194444444</v>
      </c>
      <c r="G960" s="53">
        <f t="shared" si="58"/>
        <v>0.24583333333430346</v>
      </c>
      <c r="H960" s="1" t="s">
        <v>248</v>
      </c>
      <c r="J960" s="1" t="s">
        <v>249</v>
      </c>
      <c r="K960" s="1" t="s">
        <v>349</v>
      </c>
      <c r="L960" s="1" t="s">
        <v>329</v>
      </c>
      <c r="M960" s="1" t="s">
        <v>251</v>
      </c>
      <c r="N960" s="1" t="s">
        <v>252</v>
      </c>
      <c r="O960" s="1" t="s">
        <v>563</v>
      </c>
      <c r="P960" s="1" t="str">
        <f t="shared" si="56"/>
        <v>BC Aracu4SG75CX(COM1-020)_001_02046042,017361111146042,017361111146042,2631944444</v>
      </c>
      <c r="Q960" s="1" t="str">
        <f t="shared" si="57"/>
        <v>DAURDE</v>
      </c>
    </row>
    <row r="961" spans="2:17">
      <c r="B961" s="1" t="s">
        <v>566</v>
      </c>
      <c r="C961" s="1" t="s">
        <v>570</v>
      </c>
      <c r="D961" s="52">
        <v>46042.017361111109</v>
      </c>
      <c r="E961" s="52">
        <v>46042.017361111109</v>
      </c>
      <c r="F961" s="52">
        <v>46042.263194444444</v>
      </c>
      <c r="G961" s="53">
        <f t="shared" si="58"/>
        <v>0.24583333333430346</v>
      </c>
      <c r="H961" s="1" t="s">
        <v>248</v>
      </c>
      <c r="J961" s="1" t="s">
        <v>249</v>
      </c>
      <c r="K961" s="1" t="s">
        <v>349</v>
      </c>
      <c r="L961" s="1" t="s">
        <v>329</v>
      </c>
      <c r="M961" s="1" t="s">
        <v>251</v>
      </c>
      <c r="N961" s="1" t="s">
        <v>252</v>
      </c>
      <c r="O961" s="1" t="s">
        <v>563</v>
      </c>
      <c r="P961" s="1" t="str">
        <f t="shared" si="56"/>
        <v>BC Aracu4SG75CX(COM1-021)_001_02146042,017361111146042,017361111146042,2631944444</v>
      </c>
      <c r="Q961" s="1" t="str">
        <f t="shared" si="57"/>
        <v>DAURDE</v>
      </c>
    </row>
    <row r="962" spans="2:17">
      <c r="B962" s="1" t="s">
        <v>327</v>
      </c>
      <c r="C962" s="1" t="s">
        <v>328</v>
      </c>
      <c r="D962" s="52">
        <v>46042.017361111109</v>
      </c>
      <c r="E962" s="52">
        <v>46042.017361111109</v>
      </c>
      <c r="F962" s="52">
        <v>46042.263194444444</v>
      </c>
      <c r="G962" s="53">
        <f t="shared" si="58"/>
        <v>0.24583333333430346</v>
      </c>
      <c r="H962" s="1" t="s">
        <v>248</v>
      </c>
      <c r="J962" s="1" t="s">
        <v>249</v>
      </c>
      <c r="K962" s="1" t="s">
        <v>349</v>
      </c>
      <c r="L962" s="1" t="s">
        <v>329</v>
      </c>
      <c r="M962" s="1" t="s">
        <v>251</v>
      </c>
      <c r="N962" s="1" t="s">
        <v>252</v>
      </c>
      <c r="O962" s="1" t="s">
        <v>563</v>
      </c>
      <c r="P962" s="1" t="str">
        <f t="shared" si="56"/>
        <v>BC Aracu5.1Inverter(MBUS-1)46042,017361111146042,017361111146042,2631944444</v>
      </c>
      <c r="Q962" s="1" t="str">
        <f t="shared" si="57"/>
        <v>DAURDE</v>
      </c>
    </row>
    <row r="963" spans="2:17">
      <c r="B963" s="1" t="s">
        <v>332</v>
      </c>
      <c r="C963" s="1" t="s">
        <v>328</v>
      </c>
      <c r="D963" s="52">
        <v>46042.017361111109</v>
      </c>
      <c r="E963" s="52">
        <v>46042.017361111109</v>
      </c>
      <c r="F963" s="52">
        <v>46042.263194444444</v>
      </c>
      <c r="G963" s="53">
        <f t="shared" si="58"/>
        <v>0.24583333333430346</v>
      </c>
      <c r="H963" s="1" t="s">
        <v>248</v>
      </c>
      <c r="J963" s="1" t="s">
        <v>249</v>
      </c>
      <c r="K963" s="1" t="s">
        <v>349</v>
      </c>
      <c r="L963" s="1" t="s">
        <v>329</v>
      </c>
      <c r="M963" s="1" t="s">
        <v>251</v>
      </c>
      <c r="N963" s="1" t="s">
        <v>252</v>
      </c>
      <c r="O963" s="1" t="s">
        <v>563</v>
      </c>
      <c r="P963" s="1" t="str">
        <f t="shared" si="56"/>
        <v>BC Aracu5.2Inverter(MBUS-1)46042,017361111146042,017361111146042,2631944444</v>
      </c>
      <c r="Q963" s="1" t="str">
        <f t="shared" ref="Q963:Q994" si="59">_xlfn.CONCAT(H963,I963,J963)</f>
        <v>DAURDE</v>
      </c>
    </row>
    <row r="964" spans="2:17">
      <c r="B964" s="1" t="s">
        <v>333</v>
      </c>
      <c r="C964" s="1" t="s">
        <v>328</v>
      </c>
      <c r="D964" s="52">
        <v>46042.017361111109</v>
      </c>
      <c r="E964" s="52">
        <v>46042.017361111109</v>
      </c>
      <c r="F964" s="52">
        <v>46042.263194444444</v>
      </c>
      <c r="G964" s="53">
        <f t="shared" si="58"/>
        <v>0.24583333333430346</v>
      </c>
      <c r="H964" s="1" t="s">
        <v>248</v>
      </c>
      <c r="J964" s="1" t="s">
        <v>249</v>
      </c>
      <c r="K964" s="1" t="s">
        <v>349</v>
      </c>
      <c r="L964" s="1" t="s">
        <v>329</v>
      </c>
      <c r="M964" s="1" t="s">
        <v>251</v>
      </c>
      <c r="N964" s="1" t="s">
        <v>252</v>
      </c>
      <c r="O964" s="1" t="s">
        <v>563</v>
      </c>
      <c r="P964" s="1" t="str">
        <f t="shared" si="56"/>
        <v>BC Aracu5.3Inverter(MBUS-1)46042,017361111146042,017361111146042,2631944444</v>
      </c>
      <c r="Q964" s="1" t="str">
        <f t="shared" si="59"/>
        <v>DAURDE</v>
      </c>
    </row>
    <row r="965" spans="2:17">
      <c r="B965" s="1" t="s">
        <v>334</v>
      </c>
      <c r="C965" s="1" t="s">
        <v>328</v>
      </c>
      <c r="D965" s="52">
        <v>46042.017361111109</v>
      </c>
      <c r="E965" s="52">
        <v>46042.017361111109</v>
      </c>
      <c r="F965" s="52">
        <v>46042.263194444444</v>
      </c>
      <c r="G965" s="53">
        <f t="shared" si="58"/>
        <v>0.24583333333430346</v>
      </c>
      <c r="H965" s="1" t="s">
        <v>248</v>
      </c>
      <c r="J965" s="1" t="s">
        <v>249</v>
      </c>
      <c r="K965" s="1" t="s">
        <v>349</v>
      </c>
      <c r="L965" s="1" t="s">
        <v>329</v>
      </c>
      <c r="M965" s="1" t="s">
        <v>251</v>
      </c>
      <c r="N965" s="1" t="s">
        <v>252</v>
      </c>
      <c r="O965" s="1" t="s">
        <v>563</v>
      </c>
      <c r="P965" s="1" t="str">
        <f t="shared" si="56"/>
        <v>BC Aracu5.4Inverter(MBUS-1)46042,017361111146042,017361111146042,2631944444</v>
      </c>
      <c r="Q965" s="1" t="str">
        <f t="shared" si="59"/>
        <v>DAURDE</v>
      </c>
    </row>
    <row r="966" spans="2:17">
      <c r="B966" s="1" t="s">
        <v>335</v>
      </c>
      <c r="C966" s="1" t="s">
        <v>328</v>
      </c>
      <c r="D966" s="52">
        <v>46042.017361111109</v>
      </c>
      <c r="E966" s="52">
        <v>46042.017361111109</v>
      </c>
      <c r="F966" s="52">
        <v>46042.263194444444</v>
      </c>
      <c r="G966" s="53">
        <f t="shared" si="58"/>
        <v>0.24583333333430346</v>
      </c>
      <c r="H966" s="1" t="s">
        <v>248</v>
      </c>
      <c r="J966" s="1" t="s">
        <v>249</v>
      </c>
      <c r="K966" s="1" t="s">
        <v>349</v>
      </c>
      <c r="L966" s="1" t="s">
        <v>329</v>
      </c>
      <c r="M966" s="1" t="s">
        <v>251</v>
      </c>
      <c r="N966" s="1" t="s">
        <v>252</v>
      </c>
      <c r="O966" s="1" t="s">
        <v>563</v>
      </c>
      <c r="P966" s="1" t="str">
        <f t="shared" si="56"/>
        <v>BC Aracu5.5Inverter(MBUS-1)46042,017361111146042,017361111146042,2631944444</v>
      </c>
      <c r="Q966" s="1" t="str">
        <f t="shared" si="59"/>
        <v>DAURDE</v>
      </c>
    </row>
    <row r="967" spans="2:17">
      <c r="B967" s="1" t="s">
        <v>437</v>
      </c>
      <c r="C967" s="1" t="s">
        <v>354</v>
      </c>
      <c r="D967" s="52">
        <v>46042.149305555555</v>
      </c>
      <c r="E967" s="52">
        <v>46042.149305555555</v>
      </c>
      <c r="F967" s="52">
        <v>46042.289583333331</v>
      </c>
      <c r="G967" s="53">
        <f t="shared" si="58"/>
        <v>0.14027777777664596</v>
      </c>
      <c r="H967" s="1" t="s">
        <v>248</v>
      </c>
      <c r="J967" s="1" t="s">
        <v>249</v>
      </c>
      <c r="K967" s="1" t="s">
        <v>349</v>
      </c>
      <c r="L967" s="1" t="s">
        <v>422</v>
      </c>
      <c r="M967" s="1" t="s">
        <v>251</v>
      </c>
      <c r="N967" s="1" t="s">
        <v>252</v>
      </c>
      <c r="O967" s="1" t="s">
        <v>563</v>
      </c>
      <c r="P967" s="1" t="str">
        <f t="shared" ref="P967:P994" si="60">_xlfn.CONCAT(B967,C967,D967,E967,F967)</f>
        <v>BC Ibiuna 1.1Inverter(MBUS-12)46042,149305555646042,149305555646042,2895833333</v>
      </c>
      <c r="Q967" s="1" t="str">
        <f t="shared" si="59"/>
        <v>DAURDE</v>
      </c>
    </row>
    <row r="968" spans="2:17">
      <c r="B968" s="1" t="s">
        <v>437</v>
      </c>
      <c r="C968" s="1" t="s">
        <v>357</v>
      </c>
      <c r="D968" s="52">
        <v>46042.149305555555</v>
      </c>
      <c r="E968" s="52">
        <v>46042.149305555555</v>
      </c>
      <c r="F968" s="52">
        <v>46042.289583333331</v>
      </c>
      <c r="G968" s="53">
        <f t="shared" si="58"/>
        <v>0.14027777777664596</v>
      </c>
      <c r="H968" s="1" t="s">
        <v>248</v>
      </c>
      <c r="J968" s="1" t="s">
        <v>249</v>
      </c>
      <c r="K968" s="1" t="s">
        <v>349</v>
      </c>
      <c r="L968" s="1" t="s">
        <v>422</v>
      </c>
      <c r="M968" s="1" t="s">
        <v>251</v>
      </c>
      <c r="N968" s="1" t="s">
        <v>252</v>
      </c>
      <c r="O968" s="1" t="s">
        <v>563</v>
      </c>
      <c r="P968" s="1" t="str">
        <f t="shared" si="60"/>
        <v>BC Ibiuna 1.1Inverter(MBUS-13)46042,149305555646042,149305555646042,2895833333</v>
      </c>
      <c r="Q968" s="1" t="str">
        <f t="shared" si="59"/>
        <v>DAURDE</v>
      </c>
    </row>
    <row r="969" spans="2:17">
      <c r="B969" s="1" t="s">
        <v>437</v>
      </c>
      <c r="C969" s="1" t="s">
        <v>358</v>
      </c>
      <c r="D969" s="52">
        <v>46042.149305555555</v>
      </c>
      <c r="E969" s="52">
        <v>46042.149305555555</v>
      </c>
      <c r="F969" s="52">
        <v>46042.289583333331</v>
      </c>
      <c r="G969" s="53">
        <f t="shared" si="58"/>
        <v>0.14027777777664596</v>
      </c>
      <c r="H969" s="1" t="s">
        <v>248</v>
      </c>
      <c r="J969" s="1" t="s">
        <v>249</v>
      </c>
      <c r="K969" s="1" t="s">
        <v>349</v>
      </c>
      <c r="L969" s="1" t="s">
        <v>422</v>
      </c>
      <c r="M969" s="1" t="s">
        <v>251</v>
      </c>
      <c r="N969" s="1" t="s">
        <v>252</v>
      </c>
      <c r="O969" s="1" t="s">
        <v>563</v>
      </c>
      <c r="P969" s="1" t="str">
        <f t="shared" si="60"/>
        <v>BC Ibiuna 1.1Inverter(MBUS-14)46042,149305555646042,149305555646042,2895833333</v>
      </c>
      <c r="Q969" s="1" t="str">
        <f t="shared" si="59"/>
        <v>DAURDE</v>
      </c>
    </row>
    <row r="970" spans="2:17">
      <c r="B970" s="1" t="s">
        <v>437</v>
      </c>
      <c r="C970" s="1" t="s">
        <v>359</v>
      </c>
      <c r="D970" s="52">
        <v>46042.149305555555</v>
      </c>
      <c r="E970" s="52">
        <v>46042.149305555555</v>
      </c>
      <c r="F970" s="52">
        <v>46042.289583333331</v>
      </c>
      <c r="G970" s="53">
        <f t="shared" si="58"/>
        <v>0.14027777777664596</v>
      </c>
      <c r="H970" s="1" t="s">
        <v>248</v>
      </c>
      <c r="J970" s="1" t="s">
        <v>249</v>
      </c>
      <c r="K970" s="1" t="s">
        <v>349</v>
      </c>
      <c r="L970" s="1" t="s">
        <v>422</v>
      </c>
      <c r="M970" s="1" t="s">
        <v>251</v>
      </c>
      <c r="N970" s="1" t="s">
        <v>252</v>
      </c>
      <c r="O970" s="1" t="s">
        <v>563</v>
      </c>
      <c r="P970" s="1" t="str">
        <f t="shared" si="60"/>
        <v>BC Ibiuna 1.1Inverter(MBUS-15)46042,149305555646042,149305555646042,2895833333</v>
      </c>
      <c r="Q970" s="1" t="str">
        <f t="shared" si="59"/>
        <v>DAURDE</v>
      </c>
    </row>
    <row r="971" spans="2:17">
      <c r="B971" s="1" t="s">
        <v>424</v>
      </c>
      <c r="C971" s="1" t="s">
        <v>358</v>
      </c>
      <c r="D971" s="52">
        <v>46042.284722222219</v>
      </c>
      <c r="E971" s="52">
        <v>46042.284722222219</v>
      </c>
      <c r="F971" s="52">
        <v>46042.416666666664</v>
      </c>
      <c r="G971" s="53">
        <f t="shared" si="58"/>
        <v>0.13194444444525288</v>
      </c>
      <c r="H971" s="1" t="s">
        <v>343</v>
      </c>
      <c r="J971" s="1" t="s">
        <v>300</v>
      </c>
      <c r="K971" s="1" t="s">
        <v>350</v>
      </c>
      <c r="L971" s="1" t="s">
        <v>571</v>
      </c>
      <c r="M971" s="1" t="s">
        <v>375</v>
      </c>
      <c r="N971" s="1" t="s">
        <v>266</v>
      </c>
      <c r="O971" s="1" t="s">
        <v>572</v>
      </c>
      <c r="P971" s="1" t="str">
        <f t="shared" si="60"/>
        <v>BC Formoso2.2Inverter(MBUS-14)46042,284722222246042,284722222246042,4166666667</v>
      </c>
      <c r="Q971" s="1" t="str">
        <f t="shared" si="59"/>
        <v>DPRINV</v>
      </c>
    </row>
    <row r="972" spans="2:17">
      <c r="B972" s="1" t="s">
        <v>327</v>
      </c>
      <c r="C972" s="1" t="s">
        <v>328</v>
      </c>
      <c r="D972" s="52">
        <v>46042.46875</v>
      </c>
      <c r="E972" s="52">
        <v>46042.46875</v>
      </c>
      <c r="F972" s="52">
        <v>46042.487500000003</v>
      </c>
      <c r="G972" s="53">
        <f t="shared" si="58"/>
        <v>1.8750000002910383E-2</v>
      </c>
      <c r="H972" s="1" t="s">
        <v>248</v>
      </c>
      <c r="J972" s="1" t="s">
        <v>249</v>
      </c>
      <c r="K972" s="1" t="s">
        <v>349</v>
      </c>
      <c r="L972" s="1" t="s">
        <v>329</v>
      </c>
      <c r="M972" s="1" t="s">
        <v>251</v>
      </c>
      <c r="N972" s="1" t="s">
        <v>252</v>
      </c>
      <c r="O972" s="1" t="s">
        <v>563</v>
      </c>
      <c r="P972" s="1" t="str">
        <f t="shared" si="60"/>
        <v>BC Aracu5.1Inverter(MBUS-1)46042,4687546042,4687546042,4875</v>
      </c>
      <c r="Q972" s="1" t="str">
        <f t="shared" si="59"/>
        <v>DAURDE</v>
      </c>
    </row>
    <row r="973" spans="2:17">
      <c r="B973" s="1" t="s">
        <v>332</v>
      </c>
      <c r="C973" s="1" t="s">
        <v>328</v>
      </c>
      <c r="D973" s="52">
        <v>46042.46875</v>
      </c>
      <c r="E973" s="52">
        <v>46042.46875</v>
      </c>
      <c r="F973" s="52">
        <v>46042.487500000003</v>
      </c>
      <c r="G973" s="53">
        <f t="shared" si="58"/>
        <v>1.8750000002910383E-2</v>
      </c>
      <c r="H973" s="1" t="s">
        <v>248</v>
      </c>
      <c r="J973" s="1" t="s">
        <v>249</v>
      </c>
      <c r="K973" s="1" t="s">
        <v>349</v>
      </c>
      <c r="L973" s="1" t="s">
        <v>329</v>
      </c>
      <c r="M973" s="1" t="s">
        <v>251</v>
      </c>
      <c r="N973" s="1" t="s">
        <v>252</v>
      </c>
      <c r="O973" s="1" t="s">
        <v>563</v>
      </c>
      <c r="P973" s="1" t="str">
        <f t="shared" si="60"/>
        <v>BC Aracu5.2Inverter(MBUS-1)46042,4687546042,4687546042,4875</v>
      </c>
      <c r="Q973" s="1" t="str">
        <f t="shared" si="59"/>
        <v>DAURDE</v>
      </c>
    </row>
    <row r="974" spans="2:17">
      <c r="B974" s="1" t="s">
        <v>333</v>
      </c>
      <c r="C974" s="1" t="s">
        <v>328</v>
      </c>
      <c r="D974" s="52">
        <v>46042.46875</v>
      </c>
      <c r="E974" s="52">
        <v>46042.46875</v>
      </c>
      <c r="F974" s="52">
        <v>46042.487500000003</v>
      </c>
      <c r="G974" s="53">
        <f t="shared" si="58"/>
        <v>1.8750000002910383E-2</v>
      </c>
      <c r="H974" s="1" t="s">
        <v>248</v>
      </c>
      <c r="J974" s="1" t="s">
        <v>249</v>
      </c>
      <c r="K974" s="1" t="s">
        <v>349</v>
      </c>
      <c r="L974" s="1" t="s">
        <v>329</v>
      </c>
      <c r="M974" s="1" t="s">
        <v>251</v>
      </c>
      <c r="N974" s="1" t="s">
        <v>252</v>
      </c>
      <c r="O974" s="1" t="s">
        <v>563</v>
      </c>
      <c r="P974" s="1" t="str">
        <f t="shared" si="60"/>
        <v>BC Aracu5.3Inverter(MBUS-1)46042,4687546042,4687546042,4875</v>
      </c>
      <c r="Q974" s="1" t="str">
        <f t="shared" si="59"/>
        <v>DAURDE</v>
      </c>
    </row>
    <row r="975" spans="2:17">
      <c r="B975" s="1" t="s">
        <v>334</v>
      </c>
      <c r="C975" s="1" t="s">
        <v>328</v>
      </c>
      <c r="D975" s="52">
        <v>46042.46875</v>
      </c>
      <c r="E975" s="52">
        <v>46042.46875</v>
      </c>
      <c r="F975" s="52">
        <v>46042.487500000003</v>
      </c>
      <c r="G975" s="53">
        <f t="shared" si="58"/>
        <v>1.8750000002910383E-2</v>
      </c>
      <c r="H975" s="1" t="s">
        <v>248</v>
      </c>
      <c r="J975" s="1" t="s">
        <v>249</v>
      </c>
      <c r="K975" s="1" t="s">
        <v>349</v>
      </c>
      <c r="L975" s="1" t="s">
        <v>329</v>
      </c>
      <c r="M975" s="1" t="s">
        <v>251</v>
      </c>
      <c r="N975" s="1" t="s">
        <v>252</v>
      </c>
      <c r="O975" s="1" t="s">
        <v>563</v>
      </c>
      <c r="P975" s="1" t="str">
        <f t="shared" si="60"/>
        <v>BC Aracu5.4Inverter(MBUS-1)46042,4687546042,4687546042,4875</v>
      </c>
      <c r="Q975" s="1" t="str">
        <f t="shared" si="59"/>
        <v>DAURDE</v>
      </c>
    </row>
    <row r="976" spans="2:17">
      <c r="B976" s="1" t="s">
        <v>335</v>
      </c>
      <c r="C976" s="1" t="s">
        <v>328</v>
      </c>
      <c r="D976" s="52">
        <v>46042.46875</v>
      </c>
      <c r="E976" s="52">
        <v>46042.46875</v>
      </c>
      <c r="F976" s="52">
        <v>46042.487500000003</v>
      </c>
      <c r="G976" s="53">
        <f t="shared" si="58"/>
        <v>1.8750000002910383E-2</v>
      </c>
      <c r="H976" s="1" t="s">
        <v>248</v>
      </c>
      <c r="J976" s="1" t="s">
        <v>249</v>
      </c>
      <c r="K976" s="1" t="s">
        <v>349</v>
      </c>
      <c r="L976" s="1" t="s">
        <v>329</v>
      </c>
      <c r="M976" s="1" t="s">
        <v>251</v>
      </c>
      <c r="N976" s="1" t="s">
        <v>252</v>
      </c>
      <c r="O976" s="1" t="s">
        <v>563</v>
      </c>
      <c r="P976" s="1" t="str">
        <f t="shared" si="60"/>
        <v>BC Aracu5.5Inverter(MBUS-1)46042,4687546042,4687546042,4875</v>
      </c>
      <c r="Q976" s="1" t="str">
        <f t="shared" si="59"/>
        <v>DAURDE</v>
      </c>
    </row>
    <row r="977" spans="2:17">
      <c r="B977" s="1" t="s">
        <v>423</v>
      </c>
      <c r="C977" s="1" t="s">
        <v>354</v>
      </c>
      <c r="D977" s="52">
        <v>46042.518055555556</v>
      </c>
      <c r="E977" s="52">
        <v>46042.518055555556</v>
      </c>
      <c r="F977" s="52">
        <v>46042.527777777781</v>
      </c>
      <c r="G977" s="53">
        <f t="shared" si="58"/>
        <v>9.7222222248092294E-3</v>
      </c>
      <c r="H977" s="1" t="s">
        <v>248</v>
      </c>
      <c r="J977" s="1" t="s">
        <v>249</v>
      </c>
      <c r="K977" s="1" t="s">
        <v>349</v>
      </c>
      <c r="L977" s="1" t="s">
        <v>450</v>
      </c>
      <c r="M977" s="1" t="s">
        <v>251</v>
      </c>
      <c r="N977" s="1" t="s">
        <v>252</v>
      </c>
      <c r="O977" s="1" t="s">
        <v>563</v>
      </c>
      <c r="P977" s="1" t="str">
        <f t="shared" si="60"/>
        <v>BC Formoso2.1Inverter(MBUS-12)46042,518055555646042,518055555646042,5277777778</v>
      </c>
      <c r="Q977" s="1" t="str">
        <f t="shared" si="59"/>
        <v>DAURDE</v>
      </c>
    </row>
    <row r="978" spans="2:17">
      <c r="B978" s="1" t="s">
        <v>423</v>
      </c>
      <c r="C978" s="1" t="s">
        <v>358</v>
      </c>
      <c r="D978" s="52">
        <v>46042.518055555556</v>
      </c>
      <c r="E978" s="52">
        <v>46042.518055555556</v>
      </c>
      <c r="F978" s="52">
        <v>46042.527777777781</v>
      </c>
      <c r="G978" s="53">
        <f t="shared" si="58"/>
        <v>9.7222222248092294E-3</v>
      </c>
      <c r="H978" s="1" t="s">
        <v>248</v>
      </c>
      <c r="J978" s="1" t="s">
        <v>249</v>
      </c>
      <c r="K978" s="1" t="s">
        <v>349</v>
      </c>
      <c r="L978" s="1" t="s">
        <v>450</v>
      </c>
      <c r="M978" s="1" t="s">
        <v>251</v>
      </c>
      <c r="N978" s="1" t="s">
        <v>252</v>
      </c>
      <c r="O978" s="1" t="s">
        <v>563</v>
      </c>
      <c r="P978" s="1" t="str">
        <f t="shared" si="60"/>
        <v>BC Formoso2.1Inverter(MBUS-14)46042,518055555646042,518055555646042,5277777778</v>
      </c>
      <c r="Q978" s="1" t="str">
        <f t="shared" si="59"/>
        <v>DAURDE</v>
      </c>
    </row>
    <row r="979" spans="2:17">
      <c r="B979" s="1" t="s">
        <v>423</v>
      </c>
      <c r="C979" s="1" t="s">
        <v>357</v>
      </c>
      <c r="D979" s="52">
        <v>46042.518055555556</v>
      </c>
      <c r="E979" s="52">
        <v>46042.518055555556</v>
      </c>
      <c r="F979" s="52">
        <v>46042.527777777781</v>
      </c>
      <c r="G979" s="53">
        <f t="shared" si="58"/>
        <v>9.7222222248092294E-3</v>
      </c>
      <c r="H979" s="1" t="s">
        <v>248</v>
      </c>
      <c r="J979" s="1" t="s">
        <v>249</v>
      </c>
      <c r="K979" s="1" t="s">
        <v>349</v>
      </c>
      <c r="L979" s="1" t="s">
        <v>450</v>
      </c>
      <c r="M979" s="1" t="s">
        <v>251</v>
      </c>
      <c r="N979" s="1" t="s">
        <v>252</v>
      </c>
      <c r="O979" s="1" t="s">
        <v>563</v>
      </c>
      <c r="P979" s="1" t="str">
        <f t="shared" si="60"/>
        <v>BC Formoso2.1Inverter(MBUS-13)46042,518055555646042,518055555646042,5277777778</v>
      </c>
      <c r="Q979" s="1" t="str">
        <f t="shared" si="59"/>
        <v>DAURDE</v>
      </c>
    </row>
    <row r="980" spans="2:17">
      <c r="B980" s="1" t="s">
        <v>423</v>
      </c>
      <c r="C980" s="1" t="s">
        <v>328</v>
      </c>
      <c r="D980" s="52">
        <v>46042.518055555556</v>
      </c>
      <c r="E980" s="52">
        <v>46042.518055555556</v>
      </c>
      <c r="F980" s="52">
        <v>46042.527777777781</v>
      </c>
      <c r="G980" s="53">
        <f t="shared" si="58"/>
        <v>9.7222222248092294E-3</v>
      </c>
      <c r="H980" s="1" t="s">
        <v>248</v>
      </c>
      <c r="J980" s="1" t="s">
        <v>249</v>
      </c>
      <c r="K980" s="1" t="s">
        <v>349</v>
      </c>
      <c r="L980" s="1" t="s">
        <v>450</v>
      </c>
      <c r="M980" s="1" t="s">
        <v>251</v>
      </c>
      <c r="N980" s="1" t="s">
        <v>252</v>
      </c>
      <c r="O980" s="1" t="s">
        <v>563</v>
      </c>
      <c r="P980" s="1" t="str">
        <f t="shared" si="60"/>
        <v>BC Formoso2.1Inverter(MBUS-1)46042,518055555646042,518055555646042,5277777778</v>
      </c>
      <c r="Q980" s="1" t="str">
        <f t="shared" si="59"/>
        <v>DAURDE</v>
      </c>
    </row>
    <row r="981" spans="2:17">
      <c r="B981" s="1" t="s">
        <v>425</v>
      </c>
      <c r="C981" s="1" t="s">
        <v>357</v>
      </c>
      <c r="D981" s="52">
        <v>46042.518055555556</v>
      </c>
      <c r="E981" s="52">
        <v>46042.518055555556</v>
      </c>
      <c r="F981" s="52">
        <v>46042.527777777781</v>
      </c>
      <c r="G981" s="53">
        <f t="shared" si="58"/>
        <v>9.7222222248092294E-3</v>
      </c>
      <c r="H981" s="1" t="s">
        <v>248</v>
      </c>
      <c r="J981" s="1" t="s">
        <v>249</v>
      </c>
      <c r="K981" s="1" t="s">
        <v>349</v>
      </c>
      <c r="L981" s="1" t="s">
        <v>450</v>
      </c>
      <c r="M981" s="1" t="s">
        <v>251</v>
      </c>
      <c r="N981" s="1" t="s">
        <v>252</v>
      </c>
      <c r="O981" s="1" t="s">
        <v>563</v>
      </c>
      <c r="P981" s="1" t="str">
        <f t="shared" si="60"/>
        <v>BC Formoso2.3Inverter(MBUS-13)46042,518055555646042,518055555646042,5277777778</v>
      </c>
      <c r="Q981" s="1" t="str">
        <f t="shared" si="59"/>
        <v>DAURDE</v>
      </c>
    </row>
    <row r="982" spans="2:17">
      <c r="B982" s="1" t="s">
        <v>425</v>
      </c>
      <c r="C982" s="1" t="s">
        <v>354</v>
      </c>
      <c r="D982" s="52">
        <v>46042.518055555556</v>
      </c>
      <c r="E982" s="52">
        <v>46042.518055555556</v>
      </c>
      <c r="F982" s="52">
        <v>46042.527777777781</v>
      </c>
      <c r="G982" s="53">
        <f t="shared" si="58"/>
        <v>9.7222222248092294E-3</v>
      </c>
      <c r="H982" s="1" t="s">
        <v>248</v>
      </c>
      <c r="J982" s="1" t="s">
        <v>249</v>
      </c>
      <c r="K982" s="1" t="s">
        <v>349</v>
      </c>
      <c r="L982" s="1" t="s">
        <v>450</v>
      </c>
      <c r="M982" s="1" t="s">
        <v>251</v>
      </c>
      <c r="N982" s="1" t="s">
        <v>252</v>
      </c>
      <c r="O982" s="1" t="s">
        <v>563</v>
      </c>
      <c r="P982" s="1" t="str">
        <f t="shared" si="60"/>
        <v>BC Formoso2.3Inverter(MBUS-12)46042,518055555646042,518055555646042,5277777778</v>
      </c>
      <c r="Q982" s="1" t="str">
        <f t="shared" si="59"/>
        <v>DAURDE</v>
      </c>
    </row>
    <row r="983" spans="2:17" ht="45.75">
      <c r="B983" s="1" t="s">
        <v>353</v>
      </c>
      <c r="C983" s="1" t="s">
        <v>354</v>
      </c>
      <c r="D983" s="52">
        <v>46042.536111111112</v>
      </c>
      <c r="E983" s="52">
        <v>46042.536111111112</v>
      </c>
      <c r="F983" s="52">
        <v>46042.631944444445</v>
      </c>
      <c r="G983" s="53">
        <f t="shared" si="58"/>
        <v>9.5833333332848269E-2</v>
      </c>
      <c r="H983" s="1" t="s">
        <v>248</v>
      </c>
      <c r="J983" s="1" t="s">
        <v>249</v>
      </c>
      <c r="K983" s="1" t="s">
        <v>349</v>
      </c>
      <c r="L983" s="1" t="s">
        <v>573</v>
      </c>
      <c r="M983" s="1" t="s">
        <v>251</v>
      </c>
      <c r="N983" s="1" t="s">
        <v>252</v>
      </c>
      <c r="O983" s="72" t="s">
        <v>574</v>
      </c>
      <c r="P983" s="1" t="str">
        <f t="shared" si="60"/>
        <v>ARAGUATINS 1.1Inverter(MBUS-12)46042,536111111146042,536111111146042,6319444444</v>
      </c>
      <c r="Q983" s="1" t="str">
        <f t="shared" si="59"/>
        <v>DAURDE</v>
      </c>
    </row>
    <row r="984" spans="2:17" ht="45.75">
      <c r="B984" s="1" t="s">
        <v>353</v>
      </c>
      <c r="C984" s="1" t="s">
        <v>357</v>
      </c>
      <c r="D984" s="52">
        <v>46042.536111111112</v>
      </c>
      <c r="E984" s="52">
        <v>46042.536111111112</v>
      </c>
      <c r="F984" s="52">
        <v>46042.631944444445</v>
      </c>
      <c r="G984" s="53">
        <f t="shared" si="58"/>
        <v>9.5833333332848269E-2</v>
      </c>
      <c r="H984" s="1" t="s">
        <v>248</v>
      </c>
      <c r="J984" s="1" t="s">
        <v>249</v>
      </c>
      <c r="K984" s="1" t="s">
        <v>349</v>
      </c>
      <c r="L984" s="1" t="s">
        <v>573</v>
      </c>
      <c r="M984" s="1" t="s">
        <v>251</v>
      </c>
      <c r="N984" s="1" t="s">
        <v>252</v>
      </c>
      <c r="O984" s="72" t="s">
        <v>574</v>
      </c>
      <c r="P984" s="1" t="str">
        <f t="shared" si="60"/>
        <v>ARAGUATINS 1.1Inverter(MBUS-13)46042,536111111146042,536111111146042,6319444444</v>
      </c>
      <c r="Q984" s="1" t="str">
        <f t="shared" si="59"/>
        <v>DAURDE</v>
      </c>
    </row>
    <row r="985" spans="2:17" ht="45.75">
      <c r="B985" s="1" t="s">
        <v>353</v>
      </c>
      <c r="C985" s="1" t="s">
        <v>358</v>
      </c>
      <c r="D985" s="52">
        <v>46042.536111111112</v>
      </c>
      <c r="E985" s="52">
        <v>46042.536111111112</v>
      </c>
      <c r="F985" s="52">
        <v>46042.631944444445</v>
      </c>
      <c r="G985" s="53">
        <f t="shared" si="58"/>
        <v>9.5833333332848269E-2</v>
      </c>
      <c r="H985" s="1" t="s">
        <v>248</v>
      </c>
      <c r="J985" s="1" t="s">
        <v>249</v>
      </c>
      <c r="K985" s="1" t="s">
        <v>349</v>
      </c>
      <c r="L985" s="1" t="s">
        <v>573</v>
      </c>
      <c r="M985" s="1" t="s">
        <v>251</v>
      </c>
      <c r="N985" s="1" t="s">
        <v>252</v>
      </c>
      <c r="O985" s="72" t="s">
        <v>574</v>
      </c>
      <c r="P985" s="1" t="str">
        <f t="shared" si="60"/>
        <v>ARAGUATINS 1.1Inverter(MBUS-14)46042,536111111146042,536111111146042,6319444444</v>
      </c>
      <c r="Q985" s="1" t="str">
        <f t="shared" si="59"/>
        <v>DAURDE</v>
      </c>
    </row>
    <row r="986" spans="2:17" ht="45.75">
      <c r="B986" s="1" t="s">
        <v>353</v>
      </c>
      <c r="C986" s="1" t="s">
        <v>359</v>
      </c>
      <c r="D986" s="52">
        <v>46042.536111111112</v>
      </c>
      <c r="E986" s="52">
        <v>46042.536111111112</v>
      </c>
      <c r="F986" s="52">
        <v>46042.631944444445</v>
      </c>
      <c r="G986" s="53">
        <f t="shared" si="58"/>
        <v>9.5833333332848269E-2</v>
      </c>
      <c r="H986" s="1" t="s">
        <v>248</v>
      </c>
      <c r="J986" s="1" t="s">
        <v>249</v>
      </c>
      <c r="K986" s="1" t="s">
        <v>349</v>
      </c>
      <c r="L986" s="1" t="s">
        <v>573</v>
      </c>
      <c r="M986" s="1" t="s">
        <v>251</v>
      </c>
      <c r="N986" s="1" t="s">
        <v>252</v>
      </c>
      <c r="O986" s="72" t="s">
        <v>574</v>
      </c>
      <c r="P986" s="1" t="str">
        <f t="shared" si="60"/>
        <v>ARAGUATINS 1.1Inverter(MBUS-15)46042,536111111146042,536111111146042,6319444444</v>
      </c>
      <c r="Q986" s="1" t="str">
        <f t="shared" si="59"/>
        <v>DAURDE</v>
      </c>
    </row>
    <row r="987" spans="2:17" ht="45.75">
      <c r="B987" s="1" t="s">
        <v>360</v>
      </c>
      <c r="C987" s="1" t="s">
        <v>354</v>
      </c>
      <c r="D987" s="52">
        <v>46042.536111111112</v>
      </c>
      <c r="E987" s="52">
        <v>46042.536111111112</v>
      </c>
      <c r="F987" s="52">
        <v>46042.631944444445</v>
      </c>
      <c r="G987" s="53">
        <f t="shared" si="58"/>
        <v>9.5833333332848269E-2</v>
      </c>
      <c r="H987" s="1" t="s">
        <v>248</v>
      </c>
      <c r="J987" s="1" t="s">
        <v>249</v>
      </c>
      <c r="K987" s="1" t="s">
        <v>349</v>
      </c>
      <c r="L987" s="1" t="s">
        <v>573</v>
      </c>
      <c r="M987" s="1" t="s">
        <v>251</v>
      </c>
      <c r="N987" s="1" t="s">
        <v>252</v>
      </c>
      <c r="O987" s="72" t="s">
        <v>574</v>
      </c>
      <c r="P987" s="1" t="str">
        <f t="shared" si="60"/>
        <v>ARAGUATINS 1.2Inverter(MBUS-12)46042,536111111146042,536111111146042,6319444444</v>
      </c>
      <c r="Q987" s="1" t="str">
        <f t="shared" si="59"/>
        <v>DAURDE</v>
      </c>
    </row>
    <row r="988" spans="2:17" ht="45.75">
      <c r="B988" s="1" t="s">
        <v>360</v>
      </c>
      <c r="C988" s="1" t="s">
        <v>357</v>
      </c>
      <c r="D988" s="52">
        <v>46042.536111111112</v>
      </c>
      <c r="E988" s="52">
        <v>46042.536111111112</v>
      </c>
      <c r="F988" s="52">
        <v>46042.631944444445</v>
      </c>
      <c r="G988" s="53">
        <f t="shared" si="58"/>
        <v>9.5833333332848269E-2</v>
      </c>
      <c r="H988" s="1" t="s">
        <v>248</v>
      </c>
      <c r="J988" s="1" t="s">
        <v>249</v>
      </c>
      <c r="K988" s="1" t="s">
        <v>349</v>
      </c>
      <c r="L988" s="1" t="s">
        <v>573</v>
      </c>
      <c r="M988" s="1" t="s">
        <v>251</v>
      </c>
      <c r="N988" s="1" t="s">
        <v>252</v>
      </c>
      <c r="O988" s="72" t="s">
        <v>574</v>
      </c>
      <c r="P988" s="1" t="str">
        <f t="shared" si="60"/>
        <v>ARAGUATINS 1.2Inverter(MBUS-13)46042,536111111146042,536111111146042,6319444444</v>
      </c>
      <c r="Q988" s="1" t="str">
        <f t="shared" si="59"/>
        <v>DAURDE</v>
      </c>
    </row>
    <row r="989" spans="2:17" ht="45.75">
      <c r="B989" s="1" t="s">
        <v>360</v>
      </c>
      <c r="C989" s="1" t="s">
        <v>358</v>
      </c>
      <c r="D989" s="52">
        <v>46042.536111111112</v>
      </c>
      <c r="E989" s="52">
        <v>46042.536111111112</v>
      </c>
      <c r="F989" s="52">
        <v>46042.631944444445</v>
      </c>
      <c r="G989" s="53">
        <f t="shared" si="58"/>
        <v>9.5833333332848269E-2</v>
      </c>
      <c r="H989" s="1" t="s">
        <v>248</v>
      </c>
      <c r="J989" s="1" t="s">
        <v>249</v>
      </c>
      <c r="K989" s="1" t="s">
        <v>349</v>
      </c>
      <c r="L989" s="1" t="s">
        <v>573</v>
      </c>
      <c r="M989" s="1" t="s">
        <v>251</v>
      </c>
      <c r="N989" s="1" t="s">
        <v>252</v>
      </c>
      <c r="O989" s="72" t="s">
        <v>574</v>
      </c>
      <c r="P989" s="1" t="str">
        <f t="shared" si="60"/>
        <v>ARAGUATINS 1.2Inverter(MBUS-14)46042,536111111146042,536111111146042,6319444444</v>
      </c>
      <c r="Q989" s="1" t="str">
        <f t="shared" si="59"/>
        <v>DAURDE</v>
      </c>
    </row>
    <row r="990" spans="2:17" ht="45.75">
      <c r="B990" s="1" t="s">
        <v>360</v>
      </c>
      <c r="C990" s="1" t="s">
        <v>359</v>
      </c>
      <c r="D990" s="52">
        <v>46042.536111111112</v>
      </c>
      <c r="E990" s="52">
        <v>46042.536111111112</v>
      </c>
      <c r="F990" s="52">
        <v>46042.631944444445</v>
      </c>
      <c r="G990" s="53">
        <f t="shared" si="58"/>
        <v>9.5833333332848269E-2</v>
      </c>
      <c r="H990" s="1" t="s">
        <v>248</v>
      </c>
      <c r="J990" s="1" t="s">
        <v>249</v>
      </c>
      <c r="K990" s="1" t="s">
        <v>349</v>
      </c>
      <c r="L990" s="1" t="s">
        <v>573</v>
      </c>
      <c r="M990" s="1" t="s">
        <v>251</v>
      </c>
      <c r="N990" s="1" t="s">
        <v>252</v>
      </c>
      <c r="O990" s="72" t="s">
        <v>574</v>
      </c>
      <c r="P990" s="1" t="str">
        <f t="shared" si="60"/>
        <v>ARAGUATINS 1.2Inverter(MBUS-15)46042,536111111146042,536111111146042,6319444444</v>
      </c>
      <c r="Q990" s="1" t="str">
        <f t="shared" si="59"/>
        <v>DAURDE</v>
      </c>
    </row>
    <row r="991" spans="2:17" ht="45.75">
      <c r="B991" s="1" t="s">
        <v>361</v>
      </c>
      <c r="C991" s="1" t="s">
        <v>362</v>
      </c>
      <c r="D991" s="52">
        <v>46042.536111111112</v>
      </c>
      <c r="E991" s="52">
        <v>46042.536111111112</v>
      </c>
      <c r="F991" s="52">
        <v>46042.631944444445</v>
      </c>
      <c r="G991" s="53">
        <f t="shared" si="58"/>
        <v>9.5833333332848269E-2</v>
      </c>
      <c r="H991" s="1" t="s">
        <v>248</v>
      </c>
      <c r="J991" s="1" t="s">
        <v>249</v>
      </c>
      <c r="K991" s="1" t="s">
        <v>349</v>
      </c>
      <c r="L991" s="1" t="s">
        <v>573</v>
      </c>
      <c r="M991" s="1" t="s">
        <v>251</v>
      </c>
      <c r="N991" s="1" t="s">
        <v>252</v>
      </c>
      <c r="O991" s="72" t="s">
        <v>574</v>
      </c>
      <c r="P991" s="1" t="str">
        <f t="shared" si="60"/>
        <v>ARAGUATINS 1.3Inverter(MBUS-20)46042,536111111146042,536111111146042,6319444444</v>
      </c>
      <c r="Q991" s="1" t="str">
        <f t="shared" si="59"/>
        <v>DAURDE</v>
      </c>
    </row>
    <row r="992" spans="2:17" ht="45.75">
      <c r="B992" s="1" t="s">
        <v>361</v>
      </c>
      <c r="C992" s="1" t="s">
        <v>328</v>
      </c>
      <c r="D992" s="52">
        <v>46042.536111111112</v>
      </c>
      <c r="E992" s="52">
        <v>46042.536111111112</v>
      </c>
      <c r="F992" s="52">
        <v>46042.631944444445</v>
      </c>
      <c r="G992" s="53">
        <f t="shared" si="58"/>
        <v>9.5833333332848269E-2</v>
      </c>
      <c r="H992" s="1" t="s">
        <v>248</v>
      </c>
      <c r="J992" s="1" t="s">
        <v>249</v>
      </c>
      <c r="K992" s="1" t="s">
        <v>349</v>
      </c>
      <c r="L992" s="1" t="s">
        <v>573</v>
      </c>
      <c r="M992" s="1" t="s">
        <v>251</v>
      </c>
      <c r="N992" s="1" t="s">
        <v>252</v>
      </c>
      <c r="O992" s="72" t="s">
        <v>574</v>
      </c>
      <c r="P992" s="1" t="str">
        <f t="shared" si="60"/>
        <v>ARAGUATINS 1.3Inverter(MBUS-1)46042,536111111146042,536111111146042,6319444444</v>
      </c>
      <c r="Q992" s="1" t="str">
        <f t="shared" si="59"/>
        <v>DAURDE</v>
      </c>
    </row>
    <row r="993" spans="2:17" ht="45.75">
      <c r="B993" s="1" t="s">
        <v>363</v>
      </c>
      <c r="C993" s="1" t="s">
        <v>354</v>
      </c>
      <c r="D993" s="52">
        <v>46042.536111111112</v>
      </c>
      <c r="E993" s="52">
        <v>46042.536111111112</v>
      </c>
      <c r="F993" s="52">
        <v>46042.631944444445</v>
      </c>
      <c r="G993" s="53">
        <f t="shared" si="58"/>
        <v>9.5833333332848269E-2</v>
      </c>
      <c r="H993" s="1" t="s">
        <v>248</v>
      </c>
      <c r="J993" s="1" t="s">
        <v>249</v>
      </c>
      <c r="K993" s="1" t="s">
        <v>349</v>
      </c>
      <c r="L993" s="1" t="s">
        <v>573</v>
      </c>
      <c r="M993" s="1" t="s">
        <v>251</v>
      </c>
      <c r="N993" s="1" t="s">
        <v>252</v>
      </c>
      <c r="O993" s="72" t="s">
        <v>574</v>
      </c>
      <c r="P993" s="1" t="str">
        <f t="shared" si="60"/>
        <v>ARAGUATINS 2.1Inverter(MBUS-12)46042,536111111146042,536111111146042,6319444444</v>
      </c>
      <c r="Q993" s="1" t="str">
        <f t="shared" si="59"/>
        <v>DAURDE</v>
      </c>
    </row>
    <row r="994" spans="2:17" ht="45.75">
      <c r="B994" s="1" t="s">
        <v>363</v>
      </c>
      <c r="C994" s="1" t="s">
        <v>359</v>
      </c>
      <c r="D994" s="52">
        <v>46042.536111111112</v>
      </c>
      <c r="E994" s="52">
        <v>46042.536111111112</v>
      </c>
      <c r="F994" s="52">
        <v>46042.631944444445</v>
      </c>
      <c r="G994" s="53">
        <f t="shared" si="58"/>
        <v>9.5833333332848269E-2</v>
      </c>
      <c r="H994" s="1" t="s">
        <v>248</v>
      </c>
      <c r="J994" s="1" t="s">
        <v>249</v>
      </c>
      <c r="K994" s="1" t="s">
        <v>349</v>
      </c>
      <c r="L994" s="1" t="s">
        <v>573</v>
      </c>
      <c r="M994" s="1" t="s">
        <v>251</v>
      </c>
      <c r="N994" s="1" t="s">
        <v>252</v>
      </c>
      <c r="O994" s="72" t="s">
        <v>574</v>
      </c>
      <c r="P994" s="1" t="str">
        <f t="shared" si="60"/>
        <v>ARAGUATINS 2.1Inverter(MBUS-15)46042,536111111146042,536111111146042,6319444444</v>
      </c>
      <c r="Q994" s="1" t="str">
        <f t="shared" si="59"/>
        <v>DAURDE</v>
      </c>
    </row>
    <row r="995" spans="2:17" ht="45.75">
      <c r="B995" s="1" t="s">
        <v>363</v>
      </c>
      <c r="C995" s="1" t="s">
        <v>358</v>
      </c>
      <c r="D995" s="52">
        <v>46042.536111111112</v>
      </c>
      <c r="E995" s="52">
        <v>46042.536111111112</v>
      </c>
      <c r="F995" s="52">
        <v>46042.631944444445</v>
      </c>
      <c r="G995" s="53">
        <f t="shared" si="58"/>
        <v>9.5833333332848269E-2</v>
      </c>
      <c r="H995" s="1" t="s">
        <v>248</v>
      </c>
      <c r="J995" s="1" t="s">
        <v>249</v>
      </c>
      <c r="K995" s="1" t="s">
        <v>349</v>
      </c>
      <c r="L995" s="1" t="s">
        <v>573</v>
      </c>
      <c r="M995" s="1" t="s">
        <v>251</v>
      </c>
      <c r="N995" s="1" t="s">
        <v>252</v>
      </c>
      <c r="O995" s="72" t="s">
        <v>574</v>
      </c>
      <c r="P995" s="1" t="str">
        <f t="shared" ref="P995:P1058" si="61">_xlfn.CONCAT(B995,C995,D995,E995,F995)</f>
        <v>ARAGUATINS 2.1Inverter(MBUS-14)46042,536111111146042,536111111146042,6319444444</v>
      </c>
      <c r="Q995" s="1" t="str">
        <f t="shared" ref="Q995:Q1058" si="62">_xlfn.CONCAT(H995,I995,J995)</f>
        <v>DAURDE</v>
      </c>
    </row>
    <row r="996" spans="2:17" ht="45.75">
      <c r="B996" s="1" t="s">
        <v>363</v>
      </c>
      <c r="C996" s="1" t="s">
        <v>328</v>
      </c>
      <c r="D996" s="52">
        <v>46042.536111111112</v>
      </c>
      <c r="E996" s="52">
        <v>46042.536111111112</v>
      </c>
      <c r="F996" s="52">
        <v>46042.631944444445</v>
      </c>
      <c r="G996" s="53">
        <f t="shared" si="58"/>
        <v>9.5833333332848269E-2</v>
      </c>
      <c r="H996" s="1" t="s">
        <v>248</v>
      </c>
      <c r="J996" s="1" t="s">
        <v>249</v>
      </c>
      <c r="K996" s="1" t="s">
        <v>349</v>
      </c>
      <c r="L996" s="1" t="s">
        <v>573</v>
      </c>
      <c r="M996" s="1" t="s">
        <v>251</v>
      </c>
      <c r="N996" s="1" t="s">
        <v>252</v>
      </c>
      <c r="O996" s="72" t="s">
        <v>574</v>
      </c>
      <c r="P996" s="1" t="str">
        <f t="shared" si="61"/>
        <v>ARAGUATINS 2.1Inverter(MBUS-1)46042,536111111146042,536111111146042,6319444444</v>
      </c>
      <c r="Q996" s="1" t="str">
        <f t="shared" si="62"/>
        <v>DAURDE</v>
      </c>
    </row>
    <row r="997" spans="2:17" ht="45.75">
      <c r="B997" s="1" t="s">
        <v>369</v>
      </c>
      <c r="C997" s="1" t="s">
        <v>359</v>
      </c>
      <c r="D997" s="52">
        <v>46042.536111111112</v>
      </c>
      <c r="E997" s="52">
        <v>46042.536111111112</v>
      </c>
      <c r="F997" s="52">
        <v>46042.631944444445</v>
      </c>
      <c r="G997" s="53">
        <f t="shared" si="58"/>
        <v>9.5833333332848269E-2</v>
      </c>
      <c r="H997" s="1" t="s">
        <v>248</v>
      </c>
      <c r="J997" s="1" t="s">
        <v>249</v>
      </c>
      <c r="K997" s="1" t="s">
        <v>349</v>
      </c>
      <c r="L997" s="1" t="s">
        <v>573</v>
      </c>
      <c r="M997" s="1" t="s">
        <v>251</v>
      </c>
      <c r="N997" s="1" t="s">
        <v>252</v>
      </c>
      <c r="O997" s="72" t="s">
        <v>574</v>
      </c>
      <c r="P997" s="1" t="str">
        <f t="shared" si="61"/>
        <v>ARAGUATINS 2.2Inverter(MBUS-15)46042,536111111146042,536111111146042,6319444444</v>
      </c>
      <c r="Q997" s="1" t="str">
        <f t="shared" si="62"/>
        <v>DAURDE</v>
      </c>
    </row>
    <row r="998" spans="2:17" ht="45.75">
      <c r="B998" s="1" t="s">
        <v>369</v>
      </c>
      <c r="C998" s="1" t="s">
        <v>357</v>
      </c>
      <c r="D998" s="52">
        <v>46042.536111111112</v>
      </c>
      <c r="E998" s="52">
        <v>46042.536111111112</v>
      </c>
      <c r="F998" s="52">
        <v>46042.631944444445</v>
      </c>
      <c r="G998" s="53">
        <f t="shared" si="58"/>
        <v>9.5833333332848269E-2</v>
      </c>
      <c r="H998" s="1" t="s">
        <v>248</v>
      </c>
      <c r="J998" s="1" t="s">
        <v>249</v>
      </c>
      <c r="K998" s="1" t="s">
        <v>349</v>
      </c>
      <c r="L998" s="1" t="s">
        <v>573</v>
      </c>
      <c r="M998" s="1" t="s">
        <v>251</v>
      </c>
      <c r="N998" s="1" t="s">
        <v>252</v>
      </c>
      <c r="O998" s="72" t="s">
        <v>574</v>
      </c>
      <c r="P998" s="1" t="str">
        <f t="shared" si="61"/>
        <v>ARAGUATINS 2.2Inverter(MBUS-13)46042,536111111146042,536111111146042,6319444444</v>
      </c>
      <c r="Q998" s="1" t="str">
        <f t="shared" si="62"/>
        <v>DAURDE</v>
      </c>
    </row>
    <row r="999" spans="2:17" ht="45.75">
      <c r="B999" s="1" t="s">
        <v>369</v>
      </c>
      <c r="C999" s="1" t="s">
        <v>358</v>
      </c>
      <c r="D999" s="52">
        <v>46042.536111111112</v>
      </c>
      <c r="E999" s="52">
        <v>46042.536111111112</v>
      </c>
      <c r="F999" s="52">
        <v>46042.631944444445</v>
      </c>
      <c r="G999" s="53">
        <f t="shared" si="58"/>
        <v>9.5833333332848269E-2</v>
      </c>
      <c r="H999" s="1" t="s">
        <v>248</v>
      </c>
      <c r="J999" s="1" t="s">
        <v>249</v>
      </c>
      <c r="K999" s="1" t="s">
        <v>349</v>
      </c>
      <c r="L999" s="1" t="s">
        <v>573</v>
      </c>
      <c r="M999" s="1" t="s">
        <v>251</v>
      </c>
      <c r="N999" s="1" t="s">
        <v>252</v>
      </c>
      <c r="O999" s="72" t="s">
        <v>574</v>
      </c>
      <c r="P999" s="1" t="str">
        <f t="shared" si="61"/>
        <v>ARAGUATINS 2.2Inverter(MBUS-14)46042,536111111146042,536111111146042,6319444444</v>
      </c>
      <c r="Q999" s="1" t="str">
        <f t="shared" si="62"/>
        <v>DAURDE</v>
      </c>
    </row>
    <row r="1000" spans="2:17" ht="45.75">
      <c r="B1000" s="1" t="s">
        <v>369</v>
      </c>
      <c r="C1000" s="1" t="s">
        <v>354</v>
      </c>
      <c r="D1000" s="52">
        <v>46042.536111111112</v>
      </c>
      <c r="E1000" s="52">
        <v>46042.536111111112</v>
      </c>
      <c r="F1000" s="52">
        <v>46042.631944444445</v>
      </c>
      <c r="G1000" s="53">
        <f t="shared" si="58"/>
        <v>9.5833333332848269E-2</v>
      </c>
      <c r="H1000" s="1" t="s">
        <v>248</v>
      </c>
      <c r="J1000" s="1" t="s">
        <v>249</v>
      </c>
      <c r="K1000" s="1" t="s">
        <v>349</v>
      </c>
      <c r="L1000" s="1" t="s">
        <v>573</v>
      </c>
      <c r="M1000" s="1" t="s">
        <v>251</v>
      </c>
      <c r="N1000" s="1" t="s">
        <v>252</v>
      </c>
      <c r="O1000" s="72" t="s">
        <v>574</v>
      </c>
      <c r="P1000" s="1" t="str">
        <f t="shared" si="61"/>
        <v>ARAGUATINS 2.2Inverter(MBUS-12)46042,536111111146042,536111111146042,6319444444</v>
      </c>
      <c r="Q1000" s="1" t="str">
        <f t="shared" si="62"/>
        <v>DAURDE</v>
      </c>
    </row>
    <row r="1001" spans="2:17" ht="45.75">
      <c r="B1001" s="1" t="s">
        <v>370</v>
      </c>
      <c r="C1001" s="1" t="s">
        <v>354</v>
      </c>
      <c r="D1001" s="52">
        <v>46042.536111111112</v>
      </c>
      <c r="E1001" s="52">
        <v>46042.536111111112</v>
      </c>
      <c r="F1001" s="52">
        <v>46042.631944444445</v>
      </c>
      <c r="G1001" s="53">
        <f t="shared" si="58"/>
        <v>9.5833333332848269E-2</v>
      </c>
      <c r="H1001" s="1" t="s">
        <v>248</v>
      </c>
      <c r="J1001" s="1" t="s">
        <v>249</v>
      </c>
      <c r="K1001" s="1" t="s">
        <v>349</v>
      </c>
      <c r="L1001" s="1" t="s">
        <v>573</v>
      </c>
      <c r="M1001" s="1" t="s">
        <v>251</v>
      </c>
      <c r="N1001" s="1" t="s">
        <v>252</v>
      </c>
      <c r="O1001" s="72" t="s">
        <v>574</v>
      </c>
      <c r="P1001" s="1" t="str">
        <f t="shared" si="61"/>
        <v>ARAGUATINS 2.3Inverter(MBUS-12)46042,536111111146042,536111111146042,6319444444</v>
      </c>
      <c r="Q1001" s="1" t="str">
        <f t="shared" si="62"/>
        <v>DAURDE</v>
      </c>
    </row>
    <row r="1002" spans="2:17" ht="45.75">
      <c r="B1002" s="1" t="s">
        <v>370</v>
      </c>
      <c r="C1002" s="1" t="s">
        <v>357</v>
      </c>
      <c r="D1002" s="52">
        <v>46042.536111111112</v>
      </c>
      <c r="E1002" s="52">
        <v>46042.536111111112</v>
      </c>
      <c r="F1002" s="52">
        <v>46042.631944444445</v>
      </c>
      <c r="G1002" s="53">
        <f t="shared" si="58"/>
        <v>9.5833333332848269E-2</v>
      </c>
      <c r="H1002" s="1" t="s">
        <v>248</v>
      </c>
      <c r="J1002" s="1" t="s">
        <v>249</v>
      </c>
      <c r="K1002" s="1" t="s">
        <v>349</v>
      </c>
      <c r="L1002" s="1" t="s">
        <v>573</v>
      </c>
      <c r="M1002" s="1" t="s">
        <v>251</v>
      </c>
      <c r="N1002" s="1" t="s">
        <v>252</v>
      </c>
      <c r="O1002" s="72" t="s">
        <v>574</v>
      </c>
      <c r="P1002" s="1" t="str">
        <f t="shared" si="61"/>
        <v>ARAGUATINS 2.3Inverter(MBUS-13)46042,536111111146042,536111111146042,6319444444</v>
      </c>
      <c r="Q1002" s="1" t="str">
        <f t="shared" si="62"/>
        <v>DAURDE</v>
      </c>
    </row>
    <row r="1003" spans="2:17">
      <c r="B1003" s="1" t="s">
        <v>268</v>
      </c>
      <c r="C1003" s="1" t="s">
        <v>269</v>
      </c>
      <c r="D1003" s="52">
        <v>46043.135416666664</v>
      </c>
      <c r="E1003" s="52">
        <v>46043.135416666664</v>
      </c>
      <c r="F1003" s="52">
        <v>46043.305555555555</v>
      </c>
      <c r="G1003" s="53">
        <f t="shared" si="58"/>
        <v>0.17013888889050577</v>
      </c>
      <c r="H1003" s="1" t="s">
        <v>260</v>
      </c>
      <c r="I1003" s="1" t="s">
        <v>261</v>
      </c>
      <c r="J1003" s="1" t="s">
        <v>262</v>
      </c>
      <c r="K1003" s="1" t="s">
        <v>263</v>
      </c>
      <c r="L1003" s="1" t="s">
        <v>575</v>
      </c>
      <c r="M1003" s="1" t="s">
        <v>265</v>
      </c>
      <c r="N1003" s="1" t="s">
        <v>266</v>
      </c>
      <c r="O1003" s="1" t="s">
        <v>576</v>
      </c>
      <c r="P1003" s="1" t="str">
        <f t="shared" si="61"/>
        <v>BC Caiaponia1SG60KTL(COM1-001)_001_00746043,135416666746043,135416666746043,3055555556</v>
      </c>
      <c r="Q1003" s="1" t="str">
        <f t="shared" si="62"/>
        <v>LIGRFOCOM</v>
      </c>
    </row>
    <row r="1004" spans="2:17">
      <c r="B1004" s="1" t="s">
        <v>268</v>
      </c>
      <c r="C1004" s="1" t="s">
        <v>270</v>
      </c>
      <c r="D1004" s="52">
        <v>46043.135416666664</v>
      </c>
      <c r="E1004" s="52">
        <v>46043.135416666664</v>
      </c>
      <c r="F1004" s="52">
        <v>46043.305555555555</v>
      </c>
      <c r="G1004" s="53">
        <f t="shared" si="58"/>
        <v>0.17013888889050577</v>
      </c>
      <c r="H1004" s="1" t="s">
        <v>260</v>
      </c>
      <c r="I1004" s="1" t="s">
        <v>261</v>
      </c>
      <c r="J1004" s="1" t="s">
        <v>262</v>
      </c>
      <c r="K1004" s="1" t="s">
        <v>263</v>
      </c>
      <c r="L1004" s="1" t="s">
        <v>575</v>
      </c>
      <c r="M1004" s="1" t="s">
        <v>265</v>
      </c>
      <c r="N1004" s="1" t="s">
        <v>266</v>
      </c>
      <c r="O1004" s="1" t="s">
        <v>576</v>
      </c>
      <c r="P1004" s="1" t="str">
        <f t="shared" si="61"/>
        <v>BC Caiaponia1SG60KTL(COM1-002)_001_01046043,135416666746043,135416666746043,3055555556</v>
      </c>
      <c r="Q1004" s="1" t="str">
        <f t="shared" si="62"/>
        <v>LIGRFOCOM</v>
      </c>
    </row>
    <row r="1005" spans="2:17">
      <c r="B1005" s="1" t="s">
        <v>268</v>
      </c>
      <c r="C1005" s="1" t="s">
        <v>271</v>
      </c>
      <c r="D1005" s="52">
        <v>46043.135416666664</v>
      </c>
      <c r="E1005" s="52">
        <v>46043.135416666664</v>
      </c>
      <c r="F1005" s="52">
        <v>46043.305555555555</v>
      </c>
      <c r="G1005" s="53">
        <f t="shared" si="58"/>
        <v>0.17013888889050577</v>
      </c>
      <c r="H1005" s="1" t="s">
        <v>260</v>
      </c>
      <c r="I1005" s="1" t="s">
        <v>261</v>
      </c>
      <c r="J1005" s="1" t="s">
        <v>262</v>
      </c>
      <c r="K1005" s="1" t="s">
        <v>263</v>
      </c>
      <c r="L1005" s="1" t="s">
        <v>575</v>
      </c>
      <c r="M1005" s="1" t="s">
        <v>265</v>
      </c>
      <c r="N1005" s="1" t="s">
        <v>266</v>
      </c>
      <c r="O1005" s="1" t="s">
        <v>576</v>
      </c>
      <c r="P1005" s="1" t="str">
        <f t="shared" si="61"/>
        <v>BC Caiaponia1SG60KTL(COM1-003)_001_01146043,135416666746043,135416666746043,3055555556</v>
      </c>
      <c r="Q1005" s="1" t="str">
        <f t="shared" si="62"/>
        <v>LIGRFOCOM</v>
      </c>
    </row>
    <row r="1006" spans="2:17">
      <c r="B1006" s="1" t="s">
        <v>268</v>
      </c>
      <c r="C1006" s="1" t="s">
        <v>272</v>
      </c>
      <c r="D1006" s="52">
        <v>46043.135416666664</v>
      </c>
      <c r="E1006" s="52">
        <v>46043.135416666664</v>
      </c>
      <c r="F1006" s="52">
        <v>46043.305555555555</v>
      </c>
      <c r="G1006" s="53">
        <f t="shared" si="58"/>
        <v>0.17013888889050577</v>
      </c>
      <c r="H1006" s="1" t="s">
        <v>260</v>
      </c>
      <c r="I1006" s="1" t="s">
        <v>261</v>
      </c>
      <c r="J1006" s="1" t="s">
        <v>262</v>
      </c>
      <c r="K1006" s="1" t="s">
        <v>263</v>
      </c>
      <c r="L1006" s="1" t="s">
        <v>575</v>
      </c>
      <c r="M1006" s="1" t="s">
        <v>265</v>
      </c>
      <c r="N1006" s="1" t="s">
        <v>266</v>
      </c>
      <c r="O1006" s="1" t="s">
        <v>576</v>
      </c>
      <c r="P1006" s="1" t="str">
        <f t="shared" si="61"/>
        <v>BC Caiaponia1SG60KTL(COM1-004)_001_01446043,135416666746043,135416666746043,3055555556</v>
      </c>
      <c r="Q1006" s="1" t="str">
        <f t="shared" si="62"/>
        <v>LIGRFOCOM</v>
      </c>
    </row>
    <row r="1007" spans="2:17">
      <c r="B1007" s="1" t="s">
        <v>268</v>
      </c>
      <c r="C1007" s="1" t="s">
        <v>273</v>
      </c>
      <c r="D1007" s="52">
        <v>46043.135416666664</v>
      </c>
      <c r="E1007" s="52">
        <v>46043.135416666664</v>
      </c>
      <c r="F1007" s="52">
        <v>46043.305555555555</v>
      </c>
      <c r="G1007" s="53">
        <f t="shared" si="58"/>
        <v>0.17013888889050577</v>
      </c>
      <c r="H1007" s="1" t="s">
        <v>260</v>
      </c>
      <c r="I1007" s="1" t="s">
        <v>261</v>
      </c>
      <c r="J1007" s="1" t="s">
        <v>262</v>
      </c>
      <c r="K1007" s="1" t="s">
        <v>263</v>
      </c>
      <c r="L1007" s="1" t="s">
        <v>575</v>
      </c>
      <c r="M1007" s="1" t="s">
        <v>265</v>
      </c>
      <c r="N1007" s="1" t="s">
        <v>266</v>
      </c>
      <c r="O1007" s="1" t="s">
        <v>576</v>
      </c>
      <c r="P1007" s="1" t="str">
        <f t="shared" si="61"/>
        <v>BC Caiaponia1SG60KTL(COM1-005)_001_01746043,135416666746043,135416666746043,3055555556</v>
      </c>
      <c r="Q1007" s="1" t="str">
        <f t="shared" si="62"/>
        <v>LIGRFOCOM</v>
      </c>
    </row>
    <row r="1008" spans="2:17">
      <c r="B1008" s="1" t="s">
        <v>268</v>
      </c>
      <c r="C1008" s="1" t="s">
        <v>274</v>
      </c>
      <c r="D1008" s="52">
        <v>46043.135416666664</v>
      </c>
      <c r="E1008" s="52">
        <v>46043.135416666664</v>
      </c>
      <c r="F1008" s="52">
        <v>46043.305555555555</v>
      </c>
      <c r="G1008" s="53">
        <f t="shared" si="58"/>
        <v>0.17013888889050577</v>
      </c>
      <c r="H1008" s="1" t="s">
        <v>260</v>
      </c>
      <c r="I1008" s="1" t="s">
        <v>261</v>
      </c>
      <c r="J1008" s="1" t="s">
        <v>262</v>
      </c>
      <c r="K1008" s="1" t="s">
        <v>263</v>
      </c>
      <c r="L1008" s="1" t="s">
        <v>575</v>
      </c>
      <c r="M1008" s="1" t="s">
        <v>265</v>
      </c>
      <c r="N1008" s="1" t="s">
        <v>266</v>
      </c>
      <c r="O1008" s="1" t="s">
        <v>576</v>
      </c>
      <c r="P1008" s="1" t="str">
        <f t="shared" si="61"/>
        <v>BC Caiaponia1SG60KTL(COM1-006)_001_01646043,135416666746043,135416666746043,3055555556</v>
      </c>
      <c r="Q1008" s="1" t="str">
        <f t="shared" si="62"/>
        <v>LIGRFOCOM</v>
      </c>
    </row>
    <row r="1009" spans="2:17">
      <c r="B1009" s="1" t="s">
        <v>268</v>
      </c>
      <c r="C1009" s="1" t="s">
        <v>275</v>
      </c>
      <c r="D1009" s="52">
        <v>46043.135416666664</v>
      </c>
      <c r="E1009" s="52">
        <v>46043.135416666664</v>
      </c>
      <c r="F1009" s="52">
        <v>46043.305555555555</v>
      </c>
      <c r="G1009" s="53">
        <f t="shared" si="58"/>
        <v>0.17013888889050577</v>
      </c>
      <c r="H1009" s="1" t="s">
        <v>260</v>
      </c>
      <c r="I1009" s="1" t="s">
        <v>261</v>
      </c>
      <c r="J1009" s="1" t="s">
        <v>262</v>
      </c>
      <c r="K1009" s="1" t="s">
        <v>263</v>
      </c>
      <c r="L1009" s="1" t="s">
        <v>575</v>
      </c>
      <c r="M1009" s="1" t="s">
        <v>265</v>
      </c>
      <c r="N1009" s="1" t="s">
        <v>266</v>
      </c>
      <c r="O1009" s="1" t="s">
        <v>576</v>
      </c>
      <c r="P1009" s="1" t="str">
        <f t="shared" si="61"/>
        <v>BC Caiaponia1SG60KTL(COM1-007)_001_01346043,135416666746043,135416666746043,3055555556</v>
      </c>
      <c r="Q1009" s="1" t="str">
        <f t="shared" si="62"/>
        <v>LIGRFOCOM</v>
      </c>
    </row>
    <row r="1010" spans="2:17">
      <c r="B1010" s="1" t="s">
        <v>268</v>
      </c>
      <c r="C1010" s="1" t="s">
        <v>276</v>
      </c>
      <c r="D1010" s="52">
        <v>46043.135416666664</v>
      </c>
      <c r="E1010" s="52">
        <v>46043.135416666664</v>
      </c>
      <c r="F1010" s="52">
        <v>46043.305555555555</v>
      </c>
      <c r="G1010" s="53">
        <f t="shared" si="58"/>
        <v>0.17013888889050577</v>
      </c>
      <c r="H1010" s="1" t="s">
        <v>260</v>
      </c>
      <c r="I1010" s="1" t="s">
        <v>261</v>
      </c>
      <c r="J1010" s="1" t="s">
        <v>262</v>
      </c>
      <c r="K1010" s="1" t="s">
        <v>263</v>
      </c>
      <c r="L1010" s="1" t="s">
        <v>575</v>
      </c>
      <c r="M1010" s="1" t="s">
        <v>265</v>
      </c>
      <c r="N1010" s="1" t="s">
        <v>266</v>
      </c>
      <c r="O1010" s="1" t="s">
        <v>576</v>
      </c>
      <c r="P1010" s="1" t="str">
        <f t="shared" si="61"/>
        <v>BC Caiaponia1SG60KTL(COM1-008)_001_00146043,135416666746043,135416666746043,3055555556</v>
      </c>
      <c r="Q1010" s="1" t="str">
        <f t="shared" si="62"/>
        <v>LIGRFOCOM</v>
      </c>
    </row>
    <row r="1011" spans="2:17">
      <c r="B1011" s="1" t="s">
        <v>268</v>
      </c>
      <c r="C1011" s="1" t="s">
        <v>277</v>
      </c>
      <c r="D1011" s="52">
        <v>46043.135416666664</v>
      </c>
      <c r="E1011" s="52">
        <v>46043.135416666664</v>
      </c>
      <c r="F1011" s="52">
        <v>46043.305555555555</v>
      </c>
      <c r="G1011" s="53">
        <f t="shared" si="58"/>
        <v>0.17013888889050577</v>
      </c>
      <c r="H1011" s="1" t="s">
        <v>260</v>
      </c>
      <c r="I1011" s="1" t="s">
        <v>261</v>
      </c>
      <c r="J1011" s="1" t="s">
        <v>262</v>
      </c>
      <c r="K1011" s="1" t="s">
        <v>263</v>
      </c>
      <c r="L1011" s="1" t="s">
        <v>575</v>
      </c>
      <c r="M1011" s="1" t="s">
        <v>265</v>
      </c>
      <c r="N1011" s="1" t="s">
        <v>266</v>
      </c>
      <c r="O1011" s="1" t="s">
        <v>576</v>
      </c>
      <c r="P1011" s="1" t="str">
        <f t="shared" si="61"/>
        <v>BC Caiaponia1SG60KTL(COM1-009)46043,135416666746043,135416666746043,3055555556</v>
      </c>
      <c r="Q1011" s="1" t="str">
        <f t="shared" si="62"/>
        <v>LIGRFOCOM</v>
      </c>
    </row>
    <row r="1012" spans="2:17">
      <c r="B1012" s="1" t="s">
        <v>268</v>
      </c>
      <c r="C1012" s="1" t="s">
        <v>278</v>
      </c>
      <c r="D1012" s="52">
        <v>46043.135416666664</v>
      </c>
      <c r="E1012" s="52">
        <v>46043.135416666664</v>
      </c>
      <c r="F1012" s="52">
        <v>46043.305555555555</v>
      </c>
      <c r="G1012" s="53">
        <f t="shared" si="58"/>
        <v>0.17013888889050577</v>
      </c>
      <c r="H1012" s="1" t="s">
        <v>260</v>
      </c>
      <c r="I1012" s="1" t="s">
        <v>261</v>
      </c>
      <c r="J1012" s="1" t="s">
        <v>262</v>
      </c>
      <c r="K1012" s="1" t="s">
        <v>263</v>
      </c>
      <c r="L1012" s="1" t="s">
        <v>575</v>
      </c>
      <c r="M1012" s="1" t="s">
        <v>265</v>
      </c>
      <c r="N1012" s="1" t="s">
        <v>266</v>
      </c>
      <c r="O1012" s="1" t="s">
        <v>576</v>
      </c>
      <c r="P1012" s="1" t="str">
        <f t="shared" si="61"/>
        <v>BC Caiaponia1SG60KTL(COM1-010)46043,135416666746043,135416666746043,3055555556</v>
      </c>
      <c r="Q1012" s="1" t="str">
        <f t="shared" si="62"/>
        <v>LIGRFOCOM</v>
      </c>
    </row>
    <row r="1013" spans="2:17">
      <c r="B1013" s="1" t="s">
        <v>268</v>
      </c>
      <c r="C1013" s="1" t="s">
        <v>279</v>
      </c>
      <c r="D1013" s="52">
        <v>46043.135416666664</v>
      </c>
      <c r="E1013" s="52">
        <v>46043.135416666664</v>
      </c>
      <c r="F1013" s="52">
        <v>46043.305555555555</v>
      </c>
      <c r="G1013" s="53">
        <f t="shared" si="58"/>
        <v>0.17013888889050577</v>
      </c>
      <c r="H1013" s="1" t="s">
        <v>260</v>
      </c>
      <c r="I1013" s="1" t="s">
        <v>261</v>
      </c>
      <c r="J1013" s="1" t="s">
        <v>262</v>
      </c>
      <c r="K1013" s="1" t="s">
        <v>263</v>
      </c>
      <c r="L1013" s="1" t="s">
        <v>575</v>
      </c>
      <c r="M1013" s="1" t="s">
        <v>265</v>
      </c>
      <c r="N1013" s="1" t="s">
        <v>266</v>
      </c>
      <c r="O1013" s="1" t="s">
        <v>576</v>
      </c>
      <c r="P1013" s="1" t="str">
        <f t="shared" si="61"/>
        <v>BC Caiaponia1SG60KTL(COM1-011)46043,135416666746043,135416666746043,3055555556</v>
      </c>
      <c r="Q1013" s="1" t="str">
        <f t="shared" si="62"/>
        <v>LIGRFOCOM</v>
      </c>
    </row>
    <row r="1014" spans="2:17">
      <c r="B1014" s="1" t="s">
        <v>268</v>
      </c>
      <c r="C1014" s="1" t="s">
        <v>280</v>
      </c>
      <c r="D1014" s="52">
        <v>46043.135416666664</v>
      </c>
      <c r="E1014" s="52">
        <v>46043.135416666664</v>
      </c>
      <c r="F1014" s="52">
        <v>46043.305555555555</v>
      </c>
      <c r="G1014" s="53">
        <f t="shared" si="58"/>
        <v>0.17013888889050577</v>
      </c>
      <c r="H1014" s="1" t="s">
        <v>260</v>
      </c>
      <c r="I1014" s="1" t="s">
        <v>261</v>
      </c>
      <c r="J1014" s="1" t="s">
        <v>262</v>
      </c>
      <c r="K1014" s="1" t="s">
        <v>263</v>
      </c>
      <c r="L1014" s="1" t="s">
        <v>575</v>
      </c>
      <c r="M1014" s="1" t="s">
        <v>265</v>
      </c>
      <c r="N1014" s="1" t="s">
        <v>266</v>
      </c>
      <c r="O1014" s="1" t="s">
        <v>576</v>
      </c>
      <c r="P1014" s="1" t="str">
        <f t="shared" si="61"/>
        <v>BC Caiaponia1SG60KTL(COM1-012)46043,135416666746043,135416666746043,3055555556</v>
      </c>
      <c r="Q1014" s="1" t="str">
        <f t="shared" si="62"/>
        <v>LIGRFOCOM</v>
      </c>
    </row>
    <row r="1015" spans="2:17">
      <c r="B1015" s="1" t="s">
        <v>268</v>
      </c>
      <c r="C1015" s="1" t="s">
        <v>281</v>
      </c>
      <c r="D1015" s="52">
        <v>46043.135416666664</v>
      </c>
      <c r="E1015" s="52">
        <v>46043.135416666664</v>
      </c>
      <c r="F1015" s="52">
        <v>46043.305555555555</v>
      </c>
      <c r="G1015" s="53">
        <f t="shared" si="58"/>
        <v>0.17013888889050577</v>
      </c>
      <c r="H1015" s="1" t="s">
        <v>260</v>
      </c>
      <c r="I1015" s="1" t="s">
        <v>261</v>
      </c>
      <c r="J1015" s="1" t="s">
        <v>262</v>
      </c>
      <c r="K1015" s="1" t="s">
        <v>263</v>
      </c>
      <c r="L1015" s="1" t="s">
        <v>575</v>
      </c>
      <c r="M1015" s="1" t="s">
        <v>265</v>
      </c>
      <c r="N1015" s="1" t="s">
        <v>266</v>
      </c>
      <c r="O1015" s="1" t="s">
        <v>576</v>
      </c>
      <c r="P1015" s="1" t="str">
        <f t="shared" si="61"/>
        <v>BC Caiaponia1SG60KTL(COM1-013)46043,135416666746043,135416666746043,3055555556</v>
      </c>
      <c r="Q1015" s="1" t="str">
        <f t="shared" si="62"/>
        <v>LIGRFOCOM</v>
      </c>
    </row>
    <row r="1016" spans="2:17">
      <c r="B1016" s="1" t="s">
        <v>268</v>
      </c>
      <c r="C1016" s="1" t="s">
        <v>282</v>
      </c>
      <c r="D1016" s="52">
        <v>46043.135416666664</v>
      </c>
      <c r="E1016" s="52">
        <v>46043.135416666664</v>
      </c>
      <c r="F1016" s="52">
        <v>46043.305555555555</v>
      </c>
      <c r="G1016" s="53">
        <f t="shared" si="58"/>
        <v>0.17013888889050577</v>
      </c>
      <c r="H1016" s="1" t="s">
        <v>260</v>
      </c>
      <c r="I1016" s="1" t="s">
        <v>261</v>
      </c>
      <c r="J1016" s="1" t="s">
        <v>262</v>
      </c>
      <c r="K1016" s="1" t="s">
        <v>263</v>
      </c>
      <c r="L1016" s="1" t="s">
        <v>575</v>
      </c>
      <c r="M1016" s="1" t="s">
        <v>265</v>
      </c>
      <c r="N1016" s="1" t="s">
        <v>266</v>
      </c>
      <c r="O1016" s="1" t="s">
        <v>576</v>
      </c>
      <c r="P1016" s="1" t="str">
        <f t="shared" si="61"/>
        <v>BC Caiaponia1SG60KTL(COM1-014)46043,135416666746043,135416666746043,3055555556</v>
      </c>
      <c r="Q1016" s="1" t="str">
        <f t="shared" si="62"/>
        <v>LIGRFOCOM</v>
      </c>
    </row>
    <row r="1017" spans="2:17">
      <c r="B1017" s="1" t="s">
        <v>268</v>
      </c>
      <c r="C1017" s="1" t="s">
        <v>283</v>
      </c>
      <c r="D1017" s="52">
        <v>46043.135416666664</v>
      </c>
      <c r="E1017" s="52">
        <v>46043.135416666664</v>
      </c>
      <c r="F1017" s="52">
        <v>46043.305555555555</v>
      </c>
      <c r="G1017" s="53">
        <f t="shared" ref="G1017:G1080" si="63">F1017-E1017</f>
        <v>0.17013888889050577</v>
      </c>
      <c r="H1017" s="1" t="s">
        <v>260</v>
      </c>
      <c r="I1017" s="1" t="s">
        <v>261</v>
      </c>
      <c r="J1017" s="1" t="s">
        <v>262</v>
      </c>
      <c r="K1017" s="1" t="s">
        <v>263</v>
      </c>
      <c r="L1017" s="1" t="s">
        <v>575</v>
      </c>
      <c r="M1017" s="1" t="s">
        <v>265</v>
      </c>
      <c r="N1017" s="1" t="s">
        <v>266</v>
      </c>
      <c r="O1017" s="1" t="s">
        <v>576</v>
      </c>
      <c r="P1017" s="1" t="str">
        <f t="shared" si="61"/>
        <v>BC Caiaponia1SG60KTL(COM1-015)46043,135416666746043,135416666746043,3055555556</v>
      </c>
      <c r="Q1017" s="1" t="str">
        <f t="shared" si="62"/>
        <v>LIGRFOCOM</v>
      </c>
    </row>
    <row r="1018" spans="2:17">
      <c r="B1018" s="1" t="s">
        <v>268</v>
      </c>
      <c r="C1018" s="1" t="s">
        <v>284</v>
      </c>
      <c r="D1018" s="52">
        <v>46043.135416666664</v>
      </c>
      <c r="E1018" s="52">
        <v>46043.135416666664</v>
      </c>
      <c r="F1018" s="52">
        <v>46043.305555555555</v>
      </c>
      <c r="G1018" s="53">
        <f t="shared" si="63"/>
        <v>0.17013888889050577</v>
      </c>
      <c r="H1018" s="1" t="s">
        <v>260</v>
      </c>
      <c r="I1018" s="1" t="s">
        <v>261</v>
      </c>
      <c r="J1018" s="1" t="s">
        <v>262</v>
      </c>
      <c r="K1018" s="1" t="s">
        <v>263</v>
      </c>
      <c r="L1018" s="1" t="s">
        <v>575</v>
      </c>
      <c r="M1018" s="1" t="s">
        <v>265</v>
      </c>
      <c r="N1018" s="1" t="s">
        <v>266</v>
      </c>
      <c r="O1018" s="1" t="s">
        <v>576</v>
      </c>
      <c r="P1018" s="1" t="str">
        <f t="shared" si="61"/>
        <v>BC Caiaponia1SG60KTL(COM3-016)_001_00946043,135416666746043,135416666746043,3055555556</v>
      </c>
      <c r="Q1018" s="1" t="str">
        <f t="shared" si="62"/>
        <v>LIGRFOCOM</v>
      </c>
    </row>
    <row r="1019" spans="2:17">
      <c r="B1019" s="1" t="s">
        <v>268</v>
      </c>
      <c r="C1019" s="1" t="s">
        <v>285</v>
      </c>
      <c r="D1019" s="52">
        <v>46043.135416666664</v>
      </c>
      <c r="E1019" s="52">
        <v>46043.135416666664</v>
      </c>
      <c r="F1019" s="52">
        <v>46043.305555555555</v>
      </c>
      <c r="G1019" s="53">
        <f t="shared" si="63"/>
        <v>0.17013888889050577</v>
      </c>
      <c r="H1019" s="1" t="s">
        <v>260</v>
      </c>
      <c r="I1019" s="1" t="s">
        <v>261</v>
      </c>
      <c r="J1019" s="1" t="s">
        <v>262</v>
      </c>
      <c r="K1019" s="1" t="s">
        <v>263</v>
      </c>
      <c r="L1019" s="1" t="s">
        <v>575</v>
      </c>
      <c r="M1019" s="1" t="s">
        <v>265</v>
      </c>
      <c r="N1019" s="1" t="s">
        <v>266</v>
      </c>
      <c r="O1019" s="1" t="s">
        <v>576</v>
      </c>
      <c r="P1019" s="1" t="str">
        <f t="shared" si="61"/>
        <v>BC Caiaponia1SG60KTL(COM3-017)_001_01246043,135416666746043,135416666746043,3055555556</v>
      </c>
      <c r="Q1019" s="1" t="str">
        <f t="shared" si="62"/>
        <v>LIGRFOCOM</v>
      </c>
    </row>
    <row r="1020" spans="2:17">
      <c r="B1020" s="1" t="s">
        <v>268</v>
      </c>
      <c r="C1020" s="1" t="s">
        <v>286</v>
      </c>
      <c r="D1020" s="52">
        <v>46043.135416666664</v>
      </c>
      <c r="E1020" s="52">
        <v>46043.135416666664</v>
      </c>
      <c r="F1020" s="52">
        <v>46043.305555555555</v>
      </c>
      <c r="G1020" s="53">
        <f t="shared" si="63"/>
        <v>0.17013888889050577</v>
      </c>
      <c r="H1020" s="1" t="s">
        <v>260</v>
      </c>
      <c r="I1020" s="1" t="s">
        <v>261</v>
      </c>
      <c r="J1020" s="1" t="s">
        <v>262</v>
      </c>
      <c r="K1020" s="1" t="s">
        <v>263</v>
      </c>
      <c r="L1020" s="1" t="s">
        <v>575</v>
      </c>
      <c r="M1020" s="1" t="s">
        <v>265</v>
      </c>
      <c r="N1020" s="1" t="s">
        <v>266</v>
      </c>
      <c r="O1020" s="1" t="s">
        <v>576</v>
      </c>
      <c r="P1020" s="1" t="str">
        <f t="shared" si="61"/>
        <v>BC Caiaponia1SG60KTL(COM3-018)_001_00846043,135416666746043,135416666746043,3055555556</v>
      </c>
      <c r="Q1020" s="1" t="str">
        <f t="shared" si="62"/>
        <v>LIGRFOCOM</v>
      </c>
    </row>
    <row r="1021" spans="2:17">
      <c r="B1021" s="1" t="s">
        <v>268</v>
      </c>
      <c r="C1021" s="1" t="s">
        <v>287</v>
      </c>
      <c r="D1021" s="52">
        <v>46043.135416666664</v>
      </c>
      <c r="E1021" s="52">
        <v>46043.135416666664</v>
      </c>
      <c r="F1021" s="52">
        <v>46043.305555555555</v>
      </c>
      <c r="G1021" s="53">
        <f t="shared" si="63"/>
        <v>0.17013888889050577</v>
      </c>
      <c r="H1021" s="1" t="s">
        <v>260</v>
      </c>
      <c r="I1021" s="1" t="s">
        <v>261</v>
      </c>
      <c r="J1021" s="1" t="s">
        <v>262</v>
      </c>
      <c r="K1021" s="1" t="s">
        <v>263</v>
      </c>
      <c r="L1021" s="1" t="s">
        <v>575</v>
      </c>
      <c r="M1021" s="1" t="s">
        <v>265</v>
      </c>
      <c r="N1021" s="1" t="s">
        <v>266</v>
      </c>
      <c r="O1021" s="1" t="s">
        <v>576</v>
      </c>
      <c r="P1021" s="1" t="str">
        <f t="shared" si="61"/>
        <v>BC Caiaponia1SG60KTL(COM3-019)_001_01946043,135416666746043,135416666746043,3055555556</v>
      </c>
      <c r="Q1021" s="1" t="str">
        <f t="shared" si="62"/>
        <v>LIGRFOCOM</v>
      </c>
    </row>
    <row r="1022" spans="2:17">
      <c r="B1022" s="1" t="s">
        <v>268</v>
      </c>
      <c r="C1022" s="1" t="s">
        <v>288</v>
      </c>
      <c r="D1022" s="52">
        <v>46043.135416666664</v>
      </c>
      <c r="E1022" s="52">
        <v>46043.135416666664</v>
      </c>
      <c r="F1022" s="52">
        <v>46043.305555555555</v>
      </c>
      <c r="G1022" s="53">
        <f t="shared" si="63"/>
        <v>0.17013888889050577</v>
      </c>
      <c r="H1022" s="1" t="s">
        <v>260</v>
      </c>
      <c r="I1022" s="1" t="s">
        <v>261</v>
      </c>
      <c r="J1022" s="1" t="s">
        <v>262</v>
      </c>
      <c r="K1022" s="1" t="s">
        <v>263</v>
      </c>
      <c r="L1022" s="1" t="s">
        <v>575</v>
      </c>
      <c r="M1022" s="1" t="s">
        <v>265</v>
      </c>
      <c r="N1022" s="1" t="s">
        <v>266</v>
      </c>
      <c r="O1022" s="1" t="s">
        <v>576</v>
      </c>
      <c r="P1022" s="1" t="str">
        <f t="shared" si="61"/>
        <v>BC Caiaponia1SG60KTL(COM3-020)_001_02046043,135416666746043,135416666746043,3055555556</v>
      </c>
      <c r="Q1022" s="1" t="str">
        <f t="shared" si="62"/>
        <v>LIGRFOCOM</v>
      </c>
    </row>
    <row r="1023" spans="2:17">
      <c r="B1023" s="1" t="s">
        <v>268</v>
      </c>
      <c r="C1023" s="1" t="s">
        <v>289</v>
      </c>
      <c r="D1023" s="52">
        <v>46043.135416666664</v>
      </c>
      <c r="E1023" s="52">
        <v>46043.135416666664</v>
      </c>
      <c r="F1023" s="52">
        <v>46043.305555555555</v>
      </c>
      <c r="G1023" s="53">
        <f t="shared" si="63"/>
        <v>0.17013888889050577</v>
      </c>
      <c r="H1023" s="1" t="s">
        <v>260</v>
      </c>
      <c r="I1023" s="1" t="s">
        <v>261</v>
      </c>
      <c r="J1023" s="1" t="s">
        <v>262</v>
      </c>
      <c r="K1023" s="1" t="s">
        <v>263</v>
      </c>
      <c r="L1023" s="1" t="s">
        <v>575</v>
      </c>
      <c r="M1023" s="1" t="s">
        <v>265</v>
      </c>
      <c r="N1023" s="1" t="s">
        <v>266</v>
      </c>
      <c r="O1023" s="1" t="s">
        <v>576</v>
      </c>
      <c r="P1023" s="1" t="str">
        <f t="shared" si="61"/>
        <v>BC Caiaponia1SG60KTL(COM2-026)46043,135416666746043,135416666746043,3055555556</v>
      </c>
      <c r="Q1023" s="1" t="str">
        <f t="shared" si="62"/>
        <v>LIGRFOCOM</v>
      </c>
    </row>
    <row r="1024" spans="2:17">
      <c r="B1024" s="1" t="s">
        <v>268</v>
      </c>
      <c r="C1024" s="1" t="s">
        <v>290</v>
      </c>
      <c r="D1024" s="52">
        <v>46043.135416666664</v>
      </c>
      <c r="E1024" s="52">
        <v>46043.135416666664</v>
      </c>
      <c r="F1024" s="52">
        <v>46043.305555555555</v>
      </c>
      <c r="G1024" s="53">
        <f t="shared" si="63"/>
        <v>0.17013888889050577</v>
      </c>
      <c r="H1024" s="1" t="s">
        <v>260</v>
      </c>
      <c r="I1024" s="1" t="s">
        <v>261</v>
      </c>
      <c r="J1024" s="1" t="s">
        <v>262</v>
      </c>
      <c r="K1024" s="1" t="s">
        <v>263</v>
      </c>
      <c r="L1024" s="1" t="s">
        <v>575</v>
      </c>
      <c r="M1024" s="1" t="s">
        <v>265</v>
      </c>
      <c r="N1024" s="1" t="s">
        <v>266</v>
      </c>
      <c r="O1024" s="1" t="s">
        <v>576</v>
      </c>
      <c r="P1024" s="1" t="str">
        <f t="shared" si="61"/>
        <v>BC Caiaponia1SG60KTL(COM2-027)46043,135416666746043,135416666746043,3055555556</v>
      </c>
      <c r="Q1024" s="1" t="str">
        <f t="shared" si="62"/>
        <v>LIGRFOCOM</v>
      </c>
    </row>
    <row r="1025" spans="2:17">
      <c r="B1025" s="1" t="s">
        <v>268</v>
      </c>
      <c r="C1025" s="1" t="s">
        <v>291</v>
      </c>
      <c r="D1025" s="52">
        <v>46043.135416666664</v>
      </c>
      <c r="E1025" s="52">
        <v>46043.135416666664</v>
      </c>
      <c r="F1025" s="52">
        <v>46043.305555555555</v>
      </c>
      <c r="G1025" s="53">
        <f t="shared" si="63"/>
        <v>0.17013888889050577</v>
      </c>
      <c r="H1025" s="1" t="s">
        <v>260</v>
      </c>
      <c r="I1025" s="1" t="s">
        <v>261</v>
      </c>
      <c r="J1025" s="1" t="s">
        <v>262</v>
      </c>
      <c r="K1025" s="1" t="s">
        <v>263</v>
      </c>
      <c r="L1025" s="1" t="s">
        <v>575</v>
      </c>
      <c r="M1025" s="1" t="s">
        <v>265</v>
      </c>
      <c r="N1025" s="1" t="s">
        <v>266</v>
      </c>
      <c r="O1025" s="1" t="s">
        <v>576</v>
      </c>
      <c r="P1025" s="1" t="str">
        <f t="shared" si="61"/>
        <v>BC Caiaponia1SG60KTL(COM2-028)46043,135416666746043,135416666746043,3055555556</v>
      </c>
      <c r="Q1025" s="1" t="str">
        <f t="shared" si="62"/>
        <v>LIGRFOCOM</v>
      </c>
    </row>
    <row r="1026" spans="2:17">
      <c r="B1026" s="1" t="s">
        <v>268</v>
      </c>
      <c r="C1026" s="1" t="s">
        <v>292</v>
      </c>
      <c r="D1026" s="52">
        <v>46043.135416666664</v>
      </c>
      <c r="E1026" s="52">
        <v>46043.135416666664</v>
      </c>
      <c r="F1026" s="52">
        <v>46043.305555555555</v>
      </c>
      <c r="G1026" s="53">
        <f t="shared" si="63"/>
        <v>0.17013888889050577</v>
      </c>
      <c r="H1026" s="1" t="s">
        <v>260</v>
      </c>
      <c r="I1026" s="1" t="s">
        <v>261</v>
      </c>
      <c r="J1026" s="1" t="s">
        <v>262</v>
      </c>
      <c r="K1026" s="1" t="s">
        <v>263</v>
      </c>
      <c r="L1026" s="1" t="s">
        <v>575</v>
      </c>
      <c r="M1026" s="1" t="s">
        <v>265</v>
      </c>
      <c r="N1026" s="1" t="s">
        <v>266</v>
      </c>
      <c r="O1026" s="1" t="s">
        <v>576</v>
      </c>
      <c r="P1026" s="1" t="str">
        <f t="shared" si="61"/>
        <v>BC Caiaponia1SG60KTL(COM2-029)46043,135416666746043,135416666746043,3055555556</v>
      </c>
      <c r="Q1026" s="1" t="str">
        <f t="shared" si="62"/>
        <v>LIGRFOCOM</v>
      </c>
    </row>
    <row r="1027" spans="2:17">
      <c r="B1027" s="1" t="s">
        <v>268</v>
      </c>
      <c r="C1027" s="1" t="s">
        <v>293</v>
      </c>
      <c r="D1027" s="52">
        <v>46043.135416666664</v>
      </c>
      <c r="E1027" s="52">
        <v>46043.135416666664</v>
      </c>
      <c r="F1027" s="52">
        <v>46043.305555555555</v>
      </c>
      <c r="G1027" s="53">
        <f t="shared" si="63"/>
        <v>0.17013888889050577</v>
      </c>
      <c r="H1027" s="1" t="s">
        <v>260</v>
      </c>
      <c r="I1027" s="1" t="s">
        <v>261</v>
      </c>
      <c r="J1027" s="1" t="s">
        <v>262</v>
      </c>
      <c r="K1027" s="1" t="s">
        <v>263</v>
      </c>
      <c r="L1027" s="1" t="s">
        <v>575</v>
      </c>
      <c r="M1027" s="1" t="s">
        <v>265</v>
      </c>
      <c r="N1027" s="1" t="s">
        <v>266</v>
      </c>
      <c r="O1027" s="1" t="s">
        <v>576</v>
      </c>
      <c r="P1027" s="1" t="str">
        <f t="shared" si="61"/>
        <v>BC Caiaponia1SG50CX(COM1-021)46043,135416666746043,135416666746043,3055555556</v>
      </c>
      <c r="Q1027" s="1" t="str">
        <f t="shared" si="62"/>
        <v>LIGRFOCOM</v>
      </c>
    </row>
    <row r="1028" spans="2:17">
      <c r="B1028" s="1" t="s">
        <v>268</v>
      </c>
      <c r="C1028" s="1" t="s">
        <v>294</v>
      </c>
      <c r="D1028" s="52">
        <v>46043.135416666664</v>
      </c>
      <c r="E1028" s="52">
        <v>46043.135416666664</v>
      </c>
      <c r="F1028" s="52">
        <v>46043.305555555555</v>
      </c>
      <c r="G1028" s="53">
        <f t="shared" si="63"/>
        <v>0.17013888889050577</v>
      </c>
      <c r="H1028" s="1" t="s">
        <v>260</v>
      </c>
      <c r="I1028" s="1" t="s">
        <v>261</v>
      </c>
      <c r="J1028" s="1" t="s">
        <v>262</v>
      </c>
      <c r="K1028" s="1" t="s">
        <v>263</v>
      </c>
      <c r="L1028" s="1" t="s">
        <v>575</v>
      </c>
      <c r="M1028" s="1" t="s">
        <v>265</v>
      </c>
      <c r="N1028" s="1" t="s">
        <v>266</v>
      </c>
      <c r="O1028" s="1" t="s">
        <v>576</v>
      </c>
      <c r="P1028" s="1" t="str">
        <f t="shared" si="61"/>
        <v>BC Caiaponia1SG50CX(COM1-022)46043,135416666746043,135416666746043,3055555556</v>
      </c>
      <c r="Q1028" s="1" t="str">
        <f t="shared" si="62"/>
        <v>LIGRFOCOM</v>
      </c>
    </row>
    <row r="1029" spans="2:17">
      <c r="B1029" s="1" t="s">
        <v>268</v>
      </c>
      <c r="C1029" s="1" t="s">
        <v>295</v>
      </c>
      <c r="D1029" s="52">
        <v>46043.135416666664</v>
      </c>
      <c r="E1029" s="52">
        <v>46043.135416666664</v>
      </c>
      <c r="F1029" s="52">
        <v>46043.305555555555</v>
      </c>
      <c r="G1029" s="53">
        <f t="shared" si="63"/>
        <v>0.17013888889050577</v>
      </c>
      <c r="H1029" s="1" t="s">
        <v>260</v>
      </c>
      <c r="I1029" s="1" t="s">
        <v>261</v>
      </c>
      <c r="J1029" s="1" t="s">
        <v>262</v>
      </c>
      <c r="K1029" s="1" t="s">
        <v>263</v>
      </c>
      <c r="L1029" s="1" t="s">
        <v>575</v>
      </c>
      <c r="M1029" s="1" t="s">
        <v>265</v>
      </c>
      <c r="N1029" s="1" t="s">
        <v>266</v>
      </c>
      <c r="O1029" s="1" t="s">
        <v>576</v>
      </c>
      <c r="P1029" s="1" t="str">
        <f t="shared" si="61"/>
        <v>BC Caiaponia1SG50CX(COM1-023)46043,135416666746043,135416666746043,3055555556</v>
      </c>
      <c r="Q1029" s="1" t="str">
        <f t="shared" si="62"/>
        <v>LIGRFOCOM</v>
      </c>
    </row>
    <row r="1030" spans="2:17">
      <c r="B1030" s="1" t="s">
        <v>268</v>
      </c>
      <c r="C1030" s="1" t="s">
        <v>296</v>
      </c>
      <c r="D1030" s="52">
        <v>46043.135416666664</v>
      </c>
      <c r="E1030" s="52">
        <v>46043.135416666664</v>
      </c>
      <c r="F1030" s="52">
        <v>46043.305555555555</v>
      </c>
      <c r="G1030" s="53">
        <f t="shared" si="63"/>
        <v>0.17013888889050577</v>
      </c>
      <c r="H1030" s="1" t="s">
        <v>260</v>
      </c>
      <c r="I1030" s="1" t="s">
        <v>261</v>
      </c>
      <c r="J1030" s="1" t="s">
        <v>262</v>
      </c>
      <c r="K1030" s="1" t="s">
        <v>263</v>
      </c>
      <c r="L1030" s="1" t="s">
        <v>575</v>
      </c>
      <c r="M1030" s="1" t="s">
        <v>265</v>
      </c>
      <c r="N1030" s="1" t="s">
        <v>266</v>
      </c>
      <c r="O1030" s="1" t="s">
        <v>576</v>
      </c>
      <c r="P1030" s="1" t="str">
        <f t="shared" si="61"/>
        <v>BC Caiaponia1SG50CX(COM1-024)46043,135416666746043,135416666746043,3055555556</v>
      </c>
      <c r="Q1030" s="1" t="str">
        <f t="shared" si="62"/>
        <v>LIGRFOCOM</v>
      </c>
    </row>
    <row r="1031" spans="2:17">
      <c r="B1031" s="1" t="s">
        <v>268</v>
      </c>
      <c r="C1031" s="1" t="s">
        <v>297</v>
      </c>
      <c r="D1031" s="52">
        <v>46043.135416666664</v>
      </c>
      <c r="E1031" s="52">
        <v>46043.135416666664</v>
      </c>
      <c r="F1031" s="52">
        <v>46043.305555555555</v>
      </c>
      <c r="G1031" s="53">
        <f t="shared" si="63"/>
        <v>0.17013888889050577</v>
      </c>
      <c r="H1031" s="1" t="s">
        <v>260</v>
      </c>
      <c r="I1031" s="1" t="s">
        <v>261</v>
      </c>
      <c r="J1031" s="1" t="s">
        <v>262</v>
      </c>
      <c r="K1031" s="1" t="s">
        <v>263</v>
      </c>
      <c r="L1031" s="1" t="s">
        <v>575</v>
      </c>
      <c r="M1031" s="1" t="s">
        <v>265</v>
      </c>
      <c r="N1031" s="1" t="s">
        <v>266</v>
      </c>
      <c r="O1031" s="1" t="s">
        <v>576</v>
      </c>
      <c r="P1031" s="1" t="str">
        <f t="shared" si="61"/>
        <v>BC Caiaponia1SG50CX(COM1-025)46043,135416666746043,135416666746043,3055555556</v>
      </c>
      <c r="Q1031" s="1" t="str">
        <f t="shared" si="62"/>
        <v>LIGRFOCOM</v>
      </c>
    </row>
    <row r="1032" spans="2:17">
      <c r="B1032" s="1" t="s">
        <v>298</v>
      </c>
      <c r="C1032" s="1" t="s">
        <v>317</v>
      </c>
      <c r="D1032" s="52">
        <v>46043.694444444445</v>
      </c>
      <c r="E1032" s="52">
        <v>46043.694444444445</v>
      </c>
      <c r="F1032" s="52">
        <v>46043.711111111108</v>
      </c>
      <c r="G1032" s="53">
        <f t="shared" si="63"/>
        <v>1.6666666662786156E-2</v>
      </c>
      <c r="H1032" s="1" t="s">
        <v>248</v>
      </c>
      <c r="J1032" s="1" t="s">
        <v>249</v>
      </c>
      <c r="K1032" s="1" t="s">
        <v>349</v>
      </c>
      <c r="L1032" s="1" t="s">
        <v>577</v>
      </c>
      <c r="M1032" s="1" t="s">
        <v>375</v>
      </c>
      <c r="N1032" s="1" t="s">
        <v>266</v>
      </c>
      <c r="O1032" s="1" t="s">
        <v>578</v>
      </c>
      <c r="P1032" s="1" t="str">
        <f t="shared" si="61"/>
        <v>BC Aracu2araçu 2.3 inversor 446043,694444444446043,694444444446043,7111111111</v>
      </c>
      <c r="Q1032" s="1" t="str">
        <f t="shared" si="62"/>
        <v>DAURDE</v>
      </c>
    </row>
    <row r="1033" spans="2:17">
      <c r="B1033" s="1" t="s">
        <v>429</v>
      </c>
      <c r="C1033" s="1" t="s">
        <v>357</v>
      </c>
      <c r="D1033" s="52">
        <v>46044.548611111109</v>
      </c>
      <c r="E1033" s="52">
        <v>46044.548611111109</v>
      </c>
      <c r="F1033" s="52">
        <v>46044.5625</v>
      </c>
      <c r="G1033" s="53">
        <f t="shared" si="63"/>
        <v>1.3888888890505768E-2</v>
      </c>
      <c r="H1033" s="1" t="s">
        <v>260</v>
      </c>
      <c r="I1033" s="1" t="s">
        <v>261</v>
      </c>
      <c r="J1033" s="1" t="s">
        <v>262</v>
      </c>
      <c r="K1033" s="1" t="s">
        <v>263</v>
      </c>
      <c r="L1033" s="1" t="s">
        <v>579</v>
      </c>
      <c r="M1033" s="1" t="s">
        <v>265</v>
      </c>
      <c r="N1033" s="1" t="s">
        <v>580</v>
      </c>
      <c r="O1033" s="1" t="s">
        <v>581</v>
      </c>
      <c r="P1033" s="1" t="str">
        <f t="shared" si="61"/>
        <v>BC Formoso1.1Inverter(MBUS-13)46044,548611111146044,548611111146044,5625</v>
      </c>
      <c r="Q1033" s="1" t="str">
        <f t="shared" si="62"/>
        <v>LIGRFOCOM</v>
      </c>
    </row>
    <row r="1034" spans="2:17">
      <c r="B1034" s="1" t="s">
        <v>429</v>
      </c>
      <c r="C1034" s="1" t="s">
        <v>354</v>
      </c>
      <c r="D1034" s="52">
        <v>46044.548611111109</v>
      </c>
      <c r="E1034" s="52">
        <v>46044.548611111109</v>
      </c>
      <c r="F1034" s="52">
        <v>46044.5625</v>
      </c>
      <c r="G1034" s="53">
        <f t="shared" si="63"/>
        <v>1.3888888890505768E-2</v>
      </c>
      <c r="H1034" s="1" t="s">
        <v>260</v>
      </c>
      <c r="I1034" s="1" t="s">
        <v>261</v>
      </c>
      <c r="J1034" s="1" t="s">
        <v>262</v>
      </c>
      <c r="K1034" s="1" t="s">
        <v>263</v>
      </c>
      <c r="L1034" s="1" t="s">
        <v>579</v>
      </c>
      <c r="M1034" s="1" t="s">
        <v>265</v>
      </c>
      <c r="N1034" s="1" t="s">
        <v>580</v>
      </c>
      <c r="O1034" s="1" t="s">
        <v>581</v>
      </c>
      <c r="P1034" s="1" t="str">
        <f t="shared" si="61"/>
        <v>BC Formoso1.1Inverter(MBUS-12)46044,548611111146044,548611111146044,5625</v>
      </c>
      <c r="Q1034" s="1" t="str">
        <f t="shared" si="62"/>
        <v>LIGRFOCOM</v>
      </c>
    </row>
    <row r="1035" spans="2:17">
      <c r="B1035" s="1" t="s">
        <v>429</v>
      </c>
      <c r="C1035" s="1" t="s">
        <v>359</v>
      </c>
      <c r="D1035" s="52">
        <v>46044.548611111109</v>
      </c>
      <c r="E1035" s="52">
        <v>46044.548611111109</v>
      </c>
      <c r="F1035" s="52">
        <v>46044.5625</v>
      </c>
      <c r="G1035" s="53">
        <f t="shared" si="63"/>
        <v>1.3888888890505768E-2</v>
      </c>
      <c r="H1035" s="1" t="s">
        <v>260</v>
      </c>
      <c r="I1035" s="1" t="s">
        <v>261</v>
      </c>
      <c r="J1035" s="1" t="s">
        <v>262</v>
      </c>
      <c r="K1035" s="1" t="s">
        <v>263</v>
      </c>
      <c r="L1035" s="1" t="s">
        <v>579</v>
      </c>
      <c r="M1035" s="1" t="s">
        <v>265</v>
      </c>
      <c r="N1035" s="1" t="s">
        <v>580</v>
      </c>
      <c r="O1035" s="1" t="s">
        <v>581</v>
      </c>
      <c r="P1035" s="1" t="str">
        <f t="shared" si="61"/>
        <v>BC Formoso1.1Inverter(MBUS-15)46044,548611111146044,548611111146044,5625</v>
      </c>
      <c r="Q1035" s="1" t="str">
        <f t="shared" si="62"/>
        <v>LIGRFOCOM</v>
      </c>
    </row>
    <row r="1036" spans="2:17">
      <c r="B1036" s="1" t="s">
        <v>429</v>
      </c>
      <c r="C1036" s="1" t="s">
        <v>358</v>
      </c>
      <c r="D1036" s="52">
        <v>46044.548611111109</v>
      </c>
      <c r="E1036" s="52">
        <v>46044.548611111109</v>
      </c>
      <c r="F1036" s="52">
        <v>46044.5625</v>
      </c>
      <c r="G1036" s="53">
        <f t="shared" si="63"/>
        <v>1.3888888890505768E-2</v>
      </c>
      <c r="H1036" s="1" t="s">
        <v>260</v>
      </c>
      <c r="I1036" s="1" t="s">
        <v>261</v>
      </c>
      <c r="J1036" s="1" t="s">
        <v>262</v>
      </c>
      <c r="K1036" s="1" t="s">
        <v>263</v>
      </c>
      <c r="L1036" s="1" t="s">
        <v>579</v>
      </c>
      <c r="M1036" s="1" t="s">
        <v>265</v>
      </c>
      <c r="N1036" s="1" t="s">
        <v>580</v>
      </c>
      <c r="O1036" s="1" t="s">
        <v>581</v>
      </c>
      <c r="P1036" s="1" t="str">
        <f t="shared" si="61"/>
        <v>BC Formoso1.1Inverter(MBUS-14)46044,548611111146044,548611111146044,5625</v>
      </c>
      <c r="Q1036" s="1" t="str">
        <f t="shared" si="62"/>
        <v>LIGRFOCOM</v>
      </c>
    </row>
    <row r="1037" spans="2:17">
      <c r="B1037" s="1" t="s">
        <v>41</v>
      </c>
      <c r="C1037" s="1" t="s">
        <v>299</v>
      </c>
      <c r="D1037" s="52">
        <v>46045.425000000003</v>
      </c>
      <c r="E1037" s="52">
        <v>46045.425000000003</v>
      </c>
      <c r="F1037" s="52">
        <v>46045.631944444445</v>
      </c>
      <c r="G1037" s="53">
        <f t="shared" si="63"/>
        <v>0.2069444444423425</v>
      </c>
      <c r="H1037" s="1" t="s">
        <v>343</v>
      </c>
      <c r="J1037" s="1" t="s">
        <v>230</v>
      </c>
      <c r="K1037" s="1" t="s">
        <v>230</v>
      </c>
      <c r="L1037" s="1" t="s">
        <v>582</v>
      </c>
      <c r="M1037" s="1" t="s">
        <v>302</v>
      </c>
      <c r="N1037" s="1" t="s">
        <v>345</v>
      </c>
      <c r="O1037" s="1" t="s">
        <v>583</v>
      </c>
      <c r="P1037" s="1" t="str">
        <f t="shared" si="61"/>
        <v>BC Bom SucessoSG60KTL46045,42546045,42546045,6319444444</v>
      </c>
      <c r="Q1037" s="1" t="str">
        <f t="shared" si="62"/>
        <v>DPRUFV</v>
      </c>
    </row>
    <row r="1038" spans="2:17">
      <c r="B1038" s="1" t="s">
        <v>41</v>
      </c>
      <c r="C1038" s="1" t="s">
        <v>584</v>
      </c>
      <c r="D1038" s="52">
        <v>46045.425000000003</v>
      </c>
      <c r="E1038" s="52">
        <v>46045.425000000003</v>
      </c>
      <c r="F1038" s="52">
        <v>46045.631944444445</v>
      </c>
      <c r="G1038" s="53">
        <f t="shared" si="63"/>
        <v>0.2069444444423425</v>
      </c>
      <c r="H1038" s="1" t="s">
        <v>343</v>
      </c>
      <c r="J1038" s="1" t="s">
        <v>230</v>
      </c>
      <c r="K1038" s="1" t="s">
        <v>230</v>
      </c>
      <c r="L1038" s="1" t="s">
        <v>582</v>
      </c>
      <c r="M1038" s="1" t="s">
        <v>302</v>
      </c>
      <c r="N1038" s="1" t="s">
        <v>345</v>
      </c>
      <c r="O1038" s="1" t="s">
        <v>583</v>
      </c>
      <c r="P1038" s="1" t="str">
        <f t="shared" si="61"/>
        <v>BC Bom SucessoI46045,42546045,42546045,6319444444</v>
      </c>
      <c r="Q1038" s="1" t="str">
        <f t="shared" si="62"/>
        <v>DPRUFV</v>
      </c>
    </row>
    <row r="1039" spans="2:17">
      <c r="B1039" s="1" t="s">
        <v>41</v>
      </c>
      <c r="C1039" s="1" t="s">
        <v>585</v>
      </c>
      <c r="D1039" s="52">
        <v>46045.425000000003</v>
      </c>
      <c r="E1039" s="52">
        <v>46045.425000000003</v>
      </c>
      <c r="F1039" s="52">
        <v>46045.631944444445</v>
      </c>
      <c r="G1039" s="53">
        <f t="shared" si="63"/>
        <v>0.2069444444423425</v>
      </c>
      <c r="H1039" s="1" t="s">
        <v>343</v>
      </c>
      <c r="J1039" s="1" t="s">
        <v>230</v>
      </c>
      <c r="K1039" s="1" t="s">
        <v>230</v>
      </c>
      <c r="L1039" s="1" t="s">
        <v>582</v>
      </c>
      <c r="M1039" s="1" t="s">
        <v>302</v>
      </c>
      <c r="N1039" s="1" t="s">
        <v>345</v>
      </c>
      <c r="O1039" s="1" t="s">
        <v>583</v>
      </c>
      <c r="P1039" s="1" t="str">
        <f t="shared" si="61"/>
        <v>BC Bom SucessoG46045,42546045,42546045,6319444444</v>
      </c>
      <c r="Q1039" s="1" t="str">
        <f t="shared" si="62"/>
        <v>DPRUFV</v>
      </c>
    </row>
    <row r="1040" spans="2:17">
      <c r="B1040" s="1" t="s">
        <v>41</v>
      </c>
      <c r="C1040" s="1" t="s">
        <v>586</v>
      </c>
      <c r="D1040" s="52">
        <v>46045.425000000003</v>
      </c>
      <c r="E1040" s="52">
        <v>46045.425000000003</v>
      </c>
      <c r="F1040" s="52">
        <v>46045.631944444445</v>
      </c>
      <c r="G1040" s="53">
        <f t="shared" si="63"/>
        <v>0.2069444444423425</v>
      </c>
      <c r="H1040" s="1" t="s">
        <v>343</v>
      </c>
      <c r="J1040" s="1" t="s">
        <v>230</v>
      </c>
      <c r="K1040" s="1" t="s">
        <v>230</v>
      </c>
      <c r="L1040" s="1" t="s">
        <v>582</v>
      </c>
      <c r="M1040" s="1" t="s">
        <v>302</v>
      </c>
      <c r="N1040" s="1" t="s">
        <v>345</v>
      </c>
      <c r="O1040" s="1" t="s">
        <v>583</v>
      </c>
      <c r="P1040" s="1" t="str">
        <f t="shared" si="61"/>
        <v>BC Bom SucessoK46045,42546045,42546045,6319444444</v>
      </c>
      <c r="Q1040" s="1" t="str">
        <f t="shared" si="62"/>
        <v>DPRUFV</v>
      </c>
    </row>
    <row r="1041" spans="2:17">
      <c r="B1041" s="1" t="s">
        <v>41</v>
      </c>
      <c r="C1041" s="1" t="s">
        <v>587</v>
      </c>
      <c r="D1041" s="52">
        <v>46045.425000000003</v>
      </c>
      <c r="E1041" s="52">
        <v>46045.425000000003</v>
      </c>
      <c r="F1041" s="52">
        <v>46045.631944444445</v>
      </c>
      <c r="G1041" s="53">
        <f t="shared" si="63"/>
        <v>0.2069444444423425</v>
      </c>
      <c r="H1041" s="1" t="s">
        <v>343</v>
      </c>
      <c r="J1041" s="1" t="s">
        <v>230</v>
      </c>
      <c r="K1041" s="1" t="s">
        <v>230</v>
      </c>
      <c r="L1041" s="1" t="s">
        <v>582</v>
      </c>
      <c r="M1041" s="1" t="s">
        <v>302</v>
      </c>
      <c r="N1041" s="1" t="s">
        <v>345</v>
      </c>
      <c r="O1041" s="1" t="s">
        <v>583</v>
      </c>
      <c r="P1041" s="1" t="str">
        <f t="shared" si="61"/>
        <v>BC Bom SucessoH46045,42546045,42546045,6319444444</v>
      </c>
      <c r="Q1041" s="1" t="str">
        <f t="shared" si="62"/>
        <v>DPRUFV</v>
      </c>
    </row>
    <row r="1042" spans="2:17">
      <c r="B1042" s="1" t="s">
        <v>41</v>
      </c>
      <c r="C1042" s="1" t="s">
        <v>588</v>
      </c>
      <c r="D1042" s="52">
        <v>46045.425000000003</v>
      </c>
      <c r="E1042" s="52">
        <v>46045.425000000003</v>
      </c>
      <c r="F1042" s="52">
        <v>46045.631944444445</v>
      </c>
      <c r="G1042" s="53">
        <f t="shared" si="63"/>
        <v>0.2069444444423425</v>
      </c>
      <c r="H1042" s="1" t="s">
        <v>343</v>
      </c>
      <c r="J1042" s="1" t="s">
        <v>230</v>
      </c>
      <c r="K1042" s="1" t="s">
        <v>230</v>
      </c>
      <c r="L1042" s="1" t="s">
        <v>582</v>
      </c>
      <c r="M1042" s="1" t="s">
        <v>302</v>
      </c>
      <c r="N1042" s="1" t="s">
        <v>345</v>
      </c>
      <c r="O1042" s="1" t="s">
        <v>583</v>
      </c>
      <c r="P1042" s="1" t="str">
        <f t="shared" si="61"/>
        <v>BC Bom SucessoF46045,42546045,42546045,6319444444</v>
      </c>
      <c r="Q1042" s="1" t="str">
        <f t="shared" si="62"/>
        <v>DPRUFV</v>
      </c>
    </row>
    <row r="1043" spans="2:17">
      <c r="B1043" s="1" t="s">
        <v>41</v>
      </c>
      <c r="C1043" s="1" t="s">
        <v>589</v>
      </c>
      <c r="D1043" s="52">
        <v>46045.425000000003</v>
      </c>
      <c r="E1043" s="52">
        <v>46045.425000000003</v>
      </c>
      <c r="F1043" s="52">
        <v>46045.631944444445</v>
      </c>
      <c r="G1043" s="53">
        <f t="shared" si="63"/>
        <v>0.2069444444423425</v>
      </c>
      <c r="H1043" s="1" t="s">
        <v>343</v>
      </c>
      <c r="J1043" s="1" t="s">
        <v>230</v>
      </c>
      <c r="K1043" s="1" t="s">
        <v>230</v>
      </c>
      <c r="L1043" s="1" t="s">
        <v>582</v>
      </c>
      <c r="M1043" s="1" t="s">
        <v>302</v>
      </c>
      <c r="N1043" s="1" t="s">
        <v>345</v>
      </c>
      <c r="O1043" s="1" t="s">
        <v>583</v>
      </c>
      <c r="P1043" s="1" t="str">
        <f t="shared" si="61"/>
        <v>BC Bom SucessoD46045,42546045,42546045,6319444444</v>
      </c>
      <c r="Q1043" s="1" t="str">
        <f t="shared" si="62"/>
        <v>DPRUFV</v>
      </c>
    </row>
    <row r="1044" spans="2:17">
      <c r="B1044" s="1" t="s">
        <v>41</v>
      </c>
      <c r="C1044" s="1" t="s">
        <v>590</v>
      </c>
      <c r="D1044" s="52">
        <v>46045.425000000003</v>
      </c>
      <c r="E1044" s="52">
        <v>46045.425000000003</v>
      </c>
      <c r="F1044" s="52">
        <v>46045.631944444445</v>
      </c>
      <c r="G1044" s="53">
        <f t="shared" si="63"/>
        <v>0.2069444444423425</v>
      </c>
      <c r="H1044" s="1" t="s">
        <v>343</v>
      </c>
      <c r="J1044" s="1" t="s">
        <v>230</v>
      </c>
      <c r="K1044" s="1" t="s">
        <v>230</v>
      </c>
      <c r="L1044" s="1" t="s">
        <v>582</v>
      </c>
      <c r="M1044" s="1" t="s">
        <v>302</v>
      </c>
      <c r="N1044" s="1" t="s">
        <v>345</v>
      </c>
      <c r="O1044" s="1" t="s">
        <v>583</v>
      </c>
      <c r="P1044" s="1" t="str">
        <f t="shared" si="61"/>
        <v>BC Bom SucessoE46045,42546045,42546045,6319444444</v>
      </c>
      <c r="Q1044" s="1" t="str">
        <f t="shared" si="62"/>
        <v>DPRUFV</v>
      </c>
    </row>
    <row r="1045" spans="2:17">
      <c r="B1045" s="1" t="s">
        <v>41</v>
      </c>
      <c r="C1045" s="1" t="s">
        <v>591</v>
      </c>
      <c r="D1045" s="52">
        <v>46045.425000000003</v>
      </c>
      <c r="E1045" s="52">
        <v>46045.425000000003</v>
      </c>
      <c r="F1045" s="52">
        <v>46045.631944444445</v>
      </c>
      <c r="G1045" s="53">
        <f t="shared" si="63"/>
        <v>0.2069444444423425</v>
      </c>
      <c r="H1045" s="1" t="s">
        <v>343</v>
      </c>
      <c r="J1045" s="1" t="s">
        <v>230</v>
      </c>
      <c r="K1045" s="1" t="s">
        <v>230</v>
      </c>
      <c r="L1045" s="1" t="s">
        <v>582</v>
      </c>
      <c r="M1045" s="1" t="s">
        <v>302</v>
      </c>
      <c r="N1045" s="1" t="s">
        <v>345</v>
      </c>
      <c r="O1045" s="1" t="s">
        <v>583</v>
      </c>
      <c r="P1045" s="1" t="str">
        <f t="shared" si="61"/>
        <v>BC Bom SucessoC46045,42546045,42546045,6319444444</v>
      </c>
      <c r="Q1045" s="1" t="str">
        <f t="shared" si="62"/>
        <v>DPRUFV</v>
      </c>
    </row>
    <row r="1046" spans="2:17">
      <c r="B1046" s="1" t="s">
        <v>41</v>
      </c>
      <c r="C1046" s="1" t="s">
        <v>592</v>
      </c>
      <c r="D1046" s="52">
        <v>46045.425000000003</v>
      </c>
      <c r="E1046" s="52">
        <v>46045.425000000003</v>
      </c>
      <c r="F1046" s="52">
        <v>46045.631944444445</v>
      </c>
      <c r="G1046" s="53">
        <f t="shared" si="63"/>
        <v>0.2069444444423425</v>
      </c>
      <c r="H1046" s="1" t="s">
        <v>343</v>
      </c>
      <c r="J1046" s="1" t="s">
        <v>230</v>
      </c>
      <c r="K1046" s="1" t="s">
        <v>230</v>
      </c>
      <c r="L1046" s="1" t="s">
        <v>582</v>
      </c>
      <c r="M1046" s="1" t="s">
        <v>302</v>
      </c>
      <c r="N1046" s="1" t="s">
        <v>345</v>
      </c>
      <c r="O1046" s="1" t="s">
        <v>583</v>
      </c>
      <c r="P1046" s="1" t="str">
        <f t="shared" si="61"/>
        <v>BC Bom SucessoB46045,42546045,42546045,6319444444</v>
      </c>
      <c r="Q1046" s="1" t="str">
        <f t="shared" si="62"/>
        <v>DPRUFV</v>
      </c>
    </row>
    <row r="1047" spans="2:17">
      <c r="B1047" s="1" t="s">
        <v>41</v>
      </c>
      <c r="C1047" s="1" t="s">
        <v>593</v>
      </c>
      <c r="D1047" s="52">
        <v>46045.425000000003</v>
      </c>
      <c r="E1047" s="52">
        <v>46045.425000000003</v>
      </c>
      <c r="F1047" s="52">
        <v>46045.631944444445</v>
      </c>
      <c r="G1047" s="53">
        <f t="shared" si="63"/>
        <v>0.2069444444423425</v>
      </c>
      <c r="H1047" s="1" t="s">
        <v>343</v>
      </c>
      <c r="J1047" s="1" t="s">
        <v>230</v>
      </c>
      <c r="K1047" s="1" t="s">
        <v>230</v>
      </c>
      <c r="L1047" s="1" t="s">
        <v>582</v>
      </c>
      <c r="M1047" s="1" t="s">
        <v>302</v>
      </c>
      <c r="N1047" s="1" t="s">
        <v>345</v>
      </c>
      <c r="O1047" s="1" t="s">
        <v>583</v>
      </c>
      <c r="P1047" s="1" t="str">
        <f t="shared" si="61"/>
        <v>BC Bom SucessoA46045,42546045,42546045,6319444444</v>
      </c>
      <c r="Q1047" s="1" t="str">
        <f t="shared" si="62"/>
        <v>DPRUFV</v>
      </c>
    </row>
    <row r="1048" spans="2:17">
      <c r="B1048" s="1" t="s">
        <v>41</v>
      </c>
      <c r="C1048" s="1" t="s">
        <v>594</v>
      </c>
      <c r="D1048" s="52">
        <v>46045.425000000003</v>
      </c>
      <c r="E1048" s="52">
        <v>46045.425000000003</v>
      </c>
      <c r="F1048" s="52">
        <v>46045.631944444445</v>
      </c>
      <c r="G1048" s="53">
        <f t="shared" si="63"/>
        <v>0.2069444444423425</v>
      </c>
      <c r="H1048" s="1" t="s">
        <v>343</v>
      </c>
      <c r="J1048" s="1" t="s">
        <v>230</v>
      </c>
      <c r="K1048" s="1" t="s">
        <v>230</v>
      </c>
      <c r="L1048" s="1" t="s">
        <v>582</v>
      </c>
      <c r="M1048" s="1" t="s">
        <v>302</v>
      </c>
      <c r="N1048" s="1" t="s">
        <v>345</v>
      </c>
      <c r="O1048" s="1" t="s">
        <v>583</v>
      </c>
      <c r="P1048" s="1" t="str">
        <f t="shared" si="61"/>
        <v>BC Bom SucessoJ46045,42546045,42546045,6319444444</v>
      </c>
      <c r="Q1048" s="1" t="str">
        <f t="shared" si="62"/>
        <v>DPRUFV</v>
      </c>
    </row>
    <row r="1049" spans="2:17">
      <c r="B1049" s="1" t="s">
        <v>333</v>
      </c>
      <c r="C1049" s="1" t="s">
        <v>328</v>
      </c>
      <c r="D1049" s="52">
        <v>46045.25</v>
      </c>
      <c r="E1049" s="52">
        <v>46045.25</v>
      </c>
      <c r="F1049" s="52">
        <v>46045.4375</v>
      </c>
      <c r="G1049" s="53">
        <f t="shared" si="63"/>
        <v>0.1875</v>
      </c>
      <c r="H1049" s="1" t="s">
        <v>248</v>
      </c>
      <c r="J1049" s="1" t="s">
        <v>300</v>
      </c>
      <c r="K1049" s="1" t="s">
        <v>350</v>
      </c>
      <c r="L1049" s="1" t="s">
        <v>577</v>
      </c>
      <c r="M1049" s="1" t="s">
        <v>391</v>
      </c>
      <c r="N1049" s="1" t="s">
        <v>266</v>
      </c>
      <c r="O1049" s="1" t="s">
        <v>595</v>
      </c>
      <c r="P1049" s="1" t="str">
        <f t="shared" si="61"/>
        <v>BC Aracu5.3Inverter(MBUS-1)46045,2546045,2546045,4375</v>
      </c>
      <c r="Q1049" s="1" t="str">
        <f t="shared" si="62"/>
        <v>DAUINV</v>
      </c>
    </row>
    <row r="1050" spans="2:17">
      <c r="B1050" s="1" t="s">
        <v>327</v>
      </c>
      <c r="C1050" s="1" t="s">
        <v>328</v>
      </c>
      <c r="D1050" s="52">
        <v>46045.539583333331</v>
      </c>
      <c r="E1050" s="52">
        <v>46045.539583333331</v>
      </c>
      <c r="F1050" s="52">
        <v>46045.549305555556</v>
      </c>
      <c r="G1050" s="53">
        <f t="shared" si="63"/>
        <v>9.7222222248092294E-3</v>
      </c>
      <c r="H1050" s="1" t="s">
        <v>248</v>
      </c>
      <c r="J1050" s="1" t="s">
        <v>249</v>
      </c>
      <c r="K1050" s="1" t="s">
        <v>349</v>
      </c>
      <c r="L1050" s="1" t="s">
        <v>329</v>
      </c>
      <c r="M1050" s="1" t="s">
        <v>251</v>
      </c>
      <c r="N1050" s="1" t="s">
        <v>252</v>
      </c>
      <c r="O1050" s="1" t="s">
        <v>583</v>
      </c>
      <c r="P1050" s="1" t="str">
        <f t="shared" si="61"/>
        <v>BC Aracu5.1Inverter(MBUS-1)46045,539583333346045,539583333346045,5493055556</v>
      </c>
      <c r="Q1050" s="1" t="str">
        <f t="shared" si="62"/>
        <v>DAURDE</v>
      </c>
    </row>
    <row r="1051" spans="2:17">
      <c r="B1051" s="1" t="s">
        <v>332</v>
      </c>
      <c r="C1051" s="1" t="s">
        <v>328</v>
      </c>
      <c r="D1051" s="52">
        <v>46045.539583333331</v>
      </c>
      <c r="E1051" s="52">
        <v>46045.539583333331</v>
      </c>
      <c r="F1051" s="52">
        <v>46045.549305555556</v>
      </c>
      <c r="G1051" s="53">
        <f t="shared" si="63"/>
        <v>9.7222222248092294E-3</v>
      </c>
      <c r="H1051" s="1" t="s">
        <v>248</v>
      </c>
      <c r="J1051" s="1" t="s">
        <v>249</v>
      </c>
      <c r="K1051" s="1" t="s">
        <v>349</v>
      </c>
      <c r="L1051" s="1" t="s">
        <v>329</v>
      </c>
      <c r="M1051" s="1" t="s">
        <v>251</v>
      </c>
      <c r="N1051" s="1" t="s">
        <v>252</v>
      </c>
      <c r="O1051" s="1" t="s">
        <v>583</v>
      </c>
      <c r="P1051" s="1" t="str">
        <f t="shared" si="61"/>
        <v>BC Aracu5.2Inverter(MBUS-1)46045,539583333346045,539583333346045,5493055556</v>
      </c>
      <c r="Q1051" s="1" t="str">
        <f t="shared" si="62"/>
        <v>DAURDE</v>
      </c>
    </row>
    <row r="1052" spans="2:17">
      <c r="B1052" s="1" t="s">
        <v>333</v>
      </c>
      <c r="C1052" s="1" t="s">
        <v>328</v>
      </c>
      <c r="D1052" s="52">
        <v>46045.539583333331</v>
      </c>
      <c r="E1052" s="52">
        <v>46045.539583333331</v>
      </c>
      <c r="F1052" s="52">
        <v>46045.549305555556</v>
      </c>
      <c r="G1052" s="53">
        <f t="shared" si="63"/>
        <v>9.7222222248092294E-3</v>
      </c>
      <c r="H1052" s="1" t="s">
        <v>248</v>
      </c>
      <c r="J1052" s="1" t="s">
        <v>249</v>
      </c>
      <c r="K1052" s="1" t="s">
        <v>349</v>
      </c>
      <c r="L1052" s="1" t="s">
        <v>329</v>
      </c>
      <c r="M1052" s="1" t="s">
        <v>251</v>
      </c>
      <c r="N1052" s="1" t="s">
        <v>252</v>
      </c>
      <c r="O1052" s="1" t="s">
        <v>583</v>
      </c>
      <c r="P1052" s="1" t="str">
        <f t="shared" si="61"/>
        <v>BC Aracu5.3Inverter(MBUS-1)46045,539583333346045,539583333346045,5493055556</v>
      </c>
      <c r="Q1052" s="1" t="str">
        <f t="shared" si="62"/>
        <v>DAURDE</v>
      </c>
    </row>
    <row r="1053" spans="2:17">
      <c r="B1053" s="1" t="s">
        <v>334</v>
      </c>
      <c r="C1053" s="1" t="s">
        <v>328</v>
      </c>
      <c r="D1053" s="52">
        <v>46045.539583333331</v>
      </c>
      <c r="E1053" s="52">
        <v>46045.539583333331</v>
      </c>
      <c r="F1053" s="52">
        <v>46045.549305555556</v>
      </c>
      <c r="G1053" s="53">
        <f t="shared" si="63"/>
        <v>9.7222222248092294E-3</v>
      </c>
      <c r="H1053" s="1" t="s">
        <v>248</v>
      </c>
      <c r="J1053" s="1" t="s">
        <v>249</v>
      </c>
      <c r="K1053" s="1" t="s">
        <v>349</v>
      </c>
      <c r="L1053" s="1" t="s">
        <v>329</v>
      </c>
      <c r="M1053" s="1" t="s">
        <v>251</v>
      </c>
      <c r="N1053" s="1" t="s">
        <v>252</v>
      </c>
      <c r="O1053" s="1" t="s">
        <v>583</v>
      </c>
      <c r="P1053" s="1" t="str">
        <f t="shared" si="61"/>
        <v>BC Aracu5.4Inverter(MBUS-1)46045,539583333346045,539583333346045,5493055556</v>
      </c>
      <c r="Q1053" s="1" t="str">
        <f t="shared" si="62"/>
        <v>DAURDE</v>
      </c>
    </row>
    <row r="1054" spans="2:17">
      <c r="B1054" s="1" t="s">
        <v>335</v>
      </c>
      <c r="C1054" s="1" t="s">
        <v>328</v>
      </c>
      <c r="D1054" s="52">
        <v>46045.539583333331</v>
      </c>
      <c r="E1054" s="52">
        <v>46045.539583333331</v>
      </c>
      <c r="F1054" s="52">
        <v>46045.549305555556</v>
      </c>
      <c r="G1054" s="53">
        <f t="shared" si="63"/>
        <v>9.7222222248092294E-3</v>
      </c>
      <c r="H1054" s="1" t="s">
        <v>248</v>
      </c>
      <c r="J1054" s="1" t="s">
        <v>249</v>
      </c>
      <c r="K1054" s="1" t="s">
        <v>349</v>
      </c>
      <c r="L1054" s="1" t="s">
        <v>329</v>
      </c>
      <c r="M1054" s="1" t="s">
        <v>251</v>
      </c>
      <c r="N1054" s="1" t="s">
        <v>252</v>
      </c>
      <c r="O1054" s="1" t="s">
        <v>583</v>
      </c>
      <c r="P1054" s="1" t="str">
        <f t="shared" si="61"/>
        <v>BC Aracu5.5Inverter(MBUS-1)46045,539583333346045,539583333346045,5493055556</v>
      </c>
      <c r="Q1054" s="1" t="str">
        <f t="shared" si="62"/>
        <v>DAURDE</v>
      </c>
    </row>
    <row r="1055" spans="2:17">
      <c r="B1055" s="1" t="s">
        <v>394</v>
      </c>
      <c r="C1055" s="1" t="s">
        <v>395</v>
      </c>
      <c r="D1055" s="52">
        <v>46046.163194444445</v>
      </c>
      <c r="E1055" s="52">
        <v>46046.163194444445</v>
      </c>
      <c r="F1055" s="52">
        <v>46046.777777777781</v>
      </c>
      <c r="G1055" s="53">
        <f t="shared" si="63"/>
        <v>0.61458333333575865</v>
      </c>
      <c r="H1055" s="1" t="s">
        <v>248</v>
      </c>
      <c r="J1055" s="1" t="s">
        <v>249</v>
      </c>
      <c r="K1055" s="1" t="s">
        <v>349</v>
      </c>
      <c r="L1055" s="1" t="s">
        <v>596</v>
      </c>
      <c r="M1055" s="1" t="s">
        <v>251</v>
      </c>
      <c r="N1055" s="1" t="s">
        <v>252</v>
      </c>
      <c r="O1055" s="1" t="s">
        <v>597</v>
      </c>
      <c r="P1055" s="1" t="str">
        <f t="shared" si="61"/>
        <v>BC Corumba1.1U01.I0146046,163194444446046,163194444446046,7777777778</v>
      </c>
      <c r="Q1055" s="1" t="str">
        <f t="shared" si="62"/>
        <v>DAURDE</v>
      </c>
    </row>
    <row r="1056" spans="2:17">
      <c r="B1056" s="1" t="s">
        <v>394</v>
      </c>
      <c r="C1056" s="1" t="s">
        <v>400</v>
      </c>
      <c r="D1056" s="52">
        <v>46046.163194444445</v>
      </c>
      <c r="E1056" s="52">
        <v>46046.163194444445</v>
      </c>
      <c r="F1056" s="52">
        <v>46046.777777777781</v>
      </c>
      <c r="G1056" s="53">
        <f t="shared" si="63"/>
        <v>0.61458333333575865</v>
      </c>
      <c r="H1056" s="1" t="s">
        <v>248</v>
      </c>
      <c r="J1056" s="1" t="s">
        <v>249</v>
      </c>
      <c r="K1056" s="1" t="s">
        <v>349</v>
      </c>
      <c r="L1056" s="1" t="s">
        <v>596</v>
      </c>
      <c r="M1056" s="1" t="s">
        <v>251</v>
      </c>
      <c r="N1056" s="1" t="s">
        <v>252</v>
      </c>
      <c r="O1056" s="1" t="s">
        <v>597</v>
      </c>
      <c r="P1056" s="1" t="str">
        <f t="shared" si="61"/>
        <v>BC Corumba1.1U01.I0246046,163194444446046,163194444446046,7777777778</v>
      </c>
      <c r="Q1056" s="1" t="str">
        <f t="shared" si="62"/>
        <v>DAURDE</v>
      </c>
    </row>
    <row r="1057" spans="2:17">
      <c r="B1057" s="1" t="s">
        <v>394</v>
      </c>
      <c r="C1057" s="1" t="s">
        <v>401</v>
      </c>
      <c r="D1057" s="52">
        <v>46046.163194444445</v>
      </c>
      <c r="E1057" s="52">
        <v>46046.163194444445</v>
      </c>
      <c r="F1057" s="52">
        <v>46046.777777777781</v>
      </c>
      <c r="G1057" s="53">
        <f t="shared" si="63"/>
        <v>0.61458333333575865</v>
      </c>
      <c r="H1057" s="1" t="s">
        <v>248</v>
      </c>
      <c r="J1057" s="1" t="s">
        <v>249</v>
      </c>
      <c r="K1057" s="1" t="s">
        <v>349</v>
      </c>
      <c r="L1057" s="1" t="s">
        <v>596</v>
      </c>
      <c r="M1057" s="1" t="s">
        <v>251</v>
      </c>
      <c r="N1057" s="1" t="s">
        <v>252</v>
      </c>
      <c r="O1057" s="1" t="s">
        <v>597</v>
      </c>
      <c r="P1057" s="1" t="str">
        <f t="shared" si="61"/>
        <v>BC Corumba1.1U01.I0346046,163194444446046,163194444446046,7777777778</v>
      </c>
      <c r="Q1057" s="1" t="str">
        <f t="shared" si="62"/>
        <v>DAURDE</v>
      </c>
    </row>
    <row r="1058" spans="2:17">
      <c r="B1058" s="1" t="s">
        <v>394</v>
      </c>
      <c r="C1058" s="1" t="s">
        <v>402</v>
      </c>
      <c r="D1058" s="52">
        <v>46046.163194444445</v>
      </c>
      <c r="E1058" s="52">
        <v>46046.163194444445</v>
      </c>
      <c r="F1058" s="52">
        <v>46046.777777777781</v>
      </c>
      <c r="G1058" s="53">
        <f t="shared" si="63"/>
        <v>0.61458333333575865</v>
      </c>
      <c r="H1058" s="1" t="s">
        <v>248</v>
      </c>
      <c r="J1058" s="1" t="s">
        <v>249</v>
      </c>
      <c r="K1058" s="1" t="s">
        <v>349</v>
      </c>
      <c r="L1058" s="1" t="s">
        <v>596</v>
      </c>
      <c r="M1058" s="1" t="s">
        <v>251</v>
      </c>
      <c r="N1058" s="1" t="s">
        <v>252</v>
      </c>
      <c r="O1058" s="1" t="s">
        <v>597</v>
      </c>
      <c r="P1058" s="1" t="str">
        <f t="shared" si="61"/>
        <v>BC Corumba1.1U01.I0446046,163194444446046,163194444446046,7777777778</v>
      </c>
      <c r="Q1058" s="1" t="str">
        <f t="shared" si="62"/>
        <v>DAURDE</v>
      </c>
    </row>
    <row r="1059" spans="2:17">
      <c r="B1059" s="1" t="s">
        <v>394</v>
      </c>
      <c r="C1059" s="1" t="s">
        <v>403</v>
      </c>
      <c r="D1059" s="52">
        <v>46046.163194444445</v>
      </c>
      <c r="E1059" s="52">
        <v>46046.163194444445</v>
      </c>
      <c r="F1059" s="52">
        <v>46046.777777777781</v>
      </c>
      <c r="G1059" s="53">
        <f t="shared" si="63"/>
        <v>0.61458333333575865</v>
      </c>
      <c r="H1059" s="1" t="s">
        <v>248</v>
      </c>
      <c r="J1059" s="1" t="s">
        <v>249</v>
      </c>
      <c r="K1059" s="1" t="s">
        <v>349</v>
      </c>
      <c r="L1059" s="1" t="s">
        <v>596</v>
      </c>
      <c r="M1059" s="1" t="s">
        <v>251</v>
      </c>
      <c r="N1059" s="1" t="s">
        <v>252</v>
      </c>
      <c r="O1059" s="1" t="s">
        <v>597</v>
      </c>
      <c r="P1059" s="1" t="str">
        <f t="shared" ref="P1059:P1122" si="64">_xlfn.CONCAT(B1059,C1059,D1059,E1059,F1059)</f>
        <v>BC Corumba1.1U01.I0546046,163194444446046,163194444446046,7777777778</v>
      </c>
      <c r="Q1059" s="1" t="str">
        <f t="shared" ref="Q1059:Q1122" si="65">_xlfn.CONCAT(H1059,I1059,J1059)</f>
        <v>DAURDE</v>
      </c>
    </row>
    <row r="1060" spans="2:17">
      <c r="B1060" s="1" t="s">
        <v>406</v>
      </c>
      <c r="C1060" s="1" t="s">
        <v>407</v>
      </c>
      <c r="D1060" s="52">
        <v>46046.163194444445</v>
      </c>
      <c r="E1060" s="52">
        <v>46046.163194444445</v>
      </c>
      <c r="F1060" s="52">
        <v>46046.777777777781</v>
      </c>
      <c r="G1060" s="53">
        <f t="shared" si="63"/>
        <v>0.61458333333575865</v>
      </c>
      <c r="H1060" s="1" t="s">
        <v>248</v>
      </c>
      <c r="J1060" s="1" t="s">
        <v>249</v>
      </c>
      <c r="K1060" s="1" t="s">
        <v>349</v>
      </c>
      <c r="L1060" s="1" t="s">
        <v>596</v>
      </c>
      <c r="M1060" s="1" t="s">
        <v>251</v>
      </c>
      <c r="N1060" s="1" t="s">
        <v>252</v>
      </c>
      <c r="O1060" s="1" t="s">
        <v>597</v>
      </c>
      <c r="P1060" s="1" t="str">
        <f t="shared" si="64"/>
        <v>BC Corumba1.2U02.I0146046,163194444446046,163194444446046,7777777778</v>
      </c>
      <c r="Q1060" s="1" t="str">
        <f t="shared" si="65"/>
        <v>DAURDE</v>
      </c>
    </row>
    <row r="1061" spans="2:17">
      <c r="B1061" s="1" t="s">
        <v>406</v>
      </c>
      <c r="C1061" s="1" t="s">
        <v>408</v>
      </c>
      <c r="D1061" s="52">
        <v>46046.163194444445</v>
      </c>
      <c r="E1061" s="52">
        <v>46046.163194444445</v>
      </c>
      <c r="F1061" s="52">
        <v>46046.777777777781</v>
      </c>
      <c r="G1061" s="53">
        <f t="shared" si="63"/>
        <v>0.61458333333575865</v>
      </c>
      <c r="H1061" s="1" t="s">
        <v>248</v>
      </c>
      <c r="J1061" s="1" t="s">
        <v>249</v>
      </c>
      <c r="K1061" s="1" t="s">
        <v>349</v>
      </c>
      <c r="L1061" s="1" t="s">
        <v>596</v>
      </c>
      <c r="M1061" s="1" t="s">
        <v>251</v>
      </c>
      <c r="N1061" s="1" t="s">
        <v>252</v>
      </c>
      <c r="O1061" s="1" t="s">
        <v>597</v>
      </c>
      <c r="P1061" s="1" t="str">
        <f t="shared" si="64"/>
        <v>BC Corumba1.2U02.I0246046,163194444446046,163194444446046,7777777778</v>
      </c>
      <c r="Q1061" s="1" t="str">
        <f t="shared" si="65"/>
        <v>DAURDE</v>
      </c>
    </row>
    <row r="1062" spans="2:17">
      <c r="B1062" s="1" t="s">
        <v>406</v>
      </c>
      <c r="C1062" s="1" t="s">
        <v>409</v>
      </c>
      <c r="D1062" s="52">
        <v>46046.163194444445</v>
      </c>
      <c r="E1062" s="52">
        <v>46046.163194444445</v>
      </c>
      <c r="F1062" s="52">
        <v>46046.777777777781</v>
      </c>
      <c r="G1062" s="53">
        <f t="shared" si="63"/>
        <v>0.61458333333575865</v>
      </c>
      <c r="H1062" s="1" t="s">
        <v>248</v>
      </c>
      <c r="J1062" s="1" t="s">
        <v>249</v>
      </c>
      <c r="K1062" s="1" t="s">
        <v>349</v>
      </c>
      <c r="L1062" s="1" t="s">
        <v>596</v>
      </c>
      <c r="M1062" s="1" t="s">
        <v>251</v>
      </c>
      <c r="N1062" s="1" t="s">
        <v>252</v>
      </c>
      <c r="O1062" s="1" t="s">
        <v>597</v>
      </c>
      <c r="P1062" s="1" t="str">
        <f t="shared" si="64"/>
        <v>BC Corumba1.2U02.I0346046,163194444446046,163194444446046,7777777778</v>
      </c>
      <c r="Q1062" s="1" t="str">
        <f t="shared" si="65"/>
        <v>DAURDE</v>
      </c>
    </row>
    <row r="1063" spans="2:17">
      <c r="B1063" s="1" t="s">
        <v>406</v>
      </c>
      <c r="C1063" s="1" t="s">
        <v>410</v>
      </c>
      <c r="D1063" s="52">
        <v>46046.163194444445</v>
      </c>
      <c r="E1063" s="52">
        <v>46046.163194444445</v>
      </c>
      <c r="F1063" s="52">
        <v>46046.777777777781</v>
      </c>
      <c r="G1063" s="53">
        <f t="shared" si="63"/>
        <v>0.61458333333575865</v>
      </c>
      <c r="H1063" s="1" t="s">
        <v>248</v>
      </c>
      <c r="J1063" s="1" t="s">
        <v>249</v>
      </c>
      <c r="K1063" s="1" t="s">
        <v>349</v>
      </c>
      <c r="L1063" s="1" t="s">
        <v>596</v>
      </c>
      <c r="M1063" s="1" t="s">
        <v>251</v>
      </c>
      <c r="N1063" s="1" t="s">
        <v>252</v>
      </c>
      <c r="O1063" s="1" t="s">
        <v>597</v>
      </c>
      <c r="P1063" s="1" t="str">
        <f t="shared" si="64"/>
        <v>BC Corumba1.2U02.I0446046,163194444446046,163194444446046,7777777778</v>
      </c>
      <c r="Q1063" s="1" t="str">
        <f t="shared" si="65"/>
        <v>DAURDE</v>
      </c>
    </row>
    <row r="1064" spans="2:17">
      <c r="B1064" s="1" t="s">
        <v>406</v>
      </c>
      <c r="C1064" s="1" t="s">
        <v>411</v>
      </c>
      <c r="D1064" s="52">
        <v>46046.163194444445</v>
      </c>
      <c r="E1064" s="52">
        <v>46046.163194444445</v>
      </c>
      <c r="F1064" s="52">
        <v>46046.777777777781</v>
      </c>
      <c r="G1064" s="53">
        <f t="shared" si="63"/>
        <v>0.61458333333575865</v>
      </c>
      <c r="H1064" s="1" t="s">
        <v>248</v>
      </c>
      <c r="J1064" s="1" t="s">
        <v>249</v>
      </c>
      <c r="K1064" s="1" t="s">
        <v>349</v>
      </c>
      <c r="L1064" s="1" t="s">
        <v>596</v>
      </c>
      <c r="M1064" s="1" t="s">
        <v>251</v>
      </c>
      <c r="N1064" s="1" t="s">
        <v>252</v>
      </c>
      <c r="O1064" s="1" t="s">
        <v>597</v>
      </c>
      <c r="P1064" s="1" t="str">
        <f t="shared" si="64"/>
        <v>BC Corumba1.2U02.I0546046,163194444446046,163194444446046,7777777778</v>
      </c>
      <c r="Q1064" s="1" t="str">
        <f t="shared" si="65"/>
        <v>DAURDE</v>
      </c>
    </row>
    <row r="1065" spans="2:17">
      <c r="B1065" s="1" t="s">
        <v>412</v>
      </c>
      <c r="C1065" s="1" t="s">
        <v>413</v>
      </c>
      <c r="D1065" s="52">
        <v>46046.163194444445</v>
      </c>
      <c r="E1065" s="52">
        <v>46046.163194444445</v>
      </c>
      <c r="F1065" s="52">
        <v>46046.777777777781</v>
      </c>
      <c r="G1065" s="53">
        <f t="shared" si="63"/>
        <v>0.61458333333575865</v>
      </c>
      <c r="H1065" s="1" t="s">
        <v>248</v>
      </c>
      <c r="J1065" s="1" t="s">
        <v>249</v>
      </c>
      <c r="K1065" s="1" t="s">
        <v>349</v>
      </c>
      <c r="L1065" s="1" t="s">
        <v>596</v>
      </c>
      <c r="M1065" s="1" t="s">
        <v>251</v>
      </c>
      <c r="N1065" s="1" t="s">
        <v>252</v>
      </c>
      <c r="O1065" s="1" t="s">
        <v>597</v>
      </c>
      <c r="P1065" s="1" t="str">
        <f t="shared" si="64"/>
        <v>BC Corumba1.3U03.I0146046,163194444446046,163194444446046,7777777778</v>
      </c>
      <c r="Q1065" s="1" t="str">
        <f t="shared" si="65"/>
        <v>DAURDE</v>
      </c>
    </row>
    <row r="1066" spans="2:17">
      <c r="B1066" s="1" t="s">
        <v>412</v>
      </c>
      <c r="C1066" s="1" t="s">
        <v>414</v>
      </c>
      <c r="D1066" s="52">
        <v>46046.163194444445</v>
      </c>
      <c r="E1066" s="52">
        <v>46046.163194444445</v>
      </c>
      <c r="F1066" s="52">
        <v>46046.777777777781</v>
      </c>
      <c r="G1066" s="53">
        <f t="shared" si="63"/>
        <v>0.61458333333575865</v>
      </c>
      <c r="H1066" s="1" t="s">
        <v>248</v>
      </c>
      <c r="J1066" s="1" t="s">
        <v>249</v>
      </c>
      <c r="K1066" s="1" t="s">
        <v>349</v>
      </c>
      <c r="L1066" s="1" t="s">
        <v>596</v>
      </c>
      <c r="M1066" s="1" t="s">
        <v>251</v>
      </c>
      <c r="N1066" s="1" t="s">
        <v>252</v>
      </c>
      <c r="O1066" s="1" t="s">
        <v>597</v>
      </c>
      <c r="P1066" s="1" t="str">
        <f t="shared" si="64"/>
        <v>BC Corumba1.3U03.I0246046,163194444446046,163194444446046,7777777778</v>
      </c>
      <c r="Q1066" s="1" t="str">
        <f t="shared" si="65"/>
        <v>DAURDE</v>
      </c>
    </row>
    <row r="1067" spans="2:17">
      <c r="B1067" s="1" t="s">
        <v>412</v>
      </c>
      <c r="C1067" s="1" t="s">
        <v>415</v>
      </c>
      <c r="D1067" s="52">
        <v>46046.163194444445</v>
      </c>
      <c r="E1067" s="52">
        <v>46046.163194444445</v>
      </c>
      <c r="F1067" s="52">
        <v>46046.777777777781</v>
      </c>
      <c r="G1067" s="53">
        <f t="shared" si="63"/>
        <v>0.61458333333575865</v>
      </c>
      <c r="H1067" s="1" t="s">
        <v>248</v>
      </c>
      <c r="J1067" s="1" t="s">
        <v>249</v>
      </c>
      <c r="K1067" s="1" t="s">
        <v>349</v>
      </c>
      <c r="L1067" s="1" t="s">
        <v>596</v>
      </c>
      <c r="M1067" s="1" t="s">
        <v>251</v>
      </c>
      <c r="N1067" s="1" t="s">
        <v>252</v>
      </c>
      <c r="O1067" s="1" t="s">
        <v>597</v>
      </c>
      <c r="P1067" s="1" t="str">
        <f t="shared" si="64"/>
        <v>BC Corumba1.3U03.I0346046,163194444446046,163194444446046,7777777778</v>
      </c>
      <c r="Q1067" s="1" t="str">
        <f t="shared" si="65"/>
        <v>DAURDE</v>
      </c>
    </row>
    <row r="1068" spans="2:17">
      <c r="B1068" s="1" t="s">
        <v>416</v>
      </c>
      <c r="C1068" s="1" t="s">
        <v>358</v>
      </c>
      <c r="D1068" s="52">
        <v>46046.163194444445</v>
      </c>
      <c r="E1068" s="52">
        <v>46046.163194444445</v>
      </c>
      <c r="F1068" s="52">
        <v>46046.777777777781</v>
      </c>
      <c r="G1068" s="53">
        <f t="shared" si="63"/>
        <v>0.61458333333575865</v>
      </c>
      <c r="H1068" s="1" t="s">
        <v>248</v>
      </c>
      <c r="J1068" s="1" t="s">
        <v>249</v>
      </c>
      <c r="K1068" s="1" t="s">
        <v>349</v>
      </c>
      <c r="L1068" s="1" t="s">
        <v>596</v>
      </c>
      <c r="M1068" s="1" t="s">
        <v>251</v>
      </c>
      <c r="N1068" s="1" t="s">
        <v>252</v>
      </c>
      <c r="O1068" s="1" t="s">
        <v>597</v>
      </c>
      <c r="P1068" s="1" t="str">
        <f t="shared" si="64"/>
        <v>BC Corumba2.1Inverter(MBUS-14)46046,163194444446046,163194444446046,7777777778</v>
      </c>
      <c r="Q1068" s="1" t="str">
        <f t="shared" si="65"/>
        <v>DAURDE</v>
      </c>
    </row>
    <row r="1069" spans="2:17">
      <c r="B1069" s="1" t="s">
        <v>416</v>
      </c>
      <c r="C1069" s="1" t="s">
        <v>359</v>
      </c>
      <c r="D1069" s="52">
        <v>46046.163194444445</v>
      </c>
      <c r="E1069" s="52">
        <v>46046.163194444445</v>
      </c>
      <c r="F1069" s="52">
        <v>46046.777777777781</v>
      </c>
      <c r="G1069" s="53">
        <f t="shared" si="63"/>
        <v>0.61458333333575865</v>
      </c>
      <c r="H1069" s="1" t="s">
        <v>248</v>
      </c>
      <c r="J1069" s="1" t="s">
        <v>249</v>
      </c>
      <c r="K1069" s="1" t="s">
        <v>349</v>
      </c>
      <c r="L1069" s="1" t="s">
        <v>596</v>
      </c>
      <c r="M1069" s="1" t="s">
        <v>251</v>
      </c>
      <c r="N1069" s="1" t="s">
        <v>252</v>
      </c>
      <c r="O1069" s="1" t="s">
        <v>597</v>
      </c>
      <c r="P1069" s="1" t="str">
        <f t="shared" si="64"/>
        <v>BC Corumba2.1Inverter(MBUS-15)46046,163194444446046,163194444446046,7777777778</v>
      </c>
      <c r="Q1069" s="1" t="str">
        <f t="shared" si="65"/>
        <v>DAURDE</v>
      </c>
    </row>
    <row r="1070" spans="2:17">
      <c r="B1070" s="1" t="s">
        <v>416</v>
      </c>
      <c r="C1070" s="1" t="s">
        <v>386</v>
      </c>
      <c r="D1070" s="52">
        <v>46046.163194444445</v>
      </c>
      <c r="E1070" s="52">
        <v>46046.163194444445</v>
      </c>
      <c r="F1070" s="52">
        <v>46046.777777777781</v>
      </c>
      <c r="G1070" s="53">
        <f t="shared" si="63"/>
        <v>0.61458333333575865</v>
      </c>
      <c r="H1070" s="1" t="s">
        <v>248</v>
      </c>
      <c r="J1070" s="1" t="s">
        <v>249</v>
      </c>
      <c r="K1070" s="1" t="s">
        <v>349</v>
      </c>
      <c r="L1070" s="1" t="s">
        <v>596</v>
      </c>
      <c r="M1070" s="1" t="s">
        <v>251</v>
      </c>
      <c r="N1070" s="1" t="s">
        <v>252</v>
      </c>
      <c r="O1070" s="1" t="s">
        <v>597</v>
      </c>
      <c r="P1070" s="1" t="str">
        <f t="shared" si="64"/>
        <v>BC Corumba2.1Inverter(MBUS-16)46046,163194444446046,163194444446046,7777777778</v>
      </c>
      <c r="Q1070" s="1" t="str">
        <f t="shared" si="65"/>
        <v>DAURDE</v>
      </c>
    </row>
    <row r="1071" spans="2:17">
      <c r="B1071" s="1" t="s">
        <v>416</v>
      </c>
      <c r="C1071" s="1" t="s">
        <v>417</v>
      </c>
      <c r="D1071" s="52">
        <v>46046.163194444445</v>
      </c>
      <c r="E1071" s="52">
        <v>46046.163194444445</v>
      </c>
      <c r="F1071" s="52">
        <v>46046.777777777781</v>
      </c>
      <c r="G1071" s="53">
        <f t="shared" si="63"/>
        <v>0.61458333333575865</v>
      </c>
      <c r="H1071" s="1" t="s">
        <v>248</v>
      </c>
      <c r="J1071" s="1" t="s">
        <v>249</v>
      </c>
      <c r="K1071" s="1" t="s">
        <v>349</v>
      </c>
      <c r="L1071" s="1" t="s">
        <v>596</v>
      </c>
      <c r="M1071" s="1" t="s">
        <v>251</v>
      </c>
      <c r="N1071" s="1" t="s">
        <v>252</v>
      </c>
      <c r="O1071" s="1" t="s">
        <v>597</v>
      </c>
      <c r="P1071" s="1" t="str">
        <f t="shared" si="64"/>
        <v>BC Corumba2.1U01. I0146046,163194444446046,163194444446046,7777777778</v>
      </c>
      <c r="Q1071" s="1" t="str">
        <f t="shared" si="65"/>
        <v>DAURDE</v>
      </c>
    </row>
    <row r="1072" spans="2:17">
      <c r="B1072" s="1" t="s">
        <v>416</v>
      </c>
      <c r="C1072" s="1" t="s">
        <v>418</v>
      </c>
      <c r="D1072" s="52">
        <v>46046.163194444445</v>
      </c>
      <c r="E1072" s="52">
        <v>46046.163194444445</v>
      </c>
      <c r="F1072" s="52">
        <v>46046.777777777781</v>
      </c>
      <c r="G1072" s="53">
        <f t="shared" si="63"/>
        <v>0.61458333333575865</v>
      </c>
      <c r="H1072" s="1" t="s">
        <v>248</v>
      </c>
      <c r="J1072" s="1" t="s">
        <v>249</v>
      </c>
      <c r="K1072" s="1" t="s">
        <v>349</v>
      </c>
      <c r="L1072" s="1" t="s">
        <v>596</v>
      </c>
      <c r="M1072" s="1" t="s">
        <v>251</v>
      </c>
      <c r="N1072" s="1" t="s">
        <v>252</v>
      </c>
      <c r="O1072" s="1" t="s">
        <v>597</v>
      </c>
      <c r="P1072" s="1" t="str">
        <f t="shared" si="64"/>
        <v>BC Corumba2.1U01. I0246046,163194444446046,163194444446046,7777777778</v>
      </c>
      <c r="Q1072" s="1" t="str">
        <f t="shared" si="65"/>
        <v>DAURDE</v>
      </c>
    </row>
    <row r="1073" spans="2:17">
      <c r="B1073" s="1" t="s">
        <v>419</v>
      </c>
      <c r="C1073" s="1" t="s">
        <v>407</v>
      </c>
      <c r="D1073" s="52">
        <v>46046.163194444445</v>
      </c>
      <c r="E1073" s="52">
        <v>46046.163194444445</v>
      </c>
      <c r="F1073" s="52">
        <v>46046.777777777781</v>
      </c>
      <c r="G1073" s="53">
        <f t="shared" si="63"/>
        <v>0.61458333333575865</v>
      </c>
      <c r="H1073" s="1" t="s">
        <v>248</v>
      </c>
      <c r="J1073" s="1" t="s">
        <v>249</v>
      </c>
      <c r="K1073" s="1" t="s">
        <v>349</v>
      </c>
      <c r="L1073" s="1" t="s">
        <v>596</v>
      </c>
      <c r="M1073" s="1" t="s">
        <v>251</v>
      </c>
      <c r="N1073" s="1" t="s">
        <v>252</v>
      </c>
      <c r="O1073" s="1" t="s">
        <v>597</v>
      </c>
      <c r="P1073" s="1" t="str">
        <f t="shared" si="64"/>
        <v>BC Corumba2.2U02.I0146046,163194444446046,163194444446046,7777777778</v>
      </c>
      <c r="Q1073" s="1" t="str">
        <f t="shared" si="65"/>
        <v>DAURDE</v>
      </c>
    </row>
    <row r="1074" spans="2:17">
      <c r="B1074" s="1" t="s">
        <v>419</v>
      </c>
      <c r="C1074" s="1" t="s">
        <v>408</v>
      </c>
      <c r="D1074" s="52">
        <v>46046.163194444445</v>
      </c>
      <c r="E1074" s="52">
        <v>46046.163194444445</v>
      </c>
      <c r="F1074" s="52">
        <v>46046.777777777781</v>
      </c>
      <c r="G1074" s="53">
        <f t="shared" si="63"/>
        <v>0.61458333333575865</v>
      </c>
      <c r="H1074" s="1" t="s">
        <v>248</v>
      </c>
      <c r="J1074" s="1" t="s">
        <v>249</v>
      </c>
      <c r="K1074" s="1" t="s">
        <v>349</v>
      </c>
      <c r="L1074" s="1" t="s">
        <v>596</v>
      </c>
      <c r="M1074" s="1" t="s">
        <v>251</v>
      </c>
      <c r="N1074" s="1" t="s">
        <v>252</v>
      </c>
      <c r="O1074" s="1" t="s">
        <v>597</v>
      </c>
      <c r="P1074" s="1" t="str">
        <f t="shared" si="64"/>
        <v>BC Corumba2.2U02.I0246046,163194444446046,163194444446046,7777777778</v>
      </c>
      <c r="Q1074" s="1" t="str">
        <f t="shared" si="65"/>
        <v>DAURDE</v>
      </c>
    </row>
    <row r="1075" spans="2:17">
      <c r="B1075" s="1" t="s">
        <v>419</v>
      </c>
      <c r="C1075" s="1" t="s">
        <v>409</v>
      </c>
      <c r="D1075" s="52">
        <v>46046.163194444445</v>
      </c>
      <c r="E1075" s="52">
        <v>46046.163194444445</v>
      </c>
      <c r="F1075" s="52">
        <v>46046.777777777781</v>
      </c>
      <c r="G1075" s="53">
        <f t="shared" si="63"/>
        <v>0.61458333333575865</v>
      </c>
      <c r="H1075" s="1" t="s">
        <v>248</v>
      </c>
      <c r="J1075" s="1" t="s">
        <v>249</v>
      </c>
      <c r="K1075" s="1" t="s">
        <v>349</v>
      </c>
      <c r="L1075" s="1" t="s">
        <v>596</v>
      </c>
      <c r="M1075" s="1" t="s">
        <v>251</v>
      </c>
      <c r="N1075" s="1" t="s">
        <v>252</v>
      </c>
      <c r="O1075" s="1" t="s">
        <v>597</v>
      </c>
      <c r="P1075" s="1" t="str">
        <f t="shared" si="64"/>
        <v>BC Corumba2.2U02.I0346046,163194444446046,163194444446046,7777777778</v>
      </c>
      <c r="Q1075" s="1" t="str">
        <f t="shared" si="65"/>
        <v>DAURDE</v>
      </c>
    </row>
    <row r="1076" spans="2:17">
      <c r="B1076" s="1" t="s">
        <v>419</v>
      </c>
      <c r="C1076" s="1" t="s">
        <v>410</v>
      </c>
      <c r="D1076" s="52">
        <v>46046.163194444445</v>
      </c>
      <c r="E1076" s="52">
        <v>46046.163194444445</v>
      </c>
      <c r="F1076" s="52">
        <v>46046.777777777781</v>
      </c>
      <c r="G1076" s="53">
        <f t="shared" si="63"/>
        <v>0.61458333333575865</v>
      </c>
      <c r="H1076" s="1" t="s">
        <v>248</v>
      </c>
      <c r="J1076" s="1" t="s">
        <v>249</v>
      </c>
      <c r="K1076" s="1" t="s">
        <v>349</v>
      </c>
      <c r="L1076" s="1" t="s">
        <v>596</v>
      </c>
      <c r="M1076" s="1" t="s">
        <v>251</v>
      </c>
      <c r="N1076" s="1" t="s">
        <v>252</v>
      </c>
      <c r="O1076" s="1" t="s">
        <v>597</v>
      </c>
      <c r="P1076" s="1" t="str">
        <f t="shared" si="64"/>
        <v>BC Corumba2.2U02.I0446046,163194444446046,163194444446046,7777777778</v>
      </c>
      <c r="Q1076" s="1" t="str">
        <f t="shared" si="65"/>
        <v>DAURDE</v>
      </c>
    </row>
    <row r="1077" spans="2:17">
      <c r="B1077" s="1" t="s">
        <v>419</v>
      </c>
      <c r="C1077" s="1" t="s">
        <v>411</v>
      </c>
      <c r="D1077" s="52">
        <v>46046.163194444445</v>
      </c>
      <c r="E1077" s="52">
        <v>46046.163194444445</v>
      </c>
      <c r="F1077" s="52">
        <v>46046.777777777781</v>
      </c>
      <c r="G1077" s="53">
        <f t="shared" si="63"/>
        <v>0.61458333333575865</v>
      </c>
      <c r="H1077" s="1" t="s">
        <v>248</v>
      </c>
      <c r="J1077" s="1" t="s">
        <v>249</v>
      </c>
      <c r="K1077" s="1" t="s">
        <v>349</v>
      </c>
      <c r="L1077" s="1" t="s">
        <v>596</v>
      </c>
      <c r="M1077" s="1" t="s">
        <v>251</v>
      </c>
      <c r="N1077" s="1" t="s">
        <v>252</v>
      </c>
      <c r="O1077" s="1" t="s">
        <v>597</v>
      </c>
      <c r="P1077" s="1" t="str">
        <f t="shared" si="64"/>
        <v>BC Corumba2.2U02.I0546046,163194444446046,163194444446046,7777777778</v>
      </c>
      <c r="Q1077" s="1" t="str">
        <f t="shared" si="65"/>
        <v>DAURDE</v>
      </c>
    </row>
    <row r="1078" spans="2:17">
      <c r="B1078" s="1" t="s">
        <v>420</v>
      </c>
      <c r="C1078" s="1" t="s">
        <v>413</v>
      </c>
      <c r="D1078" s="52">
        <v>46046.163194444445</v>
      </c>
      <c r="E1078" s="52">
        <v>46046.163194444445</v>
      </c>
      <c r="F1078" s="52">
        <v>46046.777777777781</v>
      </c>
      <c r="G1078" s="53">
        <f t="shared" si="63"/>
        <v>0.61458333333575865</v>
      </c>
      <c r="H1078" s="1" t="s">
        <v>248</v>
      </c>
      <c r="J1078" s="1" t="s">
        <v>249</v>
      </c>
      <c r="K1078" s="1" t="s">
        <v>349</v>
      </c>
      <c r="L1078" s="1" t="s">
        <v>596</v>
      </c>
      <c r="M1078" s="1" t="s">
        <v>251</v>
      </c>
      <c r="N1078" s="1" t="s">
        <v>252</v>
      </c>
      <c r="O1078" s="1" t="s">
        <v>597</v>
      </c>
      <c r="P1078" s="1" t="str">
        <f t="shared" si="64"/>
        <v>BC Corumba2.3U03.I0146046,163194444446046,163194444446046,7777777778</v>
      </c>
      <c r="Q1078" s="1" t="str">
        <f t="shared" si="65"/>
        <v>DAURDE</v>
      </c>
    </row>
    <row r="1079" spans="2:17">
      <c r="B1079" s="1" t="s">
        <v>420</v>
      </c>
      <c r="C1079" s="1" t="s">
        <v>414</v>
      </c>
      <c r="D1079" s="52">
        <v>46046.163194444445</v>
      </c>
      <c r="E1079" s="52">
        <v>46046.163194444445</v>
      </c>
      <c r="F1079" s="52">
        <v>46046.777777777781</v>
      </c>
      <c r="G1079" s="53">
        <f t="shared" si="63"/>
        <v>0.61458333333575865</v>
      </c>
      <c r="H1079" s="1" t="s">
        <v>248</v>
      </c>
      <c r="J1079" s="1" t="s">
        <v>249</v>
      </c>
      <c r="K1079" s="1" t="s">
        <v>349</v>
      </c>
      <c r="L1079" s="1" t="s">
        <v>596</v>
      </c>
      <c r="M1079" s="1" t="s">
        <v>251</v>
      </c>
      <c r="N1079" s="1" t="s">
        <v>252</v>
      </c>
      <c r="O1079" s="1" t="s">
        <v>597</v>
      </c>
      <c r="P1079" s="1" t="str">
        <f t="shared" si="64"/>
        <v>BC Corumba2.3U03.I0246046,163194444446046,163194444446046,7777777778</v>
      </c>
      <c r="Q1079" s="1" t="str">
        <f t="shared" si="65"/>
        <v>DAURDE</v>
      </c>
    </row>
    <row r="1080" spans="2:17">
      <c r="B1080" s="1" t="s">
        <v>420</v>
      </c>
      <c r="C1080" s="1" t="s">
        <v>415</v>
      </c>
      <c r="D1080" s="52">
        <v>46046.163194444445</v>
      </c>
      <c r="E1080" s="52">
        <v>46046.163194444445</v>
      </c>
      <c r="F1080" s="52">
        <v>46046.777777777781</v>
      </c>
      <c r="G1080" s="53">
        <f t="shared" si="63"/>
        <v>0.61458333333575865</v>
      </c>
      <c r="H1080" s="1" t="s">
        <v>248</v>
      </c>
      <c r="J1080" s="1" t="s">
        <v>249</v>
      </c>
      <c r="K1080" s="1" t="s">
        <v>349</v>
      </c>
      <c r="L1080" s="1" t="s">
        <v>596</v>
      </c>
      <c r="M1080" s="1" t="s">
        <v>251</v>
      </c>
      <c r="N1080" s="1" t="s">
        <v>252</v>
      </c>
      <c r="O1080" s="1" t="s">
        <v>597</v>
      </c>
      <c r="P1080" s="1" t="str">
        <f t="shared" si="64"/>
        <v>BC Corumba2.3U03.I0346046,163194444446046,163194444446046,7777777778</v>
      </c>
      <c r="Q1080" s="1" t="str">
        <f t="shared" si="65"/>
        <v>DAURDE</v>
      </c>
    </row>
    <row r="1081" spans="2:17">
      <c r="B1081" s="1" t="s">
        <v>508</v>
      </c>
      <c r="C1081" s="1" t="s">
        <v>517</v>
      </c>
      <c r="D1081" s="52">
        <v>46046.260416666664</v>
      </c>
      <c r="E1081" s="52">
        <v>46046.260416666664</v>
      </c>
      <c r="F1081" s="52">
        <v>46046.277777777781</v>
      </c>
      <c r="G1081" s="53">
        <f t="shared" ref="G1081:G1088" si="66">F1081-E1081</f>
        <v>1.7361111116770189E-2</v>
      </c>
      <c r="H1081" s="1" t="s">
        <v>248</v>
      </c>
      <c r="J1081" s="1" t="s">
        <v>249</v>
      </c>
      <c r="K1081" s="1" t="s">
        <v>349</v>
      </c>
      <c r="L1081" s="1" t="s">
        <v>450</v>
      </c>
      <c r="M1081" s="1" t="s">
        <v>251</v>
      </c>
      <c r="N1081" s="1" t="s">
        <v>252</v>
      </c>
      <c r="O1081" s="1" t="s">
        <v>598</v>
      </c>
      <c r="P1081" s="1" t="str">
        <f t="shared" si="64"/>
        <v>BC ParanoaSG60KTL(COM1-016)_001_00646046,260416666746046,260416666746046,2777777778</v>
      </c>
      <c r="Q1081" s="1" t="str">
        <f t="shared" si="65"/>
        <v>DAURDE</v>
      </c>
    </row>
    <row r="1082" spans="2:17">
      <c r="B1082" s="1" t="s">
        <v>508</v>
      </c>
      <c r="C1082" s="1" t="s">
        <v>522</v>
      </c>
      <c r="D1082" s="52">
        <v>46046.260416666664</v>
      </c>
      <c r="E1082" s="52">
        <v>46046.260416666664</v>
      </c>
      <c r="F1082" s="52">
        <v>46046.277777777781</v>
      </c>
      <c r="G1082" s="53">
        <f t="shared" si="66"/>
        <v>1.7361111116770189E-2</v>
      </c>
      <c r="H1082" s="1" t="s">
        <v>248</v>
      </c>
      <c r="J1082" s="1" t="s">
        <v>249</v>
      </c>
      <c r="K1082" s="1" t="s">
        <v>349</v>
      </c>
      <c r="L1082" s="1" t="s">
        <v>450</v>
      </c>
      <c r="M1082" s="1" t="s">
        <v>251</v>
      </c>
      <c r="N1082" s="1" t="s">
        <v>252</v>
      </c>
      <c r="O1082" s="1" t="s">
        <v>598</v>
      </c>
      <c r="P1082" s="1" t="str">
        <f t="shared" si="64"/>
        <v>BC ParanoaSG60KTL(COM1-006)_001_01446046,260416666746046,260416666746046,2777777778</v>
      </c>
      <c r="Q1082" s="1" t="str">
        <f t="shared" si="65"/>
        <v>DAURDE</v>
      </c>
    </row>
    <row r="1083" spans="2:17">
      <c r="B1083" s="1" t="s">
        <v>508</v>
      </c>
      <c r="C1083" s="1" t="s">
        <v>526</v>
      </c>
      <c r="D1083" s="52">
        <v>46046.260416666664</v>
      </c>
      <c r="E1083" s="52">
        <v>46046.260416666664</v>
      </c>
      <c r="F1083" s="52">
        <v>46046.277777777781</v>
      </c>
      <c r="G1083" s="53">
        <f t="shared" si="66"/>
        <v>1.7361111116770189E-2</v>
      </c>
      <c r="H1083" s="1" t="s">
        <v>248</v>
      </c>
      <c r="J1083" s="1" t="s">
        <v>249</v>
      </c>
      <c r="K1083" s="1" t="s">
        <v>349</v>
      </c>
      <c r="L1083" s="1" t="s">
        <v>450</v>
      </c>
      <c r="M1083" s="1" t="s">
        <v>251</v>
      </c>
      <c r="N1083" s="1" t="s">
        <v>252</v>
      </c>
      <c r="O1083" s="1" t="s">
        <v>598</v>
      </c>
      <c r="P1083" s="1" t="str">
        <f t="shared" si="64"/>
        <v>BC ParanoaSG60KTL(COM1-021)_002_01746046,260416666746046,260416666746046,2777777778</v>
      </c>
      <c r="Q1083" s="1" t="str">
        <f t="shared" si="65"/>
        <v>DAURDE</v>
      </c>
    </row>
    <row r="1084" spans="2:17">
      <c r="B1084" s="1" t="s">
        <v>333</v>
      </c>
      <c r="C1084" s="1" t="s">
        <v>328</v>
      </c>
      <c r="D1084" s="52">
        <v>46046.270833333336</v>
      </c>
      <c r="E1084" s="52">
        <v>46046.270833333336</v>
      </c>
      <c r="F1084" s="52">
        <v>46046.708333333336</v>
      </c>
      <c r="G1084" s="53">
        <f t="shared" si="66"/>
        <v>0.4375</v>
      </c>
      <c r="H1084" s="1" t="s">
        <v>260</v>
      </c>
      <c r="I1084" s="1" t="s">
        <v>261</v>
      </c>
      <c r="J1084" s="1" t="s">
        <v>262</v>
      </c>
      <c r="K1084" s="1" t="s">
        <v>263</v>
      </c>
      <c r="L1084" s="1" t="s">
        <v>599</v>
      </c>
      <c r="M1084" s="1" t="s">
        <v>265</v>
      </c>
      <c r="N1084" s="1" t="s">
        <v>580</v>
      </c>
      <c r="O1084" s="1" t="s">
        <v>600</v>
      </c>
      <c r="P1084" s="1" t="str">
        <f t="shared" si="64"/>
        <v>BC Aracu5.3Inverter(MBUS-1)46046,270833333346046,270833333346046,7083333333</v>
      </c>
      <c r="Q1084" s="1" t="str">
        <f t="shared" si="65"/>
        <v>LIGRFOCOM</v>
      </c>
    </row>
    <row r="1085" spans="2:17">
      <c r="B1085" s="1" t="s">
        <v>566</v>
      </c>
      <c r="C1085" s="1" t="s">
        <v>567</v>
      </c>
      <c r="D1085" s="52">
        <v>46046.340277777781</v>
      </c>
      <c r="E1085" s="52">
        <v>46046.340277777781</v>
      </c>
      <c r="F1085" s="52">
        <v>46046.611111111109</v>
      </c>
      <c r="G1085" s="53">
        <f t="shared" si="66"/>
        <v>0.27083333332848269</v>
      </c>
      <c r="H1085" s="1" t="s">
        <v>248</v>
      </c>
      <c r="J1085" s="1" t="s">
        <v>249</v>
      </c>
      <c r="K1085" s="1" t="s">
        <v>349</v>
      </c>
      <c r="L1085" s="1" t="s">
        <v>329</v>
      </c>
      <c r="M1085" s="1" t="s">
        <v>251</v>
      </c>
      <c r="N1085" s="1" t="s">
        <v>252</v>
      </c>
      <c r="O1085" s="1" t="s">
        <v>601</v>
      </c>
      <c r="P1085" s="1" t="str">
        <f t="shared" si="64"/>
        <v>BC Aracu4SG75CX(COM1-018)_001_01846046,340277777846046,340277777846046,6111111111</v>
      </c>
      <c r="Q1085" s="1" t="str">
        <f t="shared" si="65"/>
        <v>DAURDE</v>
      </c>
    </row>
    <row r="1086" spans="2:17">
      <c r="B1086" s="1" t="s">
        <v>566</v>
      </c>
      <c r="C1086" s="1" t="s">
        <v>568</v>
      </c>
      <c r="D1086" s="52">
        <v>46046.340277777781</v>
      </c>
      <c r="E1086" s="52">
        <v>46046.340277777781</v>
      </c>
      <c r="F1086" s="52">
        <v>46046.611111111109</v>
      </c>
      <c r="G1086" s="53">
        <f t="shared" si="66"/>
        <v>0.27083333332848269</v>
      </c>
      <c r="H1086" s="1" t="s">
        <v>248</v>
      </c>
      <c r="J1086" s="1" t="s">
        <v>249</v>
      </c>
      <c r="K1086" s="1" t="s">
        <v>349</v>
      </c>
      <c r="L1086" s="1" t="s">
        <v>329</v>
      </c>
      <c r="M1086" s="1" t="s">
        <v>251</v>
      </c>
      <c r="N1086" s="1" t="s">
        <v>252</v>
      </c>
      <c r="O1086" s="1" t="s">
        <v>601</v>
      </c>
      <c r="P1086" s="1" t="str">
        <f t="shared" si="64"/>
        <v>BC Aracu4SG75CX(COM1-019)_001_01946046,340277777846046,340277777846046,6111111111</v>
      </c>
      <c r="Q1086" s="1" t="str">
        <f t="shared" si="65"/>
        <v>DAURDE</v>
      </c>
    </row>
    <row r="1087" spans="2:17">
      <c r="B1087" s="1" t="s">
        <v>566</v>
      </c>
      <c r="C1087" s="1" t="s">
        <v>569</v>
      </c>
      <c r="D1087" s="52">
        <v>46046.340277777781</v>
      </c>
      <c r="E1087" s="52">
        <v>46046.340277777781</v>
      </c>
      <c r="F1087" s="52">
        <v>46046.611111111109</v>
      </c>
      <c r="G1087" s="53">
        <f t="shared" si="66"/>
        <v>0.27083333332848269</v>
      </c>
      <c r="H1087" s="1" t="s">
        <v>248</v>
      </c>
      <c r="J1087" s="1" t="s">
        <v>249</v>
      </c>
      <c r="K1087" s="1" t="s">
        <v>349</v>
      </c>
      <c r="L1087" s="1" t="s">
        <v>329</v>
      </c>
      <c r="M1087" s="1" t="s">
        <v>251</v>
      </c>
      <c r="N1087" s="1" t="s">
        <v>252</v>
      </c>
      <c r="O1087" s="1" t="s">
        <v>601</v>
      </c>
      <c r="P1087" s="1" t="str">
        <f t="shared" si="64"/>
        <v>BC Aracu4SG75CX(COM1-020)_001_02046046,340277777846046,340277777846046,6111111111</v>
      </c>
      <c r="Q1087" s="1" t="str">
        <f t="shared" si="65"/>
        <v>DAURDE</v>
      </c>
    </row>
    <row r="1088" spans="2:17">
      <c r="B1088" s="1" t="s">
        <v>566</v>
      </c>
      <c r="C1088" s="1" t="s">
        <v>570</v>
      </c>
      <c r="D1088" s="52">
        <v>46046.340277777781</v>
      </c>
      <c r="E1088" s="52">
        <v>46046.340277777781</v>
      </c>
      <c r="F1088" s="52">
        <v>46046.611111111109</v>
      </c>
      <c r="G1088" s="53">
        <f t="shared" si="66"/>
        <v>0.27083333332848269</v>
      </c>
      <c r="H1088" s="1" t="s">
        <v>248</v>
      </c>
      <c r="J1088" s="1" t="s">
        <v>249</v>
      </c>
      <c r="K1088" s="1" t="s">
        <v>349</v>
      </c>
      <c r="L1088" s="1" t="s">
        <v>329</v>
      </c>
      <c r="M1088" s="1" t="s">
        <v>251</v>
      </c>
      <c r="N1088" s="1" t="s">
        <v>252</v>
      </c>
      <c r="O1088" s="1" t="s">
        <v>601</v>
      </c>
      <c r="P1088" s="1" t="str">
        <f t="shared" si="64"/>
        <v>BC Aracu4SG75CX(COM1-021)_001_02146046,340277777846046,340277777846046,6111111111</v>
      </c>
      <c r="Q1088" s="1" t="str">
        <f t="shared" si="65"/>
        <v>DAURDE</v>
      </c>
    </row>
    <row r="1089" spans="2:17">
      <c r="B1089" s="1" t="s">
        <v>602</v>
      </c>
      <c r="C1089" s="1" t="s">
        <v>603</v>
      </c>
      <c r="D1089" s="52">
        <v>46046.340277777781</v>
      </c>
      <c r="E1089" s="52">
        <v>46046.340277777781</v>
      </c>
      <c r="F1089" s="52">
        <v>46046.611111111109</v>
      </c>
      <c r="G1089" s="53">
        <f t="shared" ref="G1081:G1144" si="67">F1089-E1089</f>
        <v>0.27083333332848269</v>
      </c>
      <c r="H1089" s="1" t="s">
        <v>248</v>
      </c>
      <c r="J1089" s="1" t="s">
        <v>249</v>
      </c>
      <c r="K1089" s="1" t="s">
        <v>349</v>
      </c>
      <c r="L1089" s="1" t="s">
        <v>329</v>
      </c>
      <c r="M1089" s="1" t="s">
        <v>251</v>
      </c>
      <c r="N1089" s="1" t="s">
        <v>252</v>
      </c>
      <c r="O1089" s="1" t="s">
        <v>601</v>
      </c>
      <c r="P1089" s="1" t="str">
        <f t="shared" si="64"/>
        <v>BC Aracu1Inverter7146046,340277777846046,340277777846046,6111111111</v>
      </c>
      <c r="Q1089" s="1" t="str">
        <f t="shared" si="65"/>
        <v>DAURDE</v>
      </c>
    </row>
    <row r="1090" spans="2:17">
      <c r="B1090" s="1" t="s">
        <v>602</v>
      </c>
      <c r="C1090" s="1" t="s">
        <v>604</v>
      </c>
      <c r="D1090" s="52">
        <v>46046.340277777781</v>
      </c>
      <c r="E1090" s="52">
        <v>46046.340277777781</v>
      </c>
      <c r="F1090" s="52">
        <v>46046.611111111109</v>
      </c>
      <c r="G1090" s="53">
        <f t="shared" si="67"/>
        <v>0.27083333332848269</v>
      </c>
      <c r="H1090" s="1" t="s">
        <v>248</v>
      </c>
      <c r="J1090" s="1" t="s">
        <v>249</v>
      </c>
      <c r="K1090" s="1" t="s">
        <v>349</v>
      </c>
      <c r="L1090" s="1" t="s">
        <v>329</v>
      </c>
      <c r="M1090" s="1" t="s">
        <v>251</v>
      </c>
      <c r="N1090" s="1" t="s">
        <v>252</v>
      </c>
      <c r="O1090" s="1" t="s">
        <v>601</v>
      </c>
      <c r="P1090" s="1" t="str">
        <f t="shared" si="64"/>
        <v>BC Aracu1Inverter7246046,340277777846046,340277777846046,6111111111</v>
      </c>
      <c r="Q1090" s="1" t="str">
        <f t="shared" si="65"/>
        <v>DAURDE</v>
      </c>
    </row>
    <row r="1091" spans="2:17">
      <c r="B1091" s="1" t="s">
        <v>602</v>
      </c>
      <c r="C1091" s="1" t="s">
        <v>605</v>
      </c>
      <c r="D1091" s="52">
        <v>46046.340277777781</v>
      </c>
      <c r="E1091" s="52">
        <v>46046.340277777781</v>
      </c>
      <c r="F1091" s="52">
        <v>46046.611111111109</v>
      </c>
      <c r="G1091" s="53">
        <f t="shared" si="67"/>
        <v>0.27083333332848269</v>
      </c>
      <c r="H1091" s="1" t="s">
        <v>248</v>
      </c>
      <c r="J1091" s="1" t="s">
        <v>249</v>
      </c>
      <c r="K1091" s="1" t="s">
        <v>349</v>
      </c>
      <c r="L1091" s="1" t="s">
        <v>329</v>
      </c>
      <c r="M1091" s="1" t="s">
        <v>251</v>
      </c>
      <c r="N1091" s="1" t="s">
        <v>252</v>
      </c>
      <c r="O1091" s="1" t="s">
        <v>601</v>
      </c>
      <c r="P1091" s="1" t="str">
        <f t="shared" si="64"/>
        <v>BC Aracu1Inverter7346046,340277777846046,340277777846046,6111111111</v>
      </c>
      <c r="Q1091" s="1" t="str">
        <f t="shared" si="65"/>
        <v>DAURDE</v>
      </c>
    </row>
    <row r="1092" spans="2:17">
      <c r="B1092" s="1" t="s">
        <v>602</v>
      </c>
      <c r="C1092" s="1" t="s">
        <v>606</v>
      </c>
      <c r="D1092" s="52">
        <v>46046.340277777781</v>
      </c>
      <c r="E1092" s="52">
        <v>46046.340277777781</v>
      </c>
      <c r="F1092" s="52">
        <v>46046.611111111109</v>
      </c>
      <c r="G1092" s="53">
        <f t="shared" si="67"/>
        <v>0.27083333332848269</v>
      </c>
      <c r="H1092" s="1" t="s">
        <v>248</v>
      </c>
      <c r="J1092" s="1" t="s">
        <v>249</v>
      </c>
      <c r="K1092" s="1" t="s">
        <v>349</v>
      </c>
      <c r="L1092" s="1" t="s">
        <v>329</v>
      </c>
      <c r="M1092" s="1" t="s">
        <v>251</v>
      </c>
      <c r="N1092" s="1" t="s">
        <v>252</v>
      </c>
      <c r="O1092" s="1" t="s">
        <v>601</v>
      </c>
      <c r="P1092" s="1" t="str">
        <f t="shared" si="64"/>
        <v>BC Aracu1Inverter7446046,340277777846046,340277777846046,6111111111</v>
      </c>
      <c r="Q1092" s="1" t="str">
        <f t="shared" si="65"/>
        <v>DAURDE</v>
      </c>
    </row>
    <row r="1093" spans="2:17">
      <c r="B1093" s="1" t="s">
        <v>602</v>
      </c>
      <c r="C1093" s="1" t="s">
        <v>607</v>
      </c>
      <c r="D1093" s="52">
        <v>46046.340277777781</v>
      </c>
      <c r="E1093" s="52">
        <v>46046.340277777781</v>
      </c>
      <c r="F1093" s="52">
        <v>46046.611111111109</v>
      </c>
      <c r="G1093" s="53">
        <f t="shared" si="67"/>
        <v>0.27083333332848269</v>
      </c>
      <c r="H1093" s="1" t="s">
        <v>248</v>
      </c>
      <c r="J1093" s="1" t="s">
        <v>249</v>
      </c>
      <c r="K1093" s="1" t="s">
        <v>349</v>
      </c>
      <c r="L1093" s="1" t="s">
        <v>329</v>
      </c>
      <c r="M1093" s="1" t="s">
        <v>251</v>
      </c>
      <c r="N1093" s="1" t="s">
        <v>252</v>
      </c>
      <c r="O1093" s="1" t="s">
        <v>601</v>
      </c>
      <c r="P1093" s="1" t="str">
        <f t="shared" si="64"/>
        <v>BC Aracu1Inverter7546046,340277777846046,340277777846046,6111111111</v>
      </c>
      <c r="Q1093" s="1" t="str">
        <f t="shared" si="65"/>
        <v>DAURDE</v>
      </c>
    </row>
    <row r="1094" spans="2:17">
      <c r="B1094" s="1" t="s">
        <v>602</v>
      </c>
      <c r="C1094" s="1" t="s">
        <v>608</v>
      </c>
      <c r="D1094" s="52">
        <v>46046.340277777781</v>
      </c>
      <c r="E1094" s="52">
        <v>46046.340277777781</v>
      </c>
      <c r="F1094" s="52">
        <v>46046.611111111109</v>
      </c>
      <c r="G1094" s="53">
        <f t="shared" si="67"/>
        <v>0.27083333332848269</v>
      </c>
      <c r="H1094" s="1" t="s">
        <v>248</v>
      </c>
      <c r="J1094" s="1" t="s">
        <v>249</v>
      </c>
      <c r="K1094" s="1" t="s">
        <v>349</v>
      </c>
      <c r="L1094" s="1" t="s">
        <v>329</v>
      </c>
      <c r="M1094" s="1" t="s">
        <v>251</v>
      </c>
      <c r="N1094" s="1" t="s">
        <v>252</v>
      </c>
      <c r="O1094" s="1" t="s">
        <v>601</v>
      </c>
      <c r="P1094" s="1" t="str">
        <f t="shared" si="64"/>
        <v>BC Aracu1Inverter7646046,340277777846046,340277777846046,6111111111</v>
      </c>
      <c r="Q1094" s="1" t="str">
        <f t="shared" si="65"/>
        <v>DAURDE</v>
      </c>
    </row>
    <row r="1095" spans="2:17">
      <c r="B1095" s="1" t="s">
        <v>602</v>
      </c>
      <c r="C1095" s="1" t="s">
        <v>609</v>
      </c>
      <c r="D1095" s="52">
        <v>46046.340277777781</v>
      </c>
      <c r="E1095" s="52">
        <v>46046.340277777781</v>
      </c>
      <c r="F1095" s="52">
        <v>46046.611111111109</v>
      </c>
      <c r="G1095" s="53">
        <f t="shared" si="67"/>
        <v>0.27083333332848269</v>
      </c>
      <c r="H1095" s="1" t="s">
        <v>248</v>
      </c>
      <c r="J1095" s="1" t="s">
        <v>249</v>
      </c>
      <c r="K1095" s="1" t="s">
        <v>349</v>
      </c>
      <c r="L1095" s="1" t="s">
        <v>329</v>
      </c>
      <c r="M1095" s="1" t="s">
        <v>251</v>
      </c>
      <c r="N1095" s="1" t="s">
        <v>252</v>
      </c>
      <c r="O1095" s="1" t="s">
        <v>601</v>
      </c>
      <c r="P1095" s="1" t="str">
        <f t="shared" si="64"/>
        <v>BC Aracu1Inverter7746046,340277777846046,340277777846046,6111111111</v>
      </c>
      <c r="Q1095" s="1" t="str">
        <f t="shared" si="65"/>
        <v>DAURDE</v>
      </c>
    </row>
    <row r="1096" spans="2:17">
      <c r="B1096" s="1" t="s">
        <v>298</v>
      </c>
      <c r="C1096" s="1" t="s">
        <v>305</v>
      </c>
      <c r="D1096" s="52">
        <v>46046.340277777781</v>
      </c>
      <c r="E1096" s="52">
        <v>46046.340277777781</v>
      </c>
      <c r="F1096" s="52">
        <v>46046.611111111109</v>
      </c>
      <c r="G1096" s="53">
        <f t="shared" si="67"/>
        <v>0.27083333332848269</v>
      </c>
      <c r="H1096" s="1" t="s">
        <v>248</v>
      </c>
      <c r="J1096" s="1" t="s">
        <v>249</v>
      </c>
      <c r="K1096" s="1" t="s">
        <v>349</v>
      </c>
      <c r="L1096" s="1" t="s">
        <v>329</v>
      </c>
      <c r="M1096" s="1" t="s">
        <v>251</v>
      </c>
      <c r="N1096" s="1" t="s">
        <v>252</v>
      </c>
      <c r="O1096" s="1" t="s">
        <v>601</v>
      </c>
      <c r="P1096" s="1" t="str">
        <f t="shared" si="64"/>
        <v>BC Aracu2araçu 2.1 inversor 146046,340277777846046,340277777846046,6111111111</v>
      </c>
      <c r="Q1096" s="1" t="str">
        <f t="shared" si="65"/>
        <v>DAURDE</v>
      </c>
    </row>
    <row r="1097" spans="2:17">
      <c r="B1097" s="1" t="s">
        <v>298</v>
      </c>
      <c r="C1097" s="1" t="s">
        <v>308</v>
      </c>
      <c r="D1097" s="52">
        <v>46046.340277777781</v>
      </c>
      <c r="E1097" s="52">
        <v>46046.340277777781</v>
      </c>
      <c r="F1097" s="52">
        <v>46046.611111111109</v>
      </c>
      <c r="G1097" s="53">
        <f t="shared" si="67"/>
        <v>0.27083333332848269</v>
      </c>
      <c r="H1097" s="1" t="s">
        <v>248</v>
      </c>
      <c r="J1097" s="1" t="s">
        <v>249</v>
      </c>
      <c r="K1097" s="1" t="s">
        <v>349</v>
      </c>
      <c r="L1097" s="1" t="s">
        <v>329</v>
      </c>
      <c r="M1097" s="1" t="s">
        <v>251</v>
      </c>
      <c r="N1097" s="1" t="s">
        <v>252</v>
      </c>
      <c r="O1097" s="1" t="s">
        <v>601</v>
      </c>
      <c r="P1097" s="1" t="str">
        <f t="shared" si="64"/>
        <v>BC Aracu2araçu 2.1 inversor 246046,340277777846046,340277777846046,6111111111</v>
      </c>
      <c r="Q1097" s="1" t="str">
        <f t="shared" si="65"/>
        <v>DAURDE</v>
      </c>
    </row>
    <row r="1098" spans="2:17">
      <c r="B1098" s="1" t="s">
        <v>298</v>
      </c>
      <c r="C1098" s="1" t="s">
        <v>309</v>
      </c>
      <c r="D1098" s="52">
        <v>46046.340277777781</v>
      </c>
      <c r="E1098" s="52">
        <v>46046.340277777781</v>
      </c>
      <c r="F1098" s="52">
        <v>46046.611111111109</v>
      </c>
      <c r="G1098" s="53">
        <f t="shared" si="67"/>
        <v>0.27083333332848269</v>
      </c>
      <c r="H1098" s="1" t="s">
        <v>248</v>
      </c>
      <c r="J1098" s="1" t="s">
        <v>249</v>
      </c>
      <c r="K1098" s="1" t="s">
        <v>349</v>
      </c>
      <c r="L1098" s="1" t="s">
        <v>329</v>
      </c>
      <c r="M1098" s="1" t="s">
        <v>251</v>
      </c>
      <c r="N1098" s="1" t="s">
        <v>252</v>
      </c>
      <c r="O1098" s="1" t="s">
        <v>601</v>
      </c>
      <c r="P1098" s="1" t="str">
        <f t="shared" si="64"/>
        <v>BC Aracu2araçu 2.1 inversor 346046,340277777846046,340277777846046,6111111111</v>
      </c>
      <c r="Q1098" s="1" t="str">
        <f t="shared" si="65"/>
        <v>DAURDE</v>
      </c>
    </row>
    <row r="1099" spans="2:17">
      <c r="B1099" s="1" t="s">
        <v>298</v>
      </c>
      <c r="C1099" s="1" t="s">
        <v>310</v>
      </c>
      <c r="D1099" s="52">
        <v>46046.340277777781</v>
      </c>
      <c r="E1099" s="52">
        <v>46046.340277777781</v>
      </c>
      <c r="F1099" s="52">
        <v>46046.611111111109</v>
      </c>
      <c r="G1099" s="53">
        <f t="shared" si="67"/>
        <v>0.27083333332848269</v>
      </c>
      <c r="H1099" s="1" t="s">
        <v>248</v>
      </c>
      <c r="J1099" s="1" t="s">
        <v>249</v>
      </c>
      <c r="K1099" s="1" t="s">
        <v>349</v>
      </c>
      <c r="L1099" s="1" t="s">
        <v>329</v>
      </c>
      <c r="M1099" s="1" t="s">
        <v>251</v>
      </c>
      <c r="N1099" s="1" t="s">
        <v>252</v>
      </c>
      <c r="O1099" s="1" t="s">
        <v>601</v>
      </c>
      <c r="P1099" s="1" t="str">
        <f t="shared" si="64"/>
        <v>BC Aracu2araçu 2.2 inversor 146046,340277777846046,340277777846046,6111111111</v>
      </c>
      <c r="Q1099" s="1" t="str">
        <f t="shared" si="65"/>
        <v>DAURDE</v>
      </c>
    </row>
    <row r="1100" spans="2:17">
      <c r="B1100" s="1" t="s">
        <v>298</v>
      </c>
      <c r="C1100" s="1" t="s">
        <v>311</v>
      </c>
      <c r="D1100" s="52">
        <v>46046.340277777781</v>
      </c>
      <c r="E1100" s="52">
        <v>46046.340277777781</v>
      </c>
      <c r="F1100" s="52">
        <v>46046.611111111109</v>
      </c>
      <c r="G1100" s="53">
        <f t="shared" si="67"/>
        <v>0.27083333332848269</v>
      </c>
      <c r="H1100" s="1" t="s">
        <v>248</v>
      </c>
      <c r="J1100" s="1" t="s">
        <v>249</v>
      </c>
      <c r="K1100" s="1" t="s">
        <v>349</v>
      </c>
      <c r="L1100" s="1" t="s">
        <v>329</v>
      </c>
      <c r="M1100" s="1" t="s">
        <v>251</v>
      </c>
      <c r="N1100" s="1" t="s">
        <v>252</v>
      </c>
      <c r="O1100" s="1" t="s">
        <v>601</v>
      </c>
      <c r="P1100" s="1" t="str">
        <f t="shared" si="64"/>
        <v>BC Aracu2araçu 2.2 inversor 246046,340277777846046,340277777846046,6111111111</v>
      </c>
      <c r="Q1100" s="1" t="str">
        <f t="shared" si="65"/>
        <v>DAURDE</v>
      </c>
    </row>
    <row r="1101" spans="2:17">
      <c r="B1101" s="1" t="s">
        <v>298</v>
      </c>
      <c r="C1101" s="1" t="s">
        <v>312</v>
      </c>
      <c r="D1101" s="52">
        <v>46046.340277777781</v>
      </c>
      <c r="E1101" s="52">
        <v>46046.340277777781</v>
      </c>
      <c r="F1101" s="52">
        <v>46046.611111111109</v>
      </c>
      <c r="G1101" s="53">
        <f t="shared" si="67"/>
        <v>0.27083333332848269</v>
      </c>
      <c r="H1101" s="1" t="s">
        <v>248</v>
      </c>
      <c r="J1101" s="1" t="s">
        <v>249</v>
      </c>
      <c r="K1101" s="1" t="s">
        <v>349</v>
      </c>
      <c r="L1101" s="1" t="s">
        <v>329</v>
      </c>
      <c r="M1101" s="1" t="s">
        <v>251</v>
      </c>
      <c r="N1101" s="1" t="s">
        <v>252</v>
      </c>
      <c r="O1101" s="1" t="s">
        <v>601</v>
      </c>
      <c r="P1101" s="1" t="str">
        <f t="shared" si="64"/>
        <v>BC Aracu2araçu 2.2 inversor 346046,340277777846046,340277777846046,6111111111</v>
      </c>
      <c r="Q1101" s="1" t="str">
        <f t="shared" si="65"/>
        <v>DAURDE</v>
      </c>
    </row>
    <row r="1102" spans="2:17">
      <c r="B1102" s="1" t="s">
        <v>298</v>
      </c>
      <c r="C1102" s="1" t="s">
        <v>313</v>
      </c>
      <c r="D1102" s="52">
        <v>46046.340277777781</v>
      </c>
      <c r="E1102" s="52">
        <v>46046.340277777781</v>
      </c>
      <c r="F1102" s="52">
        <v>46046.611111111109</v>
      </c>
      <c r="G1102" s="53">
        <f t="shared" si="67"/>
        <v>0.27083333332848269</v>
      </c>
      <c r="H1102" s="1" t="s">
        <v>248</v>
      </c>
      <c r="J1102" s="1" t="s">
        <v>249</v>
      </c>
      <c r="K1102" s="1" t="s">
        <v>349</v>
      </c>
      <c r="L1102" s="1" t="s">
        <v>329</v>
      </c>
      <c r="M1102" s="1" t="s">
        <v>251</v>
      </c>
      <c r="N1102" s="1" t="s">
        <v>252</v>
      </c>
      <c r="O1102" s="1" t="s">
        <v>601</v>
      </c>
      <c r="P1102" s="1" t="str">
        <f t="shared" si="64"/>
        <v>BC Aracu2Inverter8346046,340277777846046,340277777846046,6111111111</v>
      </c>
      <c r="Q1102" s="1" t="str">
        <f t="shared" si="65"/>
        <v>DAURDE</v>
      </c>
    </row>
    <row r="1103" spans="2:17">
      <c r="B1103" s="1" t="s">
        <v>298</v>
      </c>
      <c r="C1103" s="1" t="s">
        <v>314</v>
      </c>
      <c r="D1103" s="52">
        <v>46046.340277777781</v>
      </c>
      <c r="E1103" s="52">
        <v>46046.340277777781</v>
      </c>
      <c r="F1103" s="52">
        <v>46046.611111111109</v>
      </c>
      <c r="G1103" s="53">
        <f t="shared" si="67"/>
        <v>0.27083333332848269</v>
      </c>
      <c r="H1103" s="1" t="s">
        <v>248</v>
      </c>
      <c r="J1103" s="1" t="s">
        <v>249</v>
      </c>
      <c r="K1103" s="1" t="s">
        <v>349</v>
      </c>
      <c r="L1103" s="1" t="s">
        <v>329</v>
      </c>
      <c r="M1103" s="1" t="s">
        <v>251</v>
      </c>
      <c r="N1103" s="1" t="s">
        <v>252</v>
      </c>
      <c r="O1103" s="1" t="s">
        <v>601</v>
      </c>
      <c r="P1103" s="1" t="str">
        <f t="shared" si="64"/>
        <v>BC Aracu2araçu 2.3 inversor 546046,340277777846046,340277777846046,6111111111</v>
      </c>
      <c r="Q1103" s="1" t="str">
        <f t="shared" si="65"/>
        <v>DAURDE</v>
      </c>
    </row>
    <row r="1104" spans="2:17">
      <c r="B1104" s="1" t="s">
        <v>298</v>
      </c>
      <c r="C1104" s="1" t="s">
        <v>315</v>
      </c>
      <c r="D1104" s="52">
        <v>46046.340277777781</v>
      </c>
      <c r="E1104" s="52">
        <v>46046.340277777781</v>
      </c>
      <c r="F1104" s="52">
        <v>46046.611111111109</v>
      </c>
      <c r="G1104" s="53">
        <f t="shared" si="67"/>
        <v>0.27083333332848269</v>
      </c>
      <c r="H1104" s="1" t="s">
        <v>248</v>
      </c>
      <c r="J1104" s="1" t="s">
        <v>249</v>
      </c>
      <c r="K1104" s="1" t="s">
        <v>349</v>
      </c>
      <c r="L1104" s="1" t="s">
        <v>329</v>
      </c>
      <c r="M1104" s="1" t="s">
        <v>251</v>
      </c>
      <c r="N1104" s="1" t="s">
        <v>252</v>
      </c>
      <c r="O1104" s="1" t="s">
        <v>601</v>
      </c>
      <c r="P1104" s="1" t="str">
        <f t="shared" si="64"/>
        <v>BC Aracu2araçu 2.3 inversor 146046,340277777846046,340277777846046,6111111111</v>
      </c>
      <c r="Q1104" s="1" t="str">
        <f t="shared" si="65"/>
        <v>DAURDE</v>
      </c>
    </row>
    <row r="1105" spans="2:17">
      <c r="B1105" s="1" t="s">
        <v>298</v>
      </c>
      <c r="C1105" s="1" t="s">
        <v>316</v>
      </c>
      <c r="D1105" s="52">
        <v>46046.340277777781</v>
      </c>
      <c r="E1105" s="52">
        <v>46046.340277777781</v>
      </c>
      <c r="F1105" s="52">
        <v>46046.611111111109</v>
      </c>
      <c r="G1105" s="53">
        <f t="shared" si="67"/>
        <v>0.27083333332848269</v>
      </c>
      <c r="H1105" s="1" t="s">
        <v>248</v>
      </c>
      <c r="J1105" s="1" t="s">
        <v>249</v>
      </c>
      <c r="K1105" s="1" t="s">
        <v>349</v>
      </c>
      <c r="L1105" s="1" t="s">
        <v>329</v>
      </c>
      <c r="M1105" s="1" t="s">
        <v>251</v>
      </c>
      <c r="N1105" s="1" t="s">
        <v>252</v>
      </c>
      <c r="O1105" s="1" t="s">
        <v>601</v>
      </c>
      <c r="P1105" s="1" t="str">
        <f t="shared" si="64"/>
        <v>BC Aracu2araçu 2.3 inversor 246046,340277777846046,340277777846046,6111111111</v>
      </c>
      <c r="Q1105" s="1" t="str">
        <f t="shared" si="65"/>
        <v>DAURDE</v>
      </c>
    </row>
    <row r="1106" spans="2:17">
      <c r="B1106" s="1" t="s">
        <v>298</v>
      </c>
      <c r="C1106" s="1" t="s">
        <v>317</v>
      </c>
      <c r="D1106" s="52">
        <v>46046.340277777781</v>
      </c>
      <c r="E1106" s="52">
        <v>46046.340277777781</v>
      </c>
      <c r="F1106" s="52">
        <v>46046.611111111109</v>
      </c>
      <c r="G1106" s="53">
        <f t="shared" si="67"/>
        <v>0.27083333332848269</v>
      </c>
      <c r="H1106" s="1" t="s">
        <v>248</v>
      </c>
      <c r="J1106" s="1" t="s">
        <v>249</v>
      </c>
      <c r="K1106" s="1" t="s">
        <v>349</v>
      </c>
      <c r="L1106" s="1" t="s">
        <v>329</v>
      </c>
      <c r="M1106" s="1" t="s">
        <v>251</v>
      </c>
      <c r="N1106" s="1" t="s">
        <v>252</v>
      </c>
      <c r="O1106" s="1" t="s">
        <v>601</v>
      </c>
      <c r="P1106" s="1" t="str">
        <f t="shared" si="64"/>
        <v>BC Aracu2araçu 2.3 inversor 446046,340277777846046,340277777846046,6111111111</v>
      </c>
      <c r="Q1106" s="1" t="str">
        <f t="shared" si="65"/>
        <v>DAURDE</v>
      </c>
    </row>
    <row r="1107" spans="2:17">
      <c r="B1107" s="1" t="s">
        <v>298</v>
      </c>
      <c r="C1107" s="1" t="s">
        <v>318</v>
      </c>
      <c r="D1107" s="52">
        <v>46046.340277777781</v>
      </c>
      <c r="E1107" s="52">
        <v>46046.340277777781</v>
      </c>
      <c r="F1107" s="52">
        <v>46046.611111111109</v>
      </c>
      <c r="G1107" s="53">
        <f t="shared" si="67"/>
        <v>0.27083333332848269</v>
      </c>
      <c r="H1107" s="1" t="s">
        <v>248</v>
      </c>
      <c r="J1107" s="1" t="s">
        <v>249</v>
      </c>
      <c r="K1107" s="1" t="s">
        <v>349</v>
      </c>
      <c r="L1107" s="1" t="s">
        <v>329</v>
      </c>
      <c r="M1107" s="1" t="s">
        <v>251</v>
      </c>
      <c r="N1107" s="1" t="s">
        <v>252</v>
      </c>
      <c r="O1107" s="1" t="s">
        <v>601</v>
      </c>
      <c r="P1107" s="1" t="str">
        <f t="shared" si="64"/>
        <v>BC Aracu2araçu 2.3 inversor 346046,340277777846046,340277777846046,6111111111</v>
      </c>
      <c r="Q1107" s="1" t="str">
        <f t="shared" si="65"/>
        <v>DAURDE</v>
      </c>
    </row>
    <row r="1108" spans="2:17">
      <c r="B1108" s="1" t="s">
        <v>298</v>
      </c>
      <c r="C1108" s="1" t="s">
        <v>319</v>
      </c>
      <c r="D1108" s="52">
        <v>46046.340277777781</v>
      </c>
      <c r="E1108" s="52">
        <v>46046.340277777781</v>
      </c>
      <c r="F1108" s="52">
        <v>46046.611111111109</v>
      </c>
      <c r="G1108" s="53">
        <f t="shared" si="67"/>
        <v>0.27083333332848269</v>
      </c>
      <c r="H1108" s="1" t="s">
        <v>248</v>
      </c>
      <c r="J1108" s="1" t="s">
        <v>249</v>
      </c>
      <c r="K1108" s="1" t="s">
        <v>349</v>
      </c>
      <c r="L1108" s="1" t="s">
        <v>329</v>
      </c>
      <c r="M1108" s="1" t="s">
        <v>251</v>
      </c>
      <c r="N1108" s="1" t="s">
        <v>252</v>
      </c>
      <c r="O1108" s="1" t="s">
        <v>601</v>
      </c>
      <c r="P1108" s="1" t="str">
        <f t="shared" si="64"/>
        <v>BC Aracu2araçu 2.4 inversor 346046,340277777846046,340277777846046,6111111111</v>
      </c>
      <c r="Q1108" s="1" t="str">
        <f t="shared" si="65"/>
        <v>DAURDE</v>
      </c>
    </row>
    <row r="1109" spans="2:17">
      <c r="B1109" s="1" t="s">
        <v>298</v>
      </c>
      <c r="C1109" s="1" t="s">
        <v>320</v>
      </c>
      <c r="D1109" s="52">
        <v>46046.340277777781</v>
      </c>
      <c r="E1109" s="52">
        <v>46046.340277777781</v>
      </c>
      <c r="F1109" s="52">
        <v>46046.611111111109</v>
      </c>
      <c r="G1109" s="53">
        <f t="shared" si="67"/>
        <v>0.27083333332848269</v>
      </c>
      <c r="H1109" s="1" t="s">
        <v>248</v>
      </c>
      <c r="J1109" s="1" t="s">
        <v>249</v>
      </c>
      <c r="K1109" s="1" t="s">
        <v>349</v>
      </c>
      <c r="L1109" s="1" t="s">
        <v>329</v>
      </c>
      <c r="M1109" s="1" t="s">
        <v>251</v>
      </c>
      <c r="N1109" s="1" t="s">
        <v>252</v>
      </c>
      <c r="O1109" s="1" t="s">
        <v>601</v>
      </c>
      <c r="P1109" s="1" t="str">
        <f t="shared" si="64"/>
        <v>BC Aracu2araçu 2.4 inversor 146046,340277777846046,340277777846046,6111111111</v>
      </c>
      <c r="Q1109" s="1" t="str">
        <f t="shared" si="65"/>
        <v>DAURDE</v>
      </c>
    </row>
    <row r="1110" spans="2:17">
      <c r="B1110" s="1" t="s">
        <v>298</v>
      </c>
      <c r="C1110" s="1" t="s">
        <v>321</v>
      </c>
      <c r="D1110" s="52">
        <v>46046.340277777781</v>
      </c>
      <c r="E1110" s="52">
        <v>46046.340277777781</v>
      </c>
      <c r="F1110" s="52">
        <v>46046.611111111109</v>
      </c>
      <c r="G1110" s="53">
        <f t="shared" si="67"/>
        <v>0.27083333332848269</v>
      </c>
      <c r="H1110" s="1" t="s">
        <v>248</v>
      </c>
      <c r="J1110" s="1" t="s">
        <v>249</v>
      </c>
      <c r="K1110" s="1" t="s">
        <v>349</v>
      </c>
      <c r="L1110" s="1" t="s">
        <v>329</v>
      </c>
      <c r="M1110" s="1" t="s">
        <v>251</v>
      </c>
      <c r="N1110" s="1" t="s">
        <v>252</v>
      </c>
      <c r="O1110" s="1" t="s">
        <v>601</v>
      </c>
      <c r="P1110" s="1" t="str">
        <f t="shared" si="64"/>
        <v>BC Aracu2araçu 2.4 inversor 646046,340277777846046,340277777846046,6111111111</v>
      </c>
      <c r="Q1110" s="1" t="str">
        <f t="shared" si="65"/>
        <v>DAURDE</v>
      </c>
    </row>
    <row r="1111" spans="2:17">
      <c r="B1111" s="1" t="s">
        <v>298</v>
      </c>
      <c r="C1111" s="1" t="s">
        <v>322</v>
      </c>
      <c r="D1111" s="52">
        <v>46046.340277777781</v>
      </c>
      <c r="E1111" s="52">
        <v>46046.340277777781</v>
      </c>
      <c r="F1111" s="52">
        <v>46046.611111111109</v>
      </c>
      <c r="G1111" s="53">
        <f t="shared" si="67"/>
        <v>0.27083333332848269</v>
      </c>
      <c r="H1111" s="1" t="s">
        <v>248</v>
      </c>
      <c r="J1111" s="1" t="s">
        <v>249</v>
      </c>
      <c r="K1111" s="1" t="s">
        <v>349</v>
      </c>
      <c r="L1111" s="1" t="s">
        <v>329</v>
      </c>
      <c r="M1111" s="1" t="s">
        <v>251</v>
      </c>
      <c r="N1111" s="1" t="s">
        <v>252</v>
      </c>
      <c r="O1111" s="1" t="s">
        <v>601</v>
      </c>
      <c r="P1111" s="1" t="str">
        <f t="shared" si="64"/>
        <v>BC Aracu2araçu 2.4 inversor 446046,340277777846046,340277777846046,6111111111</v>
      </c>
      <c r="Q1111" s="1" t="str">
        <f t="shared" si="65"/>
        <v>DAURDE</v>
      </c>
    </row>
    <row r="1112" spans="2:17">
      <c r="B1112" s="1" t="s">
        <v>298</v>
      </c>
      <c r="C1112" s="1" t="s">
        <v>323</v>
      </c>
      <c r="D1112" s="52">
        <v>46046.340277777781</v>
      </c>
      <c r="E1112" s="52">
        <v>46046.340277777781</v>
      </c>
      <c r="F1112" s="52">
        <v>46046.611111111109</v>
      </c>
      <c r="G1112" s="53">
        <f t="shared" si="67"/>
        <v>0.27083333332848269</v>
      </c>
      <c r="H1112" s="1" t="s">
        <v>248</v>
      </c>
      <c r="J1112" s="1" t="s">
        <v>249</v>
      </c>
      <c r="K1112" s="1" t="s">
        <v>349</v>
      </c>
      <c r="L1112" s="1" t="s">
        <v>329</v>
      </c>
      <c r="M1112" s="1" t="s">
        <v>251</v>
      </c>
      <c r="N1112" s="1" t="s">
        <v>252</v>
      </c>
      <c r="O1112" s="1" t="s">
        <v>601</v>
      </c>
      <c r="P1112" s="1" t="str">
        <f t="shared" si="64"/>
        <v>BC Aracu2araçu 2.4 inversor 246046,340277777846046,340277777846046,6111111111</v>
      </c>
      <c r="Q1112" s="1" t="str">
        <f t="shared" si="65"/>
        <v>DAURDE</v>
      </c>
    </row>
    <row r="1113" spans="2:17">
      <c r="B1113" s="1" t="s">
        <v>298</v>
      </c>
      <c r="C1113" s="1" t="s">
        <v>324</v>
      </c>
      <c r="D1113" s="52">
        <v>46046.340277777781</v>
      </c>
      <c r="E1113" s="52">
        <v>46046.340277777781</v>
      </c>
      <c r="F1113" s="52">
        <v>46046.611111111109</v>
      </c>
      <c r="G1113" s="53">
        <f t="shared" si="67"/>
        <v>0.27083333332848269</v>
      </c>
      <c r="H1113" s="1" t="s">
        <v>248</v>
      </c>
      <c r="J1113" s="1" t="s">
        <v>249</v>
      </c>
      <c r="K1113" s="1" t="s">
        <v>349</v>
      </c>
      <c r="L1113" s="1" t="s">
        <v>329</v>
      </c>
      <c r="M1113" s="1" t="s">
        <v>251</v>
      </c>
      <c r="N1113" s="1" t="s">
        <v>252</v>
      </c>
      <c r="O1113" s="1" t="s">
        <v>601</v>
      </c>
      <c r="P1113" s="1" t="str">
        <f t="shared" si="64"/>
        <v>BC Aracu2araçu 2.4 inversor 546046,340277777846046,340277777846046,6111111111</v>
      </c>
      <c r="Q1113" s="1" t="str">
        <f t="shared" si="65"/>
        <v>DAURDE</v>
      </c>
    </row>
    <row r="1114" spans="2:17">
      <c r="B1114" s="1" t="s">
        <v>610</v>
      </c>
      <c r="C1114" s="1" t="s">
        <v>611</v>
      </c>
      <c r="D1114" s="52">
        <v>46046.340277777781</v>
      </c>
      <c r="E1114" s="52">
        <v>46046.340277777781</v>
      </c>
      <c r="F1114" s="52">
        <v>46046.611111111109</v>
      </c>
      <c r="G1114" s="53">
        <f t="shared" si="67"/>
        <v>0.27083333332848269</v>
      </c>
      <c r="H1114" s="1" t="s">
        <v>248</v>
      </c>
      <c r="J1114" s="1" t="s">
        <v>249</v>
      </c>
      <c r="K1114" s="1" t="s">
        <v>349</v>
      </c>
      <c r="L1114" s="1" t="s">
        <v>329</v>
      </c>
      <c r="M1114" s="1" t="s">
        <v>251</v>
      </c>
      <c r="N1114" s="1" t="s">
        <v>252</v>
      </c>
      <c r="O1114" s="1" t="s">
        <v>601</v>
      </c>
      <c r="P1114" s="1" t="str">
        <f t="shared" si="64"/>
        <v>BC Aracu3Inverter446046,340277777846046,340277777846046,6111111111</v>
      </c>
      <c r="Q1114" s="1" t="str">
        <f t="shared" si="65"/>
        <v>DAURDE</v>
      </c>
    </row>
    <row r="1115" spans="2:17">
      <c r="B1115" s="1" t="s">
        <v>610</v>
      </c>
      <c r="C1115" s="1" t="s">
        <v>612</v>
      </c>
      <c r="D1115" s="52">
        <v>46046.340277777781</v>
      </c>
      <c r="E1115" s="52">
        <v>46046.340277777781</v>
      </c>
      <c r="F1115" s="52">
        <v>46046.611111111109</v>
      </c>
      <c r="G1115" s="53">
        <f t="shared" si="67"/>
        <v>0.27083333332848269</v>
      </c>
      <c r="H1115" s="1" t="s">
        <v>248</v>
      </c>
      <c r="J1115" s="1" t="s">
        <v>249</v>
      </c>
      <c r="K1115" s="1" t="s">
        <v>349</v>
      </c>
      <c r="L1115" s="1" t="s">
        <v>329</v>
      </c>
      <c r="M1115" s="1" t="s">
        <v>251</v>
      </c>
      <c r="N1115" s="1" t="s">
        <v>252</v>
      </c>
      <c r="O1115" s="1" t="s">
        <v>601</v>
      </c>
      <c r="P1115" s="1" t="str">
        <f t="shared" si="64"/>
        <v>BC Aracu3Inverter346046,340277777846046,340277777846046,6111111111</v>
      </c>
      <c r="Q1115" s="1" t="str">
        <f t="shared" si="65"/>
        <v>DAURDE</v>
      </c>
    </row>
    <row r="1116" spans="2:17">
      <c r="B1116" s="1" t="s">
        <v>610</v>
      </c>
      <c r="C1116" s="1" t="s">
        <v>613</v>
      </c>
      <c r="D1116" s="52">
        <v>46046.340277777781</v>
      </c>
      <c r="E1116" s="52">
        <v>46046.340277777781</v>
      </c>
      <c r="F1116" s="52">
        <v>46046.611111111109</v>
      </c>
      <c r="G1116" s="53">
        <f t="shared" si="67"/>
        <v>0.27083333332848269</v>
      </c>
      <c r="H1116" s="1" t="s">
        <v>248</v>
      </c>
      <c r="J1116" s="1" t="s">
        <v>249</v>
      </c>
      <c r="K1116" s="1" t="s">
        <v>349</v>
      </c>
      <c r="L1116" s="1" t="s">
        <v>329</v>
      </c>
      <c r="M1116" s="1" t="s">
        <v>251</v>
      </c>
      <c r="N1116" s="1" t="s">
        <v>252</v>
      </c>
      <c r="O1116" s="1" t="s">
        <v>601</v>
      </c>
      <c r="P1116" s="1" t="str">
        <f t="shared" si="64"/>
        <v>BC Aracu3Inverter146046,340277777846046,340277777846046,6111111111</v>
      </c>
      <c r="Q1116" s="1" t="str">
        <f t="shared" si="65"/>
        <v>DAURDE</v>
      </c>
    </row>
    <row r="1117" spans="2:17">
      <c r="B1117" s="1" t="s">
        <v>610</v>
      </c>
      <c r="C1117" s="1" t="s">
        <v>614</v>
      </c>
      <c r="D1117" s="52">
        <v>46046.340277777781</v>
      </c>
      <c r="E1117" s="52">
        <v>46046.340277777781</v>
      </c>
      <c r="F1117" s="52">
        <v>46046.611111111109</v>
      </c>
      <c r="G1117" s="53">
        <f t="shared" si="67"/>
        <v>0.27083333332848269</v>
      </c>
      <c r="H1117" s="1" t="s">
        <v>248</v>
      </c>
      <c r="J1117" s="1" t="s">
        <v>249</v>
      </c>
      <c r="K1117" s="1" t="s">
        <v>349</v>
      </c>
      <c r="L1117" s="1" t="s">
        <v>329</v>
      </c>
      <c r="M1117" s="1" t="s">
        <v>251</v>
      </c>
      <c r="N1117" s="1" t="s">
        <v>252</v>
      </c>
      <c r="O1117" s="1" t="s">
        <v>601</v>
      </c>
      <c r="P1117" s="1" t="str">
        <f t="shared" si="64"/>
        <v>BC Aracu3Inverter246046,340277777846046,340277777846046,6111111111</v>
      </c>
      <c r="Q1117" s="1" t="str">
        <f t="shared" si="65"/>
        <v>DAURDE</v>
      </c>
    </row>
    <row r="1118" spans="2:17">
      <c r="B1118" s="1" t="s">
        <v>327</v>
      </c>
      <c r="C1118" s="1" t="s">
        <v>328</v>
      </c>
      <c r="D1118" s="52">
        <v>46046.340277777781</v>
      </c>
      <c r="E1118" s="52">
        <v>46046.340277777781</v>
      </c>
      <c r="F1118" s="52">
        <v>46046.611111111109</v>
      </c>
      <c r="G1118" s="53">
        <f t="shared" si="67"/>
        <v>0.27083333332848269</v>
      </c>
      <c r="H1118" s="1" t="s">
        <v>248</v>
      </c>
      <c r="J1118" s="1" t="s">
        <v>249</v>
      </c>
      <c r="K1118" s="1" t="s">
        <v>349</v>
      </c>
      <c r="L1118" s="1" t="s">
        <v>329</v>
      </c>
      <c r="M1118" s="1" t="s">
        <v>251</v>
      </c>
      <c r="N1118" s="1" t="s">
        <v>252</v>
      </c>
      <c r="O1118" s="1" t="s">
        <v>601</v>
      </c>
      <c r="P1118" s="1" t="str">
        <f t="shared" si="64"/>
        <v>BC Aracu5.1Inverter(MBUS-1)46046,340277777846046,340277777846046,6111111111</v>
      </c>
      <c r="Q1118" s="1" t="str">
        <f t="shared" si="65"/>
        <v>DAURDE</v>
      </c>
    </row>
    <row r="1119" spans="2:17">
      <c r="B1119" s="1" t="s">
        <v>332</v>
      </c>
      <c r="C1119" s="1" t="s">
        <v>328</v>
      </c>
      <c r="D1119" s="52">
        <v>46046.340277777781</v>
      </c>
      <c r="E1119" s="52">
        <v>46046.340277777781</v>
      </c>
      <c r="F1119" s="52">
        <v>46046.611111111109</v>
      </c>
      <c r="G1119" s="53">
        <f t="shared" si="67"/>
        <v>0.27083333332848269</v>
      </c>
      <c r="H1119" s="1" t="s">
        <v>248</v>
      </c>
      <c r="J1119" s="1" t="s">
        <v>249</v>
      </c>
      <c r="K1119" s="1" t="s">
        <v>349</v>
      </c>
      <c r="L1119" s="1" t="s">
        <v>329</v>
      </c>
      <c r="M1119" s="1" t="s">
        <v>251</v>
      </c>
      <c r="N1119" s="1" t="s">
        <v>252</v>
      </c>
      <c r="O1119" s="1" t="s">
        <v>601</v>
      </c>
      <c r="P1119" s="1" t="str">
        <f t="shared" si="64"/>
        <v>BC Aracu5.2Inverter(MBUS-1)46046,340277777846046,340277777846046,6111111111</v>
      </c>
      <c r="Q1119" s="1" t="str">
        <f t="shared" si="65"/>
        <v>DAURDE</v>
      </c>
    </row>
    <row r="1120" spans="2:17">
      <c r="B1120" s="1" t="s">
        <v>333</v>
      </c>
      <c r="C1120" s="1" t="s">
        <v>328</v>
      </c>
      <c r="D1120" s="52">
        <v>46046.340277777781</v>
      </c>
      <c r="E1120" s="52">
        <v>46046.340277777781</v>
      </c>
      <c r="F1120" s="52">
        <v>46046.611111111109</v>
      </c>
      <c r="G1120" s="53">
        <f t="shared" si="67"/>
        <v>0.27083333332848269</v>
      </c>
      <c r="H1120" s="1" t="s">
        <v>248</v>
      </c>
      <c r="J1120" s="1" t="s">
        <v>249</v>
      </c>
      <c r="K1120" s="1" t="s">
        <v>349</v>
      </c>
      <c r="L1120" s="1" t="s">
        <v>329</v>
      </c>
      <c r="M1120" s="1" t="s">
        <v>251</v>
      </c>
      <c r="N1120" s="1" t="s">
        <v>252</v>
      </c>
      <c r="O1120" s="1" t="s">
        <v>601</v>
      </c>
      <c r="P1120" s="1" t="str">
        <f t="shared" si="64"/>
        <v>BC Aracu5.3Inverter(MBUS-1)46046,340277777846046,340277777846046,6111111111</v>
      </c>
      <c r="Q1120" s="1" t="str">
        <f t="shared" si="65"/>
        <v>DAURDE</v>
      </c>
    </row>
    <row r="1121" spans="2:17">
      <c r="B1121" s="1" t="s">
        <v>334</v>
      </c>
      <c r="C1121" s="1" t="s">
        <v>328</v>
      </c>
      <c r="D1121" s="52">
        <v>46046.340277777781</v>
      </c>
      <c r="E1121" s="52">
        <v>46046.340277777781</v>
      </c>
      <c r="F1121" s="52">
        <v>46046.611111111109</v>
      </c>
      <c r="G1121" s="53">
        <f t="shared" si="67"/>
        <v>0.27083333332848269</v>
      </c>
      <c r="H1121" s="1" t="s">
        <v>248</v>
      </c>
      <c r="J1121" s="1" t="s">
        <v>249</v>
      </c>
      <c r="K1121" s="1" t="s">
        <v>349</v>
      </c>
      <c r="L1121" s="1" t="s">
        <v>329</v>
      </c>
      <c r="M1121" s="1" t="s">
        <v>251</v>
      </c>
      <c r="N1121" s="1" t="s">
        <v>252</v>
      </c>
      <c r="O1121" s="1" t="s">
        <v>601</v>
      </c>
      <c r="P1121" s="1" t="str">
        <f t="shared" si="64"/>
        <v>BC Aracu5.4Inverter(MBUS-1)46046,340277777846046,340277777846046,6111111111</v>
      </c>
      <c r="Q1121" s="1" t="str">
        <f t="shared" si="65"/>
        <v>DAURDE</v>
      </c>
    </row>
    <row r="1122" spans="2:17">
      <c r="B1122" s="1" t="s">
        <v>335</v>
      </c>
      <c r="C1122" s="1" t="s">
        <v>328</v>
      </c>
      <c r="D1122" s="52">
        <v>46046.340277777781</v>
      </c>
      <c r="E1122" s="52">
        <v>46046.340277777781</v>
      </c>
      <c r="F1122" s="52">
        <v>46046.611111111109</v>
      </c>
      <c r="G1122" s="53">
        <f t="shared" si="67"/>
        <v>0.27083333332848269</v>
      </c>
      <c r="H1122" s="1" t="s">
        <v>248</v>
      </c>
      <c r="J1122" s="1" t="s">
        <v>249</v>
      </c>
      <c r="K1122" s="1" t="s">
        <v>349</v>
      </c>
      <c r="L1122" s="1" t="s">
        <v>329</v>
      </c>
      <c r="M1122" s="1" t="s">
        <v>251</v>
      </c>
      <c r="N1122" s="1" t="s">
        <v>252</v>
      </c>
      <c r="O1122" s="1" t="s">
        <v>601</v>
      </c>
      <c r="P1122" s="1" t="str">
        <f t="shared" si="64"/>
        <v>BC Aracu5.5Inverter(MBUS-1)46046,340277777846046,340277777846046,6111111111</v>
      </c>
      <c r="Q1122" s="1" t="str">
        <f t="shared" si="65"/>
        <v>DAURDE</v>
      </c>
    </row>
    <row r="1123" spans="2:17">
      <c r="B1123" s="1" t="s">
        <v>615</v>
      </c>
      <c r="C1123" s="1" t="s">
        <v>616</v>
      </c>
      <c r="D1123" s="52">
        <v>46046.659722222219</v>
      </c>
      <c r="E1123" s="52">
        <v>46046.659722222219</v>
      </c>
      <c r="G1123" s="53">
        <f t="shared" si="67"/>
        <v>-46046.659722222219</v>
      </c>
      <c r="H1123" s="1" t="s">
        <v>260</v>
      </c>
      <c r="I1123" s="1" t="s">
        <v>261</v>
      </c>
      <c r="J1123" s="1" t="s">
        <v>262</v>
      </c>
      <c r="K1123" s="1" t="s">
        <v>263</v>
      </c>
      <c r="L1123" s="1" t="s">
        <v>264</v>
      </c>
      <c r="M1123" s="1" t="s">
        <v>265</v>
      </c>
      <c r="N1123" s="1" t="s">
        <v>266</v>
      </c>
      <c r="O1123" s="1" t="s">
        <v>617</v>
      </c>
      <c r="P1123" s="1" t="str">
        <f t="shared" ref="P1123:P1186" si="68">_xlfn.CONCAT(B1123,C1123,D1123,E1123,F1123)</f>
        <v>BC Vazante2.3Inverter(MBUS-11)46046,659722222246046,6597222222</v>
      </c>
      <c r="Q1123" s="1" t="str">
        <f t="shared" ref="Q1123:Q1186" si="69">_xlfn.CONCAT(H1123,I1123,J1123)</f>
        <v>LIGRFOCOM</v>
      </c>
    </row>
    <row r="1124" spans="2:17">
      <c r="B1124" s="1" t="s">
        <v>615</v>
      </c>
      <c r="C1124" s="1" t="s">
        <v>354</v>
      </c>
      <c r="D1124" s="52">
        <v>46046.659722222219</v>
      </c>
      <c r="E1124" s="52">
        <v>46046.659722222219</v>
      </c>
      <c r="G1124" s="53">
        <f t="shared" si="67"/>
        <v>-46046.659722222219</v>
      </c>
      <c r="H1124" s="1" t="s">
        <v>260</v>
      </c>
      <c r="I1124" s="1" t="s">
        <v>261</v>
      </c>
      <c r="J1124" s="1" t="s">
        <v>262</v>
      </c>
      <c r="K1124" s="1" t="s">
        <v>263</v>
      </c>
      <c r="L1124" s="1" t="s">
        <v>264</v>
      </c>
      <c r="M1124" s="1" t="s">
        <v>265</v>
      </c>
      <c r="N1124" s="1" t="s">
        <v>266</v>
      </c>
      <c r="O1124" s="1" t="s">
        <v>617</v>
      </c>
      <c r="P1124" s="1" t="str">
        <f t="shared" si="68"/>
        <v>BC Vazante2.3Inverter(MBUS-12)46046,659722222246046,6597222222</v>
      </c>
      <c r="Q1124" s="1" t="str">
        <f t="shared" si="69"/>
        <v>LIGRFOCOM</v>
      </c>
    </row>
    <row r="1125" spans="2:17">
      <c r="B1125" s="1" t="s">
        <v>615</v>
      </c>
      <c r="C1125" s="1" t="s">
        <v>357</v>
      </c>
      <c r="D1125" s="52">
        <v>46046.659722222219</v>
      </c>
      <c r="E1125" s="52">
        <v>46046.659722222219</v>
      </c>
      <c r="G1125" s="53">
        <f t="shared" si="67"/>
        <v>-46046.659722222219</v>
      </c>
      <c r="H1125" s="1" t="s">
        <v>260</v>
      </c>
      <c r="I1125" s="1" t="s">
        <v>261</v>
      </c>
      <c r="J1125" s="1" t="s">
        <v>262</v>
      </c>
      <c r="K1125" s="1" t="s">
        <v>263</v>
      </c>
      <c r="L1125" s="1" t="s">
        <v>264</v>
      </c>
      <c r="M1125" s="1" t="s">
        <v>265</v>
      </c>
      <c r="N1125" s="1" t="s">
        <v>266</v>
      </c>
      <c r="O1125" s="1" t="s">
        <v>617</v>
      </c>
      <c r="P1125" s="1" t="str">
        <f t="shared" si="68"/>
        <v>BC Vazante2.3Inverter(MBUS-13)46046,659722222246046,6597222222</v>
      </c>
      <c r="Q1125" s="1" t="str">
        <f t="shared" si="69"/>
        <v>LIGRFOCOM</v>
      </c>
    </row>
    <row r="1126" spans="2:17">
      <c r="B1126" s="1" t="s">
        <v>353</v>
      </c>
      <c r="C1126" s="1" t="s">
        <v>354</v>
      </c>
      <c r="D1126" s="52">
        <v>46046.739583333336</v>
      </c>
      <c r="E1126" s="52">
        <v>46046.739583333336</v>
      </c>
      <c r="F1126" s="52">
        <v>46046.833333333336</v>
      </c>
      <c r="G1126" s="53">
        <f t="shared" si="67"/>
        <v>9.375E-2</v>
      </c>
      <c r="H1126" s="1" t="s">
        <v>248</v>
      </c>
      <c r="J1126" s="1" t="s">
        <v>249</v>
      </c>
      <c r="K1126" s="1" t="s">
        <v>349</v>
      </c>
      <c r="L1126" s="1" t="s">
        <v>618</v>
      </c>
      <c r="M1126" s="1" t="s">
        <v>251</v>
      </c>
      <c r="N1126" s="1" t="s">
        <v>252</v>
      </c>
      <c r="O1126" s="1" t="s">
        <v>619</v>
      </c>
      <c r="P1126" s="1" t="str">
        <f t="shared" si="68"/>
        <v>ARAGUATINS 1.1Inverter(MBUS-12)46046,739583333346046,739583333346046,8333333333</v>
      </c>
      <c r="Q1126" s="1" t="str">
        <f t="shared" si="69"/>
        <v>DAURDE</v>
      </c>
    </row>
    <row r="1127" spans="2:17">
      <c r="B1127" s="1" t="s">
        <v>353</v>
      </c>
      <c r="C1127" s="1" t="s">
        <v>357</v>
      </c>
      <c r="D1127" s="52">
        <v>46046.739583333336</v>
      </c>
      <c r="E1127" s="52">
        <v>46046.739583333336</v>
      </c>
      <c r="F1127" s="52">
        <v>46046.833333333336</v>
      </c>
      <c r="G1127" s="53">
        <f t="shared" si="67"/>
        <v>9.375E-2</v>
      </c>
      <c r="H1127" s="1" t="s">
        <v>248</v>
      </c>
      <c r="J1127" s="1" t="s">
        <v>249</v>
      </c>
      <c r="K1127" s="1" t="s">
        <v>349</v>
      </c>
      <c r="L1127" s="1" t="s">
        <v>618</v>
      </c>
      <c r="M1127" s="1" t="s">
        <v>251</v>
      </c>
      <c r="N1127" s="1" t="s">
        <v>252</v>
      </c>
      <c r="O1127" s="1" t="s">
        <v>619</v>
      </c>
      <c r="P1127" s="1" t="str">
        <f t="shared" si="68"/>
        <v>ARAGUATINS 1.1Inverter(MBUS-13)46046,739583333346046,739583333346046,8333333333</v>
      </c>
      <c r="Q1127" s="1" t="str">
        <f t="shared" si="69"/>
        <v>DAURDE</v>
      </c>
    </row>
    <row r="1128" spans="2:17">
      <c r="B1128" s="1" t="s">
        <v>353</v>
      </c>
      <c r="C1128" s="1" t="s">
        <v>358</v>
      </c>
      <c r="D1128" s="52">
        <v>46046.739583333336</v>
      </c>
      <c r="E1128" s="52">
        <v>46046.739583333336</v>
      </c>
      <c r="F1128" s="52">
        <v>46046.833333333336</v>
      </c>
      <c r="G1128" s="53">
        <f t="shared" si="67"/>
        <v>9.375E-2</v>
      </c>
      <c r="H1128" s="1" t="s">
        <v>248</v>
      </c>
      <c r="J1128" s="1" t="s">
        <v>249</v>
      </c>
      <c r="K1128" s="1" t="s">
        <v>349</v>
      </c>
      <c r="L1128" s="1" t="s">
        <v>618</v>
      </c>
      <c r="M1128" s="1" t="s">
        <v>251</v>
      </c>
      <c r="N1128" s="1" t="s">
        <v>252</v>
      </c>
      <c r="O1128" s="1" t="s">
        <v>619</v>
      </c>
      <c r="P1128" s="1" t="str">
        <f t="shared" si="68"/>
        <v>ARAGUATINS 1.1Inverter(MBUS-14)46046,739583333346046,739583333346046,8333333333</v>
      </c>
      <c r="Q1128" s="1" t="str">
        <f t="shared" si="69"/>
        <v>DAURDE</v>
      </c>
    </row>
    <row r="1129" spans="2:17">
      <c r="B1129" s="1" t="s">
        <v>353</v>
      </c>
      <c r="C1129" s="1" t="s">
        <v>359</v>
      </c>
      <c r="D1129" s="52">
        <v>46046.739583333336</v>
      </c>
      <c r="E1129" s="52">
        <v>46046.739583333336</v>
      </c>
      <c r="F1129" s="52">
        <v>46046.833333333336</v>
      </c>
      <c r="G1129" s="53">
        <f t="shared" si="67"/>
        <v>9.375E-2</v>
      </c>
      <c r="H1129" s="1" t="s">
        <v>248</v>
      </c>
      <c r="J1129" s="1" t="s">
        <v>249</v>
      </c>
      <c r="K1129" s="1" t="s">
        <v>349</v>
      </c>
      <c r="L1129" s="1" t="s">
        <v>618</v>
      </c>
      <c r="M1129" s="1" t="s">
        <v>251</v>
      </c>
      <c r="N1129" s="1" t="s">
        <v>252</v>
      </c>
      <c r="O1129" s="1" t="s">
        <v>619</v>
      </c>
      <c r="P1129" s="1" t="str">
        <f t="shared" si="68"/>
        <v>ARAGUATINS 1.1Inverter(MBUS-15)46046,739583333346046,739583333346046,8333333333</v>
      </c>
      <c r="Q1129" s="1" t="str">
        <f t="shared" si="69"/>
        <v>DAURDE</v>
      </c>
    </row>
    <row r="1130" spans="2:17">
      <c r="B1130" s="1" t="s">
        <v>360</v>
      </c>
      <c r="C1130" s="1" t="s">
        <v>354</v>
      </c>
      <c r="D1130" s="52">
        <v>46046.739583333336</v>
      </c>
      <c r="E1130" s="52">
        <v>46046.739583333336</v>
      </c>
      <c r="F1130" s="52">
        <v>46046.833333333336</v>
      </c>
      <c r="G1130" s="53">
        <f t="shared" si="67"/>
        <v>9.375E-2</v>
      </c>
      <c r="H1130" s="1" t="s">
        <v>248</v>
      </c>
      <c r="J1130" s="1" t="s">
        <v>249</v>
      </c>
      <c r="K1130" s="1" t="s">
        <v>349</v>
      </c>
      <c r="L1130" s="1" t="s">
        <v>618</v>
      </c>
      <c r="M1130" s="1" t="s">
        <v>251</v>
      </c>
      <c r="N1130" s="1" t="s">
        <v>252</v>
      </c>
      <c r="O1130" s="1" t="s">
        <v>619</v>
      </c>
      <c r="P1130" s="1" t="str">
        <f t="shared" si="68"/>
        <v>ARAGUATINS 1.2Inverter(MBUS-12)46046,739583333346046,739583333346046,8333333333</v>
      </c>
      <c r="Q1130" s="1" t="str">
        <f t="shared" si="69"/>
        <v>DAURDE</v>
      </c>
    </row>
    <row r="1131" spans="2:17">
      <c r="B1131" s="1" t="s">
        <v>360</v>
      </c>
      <c r="C1131" s="1" t="s">
        <v>357</v>
      </c>
      <c r="D1131" s="52">
        <v>46046.739583333336</v>
      </c>
      <c r="E1131" s="52">
        <v>46046.739583333336</v>
      </c>
      <c r="F1131" s="52">
        <v>46046.833333333336</v>
      </c>
      <c r="G1131" s="53">
        <f t="shared" si="67"/>
        <v>9.375E-2</v>
      </c>
      <c r="H1131" s="1" t="s">
        <v>248</v>
      </c>
      <c r="J1131" s="1" t="s">
        <v>249</v>
      </c>
      <c r="K1131" s="1" t="s">
        <v>349</v>
      </c>
      <c r="L1131" s="1" t="s">
        <v>618</v>
      </c>
      <c r="M1131" s="1" t="s">
        <v>251</v>
      </c>
      <c r="N1131" s="1" t="s">
        <v>252</v>
      </c>
      <c r="O1131" s="1" t="s">
        <v>619</v>
      </c>
      <c r="P1131" s="1" t="str">
        <f t="shared" si="68"/>
        <v>ARAGUATINS 1.2Inverter(MBUS-13)46046,739583333346046,739583333346046,8333333333</v>
      </c>
      <c r="Q1131" s="1" t="str">
        <f t="shared" si="69"/>
        <v>DAURDE</v>
      </c>
    </row>
    <row r="1132" spans="2:17">
      <c r="B1132" s="1" t="s">
        <v>360</v>
      </c>
      <c r="C1132" s="1" t="s">
        <v>358</v>
      </c>
      <c r="D1132" s="52">
        <v>46046.739583333336</v>
      </c>
      <c r="E1132" s="52">
        <v>46046.739583333336</v>
      </c>
      <c r="F1132" s="52">
        <v>46046.833333333336</v>
      </c>
      <c r="G1132" s="53">
        <f t="shared" si="67"/>
        <v>9.375E-2</v>
      </c>
      <c r="H1132" s="1" t="s">
        <v>248</v>
      </c>
      <c r="J1132" s="1" t="s">
        <v>249</v>
      </c>
      <c r="K1132" s="1" t="s">
        <v>349</v>
      </c>
      <c r="L1132" s="1" t="s">
        <v>618</v>
      </c>
      <c r="M1132" s="1" t="s">
        <v>251</v>
      </c>
      <c r="N1132" s="1" t="s">
        <v>252</v>
      </c>
      <c r="O1132" s="1" t="s">
        <v>619</v>
      </c>
      <c r="P1132" s="1" t="str">
        <f t="shared" si="68"/>
        <v>ARAGUATINS 1.2Inverter(MBUS-14)46046,739583333346046,739583333346046,8333333333</v>
      </c>
      <c r="Q1132" s="1" t="str">
        <f t="shared" si="69"/>
        <v>DAURDE</v>
      </c>
    </row>
    <row r="1133" spans="2:17">
      <c r="B1133" s="1" t="s">
        <v>360</v>
      </c>
      <c r="C1133" s="1" t="s">
        <v>359</v>
      </c>
      <c r="D1133" s="52">
        <v>46046.739583333336</v>
      </c>
      <c r="E1133" s="52">
        <v>46046.739583333336</v>
      </c>
      <c r="F1133" s="52">
        <v>46046.833333333336</v>
      </c>
      <c r="G1133" s="53">
        <f t="shared" si="67"/>
        <v>9.375E-2</v>
      </c>
      <c r="H1133" s="1" t="s">
        <v>248</v>
      </c>
      <c r="J1133" s="1" t="s">
        <v>249</v>
      </c>
      <c r="K1133" s="1" t="s">
        <v>349</v>
      </c>
      <c r="L1133" s="1" t="s">
        <v>618</v>
      </c>
      <c r="M1133" s="1" t="s">
        <v>251</v>
      </c>
      <c r="N1133" s="1" t="s">
        <v>252</v>
      </c>
      <c r="O1133" s="1" t="s">
        <v>619</v>
      </c>
      <c r="P1133" s="1" t="str">
        <f t="shared" si="68"/>
        <v>ARAGUATINS 1.2Inverter(MBUS-15)46046,739583333346046,739583333346046,8333333333</v>
      </c>
      <c r="Q1133" s="1" t="str">
        <f t="shared" si="69"/>
        <v>DAURDE</v>
      </c>
    </row>
    <row r="1134" spans="2:17">
      <c r="B1134" s="1" t="s">
        <v>361</v>
      </c>
      <c r="C1134" s="1" t="s">
        <v>362</v>
      </c>
      <c r="D1134" s="52">
        <v>46046.739583333336</v>
      </c>
      <c r="E1134" s="52">
        <v>46046.739583333336</v>
      </c>
      <c r="F1134" s="52">
        <v>46046.833333333336</v>
      </c>
      <c r="G1134" s="53">
        <f t="shared" si="67"/>
        <v>9.375E-2</v>
      </c>
      <c r="H1134" s="1" t="s">
        <v>248</v>
      </c>
      <c r="J1134" s="1" t="s">
        <v>249</v>
      </c>
      <c r="K1134" s="1" t="s">
        <v>349</v>
      </c>
      <c r="L1134" s="1" t="s">
        <v>618</v>
      </c>
      <c r="M1134" s="1" t="s">
        <v>251</v>
      </c>
      <c r="N1134" s="1" t="s">
        <v>252</v>
      </c>
      <c r="O1134" s="1" t="s">
        <v>619</v>
      </c>
      <c r="P1134" s="1" t="str">
        <f t="shared" si="68"/>
        <v>ARAGUATINS 1.3Inverter(MBUS-20)46046,739583333346046,739583333346046,8333333333</v>
      </c>
      <c r="Q1134" s="1" t="str">
        <f t="shared" si="69"/>
        <v>DAURDE</v>
      </c>
    </row>
    <row r="1135" spans="2:17">
      <c r="B1135" s="1" t="s">
        <v>361</v>
      </c>
      <c r="C1135" s="1" t="s">
        <v>328</v>
      </c>
      <c r="D1135" s="52">
        <v>46046.739583333336</v>
      </c>
      <c r="E1135" s="52">
        <v>46046.739583333336</v>
      </c>
      <c r="F1135" s="52">
        <v>46046.833333333336</v>
      </c>
      <c r="G1135" s="53">
        <f t="shared" si="67"/>
        <v>9.375E-2</v>
      </c>
      <c r="H1135" s="1" t="s">
        <v>248</v>
      </c>
      <c r="J1135" s="1" t="s">
        <v>249</v>
      </c>
      <c r="K1135" s="1" t="s">
        <v>349</v>
      </c>
      <c r="L1135" s="1" t="s">
        <v>618</v>
      </c>
      <c r="M1135" s="1" t="s">
        <v>251</v>
      </c>
      <c r="N1135" s="1" t="s">
        <v>252</v>
      </c>
      <c r="O1135" s="1" t="s">
        <v>619</v>
      </c>
      <c r="P1135" s="1" t="str">
        <f t="shared" si="68"/>
        <v>ARAGUATINS 1.3Inverter(MBUS-1)46046,739583333346046,739583333346046,8333333333</v>
      </c>
      <c r="Q1135" s="1" t="str">
        <f t="shared" si="69"/>
        <v>DAURDE</v>
      </c>
    </row>
    <row r="1136" spans="2:17">
      <c r="B1136" s="1" t="s">
        <v>363</v>
      </c>
      <c r="C1136" s="1" t="s">
        <v>354</v>
      </c>
      <c r="D1136" s="52">
        <v>46046.739583333336</v>
      </c>
      <c r="E1136" s="52">
        <v>46046.739583333336</v>
      </c>
      <c r="F1136" s="52">
        <v>46046.833333333336</v>
      </c>
      <c r="G1136" s="53">
        <f t="shared" si="67"/>
        <v>9.375E-2</v>
      </c>
      <c r="H1136" s="1" t="s">
        <v>248</v>
      </c>
      <c r="J1136" s="1" t="s">
        <v>249</v>
      </c>
      <c r="K1136" s="1" t="s">
        <v>349</v>
      </c>
      <c r="L1136" s="1" t="s">
        <v>618</v>
      </c>
      <c r="M1136" s="1" t="s">
        <v>251</v>
      </c>
      <c r="N1136" s="1" t="s">
        <v>252</v>
      </c>
      <c r="O1136" s="1" t="s">
        <v>619</v>
      </c>
      <c r="P1136" s="1" t="str">
        <f t="shared" si="68"/>
        <v>ARAGUATINS 2.1Inverter(MBUS-12)46046,739583333346046,739583333346046,8333333333</v>
      </c>
      <c r="Q1136" s="1" t="str">
        <f t="shared" si="69"/>
        <v>DAURDE</v>
      </c>
    </row>
    <row r="1137" spans="2:17">
      <c r="B1137" s="1" t="s">
        <v>363</v>
      </c>
      <c r="C1137" s="1" t="s">
        <v>359</v>
      </c>
      <c r="D1137" s="52">
        <v>46046.739583333336</v>
      </c>
      <c r="E1137" s="52">
        <v>46046.739583333336</v>
      </c>
      <c r="F1137" s="52">
        <v>46046.833333333336</v>
      </c>
      <c r="G1137" s="53">
        <f t="shared" si="67"/>
        <v>9.375E-2</v>
      </c>
      <c r="H1137" s="1" t="s">
        <v>248</v>
      </c>
      <c r="J1137" s="1" t="s">
        <v>249</v>
      </c>
      <c r="K1137" s="1" t="s">
        <v>349</v>
      </c>
      <c r="L1137" s="1" t="s">
        <v>618</v>
      </c>
      <c r="M1137" s="1" t="s">
        <v>251</v>
      </c>
      <c r="N1137" s="1" t="s">
        <v>252</v>
      </c>
      <c r="O1137" s="1" t="s">
        <v>619</v>
      </c>
      <c r="P1137" s="1" t="str">
        <f t="shared" si="68"/>
        <v>ARAGUATINS 2.1Inverter(MBUS-15)46046,739583333346046,739583333346046,8333333333</v>
      </c>
      <c r="Q1137" s="1" t="str">
        <f t="shared" si="69"/>
        <v>DAURDE</v>
      </c>
    </row>
    <row r="1138" spans="2:17">
      <c r="B1138" s="1" t="s">
        <v>363</v>
      </c>
      <c r="C1138" s="1" t="s">
        <v>358</v>
      </c>
      <c r="D1138" s="52">
        <v>46046.739583333336</v>
      </c>
      <c r="E1138" s="52">
        <v>46046.739583333336</v>
      </c>
      <c r="F1138" s="52">
        <v>46046.833333333336</v>
      </c>
      <c r="G1138" s="53">
        <f t="shared" si="67"/>
        <v>9.375E-2</v>
      </c>
      <c r="H1138" s="1" t="s">
        <v>248</v>
      </c>
      <c r="J1138" s="1" t="s">
        <v>249</v>
      </c>
      <c r="K1138" s="1" t="s">
        <v>349</v>
      </c>
      <c r="L1138" s="1" t="s">
        <v>618</v>
      </c>
      <c r="M1138" s="1" t="s">
        <v>251</v>
      </c>
      <c r="N1138" s="1" t="s">
        <v>252</v>
      </c>
      <c r="O1138" s="1" t="s">
        <v>619</v>
      </c>
      <c r="P1138" s="1" t="str">
        <f t="shared" si="68"/>
        <v>ARAGUATINS 2.1Inverter(MBUS-14)46046,739583333346046,739583333346046,8333333333</v>
      </c>
      <c r="Q1138" s="1" t="str">
        <f t="shared" si="69"/>
        <v>DAURDE</v>
      </c>
    </row>
    <row r="1139" spans="2:17">
      <c r="B1139" s="1" t="s">
        <v>363</v>
      </c>
      <c r="C1139" s="1" t="s">
        <v>328</v>
      </c>
      <c r="D1139" s="52">
        <v>46046.739583333336</v>
      </c>
      <c r="E1139" s="52">
        <v>46046.739583333336</v>
      </c>
      <c r="F1139" s="52">
        <v>46046.833333333336</v>
      </c>
      <c r="G1139" s="53">
        <f t="shared" si="67"/>
        <v>9.375E-2</v>
      </c>
      <c r="H1139" s="1" t="s">
        <v>248</v>
      </c>
      <c r="J1139" s="1" t="s">
        <v>249</v>
      </c>
      <c r="K1139" s="1" t="s">
        <v>349</v>
      </c>
      <c r="L1139" s="1" t="s">
        <v>618</v>
      </c>
      <c r="M1139" s="1" t="s">
        <v>251</v>
      </c>
      <c r="N1139" s="1" t="s">
        <v>252</v>
      </c>
      <c r="O1139" s="1" t="s">
        <v>619</v>
      </c>
      <c r="P1139" s="1" t="str">
        <f t="shared" si="68"/>
        <v>ARAGUATINS 2.1Inverter(MBUS-1)46046,739583333346046,739583333346046,8333333333</v>
      </c>
      <c r="Q1139" s="1" t="str">
        <f t="shared" si="69"/>
        <v>DAURDE</v>
      </c>
    </row>
    <row r="1140" spans="2:17">
      <c r="B1140" s="1" t="s">
        <v>369</v>
      </c>
      <c r="C1140" s="1" t="s">
        <v>359</v>
      </c>
      <c r="D1140" s="52">
        <v>46046.739583333336</v>
      </c>
      <c r="E1140" s="52">
        <v>46046.739583333336</v>
      </c>
      <c r="F1140" s="52">
        <v>46046.833333333336</v>
      </c>
      <c r="G1140" s="53">
        <f t="shared" si="67"/>
        <v>9.375E-2</v>
      </c>
      <c r="H1140" s="1" t="s">
        <v>248</v>
      </c>
      <c r="J1140" s="1" t="s">
        <v>249</v>
      </c>
      <c r="K1140" s="1" t="s">
        <v>349</v>
      </c>
      <c r="L1140" s="1" t="s">
        <v>618</v>
      </c>
      <c r="M1140" s="1" t="s">
        <v>251</v>
      </c>
      <c r="N1140" s="1" t="s">
        <v>252</v>
      </c>
      <c r="O1140" s="1" t="s">
        <v>619</v>
      </c>
      <c r="P1140" s="1" t="str">
        <f t="shared" si="68"/>
        <v>ARAGUATINS 2.2Inverter(MBUS-15)46046,739583333346046,739583333346046,8333333333</v>
      </c>
      <c r="Q1140" s="1" t="str">
        <f t="shared" si="69"/>
        <v>DAURDE</v>
      </c>
    </row>
    <row r="1141" spans="2:17">
      <c r="B1141" s="1" t="s">
        <v>369</v>
      </c>
      <c r="C1141" s="1" t="s">
        <v>357</v>
      </c>
      <c r="D1141" s="52">
        <v>46046.739583333336</v>
      </c>
      <c r="E1141" s="52">
        <v>46046.739583333336</v>
      </c>
      <c r="F1141" s="52">
        <v>46046.833333333336</v>
      </c>
      <c r="G1141" s="53">
        <f t="shared" si="67"/>
        <v>9.375E-2</v>
      </c>
      <c r="H1141" s="1" t="s">
        <v>248</v>
      </c>
      <c r="J1141" s="1" t="s">
        <v>249</v>
      </c>
      <c r="K1141" s="1" t="s">
        <v>349</v>
      </c>
      <c r="L1141" s="1" t="s">
        <v>618</v>
      </c>
      <c r="M1141" s="1" t="s">
        <v>251</v>
      </c>
      <c r="N1141" s="1" t="s">
        <v>252</v>
      </c>
      <c r="O1141" s="1" t="s">
        <v>619</v>
      </c>
      <c r="P1141" s="1" t="str">
        <f t="shared" si="68"/>
        <v>ARAGUATINS 2.2Inverter(MBUS-13)46046,739583333346046,739583333346046,8333333333</v>
      </c>
      <c r="Q1141" s="1" t="str">
        <f t="shared" si="69"/>
        <v>DAURDE</v>
      </c>
    </row>
    <row r="1142" spans="2:17">
      <c r="B1142" s="1" t="s">
        <v>369</v>
      </c>
      <c r="C1142" s="1" t="s">
        <v>358</v>
      </c>
      <c r="D1142" s="52">
        <v>46046.739583333336</v>
      </c>
      <c r="E1142" s="52">
        <v>46046.739583333336</v>
      </c>
      <c r="F1142" s="52">
        <v>46046.833333333336</v>
      </c>
      <c r="G1142" s="53">
        <f t="shared" si="67"/>
        <v>9.375E-2</v>
      </c>
      <c r="H1142" s="1" t="s">
        <v>248</v>
      </c>
      <c r="J1142" s="1" t="s">
        <v>249</v>
      </c>
      <c r="K1142" s="1" t="s">
        <v>349</v>
      </c>
      <c r="L1142" s="1" t="s">
        <v>618</v>
      </c>
      <c r="M1142" s="1" t="s">
        <v>251</v>
      </c>
      <c r="N1142" s="1" t="s">
        <v>252</v>
      </c>
      <c r="O1142" s="1" t="s">
        <v>619</v>
      </c>
      <c r="P1142" s="1" t="str">
        <f t="shared" si="68"/>
        <v>ARAGUATINS 2.2Inverter(MBUS-14)46046,739583333346046,739583333346046,8333333333</v>
      </c>
      <c r="Q1142" s="1" t="str">
        <f t="shared" si="69"/>
        <v>DAURDE</v>
      </c>
    </row>
    <row r="1143" spans="2:17">
      <c r="B1143" s="1" t="s">
        <v>369</v>
      </c>
      <c r="C1143" s="1" t="s">
        <v>354</v>
      </c>
      <c r="D1143" s="52">
        <v>46046.739583333336</v>
      </c>
      <c r="E1143" s="52">
        <v>46046.739583333336</v>
      </c>
      <c r="F1143" s="52">
        <v>46046.833333333336</v>
      </c>
      <c r="G1143" s="53">
        <f t="shared" si="67"/>
        <v>9.375E-2</v>
      </c>
      <c r="H1143" s="1" t="s">
        <v>248</v>
      </c>
      <c r="J1143" s="1" t="s">
        <v>249</v>
      </c>
      <c r="K1143" s="1" t="s">
        <v>349</v>
      </c>
      <c r="L1143" s="1" t="s">
        <v>618</v>
      </c>
      <c r="M1143" s="1" t="s">
        <v>251</v>
      </c>
      <c r="N1143" s="1" t="s">
        <v>252</v>
      </c>
      <c r="O1143" s="1" t="s">
        <v>619</v>
      </c>
      <c r="P1143" s="1" t="str">
        <f t="shared" si="68"/>
        <v>ARAGUATINS 2.2Inverter(MBUS-12)46046,739583333346046,739583333346046,8333333333</v>
      </c>
      <c r="Q1143" s="1" t="str">
        <f t="shared" si="69"/>
        <v>DAURDE</v>
      </c>
    </row>
    <row r="1144" spans="2:17">
      <c r="B1144" s="1" t="s">
        <v>370</v>
      </c>
      <c r="C1144" s="1" t="s">
        <v>354</v>
      </c>
      <c r="D1144" s="52">
        <v>46046.739583333336</v>
      </c>
      <c r="E1144" s="52">
        <v>46046.739583333336</v>
      </c>
      <c r="F1144" s="52">
        <v>46046.833333333336</v>
      </c>
      <c r="G1144" s="53">
        <f t="shared" si="67"/>
        <v>9.375E-2</v>
      </c>
      <c r="H1144" s="1" t="s">
        <v>248</v>
      </c>
      <c r="J1144" s="1" t="s">
        <v>249</v>
      </c>
      <c r="K1144" s="1" t="s">
        <v>349</v>
      </c>
      <c r="L1144" s="1" t="s">
        <v>618</v>
      </c>
      <c r="M1144" s="1" t="s">
        <v>251</v>
      </c>
      <c r="N1144" s="1" t="s">
        <v>252</v>
      </c>
      <c r="O1144" s="1" t="s">
        <v>619</v>
      </c>
      <c r="P1144" s="1" t="str">
        <f t="shared" si="68"/>
        <v>ARAGUATINS 2.3Inverter(MBUS-12)46046,739583333346046,739583333346046,8333333333</v>
      </c>
      <c r="Q1144" s="1" t="str">
        <f t="shared" si="69"/>
        <v>DAURDE</v>
      </c>
    </row>
    <row r="1145" spans="2:17">
      <c r="B1145" s="1" t="s">
        <v>370</v>
      </c>
      <c r="C1145" s="1" t="s">
        <v>357</v>
      </c>
      <c r="D1145" s="52">
        <v>46046.739583333336</v>
      </c>
      <c r="E1145" s="52">
        <v>46046.739583333336</v>
      </c>
      <c r="F1145" s="52">
        <v>46046.833333333336</v>
      </c>
      <c r="G1145" s="53">
        <f t="shared" ref="G1145:G1208" si="70">F1145-E1145</f>
        <v>9.375E-2</v>
      </c>
      <c r="H1145" s="1" t="s">
        <v>248</v>
      </c>
      <c r="J1145" s="1" t="s">
        <v>249</v>
      </c>
      <c r="K1145" s="1" t="s">
        <v>349</v>
      </c>
      <c r="L1145" s="1" t="s">
        <v>618</v>
      </c>
      <c r="M1145" s="1" t="s">
        <v>251</v>
      </c>
      <c r="N1145" s="1" t="s">
        <v>252</v>
      </c>
      <c r="O1145" s="1" t="s">
        <v>619</v>
      </c>
      <c r="P1145" s="1" t="str">
        <f t="shared" si="68"/>
        <v>ARAGUATINS 2.3Inverter(MBUS-13)46046,739583333346046,739583333346046,8333333333</v>
      </c>
      <c r="Q1145" s="1" t="str">
        <f t="shared" si="69"/>
        <v>DAURDE</v>
      </c>
    </row>
    <row r="1146" spans="2:17">
      <c r="B1146" s="1" t="s">
        <v>268</v>
      </c>
      <c r="C1146" s="1" t="s">
        <v>269</v>
      </c>
      <c r="D1146" s="52">
        <v>46047.253472222219</v>
      </c>
      <c r="E1146" s="52">
        <v>46047.253472222219</v>
      </c>
      <c r="F1146" s="52">
        <v>46047.42083333333</v>
      </c>
      <c r="G1146" s="53">
        <f t="shared" si="70"/>
        <v>0.16736111111094942</v>
      </c>
      <c r="H1146" s="1" t="s">
        <v>248</v>
      </c>
      <c r="J1146" s="1" t="s">
        <v>249</v>
      </c>
      <c r="K1146" s="1" t="s">
        <v>349</v>
      </c>
      <c r="L1146" s="1" t="s">
        <v>450</v>
      </c>
      <c r="M1146" s="1" t="s">
        <v>251</v>
      </c>
      <c r="N1146" s="1" t="s">
        <v>252</v>
      </c>
      <c r="O1146" s="1" t="s">
        <v>620</v>
      </c>
      <c r="P1146" s="1" t="str">
        <f t="shared" si="68"/>
        <v>BC Caiaponia1SG60KTL(COM1-001)_001_00746047,253472222246047,253472222246047,4208333333</v>
      </c>
      <c r="Q1146" s="1" t="str">
        <f t="shared" si="69"/>
        <v>DAURDE</v>
      </c>
    </row>
    <row r="1147" spans="2:17">
      <c r="B1147" s="1" t="s">
        <v>268</v>
      </c>
      <c r="C1147" s="1" t="s">
        <v>270</v>
      </c>
      <c r="D1147" s="52">
        <v>46047.253472222219</v>
      </c>
      <c r="E1147" s="52">
        <v>46047.253472222219</v>
      </c>
      <c r="F1147" s="52">
        <v>46047.42083333333</v>
      </c>
      <c r="G1147" s="53">
        <f t="shared" si="70"/>
        <v>0.16736111111094942</v>
      </c>
      <c r="H1147" s="1" t="s">
        <v>248</v>
      </c>
      <c r="J1147" s="1" t="s">
        <v>249</v>
      </c>
      <c r="K1147" s="1" t="s">
        <v>349</v>
      </c>
      <c r="L1147" s="1" t="s">
        <v>450</v>
      </c>
      <c r="M1147" s="1" t="s">
        <v>251</v>
      </c>
      <c r="N1147" s="1" t="s">
        <v>252</v>
      </c>
      <c r="O1147" s="1" t="s">
        <v>620</v>
      </c>
      <c r="P1147" s="1" t="str">
        <f t="shared" si="68"/>
        <v>BC Caiaponia1SG60KTL(COM1-002)_001_01046047,253472222246047,253472222246047,4208333333</v>
      </c>
      <c r="Q1147" s="1" t="str">
        <f t="shared" si="69"/>
        <v>DAURDE</v>
      </c>
    </row>
    <row r="1148" spans="2:17">
      <c r="B1148" s="1" t="s">
        <v>268</v>
      </c>
      <c r="C1148" s="1" t="s">
        <v>271</v>
      </c>
      <c r="D1148" s="52">
        <v>46047.253472222219</v>
      </c>
      <c r="E1148" s="52">
        <v>46047.253472222219</v>
      </c>
      <c r="F1148" s="52">
        <v>46047.42083333333</v>
      </c>
      <c r="G1148" s="53">
        <f t="shared" si="70"/>
        <v>0.16736111111094942</v>
      </c>
      <c r="H1148" s="1" t="s">
        <v>248</v>
      </c>
      <c r="J1148" s="1" t="s">
        <v>249</v>
      </c>
      <c r="K1148" s="1" t="s">
        <v>349</v>
      </c>
      <c r="L1148" s="1" t="s">
        <v>450</v>
      </c>
      <c r="M1148" s="1" t="s">
        <v>251</v>
      </c>
      <c r="N1148" s="1" t="s">
        <v>252</v>
      </c>
      <c r="O1148" s="1" t="s">
        <v>620</v>
      </c>
      <c r="P1148" s="1" t="str">
        <f t="shared" si="68"/>
        <v>BC Caiaponia1SG60KTL(COM1-003)_001_01146047,253472222246047,253472222246047,4208333333</v>
      </c>
      <c r="Q1148" s="1" t="str">
        <f t="shared" si="69"/>
        <v>DAURDE</v>
      </c>
    </row>
    <row r="1149" spans="2:17">
      <c r="B1149" s="1" t="s">
        <v>268</v>
      </c>
      <c r="C1149" s="1" t="s">
        <v>272</v>
      </c>
      <c r="D1149" s="52">
        <v>46047.253472222219</v>
      </c>
      <c r="E1149" s="52">
        <v>46047.253472222219</v>
      </c>
      <c r="F1149" s="52">
        <v>46047.42083333333</v>
      </c>
      <c r="G1149" s="53">
        <f t="shared" si="70"/>
        <v>0.16736111111094942</v>
      </c>
      <c r="H1149" s="1" t="s">
        <v>248</v>
      </c>
      <c r="J1149" s="1" t="s">
        <v>249</v>
      </c>
      <c r="K1149" s="1" t="s">
        <v>349</v>
      </c>
      <c r="L1149" s="1" t="s">
        <v>450</v>
      </c>
      <c r="M1149" s="1" t="s">
        <v>251</v>
      </c>
      <c r="N1149" s="1" t="s">
        <v>252</v>
      </c>
      <c r="O1149" s="1" t="s">
        <v>620</v>
      </c>
      <c r="P1149" s="1" t="str">
        <f t="shared" si="68"/>
        <v>BC Caiaponia1SG60KTL(COM1-004)_001_01446047,253472222246047,253472222246047,4208333333</v>
      </c>
      <c r="Q1149" s="1" t="str">
        <f t="shared" si="69"/>
        <v>DAURDE</v>
      </c>
    </row>
    <row r="1150" spans="2:17">
      <c r="B1150" s="1" t="s">
        <v>268</v>
      </c>
      <c r="C1150" s="1" t="s">
        <v>273</v>
      </c>
      <c r="D1150" s="52">
        <v>46047.253472222219</v>
      </c>
      <c r="E1150" s="52">
        <v>46047.253472222219</v>
      </c>
      <c r="F1150" s="52">
        <v>46047.42083333333</v>
      </c>
      <c r="G1150" s="53">
        <f t="shared" si="70"/>
        <v>0.16736111111094942</v>
      </c>
      <c r="H1150" s="1" t="s">
        <v>248</v>
      </c>
      <c r="J1150" s="1" t="s">
        <v>249</v>
      </c>
      <c r="K1150" s="1" t="s">
        <v>349</v>
      </c>
      <c r="L1150" s="1" t="s">
        <v>450</v>
      </c>
      <c r="M1150" s="1" t="s">
        <v>251</v>
      </c>
      <c r="N1150" s="1" t="s">
        <v>252</v>
      </c>
      <c r="O1150" s="1" t="s">
        <v>620</v>
      </c>
      <c r="P1150" s="1" t="str">
        <f t="shared" si="68"/>
        <v>BC Caiaponia1SG60KTL(COM1-005)_001_01746047,253472222246047,253472222246047,4208333333</v>
      </c>
      <c r="Q1150" s="1" t="str">
        <f t="shared" si="69"/>
        <v>DAURDE</v>
      </c>
    </row>
    <row r="1151" spans="2:17">
      <c r="B1151" s="1" t="s">
        <v>268</v>
      </c>
      <c r="C1151" s="1" t="s">
        <v>274</v>
      </c>
      <c r="D1151" s="52">
        <v>46047.253472222219</v>
      </c>
      <c r="E1151" s="52">
        <v>46047.253472222219</v>
      </c>
      <c r="F1151" s="52">
        <v>46047.42083333333</v>
      </c>
      <c r="G1151" s="53">
        <f t="shared" si="70"/>
        <v>0.16736111111094942</v>
      </c>
      <c r="H1151" s="1" t="s">
        <v>248</v>
      </c>
      <c r="J1151" s="1" t="s">
        <v>249</v>
      </c>
      <c r="K1151" s="1" t="s">
        <v>349</v>
      </c>
      <c r="L1151" s="1" t="s">
        <v>450</v>
      </c>
      <c r="M1151" s="1" t="s">
        <v>251</v>
      </c>
      <c r="N1151" s="1" t="s">
        <v>252</v>
      </c>
      <c r="O1151" s="1" t="s">
        <v>620</v>
      </c>
      <c r="P1151" s="1" t="str">
        <f t="shared" si="68"/>
        <v>BC Caiaponia1SG60KTL(COM1-006)_001_01646047,253472222246047,253472222246047,4208333333</v>
      </c>
      <c r="Q1151" s="1" t="str">
        <f t="shared" si="69"/>
        <v>DAURDE</v>
      </c>
    </row>
    <row r="1152" spans="2:17">
      <c r="B1152" s="1" t="s">
        <v>268</v>
      </c>
      <c r="C1152" s="1" t="s">
        <v>275</v>
      </c>
      <c r="D1152" s="52">
        <v>46047.253472222219</v>
      </c>
      <c r="E1152" s="52">
        <v>46047.253472222219</v>
      </c>
      <c r="F1152" s="52">
        <v>46047.42083333333</v>
      </c>
      <c r="G1152" s="53">
        <f t="shared" si="70"/>
        <v>0.16736111111094942</v>
      </c>
      <c r="H1152" s="1" t="s">
        <v>248</v>
      </c>
      <c r="J1152" s="1" t="s">
        <v>249</v>
      </c>
      <c r="K1152" s="1" t="s">
        <v>349</v>
      </c>
      <c r="L1152" s="1" t="s">
        <v>450</v>
      </c>
      <c r="M1152" s="1" t="s">
        <v>251</v>
      </c>
      <c r="N1152" s="1" t="s">
        <v>252</v>
      </c>
      <c r="O1152" s="1" t="s">
        <v>620</v>
      </c>
      <c r="P1152" s="1" t="str">
        <f t="shared" si="68"/>
        <v>BC Caiaponia1SG60KTL(COM1-007)_001_01346047,253472222246047,253472222246047,4208333333</v>
      </c>
      <c r="Q1152" s="1" t="str">
        <f t="shared" si="69"/>
        <v>DAURDE</v>
      </c>
    </row>
    <row r="1153" spans="2:17">
      <c r="B1153" s="1" t="s">
        <v>268</v>
      </c>
      <c r="C1153" s="1" t="s">
        <v>276</v>
      </c>
      <c r="D1153" s="52">
        <v>46047.253472222219</v>
      </c>
      <c r="E1153" s="52">
        <v>46047.253472222219</v>
      </c>
      <c r="F1153" s="52">
        <v>46047.42083333333</v>
      </c>
      <c r="G1153" s="53">
        <f t="shared" si="70"/>
        <v>0.16736111111094942</v>
      </c>
      <c r="H1153" s="1" t="s">
        <v>248</v>
      </c>
      <c r="J1153" s="1" t="s">
        <v>249</v>
      </c>
      <c r="K1153" s="1" t="s">
        <v>349</v>
      </c>
      <c r="L1153" s="1" t="s">
        <v>450</v>
      </c>
      <c r="M1153" s="1" t="s">
        <v>251</v>
      </c>
      <c r="N1153" s="1" t="s">
        <v>252</v>
      </c>
      <c r="O1153" s="1" t="s">
        <v>620</v>
      </c>
      <c r="P1153" s="1" t="str">
        <f t="shared" si="68"/>
        <v>BC Caiaponia1SG60KTL(COM1-008)_001_00146047,253472222246047,253472222246047,4208333333</v>
      </c>
      <c r="Q1153" s="1" t="str">
        <f t="shared" si="69"/>
        <v>DAURDE</v>
      </c>
    </row>
    <row r="1154" spans="2:17">
      <c r="B1154" s="1" t="s">
        <v>268</v>
      </c>
      <c r="C1154" s="1" t="s">
        <v>277</v>
      </c>
      <c r="D1154" s="52">
        <v>46047.253472222219</v>
      </c>
      <c r="E1154" s="52">
        <v>46047.253472222219</v>
      </c>
      <c r="F1154" s="52">
        <v>46047.42083333333</v>
      </c>
      <c r="G1154" s="53">
        <f t="shared" si="70"/>
        <v>0.16736111111094942</v>
      </c>
      <c r="H1154" s="1" t="s">
        <v>248</v>
      </c>
      <c r="J1154" s="1" t="s">
        <v>249</v>
      </c>
      <c r="K1154" s="1" t="s">
        <v>349</v>
      </c>
      <c r="L1154" s="1" t="s">
        <v>450</v>
      </c>
      <c r="M1154" s="1" t="s">
        <v>251</v>
      </c>
      <c r="N1154" s="1" t="s">
        <v>252</v>
      </c>
      <c r="O1154" s="1" t="s">
        <v>620</v>
      </c>
      <c r="P1154" s="1" t="str">
        <f t="shared" si="68"/>
        <v>BC Caiaponia1SG60KTL(COM1-009)46047,253472222246047,253472222246047,4208333333</v>
      </c>
      <c r="Q1154" s="1" t="str">
        <f t="shared" si="69"/>
        <v>DAURDE</v>
      </c>
    </row>
    <row r="1155" spans="2:17">
      <c r="B1155" s="1" t="s">
        <v>268</v>
      </c>
      <c r="C1155" s="1" t="s">
        <v>278</v>
      </c>
      <c r="D1155" s="52">
        <v>46047.253472222219</v>
      </c>
      <c r="E1155" s="52">
        <v>46047.253472222219</v>
      </c>
      <c r="F1155" s="52">
        <v>46047.42083333333</v>
      </c>
      <c r="G1155" s="53">
        <f t="shared" si="70"/>
        <v>0.16736111111094942</v>
      </c>
      <c r="H1155" s="1" t="s">
        <v>248</v>
      </c>
      <c r="J1155" s="1" t="s">
        <v>249</v>
      </c>
      <c r="K1155" s="1" t="s">
        <v>349</v>
      </c>
      <c r="L1155" s="1" t="s">
        <v>450</v>
      </c>
      <c r="M1155" s="1" t="s">
        <v>251</v>
      </c>
      <c r="N1155" s="1" t="s">
        <v>252</v>
      </c>
      <c r="O1155" s="1" t="s">
        <v>620</v>
      </c>
      <c r="P1155" s="1" t="str">
        <f t="shared" si="68"/>
        <v>BC Caiaponia1SG60KTL(COM1-010)46047,253472222246047,253472222246047,4208333333</v>
      </c>
      <c r="Q1155" s="1" t="str">
        <f t="shared" si="69"/>
        <v>DAURDE</v>
      </c>
    </row>
    <row r="1156" spans="2:17">
      <c r="B1156" s="1" t="s">
        <v>268</v>
      </c>
      <c r="C1156" s="1" t="s">
        <v>279</v>
      </c>
      <c r="D1156" s="52">
        <v>46047.253472222219</v>
      </c>
      <c r="E1156" s="52">
        <v>46047.253472222219</v>
      </c>
      <c r="F1156" s="52">
        <v>46047.42083333333</v>
      </c>
      <c r="G1156" s="53">
        <f t="shared" si="70"/>
        <v>0.16736111111094942</v>
      </c>
      <c r="H1156" s="1" t="s">
        <v>248</v>
      </c>
      <c r="J1156" s="1" t="s">
        <v>249</v>
      </c>
      <c r="K1156" s="1" t="s">
        <v>349</v>
      </c>
      <c r="L1156" s="1" t="s">
        <v>450</v>
      </c>
      <c r="M1156" s="1" t="s">
        <v>251</v>
      </c>
      <c r="N1156" s="1" t="s">
        <v>252</v>
      </c>
      <c r="O1156" s="1" t="s">
        <v>620</v>
      </c>
      <c r="P1156" s="1" t="str">
        <f t="shared" si="68"/>
        <v>BC Caiaponia1SG60KTL(COM1-011)46047,253472222246047,253472222246047,4208333333</v>
      </c>
      <c r="Q1156" s="1" t="str">
        <f t="shared" si="69"/>
        <v>DAURDE</v>
      </c>
    </row>
    <row r="1157" spans="2:17">
      <c r="B1157" s="1" t="s">
        <v>268</v>
      </c>
      <c r="C1157" s="1" t="s">
        <v>280</v>
      </c>
      <c r="D1157" s="52">
        <v>46047.253472222219</v>
      </c>
      <c r="E1157" s="52">
        <v>46047.253472222219</v>
      </c>
      <c r="F1157" s="52">
        <v>46047.42083333333</v>
      </c>
      <c r="G1157" s="53">
        <f t="shared" si="70"/>
        <v>0.16736111111094942</v>
      </c>
      <c r="H1157" s="1" t="s">
        <v>248</v>
      </c>
      <c r="J1157" s="1" t="s">
        <v>249</v>
      </c>
      <c r="K1157" s="1" t="s">
        <v>349</v>
      </c>
      <c r="L1157" s="1" t="s">
        <v>450</v>
      </c>
      <c r="M1157" s="1" t="s">
        <v>251</v>
      </c>
      <c r="N1157" s="1" t="s">
        <v>252</v>
      </c>
      <c r="O1157" s="1" t="s">
        <v>620</v>
      </c>
      <c r="P1157" s="1" t="str">
        <f t="shared" si="68"/>
        <v>BC Caiaponia1SG60KTL(COM1-012)46047,253472222246047,253472222246047,4208333333</v>
      </c>
      <c r="Q1157" s="1" t="str">
        <f t="shared" si="69"/>
        <v>DAURDE</v>
      </c>
    </row>
    <row r="1158" spans="2:17">
      <c r="B1158" s="1" t="s">
        <v>268</v>
      </c>
      <c r="C1158" s="1" t="s">
        <v>281</v>
      </c>
      <c r="D1158" s="52">
        <v>46047.253472222219</v>
      </c>
      <c r="E1158" s="52">
        <v>46047.253472222219</v>
      </c>
      <c r="F1158" s="52">
        <v>46047.42083333333</v>
      </c>
      <c r="G1158" s="53">
        <f t="shared" si="70"/>
        <v>0.16736111111094942</v>
      </c>
      <c r="H1158" s="1" t="s">
        <v>248</v>
      </c>
      <c r="J1158" s="1" t="s">
        <v>249</v>
      </c>
      <c r="K1158" s="1" t="s">
        <v>349</v>
      </c>
      <c r="L1158" s="1" t="s">
        <v>450</v>
      </c>
      <c r="M1158" s="1" t="s">
        <v>251</v>
      </c>
      <c r="N1158" s="1" t="s">
        <v>252</v>
      </c>
      <c r="O1158" s="1" t="s">
        <v>620</v>
      </c>
      <c r="P1158" s="1" t="str">
        <f t="shared" si="68"/>
        <v>BC Caiaponia1SG60KTL(COM1-013)46047,253472222246047,253472222246047,4208333333</v>
      </c>
      <c r="Q1158" s="1" t="str">
        <f t="shared" si="69"/>
        <v>DAURDE</v>
      </c>
    </row>
    <row r="1159" spans="2:17">
      <c r="B1159" s="1" t="s">
        <v>268</v>
      </c>
      <c r="C1159" s="1" t="s">
        <v>282</v>
      </c>
      <c r="D1159" s="52">
        <v>46047.253472222219</v>
      </c>
      <c r="E1159" s="52">
        <v>46047.253472222219</v>
      </c>
      <c r="F1159" s="52">
        <v>46047.42083333333</v>
      </c>
      <c r="G1159" s="53">
        <f t="shared" si="70"/>
        <v>0.16736111111094942</v>
      </c>
      <c r="H1159" s="1" t="s">
        <v>248</v>
      </c>
      <c r="J1159" s="1" t="s">
        <v>249</v>
      </c>
      <c r="K1159" s="1" t="s">
        <v>349</v>
      </c>
      <c r="L1159" s="1" t="s">
        <v>450</v>
      </c>
      <c r="M1159" s="1" t="s">
        <v>251</v>
      </c>
      <c r="N1159" s="1" t="s">
        <v>252</v>
      </c>
      <c r="O1159" s="1" t="s">
        <v>620</v>
      </c>
      <c r="P1159" s="1" t="str">
        <f t="shared" si="68"/>
        <v>BC Caiaponia1SG60KTL(COM1-014)46047,253472222246047,253472222246047,4208333333</v>
      </c>
      <c r="Q1159" s="1" t="str">
        <f t="shared" si="69"/>
        <v>DAURDE</v>
      </c>
    </row>
    <row r="1160" spans="2:17">
      <c r="B1160" s="1" t="s">
        <v>268</v>
      </c>
      <c r="C1160" s="1" t="s">
        <v>283</v>
      </c>
      <c r="D1160" s="52">
        <v>46047.253472222219</v>
      </c>
      <c r="E1160" s="52">
        <v>46047.253472222219</v>
      </c>
      <c r="F1160" s="52">
        <v>46047.42083333333</v>
      </c>
      <c r="G1160" s="53">
        <f t="shared" si="70"/>
        <v>0.16736111111094942</v>
      </c>
      <c r="H1160" s="1" t="s">
        <v>248</v>
      </c>
      <c r="J1160" s="1" t="s">
        <v>249</v>
      </c>
      <c r="K1160" s="1" t="s">
        <v>349</v>
      </c>
      <c r="L1160" s="1" t="s">
        <v>450</v>
      </c>
      <c r="M1160" s="1" t="s">
        <v>251</v>
      </c>
      <c r="N1160" s="1" t="s">
        <v>252</v>
      </c>
      <c r="O1160" s="1" t="s">
        <v>620</v>
      </c>
      <c r="P1160" s="1" t="str">
        <f t="shared" si="68"/>
        <v>BC Caiaponia1SG60KTL(COM1-015)46047,253472222246047,253472222246047,4208333333</v>
      </c>
      <c r="Q1160" s="1" t="str">
        <f t="shared" si="69"/>
        <v>DAURDE</v>
      </c>
    </row>
    <row r="1161" spans="2:17">
      <c r="B1161" s="1" t="s">
        <v>268</v>
      </c>
      <c r="C1161" s="1" t="s">
        <v>284</v>
      </c>
      <c r="D1161" s="52">
        <v>46047.253472222219</v>
      </c>
      <c r="E1161" s="52">
        <v>46047.253472222219</v>
      </c>
      <c r="F1161" s="52">
        <v>46047.42083333333</v>
      </c>
      <c r="G1161" s="53">
        <f t="shared" si="70"/>
        <v>0.16736111111094942</v>
      </c>
      <c r="H1161" s="1" t="s">
        <v>248</v>
      </c>
      <c r="J1161" s="1" t="s">
        <v>249</v>
      </c>
      <c r="K1161" s="1" t="s">
        <v>349</v>
      </c>
      <c r="L1161" s="1" t="s">
        <v>450</v>
      </c>
      <c r="M1161" s="1" t="s">
        <v>251</v>
      </c>
      <c r="N1161" s="1" t="s">
        <v>252</v>
      </c>
      <c r="O1161" s="1" t="s">
        <v>620</v>
      </c>
      <c r="P1161" s="1" t="str">
        <f t="shared" si="68"/>
        <v>BC Caiaponia1SG60KTL(COM3-016)_001_00946047,253472222246047,253472222246047,4208333333</v>
      </c>
      <c r="Q1161" s="1" t="str">
        <f t="shared" si="69"/>
        <v>DAURDE</v>
      </c>
    </row>
    <row r="1162" spans="2:17">
      <c r="B1162" s="1" t="s">
        <v>268</v>
      </c>
      <c r="C1162" s="1" t="s">
        <v>285</v>
      </c>
      <c r="D1162" s="52">
        <v>46047.253472222219</v>
      </c>
      <c r="E1162" s="52">
        <v>46047.253472222219</v>
      </c>
      <c r="F1162" s="52">
        <v>46047.42083333333</v>
      </c>
      <c r="G1162" s="53">
        <f t="shared" si="70"/>
        <v>0.16736111111094942</v>
      </c>
      <c r="H1162" s="1" t="s">
        <v>248</v>
      </c>
      <c r="J1162" s="1" t="s">
        <v>249</v>
      </c>
      <c r="K1162" s="1" t="s">
        <v>349</v>
      </c>
      <c r="L1162" s="1" t="s">
        <v>450</v>
      </c>
      <c r="M1162" s="1" t="s">
        <v>251</v>
      </c>
      <c r="N1162" s="1" t="s">
        <v>252</v>
      </c>
      <c r="O1162" s="1" t="s">
        <v>620</v>
      </c>
      <c r="P1162" s="1" t="str">
        <f t="shared" si="68"/>
        <v>BC Caiaponia1SG60KTL(COM3-017)_001_01246047,253472222246047,253472222246047,4208333333</v>
      </c>
      <c r="Q1162" s="1" t="str">
        <f t="shared" si="69"/>
        <v>DAURDE</v>
      </c>
    </row>
    <row r="1163" spans="2:17">
      <c r="B1163" s="1" t="s">
        <v>268</v>
      </c>
      <c r="C1163" s="1" t="s">
        <v>286</v>
      </c>
      <c r="D1163" s="52">
        <v>46047.253472222219</v>
      </c>
      <c r="E1163" s="52">
        <v>46047.253472222219</v>
      </c>
      <c r="F1163" s="52">
        <v>46047.42083333333</v>
      </c>
      <c r="G1163" s="53">
        <f t="shared" si="70"/>
        <v>0.16736111111094942</v>
      </c>
      <c r="H1163" s="1" t="s">
        <v>248</v>
      </c>
      <c r="J1163" s="1" t="s">
        <v>249</v>
      </c>
      <c r="K1163" s="1" t="s">
        <v>349</v>
      </c>
      <c r="L1163" s="1" t="s">
        <v>450</v>
      </c>
      <c r="M1163" s="1" t="s">
        <v>251</v>
      </c>
      <c r="N1163" s="1" t="s">
        <v>252</v>
      </c>
      <c r="O1163" s="1" t="s">
        <v>620</v>
      </c>
      <c r="P1163" s="1" t="str">
        <f t="shared" si="68"/>
        <v>BC Caiaponia1SG60KTL(COM3-018)_001_00846047,253472222246047,253472222246047,4208333333</v>
      </c>
      <c r="Q1163" s="1" t="str">
        <f t="shared" si="69"/>
        <v>DAURDE</v>
      </c>
    </row>
    <row r="1164" spans="2:17">
      <c r="B1164" s="1" t="s">
        <v>268</v>
      </c>
      <c r="C1164" s="1" t="s">
        <v>287</v>
      </c>
      <c r="D1164" s="52">
        <v>46047.253472222219</v>
      </c>
      <c r="E1164" s="52">
        <v>46047.253472222219</v>
      </c>
      <c r="F1164" s="52">
        <v>46047.42083333333</v>
      </c>
      <c r="G1164" s="53">
        <f t="shared" si="70"/>
        <v>0.16736111111094942</v>
      </c>
      <c r="H1164" s="1" t="s">
        <v>248</v>
      </c>
      <c r="J1164" s="1" t="s">
        <v>249</v>
      </c>
      <c r="K1164" s="1" t="s">
        <v>349</v>
      </c>
      <c r="L1164" s="1" t="s">
        <v>450</v>
      </c>
      <c r="M1164" s="1" t="s">
        <v>251</v>
      </c>
      <c r="N1164" s="1" t="s">
        <v>252</v>
      </c>
      <c r="O1164" s="1" t="s">
        <v>620</v>
      </c>
      <c r="P1164" s="1" t="str">
        <f t="shared" si="68"/>
        <v>BC Caiaponia1SG60KTL(COM3-019)_001_01946047,253472222246047,253472222246047,4208333333</v>
      </c>
      <c r="Q1164" s="1" t="str">
        <f t="shared" si="69"/>
        <v>DAURDE</v>
      </c>
    </row>
    <row r="1165" spans="2:17">
      <c r="B1165" s="1" t="s">
        <v>268</v>
      </c>
      <c r="C1165" s="1" t="s">
        <v>288</v>
      </c>
      <c r="D1165" s="52">
        <v>46047.253472222219</v>
      </c>
      <c r="E1165" s="52">
        <v>46047.253472222219</v>
      </c>
      <c r="F1165" s="52">
        <v>46047.42083333333</v>
      </c>
      <c r="G1165" s="53">
        <f t="shared" si="70"/>
        <v>0.16736111111094942</v>
      </c>
      <c r="H1165" s="1" t="s">
        <v>248</v>
      </c>
      <c r="J1165" s="1" t="s">
        <v>249</v>
      </c>
      <c r="K1165" s="1" t="s">
        <v>349</v>
      </c>
      <c r="L1165" s="1" t="s">
        <v>450</v>
      </c>
      <c r="M1165" s="1" t="s">
        <v>251</v>
      </c>
      <c r="N1165" s="1" t="s">
        <v>252</v>
      </c>
      <c r="O1165" s="1" t="s">
        <v>620</v>
      </c>
      <c r="P1165" s="1" t="str">
        <f t="shared" si="68"/>
        <v>BC Caiaponia1SG60KTL(COM3-020)_001_02046047,253472222246047,253472222246047,4208333333</v>
      </c>
      <c r="Q1165" s="1" t="str">
        <f t="shared" si="69"/>
        <v>DAURDE</v>
      </c>
    </row>
    <row r="1166" spans="2:17">
      <c r="B1166" s="1" t="s">
        <v>268</v>
      </c>
      <c r="C1166" s="1" t="s">
        <v>289</v>
      </c>
      <c r="D1166" s="52">
        <v>46047.253472222219</v>
      </c>
      <c r="E1166" s="52">
        <v>46047.253472222219</v>
      </c>
      <c r="F1166" s="52">
        <v>46047.42083333333</v>
      </c>
      <c r="G1166" s="53">
        <f t="shared" si="70"/>
        <v>0.16736111111094942</v>
      </c>
      <c r="H1166" s="1" t="s">
        <v>248</v>
      </c>
      <c r="J1166" s="1" t="s">
        <v>249</v>
      </c>
      <c r="K1166" s="1" t="s">
        <v>349</v>
      </c>
      <c r="L1166" s="1" t="s">
        <v>450</v>
      </c>
      <c r="M1166" s="1" t="s">
        <v>251</v>
      </c>
      <c r="N1166" s="1" t="s">
        <v>252</v>
      </c>
      <c r="O1166" s="1" t="s">
        <v>620</v>
      </c>
      <c r="P1166" s="1" t="str">
        <f t="shared" si="68"/>
        <v>BC Caiaponia1SG60KTL(COM2-026)46047,253472222246047,253472222246047,4208333333</v>
      </c>
      <c r="Q1166" s="1" t="str">
        <f t="shared" si="69"/>
        <v>DAURDE</v>
      </c>
    </row>
    <row r="1167" spans="2:17">
      <c r="B1167" s="1" t="s">
        <v>268</v>
      </c>
      <c r="C1167" s="1" t="s">
        <v>290</v>
      </c>
      <c r="D1167" s="52">
        <v>46047.253472222219</v>
      </c>
      <c r="E1167" s="52">
        <v>46047.253472222219</v>
      </c>
      <c r="F1167" s="52">
        <v>46047.42083333333</v>
      </c>
      <c r="G1167" s="53">
        <f t="shared" si="70"/>
        <v>0.16736111111094942</v>
      </c>
      <c r="H1167" s="1" t="s">
        <v>248</v>
      </c>
      <c r="J1167" s="1" t="s">
        <v>249</v>
      </c>
      <c r="K1167" s="1" t="s">
        <v>349</v>
      </c>
      <c r="L1167" s="1" t="s">
        <v>450</v>
      </c>
      <c r="M1167" s="1" t="s">
        <v>251</v>
      </c>
      <c r="N1167" s="1" t="s">
        <v>252</v>
      </c>
      <c r="O1167" s="1" t="s">
        <v>620</v>
      </c>
      <c r="P1167" s="1" t="str">
        <f t="shared" si="68"/>
        <v>BC Caiaponia1SG60KTL(COM2-027)46047,253472222246047,253472222246047,4208333333</v>
      </c>
      <c r="Q1167" s="1" t="str">
        <f t="shared" si="69"/>
        <v>DAURDE</v>
      </c>
    </row>
    <row r="1168" spans="2:17">
      <c r="B1168" s="1" t="s">
        <v>268</v>
      </c>
      <c r="C1168" s="1" t="s">
        <v>291</v>
      </c>
      <c r="D1168" s="52">
        <v>46047.253472222219</v>
      </c>
      <c r="E1168" s="52">
        <v>46047.253472222219</v>
      </c>
      <c r="F1168" s="52">
        <v>46047.42083333333</v>
      </c>
      <c r="G1168" s="53">
        <f t="shared" si="70"/>
        <v>0.16736111111094942</v>
      </c>
      <c r="H1168" s="1" t="s">
        <v>248</v>
      </c>
      <c r="J1168" s="1" t="s">
        <v>249</v>
      </c>
      <c r="K1168" s="1" t="s">
        <v>349</v>
      </c>
      <c r="L1168" s="1" t="s">
        <v>450</v>
      </c>
      <c r="M1168" s="1" t="s">
        <v>251</v>
      </c>
      <c r="N1168" s="1" t="s">
        <v>252</v>
      </c>
      <c r="O1168" s="1" t="s">
        <v>620</v>
      </c>
      <c r="P1168" s="1" t="str">
        <f t="shared" si="68"/>
        <v>BC Caiaponia1SG60KTL(COM2-028)46047,253472222246047,253472222246047,4208333333</v>
      </c>
      <c r="Q1168" s="1" t="str">
        <f t="shared" si="69"/>
        <v>DAURDE</v>
      </c>
    </row>
    <row r="1169" spans="2:17">
      <c r="B1169" s="1" t="s">
        <v>268</v>
      </c>
      <c r="C1169" s="1" t="s">
        <v>292</v>
      </c>
      <c r="D1169" s="52">
        <v>46047.253472222219</v>
      </c>
      <c r="E1169" s="52">
        <v>46047.253472222219</v>
      </c>
      <c r="F1169" s="52">
        <v>46047.42083333333</v>
      </c>
      <c r="G1169" s="53">
        <f t="shared" si="70"/>
        <v>0.16736111111094942</v>
      </c>
      <c r="H1169" s="1" t="s">
        <v>248</v>
      </c>
      <c r="J1169" s="1" t="s">
        <v>249</v>
      </c>
      <c r="K1169" s="1" t="s">
        <v>349</v>
      </c>
      <c r="L1169" s="1" t="s">
        <v>450</v>
      </c>
      <c r="M1169" s="1" t="s">
        <v>251</v>
      </c>
      <c r="N1169" s="1" t="s">
        <v>252</v>
      </c>
      <c r="O1169" s="1" t="s">
        <v>620</v>
      </c>
      <c r="P1169" s="1" t="str">
        <f t="shared" si="68"/>
        <v>BC Caiaponia1SG60KTL(COM2-029)46047,253472222246047,253472222246047,4208333333</v>
      </c>
      <c r="Q1169" s="1" t="str">
        <f t="shared" si="69"/>
        <v>DAURDE</v>
      </c>
    </row>
    <row r="1170" spans="2:17">
      <c r="B1170" s="1" t="s">
        <v>268</v>
      </c>
      <c r="C1170" s="1" t="s">
        <v>293</v>
      </c>
      <c r="D1170" s="52">
        <v>46047.253472222219</v>
      </c>
      <c r="E1170" s="52">
        <v>46047.253472222219</v>
      </c>
      <c r="F1170" s="52">
        <v>46047.42083333333</v>
      </c>
      <c r="G1170" s="53">
        <f t="shared" si="70"/>
        <v>0.16736111111094942</v>
      </c>
      <c r="H1170" s="1" t="s">
        <v>248</v>
      </c>
      <c r="J1170" s="1" t="s">
        <v>249</v>
      </c>
      <c r="K1170" s="1" t="s">
        <v>349</v>
      </c>
      <c r="L1170" s="1" t="s">
        <v>450</v>
      </c>
      <c r="M1170" s="1" t="s">
        <v>251</v>
      </c>
      <c r="N1170" s="1" t="s">
        <v>252</v>
      </c>
      <c r="O1170" s="1" t="s">
        <v>620</v>
      </c>
      <c r="P1170" s="1" t="str">
        <f t="shared" si="68"/>
        <v>BC Caiaponia1SG50CX(COM1-021)46047,253472222246047,253472222246047,4208333333</v>
      </c>
      <c r="Q1170" s="1" t="str">
        <f t="shared" si="69"/>
        <v>DAURDE</v>
      </c>
    </row>
    <row r="1171" spans="2:17">
      <c r="B1171" s="1" t="s">
        <v>268</v>
      </c>
      <c r="C1171" s="1" t="s">
        <v>294</v>
      </c>
      <c r="D1171" s="52">
        <v>46047.253472222219</v>
      </c>
      <c r="E1171" s="52">
        <v>46047.253472222219</v>
      </c>
      <c r="F1171" s="52">
        <v>46047.42083333333</v>
      </c>
      <c r="G1171" s="53">
        <f t="shared" si="70"/>
        <v>0.16736111111094942</v>
      </c>
      <c r="H1171" s="1" t="s">
        <v>248</v>
      </c>
      <c r="J1171" s="1" t="s">
        <v>249</v>
      </c>
      <c r="K1171" s="1" t="s">
        <v>349</v>
      </c>
      <c r="L1171" s="1" t="s">
        <v>450</v>
      </c>
      <c r="M1171" s="1" t="s">
        <v>251</v>
      </c>
      <c r="N1171" s="1" t="s">
        <v>252</v>
      </c>
      <c r="O1171" s="1" t="s">
        <v>620</v>
      </c>
      <c r="P1171" s="1" t="str">
        <f t="shared" si="68"/>
        <v>BC Caiaponia1SG50CX(COM1-022)46047,253472222246047,253472222246047,4208333333</v>
      </c>
      <c r="Q1171" s="1" t="str">
        <f t="shared" si="69"/>
        <v>DAURDE</v>
      </c>
    </row>
    <row r="1172" spans="2:17">
      <c r="B1172" s="1" t="s">
        <v>268</v>
      </c>
      <c r="C1172" s="1" t="s">
        <v>295</v>
      </c>
      <c r="D1172" s="52">
        <v>46047.253472222219</v>
      </c>
      <c r="E1172" s="52">
        <v>46047.253472222219</v>
      </c>
      <c r="F1172" s="52">
        <v>46047.42083333333</v>
      </c>
      <c r="G1172" s="53">
        <f t="shared" si="70"/>
        <v>0.16736111111094942</v>
      </c>
      <c r="H1172" s="1" t="s">
        <v>248</v>
      </c>
      <c r="J1172" s="1" t="s">
        <v>249</v>
      </c>
      <c r="K1172" s="1" t="s">
        <v>349</v>
      </c>
      <c r="L1172" s="1" t="s">
        <v>450</v>
      </c>
      <c r="M1172" s="1" t="s">
        <v>251</v>
      </c>
      <c r="N1172" s="1" t="s">
        <v>252</v>
      </c>
      <c r="O1172" s="1" t="s">
        <v>620</v>
      </c>
      <c r="P1172" s="1" t="str">
        <f t="shared" si="68"/>
        <v>BC Caiaponia1SG50CX(COM1-023)46047,253472222246047,253472222246047,4208333333</v>
      </c>
      <c r="Q1172" s="1" t="str">
        <f t="shared" si="69"/>
        <v>DAURDE</v>
      </c>
    </row>
    <row r="1173" spans="2:17">
      <c r="B1173" s="1" t="s">
        <v>268</v>
      </c>
      <c r="C1173" s="1" t="s">
        <v>296</v>
      </c>
      <c r="D1173" s="52">
        <v>46047.253472222219</v>
      </c>
      <c r="E1173" s="52">
        <v>46047.253472222219</v>
      </c>
      <c r="F1173" s="52">
        <v>46047.42083333333</v>
      </c>
      <c r="G1173" s="53">
        <f t="shared" si="70"/>
        <v>0.16736111111094942</v>
      </c>
      <c r="H1173" s="1" t="s">
        <v>248</v>
      </c>
      <c r="J1173" s="1" t="s">
        <v>249</v>
      </c>
      <c r="K1173" s="1" t="s">
        <v>349</v>
      </c>
      <c r="L1173" s="1" t="s">
        <v>450</v>
      </c>
      <c r="M1173" s="1" t="s">
        <v>251</v>
      </c>
      <c r="N1173" s="1" t="s">
        <v>252</v>
      </c>
      <c r="O1173" s="1" t="s">
        <v>620</v>
      </c>
      <c r="P1173" s="1" t="str">
        <f t="shared" si="68"/>
        <v>BC Caiaponia1SG50CX(COM1-024)46047,253472222246047,253472222246047,4208333333</v>
      </c>
      <c r="Q1173" s="1" t="str">
        <f t="shared" si="69"/>
        <v>DAURDE</v>
      </c>
    </row>
    <row r="1174" spans="2:17">
      <c r="B1174" s="1" t="s">
        <v>268</v>
      </c>
      <c r="C1174" s="1" t="s">
        <v>297</v>
      </c>
      <c r="D1174" s="52">
        <v>46047.253472222219</v>
      </c>
      <c r="E1174" s="52">
        <v>46047.253472222219</v>
      </c>
      <c r="F1174" s="52">
        <v>46047.42083333333</v>
      </c>
      <c r="G1174" s="53">
        <f t="shared" si="70"/>
        <v>0.16736111111094942</v>
      </c>
      <c r="H1174" s="1" t="s">
        <v>248</v>
      </c>
      <c r="J1174" s="1" t="s">
        <v>249</v>
      </c>
      <c r="K1174" s="1" t="s">
        <v>349</v>
      </c>
      <c r="L1174" s="1" t="s">
        <v>450</v>
      </c>
      <c r="M1174" s="1" t="s">
        <v>251</v>
      </c>
      <c r="N1174" s="1" t="s">
        <v>252</v>
      </c>
      <c r="O1174" s="1" t="s">
        <v>620</v>
      </c>
      <c r="P1174" s="1" t="str">
        <f t="shared" si="68"/>
        <v>BC Caiaponia1SG50CX(COM1-025)46047,253472222246047,253472222246047,4208333333</v>
      </c>
      <c r="Q1174" s="1" t="str">
        <f t="shared" si="69"/>
        <v>DAURDE</v>
      </c>
    </row>
    <row r="1175" spans="2:17">
      <c r="B1175" s="1" t="s">
        <v>327</v>
      </c>
      <c r="C1175" s="1" t="s">
        <v>328</v>
      </c>
      <c r="D1175" s="52">
        <v>46047.259722222225</v>
      </c>
      <c r="E1175" s="52">
        <v>46047.259722222225</v>
      </c>
      <c r="F1175" s="52">
        <v>46047.263888888891</v>
      </c>
      <c r="G1175" s="53">
        <f t="shared" si="70"/>
        <v>4.166666665696539E-3</v>
      </c>
      <c r="H1175" s="1" t="s">
        <v>248</v>
      </c>
      <c r="J1175" s="1" t="s">
        <v>249</v>
      </c>
      <c r="K1175" s="1" t="s">
        <v>349</v>
      </c>
      <c r="L1175" s="1" t="s">
        <v>329</v>
      </c>
      <c r="M1175" s="1" t="s">
        <v>251</v>
      </c>
      <c r="N1175" s="1" t="s">
        <v>252</v>
      </c>
      <c r="O1175" s="1" t="s">
        <v>621</v>
      </c>
      <c r="P1175" s="1" t="str">
        <f t="shared" si="68"/>
        <v>BC Aracu5.1Inverter(MBUS-1)46047,259722222246047,259722222246047,2638888889</v>
      </c>
      <c r="Q1175" s="1" t="str">
        <f t="shared" si="69"/>
        <v>DAURDE</v>
      </c>
    </row>
    <row r="1176" spans="2:17">
      <c r="B1176" s="1" t="s">
        <v>334</v>
      </c>
      <c r="C1176" s="1" t="s">
        <v>328</v>
      </c>
      <c r="D1176" s="52">
        <v>46047.259722222225</v>
      </c>
      <c r="E1176" s="52">
        <v>46047.259722222225</v>
      </c>
      <c r="F1176" s="52">
        <v>46047.263888888891</v>
      </c>
      <c r="G1176" s="53">
        <f t="shared" si="70"/>
        <v>4.166666665696539E-3</v>
      </c>
      <c r="H1176" s="1" t="s">
        <v>248</v>
      </c>
      <c r="J1176" s="1" t="s">
        <v>249</v>
      </c>
      <c r="K1176" s="1" t="s">
        <v>349</v>
      </c>
      <c r="L1176" s="1" t="s">
        <v>329</v>
      </c>
      <c r="M1176" s="1" t="s">
        <v>251</v>
      </c>
      <c r="N1176" s="1" t="s">
        <v>252</v>
      </c>
      <c r="O1176" s="1" t="s">
        <v>621</v>
      </c>
      <c r="P1176" s="1" t="str">
        <f t="shared" si="68"/>
        <v>BC Aracu5.4Inverter(MBUS-1)46047,259722222246047,259722222246047,2638888889</v>
      </c>
      <c r="Q1176" s="1" t="str">
        <f t="shared" si="69"/>
        <v>DAURDE</v>
      </c>
    </row>
    <row r="1177" spans="2:17">
      <c r="B1177" s="1" t="s">
        <v>335</v>
      </c>
      <c r="C1177" s="1" t="s">
        <v>328</v>
      </c>
      <c r="D1177" s="52">
        <v>46047.259722222225</v>
      </c>
      <c r="E1177" s="52">
        <v>46047.259722222225</v>
      </c>
      <c r="F1177" s="52">
        <v>46047.263888888891</v>
      </c>
      <c r="G1177" s="53">
        <f t="shared" si="70"/>
        <v>4.166666665696539E-3</v>
      </c>
      <c r="H1177" s="1" t="s">
        <v>248</v>
      </c>
      <c r="J1177" s="1" t="s">
        <v>249</v>
      </c>
      <c r="K1177" s="1" t="s">
        <v>349</v>
      </c>
      <c r="L1177" s="1" t="s">
        <v>622</v>
      </c>
      <c r="M1177" s="1" t="s">
        <v>251</v>
      </c>
      <c r="N1177" s="1" t="s">
        <v>252</v>
      </c>
      <c r="O1177" s="1" t="s">
        <v>621</v>
      </c>
      <c r="P1177" s="1" t="str">
        <f t="shared" si="68"/>
        <v>BC Aracu5.5Inverter(MBUS-1)46047,259722222246047,259722222246047,2638888889</v>
      </c>
      <c r="Q1177" s="1" t="str">
        <f t="shared" si="69"/>
        <v>DAURDE</v>
      </c>
    </row>
    <row r="1178" spans="2:17">
      <c r="B1178" s="1" t="s">
        <v>423</v>
      </c>
      <c r="C1178" s="1" t="s">
        <v>354</v>
      </c>
      <c r="D1178" s="52">
        <v>46047.277083333334</v>
      </c>
      <c r="E1178" s="52">
        <v>46047.277083333334</v>
      </c>
      <c r="F1178" s="52">
        <v>46047.338888888888</v>
      </c>
      <c r="G1178" s="53">
        <f t="shared" si="70"/>
        <v>6.1805555553291924E-2</v>
      </c>
      <c r="H1178" s="1" t="s">
        <v>248</v>
      </c>
      <c r="J1178" s="1" t="s">
        <v>249</v>
      </c>
      <c r="K1178" s="1" t="s">
        <v>349</v>
      </c>
      <c r="L1178" s="1" t="s">
        <v>622</v>
      </c>
      <c r="M1178" s="1" t="s">
        <v>251</v>
      </c>
      <c r="N1178" s="1" t="s">
        <v>252</v>
      </c>
      <c r="O1178" s="1" t="s">
        <v>621</v>
      </c>
      <c r="P1178" s="1" t="str">
        <f t="shared" si="68"/>
        <v>BC Formoso2.1Inverter(MBUS-12)46047,277083333346047,277083333346047,3388888889</v>
      </c>
      <c r="Q1178" s="1" t="str">
        <f t="shared" si="69"/>
        <v>DAURDE</v>
      </c>
    </row>
    <row r="1179" spans="2:17">
      <c r="B1179" s="1" t="s">
        <v>423</v>
      </c>
      <c r="C1179" s="1" t="s">
        <v>358</v>
      </c>
      <c r="D1179" s="52">
        <v>46047.277083333334</v>
      </c>
      <c r="E1179" s="52">
        <v>46047.277083333334</v>
      </c>
      <c r="F1179" s="52">
        <v>46047.338888888888</v>
      </c>
      <c r="G1179" s="53">
        <f t="shared" si="70"/>
        <v>6.1805555553291924E-2</v>
      </c>
      <c r="H1179" s="1" t="s">
        <v>248</v>
      </c>
      <c r="J1179" s="1" t="s">
        <v>249</v>
      </c>
      <c r="K1179" s="1" t="s">
        <v>349</v>
      </c>
      <c r="L1179" s="1" t="s">
        <v>622</v>
      </c>
      <c r="M1179" s="1" t="s">
        <v>251</v>
      </c>
      <c r="N1179" s="1" t="s">
        <v>252</v>
      </c>
      <c r="O1179" s="1" t="s">
        <v>621</v>
      </c>
      <c r="P1179" s="1" t="str">
        <f t="shared" si="68"/>
        <v>BC Formoso2.1Inverter(MBUS-14)46047,277083333346047,277083333346047,3388888889</v>
      </c>
      <c r="Q1179" s="1" t="str">
        <f t="shared" si="69"/>
        <v>DAURDE</v>
      </c>
    </row>
    <row r="1180" spans="2:17">
      <c r="B1180" s="1" t="s">
        <v>423</v>
      </c>
      <c r="C1180" s="1" t="s">
        <v>357</v>
      </c>
      <c r="D1180" s="52">
        <v>46047.277083333334</v>
      </c>
      <c r="E1180" s="52">
        <v>46047.277083333334</v>
      </c>
      <c r="F1180" s="52">
        <v>46047.338888888888</v>
      </c>
      <c r="G1180" s="53">
        <f t="shared" si="70"/>
        <v>6.1805555553291924E-2</v>
      </c>
      <c r="H1180" s="1" t="s">
        <v>248</v>
      </c>
      <c r="J1180" s="1" t="s">
        <v>249</v>
      </c>
      <c r="K1180" s="1" t="s">
        <v>349</v>
      </c>
      <c r="L1180" s="1" t="s">
        <v>622</v>
      </c>
      <c r="M1180" s="1" t="s">
        <v>251</v>
      </c>
      <c r="N1180" s="1" t="s">
        <v>252</v>
      </c>
      <c r="O1180" s="1" t="s">
        <v>621</v>
      </c>
      <c r="P1180" s="1" t="str">
        <f t="shared" si="68"/>
        <v>BC Formoso2.1Inverter(MBUS-13)46047,277083333346047,277083333346047,3388888889</v>
      </c>
      <c r="Q1180" s="1" t="str">
        <f t="shared" si="69"/>
        <v>DAURDE</v>
      </c>
    </row>
    <row r="1181" spans="2:17">
      <c r="B1181" s="1" t="s">
        <v>423</v>
      </c>
      <c r="C1181" s="1" t="s">
        <v>328</v>
      </c>
      <c r="D1181" s="52">
        <v>46047.277083333334</v>
      </c>
      <c r="E1181" s="52">
        <v>46047.277083333334</v>
      </c>
      <c r="F1181" s="52">
        <v>46047.338888888888</v>
      </c>
      <c r="G1181" s="53">
        <f t="shared" si="70"/>
        <v>6.1805555553291924E-2</v>
      </c>
      <c r="H1181" s="1" t="s">
        <v>248</v>
      </c>
      <c r="J1181" s="1" t="s">
        <v>249</v>
      </c>
      <c r="K1181" s="1" t="s">
        <v>349</v>
      </c>
      <c r="L1181" s="1" t="s">
        <v>622</v>
      </c>
      <c r="M1181" s="1" t="s">
        <v>251</v>
      </c>
      <c r="N1181" s="1" t="s">
        <v>252</v>
      </c>
      <c r="O1181" s="1" t="s">
        <v>621</v>
      </c>
      <c r="P1181" s="1" t="str">
        <f t="shared" si="68"/>
        <v>BC Formoso2.1Inverter(MBUS-1)46047,277083333346047,277083333346047,3388888889</v>
      </c>
      <c r="Q1181" s="1" t="str">
        <f t="shared" si="69"/>
        <v>DAURDE</v>
      </c>
    </row>
    <row r="1182" spans="2:17">
      <c r="B1182" s="1" t="s">
        <v>425</v>
      </c>
      <c r="C1182" s="1" t="s">
        <v>357</v>
      </c>
      <c r="D1182" s="52">
        <v>46047.277083333334</v>
      </c>
      <c r="E1182" s="52">
        <v>46047.277083333334</v>
      </c>
      <c r="F1182" s="52">
        <v>46047.338888888888</v>
      </c>
      <c r="G1182" s="53">
        <f t="shared" si="70"/>
        <v>6.1805555553291924E-2</v>
      </c>
      <c r="H1182" s="1" t="s">
        <v>248</v>
      </c>
      <c r="J1182" s="1" t="s">
        <v>249</v>
      </c>
      <c r="K1182" s="1" t="s">
        <v>349</v>
      </c>
      <c r="L1182" s="1" t="s">
        <v>622</v>
      </c>
      <c r="M1182" s="1" t="s">
        <v>251</v>
      </c>
      <c r="N1182" s="1" t="s">
        <v>252</v>
      </c>
      <c r="O1182" s="1" t="s">
        <v>621</v>
      </c>
      <c r="P1182" s="1" t="str">
        <f t="shared" si="68"/>
        <v>BC Formoso2.3Inverter(MBUS-13)46047,277083333346047,277083333346047,3388888889</v>
      </c>
      <c r="Q1182" s="1" t="str">
        <f t="shared" si="69"/>
        <v>DAURDE</v>
      </c>
    </row>
    <row r="1183" spans="2:17">
      <c r="B1183" s="1" t="s">
        <v>425</v>
      </c>
      <c r="C1183" s="1" t="s">
        <v>354</v>
      </c>
      <c r="D1183" s="52">
        <v>46047.277083333334</v>
      </c>
      <c r="E1183" s="52">
        <v>46047.277083333334</v>
      </c>
      <c r="F1183" s="52">
        <v>46047.338888888888</v>
      </c>
      <c r="G1183" s="53">
        <f t="shared" si="70"/>
        <v>6.1805555553291924E-2</v>
      </c>
      <c r="H1183" s="1" t="s">
        <v>248</v>
      </c>
      <c r="J1183" s="1" t="s">
        <v>249</v>
      </c>
      <c r="K1183" s="1" t="s">
        <v>349</v>
      </c>
      <c r="L1183" s="1" t="s">
        <v>622</v>
      </c>
      <c r="M1183" s="1" t="s">
        <v>251</v>
      </c>
      <c r="N1183" s="1" t="s">
        <v>252</v>
      </c>
      <c r="O1183" s="1" t="s">
        <v>621</v>
      </c>
      <c r="P1183" s="1" t="str">
        <f t="shared" si="68"/>
        <v>BC Formoso2.3Inverter(MBUS-12)46047,277083333346047,277083333346047,3388888889</v>
      </c>
      <c r="Q1183" s="1" t="str">
        <f t="shared" si="69"/>
        <v>DAURDE</v>
      </c>
    </row>
    <row r="1184" spans="2:17">
      <c r="B1184" s="1" t="s">
        <v>556</v>
      </c>
      <c r="C1184" s="1" t="s">
        <v>557</v>
      </c>
      <c r="D1184" s="52">
        <v>46052.552083333336</v>
      </c>
      <c r="E1184" s="52">
        <v>46052.552083333336</v>
      </c>
      <c r="F1184" s="52">
        <v>46052.5625</v>
      </c>
      <c r="G1184" s="53">
        <f t="shared" si="70"/>
        <v>1.0416666664241347E-2</v>
      </c>
      <c r="H1184" s="1" t="s">
        <v>248</v>
      </c>
      <c r="J1184" s="1" t="s">
        <v>300</v>
      </c>
      <c r="K1184" s="1" t="s">
        <v>350</v>
      </c>
      <c r="L1184" s="1" t="s">
        <v>623</v>
      </c>
      <c r="M1184" s="1" t="s">
        <v>375</v>
      </c>
      <c r="N1184" s="1" t="s">
        <v>266</v>
      </c>
      <c r="O1184" s="1" t="s">
        <v>624</v>
      </c>
      <c r="P1184" s="1" t="str">
        <f t="shared" si="68"/>
        <v>BC Vazante 1.1Inverter1346052,552083333346052,552083333346052,5625</v>
      </c>
      <c r="Q1184" s="1" t="str">
        <f t="shared" si="69"/>
        <v>DAUINV</v>
      </c>
    </row>
    <row r="1185" spans="2:17">
      <c r="B1185" s="1" t="s">
        <v>437</v>
      </c>
      <c r="C1185" s="1" t="s">
        <v>354</v>
      </c>
      <c r="D1185" s="52">
        <v>46047.677083333336</v>
      </c>
      <c r="E1185" s="52">
        <v>46047.677083333336</v>
      </c>
      <c r="F1185" s="52">
        <v>46047.705555555556</v>
      </c>
      <c r="G1185" s="53">
        <f t="shared" si="70"/>
        <v>2.8472222220443655E-2</v>
      </c>
      <c r="H1185" s="1" t="s">
        <v>248</v>
      </c>
      <c r="J1185" s="1" t="s">
        <v>249</v>
      </c>
      <c r="K1185" s="1" t="s">
        <v>349</v>
      </c>
      <c r="L1185" s="1" t="s">
        <v>625</v>
      </c>
      <c r="M1185" s="1" t="s">
        <v>251</v>
      </c>
      <c r="N1185" s="1" t="s">
        <v>252</v>
      </c>
      <c r="O1185" s="1" t="s">
        <v>620</v>
      </c>
      <c r="P1185" s="1" t="str">
        <f t="shared" si="68"/>
        <v>BC Ibiuna 1.1Inverter(MBUS-12)46047,677083333346047,677083333346047,7055555556</v>
      </c>
      <c r="Q1185" s="1" t="str">
        <f t="shared" si="69"/>
        <v>DAURDE</v>
      </c>
    </row>
    <row r="1186" spans="2:17">
      <c r="B1186" s="1" t="s">
        <v>437</v>
      </c>
      <c r="C1186" s="1" t="s">
        <v>357</v>
      </c>
      <c r="D1186" s="52">
        <v>46047.677083333336</v>
      </c>
      <c r="E1186" s="52">
        <v>46047.677083333336</v>
      </c>
      <c r="F1186" s="52">
        <v>46047.705555555556</v>
      </c>
      <c r="G1186" s="53">
        <f t="shared" si="70"/>
        <v>2.8472222220443655E-2</v>
      </c>
      <c r="H1186" s="1" t="s">
        <v>248</v>
      </c>
      <c r="J1186" s="1" t="s">
        <v>249</v>
      </c>
      <c r="K1186" s="1" t="s">
        <v>349</v>
      </c>
      <c r="L1186" s="1" t="s">
        <v>625</v>
      </c>
      <c r="M1186" s="1" t="s">
        <v>251</v>
      </c>
      <c r="N1186" s="1" t="s">
        <v>252</v>
      </c>
      <c r="O1186" s="1" t="s">
        <v>620</v>
      </c>
      <c r="P1186" s="1" t="str">
        <f t="shared" si="68"/>
        <v>BC Ibiuna 1.1Inverter(MBUS-13)46047,677083333346047,677083333346047,7055555556</v>
      </c>
      <c r="Q1186" s="1" t="str">
        <f t="shared" si="69"/>
        <v>DAURDE</v>
      </c>
    </row>
    <row r="1187" spans="2:17">
      <c r="B1187" s="1" t="s">
        <v>437</v>
      </c>
      <c r="C1187" s="1" t="s">
        <v>358</v>
      </c>
      <c r="D1187" s="52">
        <v>46047.677083333336</v>
      </c>
      <c r="E1187" s="52">
        <v>46047.677083333336</v>
      </c>
      <c r="F1187" s="52">
        <v>46047.705555555556</v>
      </c>
      <c r="G1187" s="53">
        <f t="shared" si="70"/>
        <v>2.8472222220443655E-2</v>
      </c>
      <c r="H1187" s="1" t="s">
        <v>248</v>
      </c>
      <c r="J1187" s="1" t="s">
        <v>249</v>
      </c>
      <c r="K1187" s="1" t="s">
        <v>349</v>
      </c>
      <c r="L1187" s="1" t="s">
        <v>625</v>
      </c>
      <c r="M1187" s="1" t="s">
        <v>251</v>
      </c>
      <c r="N1187" s="1" t="s">
        <v>252</v>
      </c>
      <c r="O1187" s="1" t="s">
        <v>620</v>
      </c>
      <c r="P1187" s="1" t="str">
        <f t="shared" ref="P1187:P1250" si="71">_xlfn.CONCAT(B1187,C1187,D1187,E1187,F1187)</f>
        <v>BC Ibiuna 1.1Inverter(MBUS-14)46047,677083333346047,677083333346047,7055555556</v>
      </c>
      <c r="Q1187" s="1" t="str">
        <f t="shared" ref="Q1187:Q1250" si="72">_xlfn.CONCAT(H1187,I1187,J1187)</f>
        <v>DAURDE</v>
      </c>
    </row>
    <row r="1188" spans="2:17">
      <c r="B1188" s="1" t="s">
        <v>437</v>
      </c>
      <c r="C1188" s="1" t="s">
        <v>359</v>
      </c>
      <c r="D1188" s="52">
        <v>46047.677083333336</v>
      </c>
      <c r="E1188" s="52">
        <v>46047.677083333336</v>
      </c>
      <c r="F1188" s="52">
        <v>46047.705555555556</v>
      </c>
      <c r="G1188" s="53">
        <f t="shared" si="70"/>
        <v>2.8472222220443655E-2</v>
      </c>
      <c r="H1188" s="1" t="s">
        <v>248</v>
      </c>
      <c r="J1188" s="1" t="s">
        <v>249</v>
      </c>
      <c r="K1188" s="1" t="s">
        <v>349</v>
      </c>
      <c r="L1188" s="1" t="s">
        <v>625</v>
      </c>
      <c r="M1188" s="1" t="s">
        <v>251</v>
      </c>
      <c r="N1188" s="1" t="s">
        <v>252</v>
      </c>
      <c r="O1188" s="1" t="s">
        <v>620</v>
      </c>
      <c r="P1188" s="1" t="str">
        <f t="shared" si="71"/>
        <v>BC Ibiuna 1.1Inverter(MBUS-15)46047,677083333346047,677083333346047,7055555556</v>
      </c>
      <c r="Q1188" s="1" t="str">
        <f t="shared" si="72"/>
        <v>DAURDE</v>
      </c>
    </row>
    <row r="1189" spans="2:17">
      <c r="B1189" s="1" t="s">
        <v>439</v>
      </c>
      <c r="C1189" s="1" t="s">
        <v>354</v>
      </c>
      <c r="D1189" s="52">
        <v>46047.677083333336</v>
      </c>
      <c r="E1189" s="52">
        <v>46047.677083333336</v>
      </c>
      <c r="F1189" s="52">
        <v>46047.705555555556</v>
      </c>
      <c r="G1189" s="53">
        <f t="shared" si="70"/>
        <v>2.8472222220443655E-2</v>
      </c>
      <c r="H1189" s="1" t="s">
        <v>248</v>
      </c>
      <c r="J1189" s="1" t="s">
        <v>249</v>
      </c>
      <c r="K1189" s="1" t="s">
        <v>349</v>
      </c>
      <c r="L1189" s="1" t="s">
        <v>625</v>
      </c>
      <c r="M1189" s="1" t="s">
        <v>251</v>
      </c>
      <c r="N1189" s="1" t="s">
        <v>252</v>
      </c>
      <c r="O1189" s="1" t="s">
        <v>620</v>
      </c>
      <c r="P1189" s="1" t="str">
        <f t="shared" si="71"/>
        <v>BC Ibiuna 1.2Inverter(MBUS-12)46047,677083333346047,677083333346047,7055555556</v>
      </c>
      <c r="Q1189" s="1" t="str">
        <f t="shared" si="72"/>
        <v>DAURDE</v>
      </c>
    </row>
    <row r="1190" spans="2:17">
      <c r="B1190" s="1" t="s">
        <v>439</v>
      </c>
      <c r="C1190" s="1" t="s">
        <v>357</v>
      </c>
      <c r="D1190" s="52">
        <v>46047.677083333336</v>
      </c>
      <c r="E1190" s="52">
        <v>46047.677083333336</v>
      </c>
      <c r="F1190" s="52">
        <v>46047.705555555556</v>
      </c>
      <c r="G1190" s="53">
        <f t="shared" si="70"/>
        <v>2.8472222220443655E-2</v>
      </c>
      <c r="H1190" s="1" t="s">
        <v>248</v>
      </c>
      <c r="J1190" s="1" t="s">
        <v>249</v>
      </c>
      <c r="K1190" s="1" t="s">
        <v>349</v>
      </c>
      <c r="L1190" s="1" t="s">
        <v>625</v>
      </c>
      <c r="M1190" s="1" t="s">
        <v>251</v>
      </c>
      <c r="N1190" s="1" t="s">
        <v>252</v>
      </c>
      <c r="O1190" s="1" t="s">
        <v>620</v>
      </c>
      <c r="P1190" s="1" t="str">
        <f t="shared" si="71"/>
        <v>BC Ibiuna 1.2Inverter(MBUS-13)46047,677083333346047,677083333346047,7055555556</v>
      </c>
      <c r="Q1190" s="1" t="str">
        <f t="shared" si="72"/>
        <v>DAURDE</v>
      </c>
    </row>
    <row r="1191" spans="2:17">
      <c r="B1191" s="1" t="s">
        <v>439</v>
      </c>
      <c r="C1191" s="1" t="s">
        <v>358</v>
      </c>
      <c r="D1191" s="52">
        <v>46047.677083333336</v>
      </c>
      <c r="E1191" s="52">
        <v>46047.677083333336</v>
      </c>
      <c r="F1191" s="52">
        <v>46047.705555555556</v>
      </c>
      <c r="G1191" s="53">
        <f t="shared" si="70"/>
        <v>2.8472222220443655E-2</v>
      </c>
      <c r="H1191" s="1" t="s">
        <v>248</v>
      </c>
      <c r="J1191" s="1" t="s">
        <v>249</v>
      </c>
      <c r="K1191" s="1" t="s">
        <v>349</v>
      </c>
      <c r="L1191" s="1" t="s">
        <v>625</v>
      </c>
      <c r="M1191" s="1" t="s">
        <v>251</v>
      </c>
      <c r="N1191" s="1" t="s">
        <v>252</v>
      </c>
      <c r="O1191" s="1" t="s">
        <v>620</v>
      </c>
      <c r="P1191" s="1" t="str">
        <f t="shared" si="71"/>
        <v>BC Ibiuna 1.2Inverter(MBUS-14)46047,677083333346047,677083333346047,7055555556</v>
      </c>
      <c r="Q1191" s="1" t="str">
        <f t="shared" si="72"/>
        <v>DAURDE</v>
      </c>
    </row>
    <row r="1192" spans="2:17">
      <c r="B1192" s="1" t="s">
        <v>439</v>
      </c>
      <c r="C1192" s="1" t="s">
        <v>359</v>
      </c>
      <c r="D1192" s="52">
        <v>46047.677083333336</v>
      </c>
      <c r="E1192" s="52">
        <v>46047.677083333336</v>
      </c>
      <c r="F1192" s="52">
        <v>46047.705555555556</v>
      </c>
      <c r="G1192" s="53">
        <f t="shared" si="70"/>
        <v>2.8472222220443655E-2</v>
      </c>
      <c r="H1192" s="1" t="s">
        <v>248</v>
      </c>
      <c r="J1192" s="1" t="s">
        <v>249</v>
      </c>
      <c r="K1192" s="1" t="s">
        <v>349</v>
      </c>
      <c r="L1192" s="1" t="s">
        <v>625</v>
      </c>
      <c r="M1192" s="1" t="s">
        <v>251</v>
      </c>
      <c r="N1192" s="1" t="s">
        <v>252</v>
      </c>
      <c r="O1192" s="1" t="s">
        <v>620</v>
      </c>
      <c r="P1192" s="1" t="str">
        <f t="shared" si="71"/>
        <v>BC Ibiuna 1.2Inverter(MBUS-15)46047,677083333346047,677083333346047,7055555556</v>
      </c>
      <c r="Q1192" s="1" t="str">
        <f t="shared" si="72"/>
        <v>DAURDE</v>
      </c>
    </row>
    <row r="1193" spans="2:17">
      <c r="B1193" s="1" t="s">
        <v>268</v>
      </c>
      <c r="C1193" s="1" t="s">
        <v>269</v>
      </c>
      <c r="D1193" s="52">
        <v>46047.861111111109</v>
      </c>
      <c r="E1193" s="52">
        <v>46047.861111111109</v>
      </c>
      <c r="F1193" s="52">
        <v>46047.916666666664</v>
      </c>
      <c r="G1193" s="53">
        <f t="shared" si="70"/>
        <v>5.5555555554747116E-2</v>
      </c>
      <c r="H1193" s="1" t="s">
        <v>248</v>
      </c>
      <c r="J1193" s="1" t="s">
        <v>249</v>
      </c>
      <c r="K1193" s="1" t="s">
        <v>349</v>
      </c>
      <c r="L1193" s="1" t="s">
        <v>450</v>
      </c>
      <c r="M1193" s="1" t="s">
        <v>251</v>
      </c>
      <c r="N1193" s="1" t="s">
        <v>252</v>
      </c>
      <c r="O1193" s="1" t="s">
        <v>620</v>
      </c>
      <c r="P1193" s="1" t="str">
        <f t="shared" si="71"/>
        <v>BC Caiaponia1SG60KTL(COM1-001)_001_00746047,861111111146047,861111111146047,9166666667</v>
      </c>
      <c r="Q1193" s="1" t="str">
        <f t="shared" si="72"/>
        <v>DAURDE</v>
      </c>
    </row>
    <row r="1194" spans="2:17">
      <c r="B1194" s="1" t="s">
        <v>268</v>
      </c>
      <c r="C1194" s="1" t="s">
        <v>270</v>
      </c>
      <c r="D1194" s="52">
        <v>46047.861111111109</v>
      </c>
      <c r="E1194" s="52">
        <v>46047.861111111109</v>
      </c>
      <c r="F1194" s="52">
        <v>46047.916666666664</v>
      </c>
      <c r="G1194" s="53">
        <f t="shared" si="70"/>
        <v>5.5555555554747116E-2</v>
      </c>
      <c r="H1194" s="1" t="s">
        <v>248</v>
      </c>
      <c r="J1194" s="1" t="s">
        <v>249</v>
      </c>
      <c r="K1194" s="1" t="s">
        <v>349</v>
      </c>
      <c r="L1194" s="1" t="s">
        <v>450</v>
      </c>
      <c r="M1194" s="1" t="s">
        <v>251</v>
      </c>
      <c r="N1194" s="1" t="s">
        <v>252</v>
      </c>
      <c r="O1194" s="1" t="s">
        <v>620</v>
      </c>
      <c r="P1194" s="1" t="str">
        <f t="shared" si="71"/>
        <v>BC Caiaponia1SG60KTL(COM1-002)_001_01046047,861111111146047,861111111146047,9166666667</v>
      </c>
      <c r="Q1194" s="1" t="str">
        <f t="shared" si="72"/>
        <v>DAURDE</v>
      </c>
    </row>
    <row r="1195" spans="2:17">
      <c r="B1195" s="1" t="s">
        <v>268</v>
      </c>
      <c r="C1195" s="1" t="s">
        <v>271</v>
      </c>
      <c r="D1195" s="52">
        <v>46047.861111111109</v>
      </c>
      <c r="E1195" s="52">
        <v>46047.861111111109</v>
      </c>
      <c r="F1195" s="52">
        <v>46047.916666666664</v>
      </c>
      <c r="G1195" s="53">
        <f t="shared" si="70"/>
        <v>5.5555555554747116E-2</v>
      </c>
      <c r="H1195" s="1" t="s">
        <v>248</v>
      </c>
      <c r="J1195" s="1" t="s">
        <v>249</v>
      </c>
      <c r="K1195" s="1" t="s">
        <v>349</v>
      </c>
      <c r="L1195" s="1" t="s">
        <v>450</v>
      </c>
      <c r="M1195" s="1" t="s">
        <v>251</v>
      </c>
      <c r="N1195" s="1" t="s">
        <v>252</v>
      </c>
      <c r="O1195" s="1" t="s">
        <v>620</v>
      </c>
      <c r="P1195" s="1" t="str">
        <f t="shared" si="71"/>
        <v>BC Caiaponia1SG60KTL(COM1-003)_001_01146047,861111111146047,861111111146047,9166666667</v>
      </c>
      <c r="Q1195" s="1" t="str">
        <f t="shared" si="72"/>
        <v>DAURDE</v>
      </c>
    </row>
    <row r="1196" spans="2:17">
      <c r="B1196" s="1" t="s">
        <v>268</v>
      </c>
      <c r="C1196" s="1" t="s">
        <v>272</v>
      </c>
      <c r="D1196" s="52">
        <v>46047.861111111109</v>
      </c>
      <c r="E1196" s="52">
        <v>46047.861111111109</v>
      </c>
      <c r="F1196" s="52">
        <v>46047.916666666664</v>
      </c>
      <c r="G1196" s="53">
        <f t="shared" si="70"/>
        <v>5.5555555554747116E-2</v>
      </c>
      <c r="H1196" s="1" t="s">
        <v>248</v>
      </c>
      <c r="J1196" s="1" t="s">
        <v>249</v>
      </c>
      <c r="K1196" s="1" t="s">
        <v>349</v>
      </c>
      <c r="L1196" s="1" t="s">
        <v>450</v>
      </c>
      <c r="M1196" s="1" t="s">
        <v>251</v>
      </c>
      <c r="N1196" s="1" t="s">
        <v>252</v>
      </c>
      <c r="O1196" s="1" t="s">
        <v>620</v>
      </c>
      <c r="P1196" s="1" t="str">
        <f t="shared" si="71"/>
        <v>BC Caiaponia1SG60KTL(COM1-004)_001_01446047,861111111146047,861111111146047,9166666667</v>
      </c>
      <c r="Q1196" s="1" t="str">
        <f t="shared" si="72"/>
        <v>DAURDE</v>
      </c>
    </row>
    <row r="1197" spans="2:17">
      <c r="B1197" s="1" t="s">
        <v>268</v>
      </c>
      <c r="C1197" s="1" t="s">
        <v>273</v>
      </c>
      <c r="D1197" s="52">
        <v>46047.861111111109</v>
      </c>
      <c r="E1197" s="52">
        <v>46047.861111111109</v>
      </c>
      <c r="F1197" s="52">
        <v>46047.916666666664</v>
      </c>
      <c r="G1197" s="53">
        <f t="shared" si="70"/>
        <v>5.5555555554747116E-2</v>
      </c>
      <c r="H1197" s="1" t="s">
        <v>248</v>
      </c>
      <c r="J1197" s="1" t="s">
        <v>249</v>
      </c>
      <c r="K1197" s="1" t="s">
        <v>349</v>
      </c>
      <c r="L1197" s="1" t="s">
        <v>450</v>
      </c>
      <c r="M1197" s="1" t="s">
        <v>251</v>
      </c>
      <c r="N1197" s="1" t="s">
        <v>252</v>
      </c>
      <c r="O1197" s="1" t="s">
        <v>620</v>
      </c>
      <c r="P1197" s="1" t="str">
        <f t="shared" si="71"/>
        <v>BC Caiaponia1SG60KTL(COM1-005)_001_01746047,861111111146047,861111111146047,9166666667</v>
      </c>
      <c r="Q1197" s="1" t="str">
        <f t="shared" si="72"/>
        <v>DAURDE</v>
      </c>
    </row>
    <row r="1198" spans="2:17">
      <c r="B1198" s="1" t="s">
        <v>268</v>
      </c>
      <c r="C1198" s="1" t="s">
        <v>274</v>
      </c>
      <c r="D1198" s="52">
        <v>46047.861111111109</v>
      </c>
      <c r="E1198" s="52">
        <v>46047.861111111109</v>
      </c>
      <c r="F1198" s="52">
        <v>46047.916666666664</v>
      </c>
      <c r="G1198" s="53">
        <f t="shared" si="70"/>
        <v>5.5555555554747116E-2</v>
      </c>
      <c r="H1198" s="1" t="s">
        <v>248</v>
      </c>
      <c r="J1198" s="1" t="s">
        <v>249</v>
      </c>
      <c r="K1198" s="1" t="s">
        <v>349</v>
      </c>
      <c r="L1198" s="1" t="s">
        <v>450</v>
      </c>
      <c r="M1198" s="1" t="s">
        <v>251</v>
      </c>
      <c r="N1198" s="1" t="s">
        <v>252</v>
      </c>
      <c r="O1198" s="1" t="s">
        <v>620</v>
      </c>
      <c r="P1198" s="1" t="str">
        <f t="shared" si="71"/>
        <v>BC Caiaponia1SG60KTL(COM1-006)_001_01646047,861111111146047,861111111146047,9166666667</v>
      </c>
      <c r="Q1198" s="1" t="str">
        <f t="shared" si="72"/>
        <v>DAURDE</v>
      </c>
    </row>
    <row r="1199" spans="2:17">
      <c r="B1199" s="1" t="s">
        <v>268</v>
      </c>
      <c r="C1199" s="1" t="s">
        <v>275</v>
      </c>
      <c r="D1199" s="52">
        <v>46047.861111111109</v>
      </c>
      <c r="E1199" s="52">
        <v>46047.861111111109</v>
      </c>
      <c r="F1199" s="52">
        <v>46047.916666666664</v>
      </c>
      <c r="G1199" s="53">
        <f t="shared" si="70"/>
        <v>5.5555555554747116E-2</v>
      </c>
      <c r="H1199" s="1" t="s">
        <v>248</v>
      </c>
      <c r="J1199" s="1" t="s">
        <v>249</v>
      </c>
      <c r="K1199" s="1" t="s">
        <v>349</v>
      </c>
      <c r="L1199" s="1" t="s">
        <v>450</v>
      </c>
      <c r="M1199" s="1" t="s">
        <v>251</v>
      </c>
      <c r="N1199" s="1" t="s">
        <v>252</v>
      </c>
      <c r="O1199" s="1" t="s">
        <v>620</v>
      </c>
      <c r="P1199" s="1" t="str">
        <f t="shared" si="71"/>
        <v>BC Caiaponia1SG60KTL(COM1-007)_001_01346047,861111111146047,861111111146047,9166666667</v>
      </c>
      <c r="Q1199" s="1" t="str">
        <f t="shared" si="72"/>
        <v>DAURDE</v>
      </c>
    </row>
    <row r="1200" spans="2:17">
      <c r="B1200" s="1" t="s">
        <v>268</v>
      </c>
      <c r="C1200" s="1" t="s">
        <v>276</v>
      </c>
      <c r="D1200" s="52">
        <v>46047.861111111109</v>
      </c>
      <c r="E1200" s="52">
        <v>46047.861111111109</v>
      </c>
      <c r="F1200" s="52">
        <v>46047.916666666664</v>
      </c>
      <c r="G1200" s="53">
        <f t="shared" si="70"/>
        <v>5.5555555554747116E-2</v>
      </c>
      <c r="H1200" s="1" t="s">
        <v>248</v>
      </c>
      <c r="J1200" s="1" t="s">
        <v>249</v>
      </c>
      <c r="K1200" s="1" t="s">
        <v>349</v>
      </c>
      <c r="L1200" s="1" t="s">
        <v>450</v>
      </c>
      <c r="M1200" s="1" t="s">
        <v>251</v>
      </c>
      <c r="N1200" s="1" t="s">
        <v>252</v>
      </c>
      <c r="O1200" s="1" t="s">
        <v>620</v>
      </c>
      <c r="P1200" s="1" t="str">
        <f t="shared" si="71"/>
        <v>BC Caiaponia1SG60KTL(COM1-008)_001_00146047,861111111146047,861111111146047,9166666667</v>
      </c>
      <c r="Q1200" s="1" t="str">
        <f t="shared" si="72"/>
        <v>DAURDE</v>
      </c>
    </row>
    <row r="1201" spans="2:17">
      <c r="B1201" s="1" t="s">
        <v>268</v>
      </c>
      <c r="C1201" s="1" t="s">
        <v>277</v>
      </c>
      <c r="D1201" s="52">
        <v>46047.861111111109</v>
      </c>
      <c r="E1201" s="52">
        <v>46047.861111111109</v>
      </c>
      <c r="F1201" s="52">
        <v>46047.916666666664</v>
      </c>
      <c r="G1201" s="53">
        <f t="shared" si="70"/>
        <v>5.5555555554747116E-2</v>
      </c>
      <c r="H1201" s="1" t="s">
        <v>248</v>
      </c>
      <c r="J1201" s="1" t="s">
        <v>249</v>
      </c>
      <c r="K1201" s="1" t="s">
        <v>349</v>
      </c>
      <c r="L1201" s="1" t="s">
        <v>450</v>
      </c>
      <c r="M1201" s="1" t="s">
        <v>251</v>
      </c>
      <c r="N1201" s="1" t="s">
        <v>252</v>
      </c>
      <c r="O1201" s="1" t="s">
        <v>620</v>
      </c>
      <c r="P1201" s="1" t="str">
        <f t="shared" si="71"/>
        <v>BC Caiaponia1SG60KTL(COM1-009)46047,861111111146047,861111111146047,9166666667</v>
      </c>
      <c r="Q1201" s="1" t="str">
        <f t="shared" si="72"/>
        <v>DAURDE</v>
      </c>
    </row>
    <row r="1202" spans="2:17">
      <c r="B1202" s="1" t="s">
        <v>268</v>
      </c>
      <c r="C1202" s="1" t="s">
        <v>278</v>
      </c>
      <c r="D1202" s="52">
        <v>46047.861111111109</v>
      </c>
      <c r="E1202" s="52">
        <v>46047.861111111109</v>
      </c>
      <c r="F1202" s="52">
        <v>46047.916666666664</v>
      </c>
      <c r="G1202" s="53">
        <f t="shared" si="70"/>
        <v>5.5555555554747116E-2</v>
      </c>
      <c r="H1202" s="1" t="s">
        <v>248</v>
      </c>
      <c r="J1202" s="1" t="s">
        <v>249</v>
      </c>
      <c r="K1202" s="1" t="s">
        <v>349</v>
      </c>
      <c r="L1202" s="1" t="s">
        <v>450</v>
      </c>
      <c r="M1202" s="1" t="s">
        <v>251</v>
      </c>
      <c r="N1202" s="1" t="s">
        <v>252</v>
      </c>
      <c r="O1202" s="1" t="s">
        <v>620</v>
      </c>
      <c r="P1202" s="1" t="str">
        <f t="shared" si="71"/>
        <v>BC Caiaponia1SG60KTL(COM1-010)46047,861111111146047,861111111146047,9166666667</v>
      </c>
      <c r="Q1202" s="1" t="str">
        <f t="shared" si="72"/>
        <v>DAURDE</v>
      </c>
    </row>
    <row r="1203" spans="2:17">
      <c r="B1203" s="1" t="s">
        <v>268</v>
      </c>
      <c r="C1203" s="1" t="s">
        <v>279</v>
      </c>
      <c r="D1203" s="52">
        <v>46047.861111111109</v>
      </c>
      <c r="E1203" s="52">
        <v>46047.861111111109</v>
      </c>
      <c r="F1203" s="52">
        <v>46047.916666666664</v>
      </c>
      <c r="G1203" s="53">
        <f t="shared" si="70"/>
        <v>5.5555555554747116E-2</v>
      </c>
      <c r="H1203" s="1" t="s">
        <v>248</v>
      </c>
      <c r="J1203" s="1" t="s">
        <v>249</v>
      </c>
      <c r="K1203" s="1" t="s">
        <v>349</v>
      </c>
      <c r="L1203" s="1" t="s">
        <v>450</v>
      </c>
      <c r="M1203" s="1" t="s">
        <v>251</v>
      </c>
      <c r="N1203" s="1" t="s">
        <v>252</v>
      </c>
      <c r="O1203" s="1" t="s">
        <v>620</v>
      </c>
      <c r="P1203" s="1" t="str">
        <f t="shared" si="71"/>
        <v>BC Caiaponia1SG60KTL(COM1-011)46047,861111111146047,861111111146047,9166666667</v>
      </c>
      <c r="Q1203" s="1" t="str">
        <f t="shared" si="72"/>
        <v>DAURDE</v>
      </c>
    </row>
    <row r="1204" spans="2:17">
      <c r="B1204" s="1" t="s">
        <v>268</v>
      </c>
      <c r="C1204" s="1" t="s">
        <v>280</v>
      </c>
      <c r="D1204" s="52">
        <v>46047.861111111109</v>
      </c>
      <c r="E1204" s="52">
        <v>46047.861111111109</v>
      </c>
      <c r="F1204" s="52">
        <v>46047.916666666664</v>
      </c>
      <c r="G1204" s="53">
        <f t="shared" si="70"/>
        <v>5.5555555554747116E-2</v>
      </c>
      <c r="H1204" s="1" t="s">
        <v>248</v>
      </c>
      <c r="J1204" s="1" t="s">
        <v>249</v>
      </c>
      <c r="K1204" s="1" t="s">
        <v>349</v>
      </c>
      <c r="L1204" s="1" t="s">
        <v>450</v>
      </c>
      <c r="M1204" s="1" t="s">
        <v>251</v>
      </c>
      <c r="N1204" s="1" t="s">
        <v>252</v>
      </c>
      <c r="O1204" s="1" t="s">
        <v>620</v>
      </c>
      <c r="P1204" s="1" t="str">
        <f t="shared" si="71"/>
        <v>BC Caiaponia1SG60KTL(COM1-012)46047,861111111146047,861111111146047,9166666667</v>
      </c>
      <c r="Q1204" s="1" t="str">
        <f t="shared" si="72"/>
        <v>DAURDE</v>
      </c>
    </row>
    <row r="1205" spans="2:17">
      <c r="B1205" s="1" t="s">
        <v>268</v>
      </c>
      <c r="C1205" s="1" t="s">
        <v>281</v>
      </c>
      <c r="D1205" s="52">
        <v>46047.861111111109</v>
      </c>
      <c r="E1205" s="52">
        <v>46047.861111111109</v>
      </c>
      <c r="F1205" s="52">
        <v>46047.916666666664</v>
      </c>
      <c r="G1205" s="53">
        <f t="shared" si="70"/>
        <v>5.5555555554747116E-2</v>
      </c>
      <c r="H1205" s="1" t="s">
        <v>248</v>
      </c>
      <c r="J1205" s="1" t="s">
        <v>249</v>
      </c>
      <c r="K1205" s="1" t="s">
        <v>349</v>
      </c>
      <c r="L1205" s="1" t="s">
        <v>450</v>
      </c>
      <c r="M1205" s="1" t="s">
        <v>251</v>
      </c>
      <c r="N1205" s="1" t="s">
        <v>252</v>
      </c>
      <c r="O1205" s="1" t="s">
        <v>620</v>
      </c>
      <c r="P1205" s="1" t="str">
        <f t="shared" si="71"/>
        <v>BC Caiaponia1SG60KTL(COM1-013)46047,861111111146047,861111111146047,9166666667</v>
      </c>
      <c r="Q1205" s="1" t="str">
        <f t="shared" si="72"/>
        <v>DAURDE</v>
      </c>
    </row>
    <row r="1206" spans="2:17">
      <c r="B1206" s="1" t="s">
        <v>268</v>
      </c>
      <c r="C1206" s="1" t="s">
        <v>282</v>
      </c>
      <c r="D1206" s="52">
        <v>46047.861111111109</v>
      </c>
      <c r="E1206" s="52">
        <v>46047.861111111109</v>
      </c>
      <c r="F1206" s="52">
        <v>46047.916666666664</v>
      </c>
      <c r="G1206" s="53">
        <f t="shared" si="70"/>
        <v>5.5555555554747116E-2</v>
      </c>
      <c r="H1206" s="1" t="s">
        <v>248</v>
      </c>
      <c r="J1206" s="1" t="s">
        <v>249</v>
      </c>
      <c r="K1206" s="1" t="s">
        <v>349</v>
      </c>
      <c r="L1206" s="1" t="s">
        <v>450</v>
      </c>
      <c r="M1206" s="1" t="s">
        <v>251</v>
      </c>
      <c r="N1206" s="1" t="s">
        <v>252</v>
      </c>
      <c r="O1206" s="1" t="s">
        <v>620</v>
      </c>
      <c r="P1206" s="1" t="str">
        <f t="shared" si="71"/>
        <v>BC Caiaponia1SG60KTL(COM1-014)46047,861111111146047,861111111146047,9166666667</v>
      </c>
      <c r="Q1206" s="1" t="str">
        <f t="shared" si="72"/>
        <v>DAURDE</v>
      </c>
    </row>
    <row r="1207" spans="2:17">
      <c r="B1207" s="1" t="s">
        <v>268</v>
      </c>
      <c r="C1207" s="1" t="s">
        <v>283</v>
      </c>
      <c r="D1207" s="52">
        <v>46047.861111111109</v>
      </c>
      <c r="E1207" s="52">
        <v>46047.861111111109</v>
      </c>
      <c r="F1207" s="52">
        <v>46047.916666666664</v>
      </c>
      <c r="G1207" s="53">
        <f t="shared" si="70"/>
        <v>5.5555555554747116E-2</v>
      </c>
      <c r="H1207" s="1" t="s">
        <v>248</v>
      </c>
      <c r="J1207" s="1" t="s">
        <v>249</v>
      </c>
      <c r="K1207" s="1" t="s">
        <v>349</v>
      </c>
      <c r="L1207" s="1" t="s">
        <v>450</v>
      </c>
      <c r="M1207" s="1" t="s">
        <v>251</v>
      </c>
      <c r="N1207" s="1" t="s">
        <v>252</v>
      </c>
      <c r="O1207" s="1" t="s">
        <v>620</v>
      </c>
      <c r="P1207" s="1" t="str">
        <f t="shared" si="71"/>
        <v>BC Caiaponia1SG60KTL(COM1-015)46047,861111111146047,861111111146047,9166666667</v>
      </c>
      <c r="Q1207" s="1" t="str">
        <f t="shared" si="72"/>
        <v>DAURDE</v>
      </c>
    </row>
    <row r="1208" spans="2:17">
      <c r="B1208" s="1" t="s">
        <v>268</v>
      </c>
      <c r="C1208" s="1" t="s">
        <v>284</v>
      </c>
      <c r="D1208" s="52">
        <v>46047.861111111109</v>
      </c>
      <c r="E1208" s="52">
        <v>46047.861111111109</v>
      </c>
      <c r="F1208" s="52">
        <v>46047.916666666664</v>
      </c>
      <c r="G1208" s="53">
        <f t="shared" si="70"/>
        <v>5.5555555554747116E-2</v>
      </c>
      <c r="H1208" s="1" t="s">
        <v>248</v>
      </c>
      <c r="J1208" s="1" t="s">
        <v>249</v>
      </c>
      <c r="K1208" s="1" t="s">
        <v>349</v>
      </c>
      <c r="L1208" s="1" t="s">
        <v>450</v>
      </c>
      <c r="M1208" s="1" t="s">
        <v>251</v>
      </c>
      <c r="N1208" s="1" t="s">
        <v>252</v>
      </c>
      <c r="O1208" s="1" t="s">
        <v>620</v>
      </c>
      <c r="P1208" s="1" t="str">
        <f t="shared" si="71"/>
        <v>BC Caiaponia1SG60KTL(COM3-016)_001_00946047,861111111146047,861111111146047,9166666667</v>
      </c>
      <c r="Q1208" s="1" t="str">
        <f t="shared" si="72"/>
        <v>DAURDE</v>
      </c>
    </row>
    <row r="1209" spans="2:17">
      <c r="B1209" s="1" t="s">
        <v>268</v>
      </c>
      <c r="C1209" s="1" t="s">
        <v>285</v>
      </c>
      <c r="D1209" s="52">
        <v>46047.861111111109</v>
      </c>
      <c r="E1209" s="52">
        <v>46047.861111111109</v>
      </c>
      <c r="F1209" s="52">
        <v>46047.916666666664</v>
      </c>
      <c r="G1209" s="53">
        <f t="shared" ref="G1209:H1224" si="73">F1209-E1209</f>
        <v>5.5555555554747116E-2</v>
      </c>
      <c r="H1209" s="1" t="s">
        <v>248</v>
      </c>
      <c r="J1209" s="1" t="s">
        <v>249</v>
      </c>
      <c r="K1209" s="1" t="s">
        <v>349</v>
      </c>
      <c r="L1209" s="1" t="s">
        <v>450</v>
      </c>
      <c r="M1209" s="1" t="s">
        <v>251</v>
      </c>
      <c r="N1209" s="1" t="s">
        <v>252</v>
      </c>
      <c r="O1209" s="1" t="s">
        <v>620</v>
      </c>
      <c r="P1209" s="1" t="str">
        <f t="shared" si="71"/>
        <v>BC Caiaponia1SG60KTL(COM3-017)_001_01246047,861111111146047,861111111146047,9166666667</v>
      </c>
      <c r="Q1209" s="1" t="str">
        <f t="shared" si="72"/>
        <v>DAURDE</v>
      </c>
    </row>
    <row r="1210" spans="2:17">
      <c r="B1210" s="1" t="s">
        <v>268</v>
      </c>
      <c r="C1210" s="1" t="s">
        <v>286</v>
      </c>
      <c r="D1210" s="52">
        <v>46047.861111111109</v>
      </c>
      <c r="E1210" s="52">
        <v>46047.861111111109</v>
      </c>
      <c r="F1210" s="52">
        <v>46047.916666666664</v>
      </c>
      <c r="G1210" s="53">
        <f t="shared" si="73"/>
        <v>5.5555555554747116E-2</v>
      </c>
      <c r="H1210" s="1" t="s">
        <v>248</v>
      </c>
      <c r="J1210" s="1" t="s">
        <v>249</v>
      </c>
      <c r="K1210" s="1" t="s">
        <v>349</v>
      </c>
      <c r="L1210" s="1" t="s">
        <v>450</v>
      </c>
      <c r="M1210" s="1" t="s">
        <v>251</v>
      </c>
      <c r="N1210" s="1" t="s">
        <v>252</v>
      </c>
      <c r="O1210" s="1" t="s">
        <v>620</v>
      </c>
      <c r="P1210" s="1" t="str">
        <f t="shared" si="71"/>
        <v>BC Caiaponia1SG60KTL(COM3-018)_001_00846047,861111111146047,861111111146047,9166666667</v>
      </c>
      <c r="Q1210" s="1" t="str">
        <f t="shared" si="72"/>
        <v>DAURDE</v>
      </c>
    </row>
    <row r="1211" spans="2:17">
      <c r="B1211" s="1" t="s">
        <v>268</v>
      </c>
      <c r="C1211" s="1" t="s">
        <v>287</v>
      </c>
      <c r="D1211" s="52">
        <v>46047.861111111109</v>
      </c>
      <c r="E1211" s="52">
        <v>46047.861111111109</v>
      </c>
      <c r="F1211" s="52">
        <v>46047.916666666664</v>
      </c>
      <c r="G1211" s="53">
        <f t="shared" si="73"/>
        <v>5.5555555554747116E-2</v>
      </c>
      <c r="H1211" s="1" t="s">
        <v>248</v>
      </c>
      <c r="J1211" s="1" t="s">
        <v>249</v>
      </c>
      <c r="K1211" s="1" t="s">
        <v>349</v>
      </c>
      <c r="L1211" s="1" t="s">
        <v>450</v>
      </c>
      <c r="M1211" s="1" t="s">
        <v>251</v>
      </c>
      <c r="N1211" s="1" t="s">
        <v>252</v>
      </c>
      <c r="O1211" s="1" t="s">
        <v>620</v>
      </c>
      <c r="P1211" s="1" t="str">
        <f t="shared" si="71"/>
        <v>BC Caiaponia1SG60KTL(COM3-019)_001_01946047,861111111146047,861111111146047,9166666667</v>
      </c>
      <c r="Q1211" s="1" t="str">
        <f t="shared" si="72"/>
        <v>DAURDE</v>
      </c>
    </row>
    <row r="1212" spans="2:17">
      <c r="B1212" s="1" t="s">
        <v>268</v>
      </c>
      <c r="C1212" s="1" t="s">
        <v>288</v>
      </c>
      <c r="D1212" s="52">
        <v>46047.861111111109</v>
      </c>
      <c r="E1212" s="52">
        <v>46047.861111111109</v>
      </c>
      <c r="F1212" s="52">
        <v>46047.916666666664</v>
      </c>
      <c r="G1212" s="53">
        <f t="shared" si="73"/>
        <v>5.5555555554747116E-2</v>
      </c>
      <c r="H1212" s="1" t="s">
        <v>248</v>
      </c>
      <c r="J1212" s="1" t="s">
        <v>249</v>
      </c>
      <c r="K1212" s="1" t="s">
        <v>349</v>
      </c>
      <c r="L1212" s="1" t="s">
        <v>450</v>
      </c>
      <c r="M1212" s="1" t="s">
        <v>251</v>
      </c>
      <c r="N1212" s="1" t="s">
        <v>252</v>
      </c>
      <c r="O1212" s="1" t="s">
        <v>620</v>
      </c>
      <c r="P1212" s="1" t="str">
        <f t="shared" si="71"/>
        <v>BC Caiaponia1SG60KTL(COM3-020)_001_02046047,861111111146047,861111111146047,9166666667</v>
      </c>
      <c r="Q1212" s="1" t="str">
        <f t="shared" si="72"/>
        <v>DAURDE</v>
      </c>
    </row>
    <row r="1213" spans="2:17">
      <c r="B1213" s="1" t="s">
        <v>268</v>
      </c>
      <c r="C1213" s="1" t="s">
        <v>289</v>
      </c>
      <c r="D1213" s="52">
        <v>46047.861111111109</v>
      </c>
      <c r="E1213" s="52">
        <v>46047.861111111109</v>
      </c>
      <c r="F1213" s="52">
        <v>46047.916666666664</v>
      </c>
      <c r="G1213" s="53">
        <f t="shared" si="73"/>
        <v>5.5555555554747116E-2</v>
      </c>
      <c r="H1213" s="1" t="s">
        <v>248</v>
      </c>
      <c r="J1213" s="1" t="s">
        <v>249</v>
      </c>
      <c r="K1213" s="1" t="s">
        <v>349</v>
      </c>
      <c r="L1213" s="1" t="s">
        <v>450</v>
      </c>
      <c r="M1213" s="1" t="s">
        <v>251</v>
      </c>
      <c r="N1213" s="1" t="s">
        <v>252</v>
      </c>
      <c r="O1213" s="1" t="s">
        <v>620</v>
      </c>
      <c r="P1213" s="1" t="str">
        <f t="shared" si="71"/>
        <v>BC Caiaponia1SG60KTL(COM2-026)46047,861111111146047,861111111146047,9166666667</v>
      </c>
      <c r="Q1213" s="1" t="str">
        <f t="shared" si="72"/>
        <v>DAURDE</v>
      </c>
    </row>
    <row r="1214" spans="2:17">
      <c r="B1214" s="1" t="s">
        <v>268</v>
      </c>
      <c r="C1214" s="1" t="s">
        <v>290</v>
      </c>
      <c r="D1214" s="52">
        <v>46047.861111111109</v>
      </c>
      <c r="E1214" s="52">
        <v>46047.861111111109</v>
      </c>
      <c r="F1214" s="52">
        <v>46047.916666666664</v>
      </c>
      <c r="G1214" s="53">
        <f t="shared" si="73"/>
        <v>5.5555555554747116E-2</v>
      </c>
      <c r="H1214" s="1" t="s">
        <v>248</v>
      </c>
      <c r="J1214" s="1" t="s">
        <v>249</v>
      </c>
      <c r="K1214" s="1" t="s">
        <v>349</v>
      </c>
      <c r="L1214" s="1" t="s">
        <v>450</v>
      </c>
      <c r="M1214" s="1" t="s">
        <v>251</v>
      </c>
      <c r="N1214" s="1" t="s">
        <v>252</v>
      </c>
      <c r="O1214" s="1" t="s">
        <v>620</v>
      </c>
      <c r="P1214" s="1" t="str">
        <f t="shared" si="71"/>
        <v>BC Caiaponia1SG60KTL(COM2-027)46047,861111111146047,861111111146047,9166666667</v>
      </c>
      <c r="Q1214" s="1" t="str">
        <f t="shared" si="72"/>
        <v>DAURDE</v>
      </c>
    </row>
    <row r="1215" spans="2:17">
      <c r="B1215" s="1" t="s">
        <v>268</v>
      </c>
      <c r="C1215" s="1" t="s">
        <v>291</v>
      </c>
      <c r="D1215" s="52">
        <v>46047.861111111109</v>
      </c>
      <c r="E1215" s="52">
        <v>46047.861111111109</v>
      </c>
      <c r="F1215" s="52">
        <v>46047.916666666664</v>
      </c>
      <c r="G1215" s="53">
        <f t="shared" si="73"/>
        <v>5.5555555554747116E-2</v>
      </c>
      <c r="H1215" s="1" t="s">
        <v>248</v>
      </c>
      <c r="J1215" s="1" t="s">
        <v>249</v>
      </c>
      <c r="K1215" s="1" t="s">
        <v>349</v>
      </c>
      <c r="L1215" s="1" t="s">
        <v>450</v>
      </c>
      <c r="M1215" s="1" t="s">
        <v>251</v>
      </c>
      <c r="N1215" s="1" t="s">
        <v>252</v>
      </c>
      <c r="O1215" s="1" t="s">
        <v>620</v>
      </c>
      <c r="P1215" s="1" t="str">
        <f t="shared" si="71"/>
        <v>BC Caiaponia1SG60KTL(COM2-028)46047,861111111146047,861111111146047,9166666667</v>
      </c>
      <c r="Q1215" s="1" t="str">
        <f t="shared" si="72"/>
        <v>DAURDE</v>
      </c>
    </row>
    <row r="1216" spans="2:17">
      <c r="B1216" s="1" t="s">
        <v>268</v>
      </c>
      <c r="C1216" s="1" t="s">
        <v>292</v>
      </c>
      <c r="D1216" s="52">
        <v>46047.861111111109</v>
      </c>
      <c r="E1216" s="52">
        <v>46047.861111111109</v>
      </c>
      <c r="F1216" s="52">
        <v>46047.916666666664</v>
      </c>
      <c r="G1216" s="53">
        <f t="shared" si="73"/>
        <v>5.5555555554747116E-2</v>
      </c>
      <c r="H1216" s="1" t="s">
        <v>248</v>
      </c>
      <c r="J1216" s="1" t="s">
        <v>249</v>
      </c>
      <c r="K1216" s="1" t="s">
        <v>349</v>
      </c>
      <c r="L1216" s="1" t="s">
        <v>450</v>
      </c>
      <c r="M1216" s="1" t="s">
        <v>251</v>
      </c>
      <c r="N1216" s="1" t="s">
        <v>252</v>
      </c>
      <c r="O1216" s="1" t="s">
        <v>620</v>
      </c>
      <c r="P1216" s="1" t="str">
        <f t="shared" si="71"/>
        <v>BC Caiaponia1SG60KTL(COM2-029)46047,861111111146047,861111111146047,9166666667</v>
      </c>
      <c r="Q1216" s="1" t="str">
        <f t="shared" si="72"/>
        <v>DAURDE</v>
      </c>
    </row>
    <row r="1217" spans="2:17">
      <c r="B1217" s="1" t="s">
        <v>268</v>
      </c>
      <c r="C1217" s="1" t="s">
        <v>293</v>
      </c>
      <c r="D1217" s="52">
        <v>46047.861111111109</v>
      </c>
      <c r="E1217" s="52">
        <v>46047.861111111109</v>
      </c>
      <c r="F1217" s="52">
        <v>46047.916666666664</v>
      </c>
      <c r="G1217" s="53">
        <f t="shared" si="73"/>
        <v>5.5555555554747116E-2</v>
      </c>
      <c r="H1217" s="1" t="s">
        <v>248</v>
      </c>
      <c r="J1217" s="1" t="s">
        <v>249</v>
      </c>
      <c r="K1217" s="1" t="s">
        <v>349</v>
      </c>
      <c r="L1217" s="1" t="s">
        <v>450</v>
      </c>
      <c r="M1217" s="1" t="s">
        <v>251</v>
      </c>
      <c r="N1217" s="1" t="s">
        <v>252</v>
      </c>
      <c r="O1217" s="1" t="s">
        <v>620</v>
      </c>
      <c r="P1217" s="1" t="str">
        <f t="shared" si="71"/>
        <v>BC Caiaponia1SG50CX(COM1-021)46047,861111111146047,861111111146047,9166666667</v>
      </c>
      <c r="Q1217" s="1" t="str">
        <f t="shared" si="72"/>
        <v>DAURDE</v>
      </c>
    </row>
    <row r="1218" spans="2:17">
      <c r="B1218" s="1" t="s">
        <v>268</v>
      </c>
      <c r="C1218" s="1" t="s">
        <v>294</v>
      </c>
      <c r="D1218" s="52">
        <v>46047.861111111109</v>
      </c>
      <c r="E1218" s="52">
        <v>46047.861111111109</v>
      </c>
      <c r="F1218" s="52">
        <v>46047.916666666664</v>
      </c>
      <c r="G1218" s="53">
        <f t="shared" si="73"/>
        <v>5.5555555554747116E-2</v>
      </c>
      <c r="H1218" s="1" t="s">
        <v>248</v>
      </c>
      <c r="J1218" s="1" t="s">
        <v>249</v>
      </c>
      <c r="K1218" s="1" t="s">
        <v>349</v>
      </c>
      <c r="L1218" s="1" t="s">
        <v>450</v>
      </c>
      <c r="M1218" s="1" t="s">
        <v>251</v>
      </c>
      <c r="N1218" s="1" t="s">
        <v>252</v>
      </c>
      <c r="O1218" s="1" t="s">
        <v>620</v>
      </c>
      <c r="P1218" s="1" t="str">
        <f t="shared" si="71"/>
        <v>BC Caiaponia1SG50CX(COM1-022)46047,861111111146047,861111111146047,9166666667</v>
      </c>
      <c r="Q1218" s="1" t="str">
        <f t="shared" si="72"/>
        <v>DAURDE</v>
      </c>
    </row>
    <row r="1219" spans="2:17">
      <c r="B1219" s="1" t="s">
        <v>268</v>
      </c>
      <c r="C1219" s="1" t="s">
        <v>295</v>
      </c>
      <c r="D1219" s="52">
        <v>46047.861111111109</v>
      </c>
      <c r="E1219" s="52">
        <v>46047.861111111109</v>
      </c>
      <c r="F1219" s="52">
        <v>46047.916666666664</v>
      </c>
      <c r="G1219" s="53">
        <f t="shared" si="73"/>
        <v>5.5555555554747116E-2</v>
      </c>
      <c r="H1219" s="1" t="s">
        <v>248</v>
      </c>
      <c r="J1219" s="1" t="s">
        <v>249</v>
      </c>
      <c r="K1219" s="1" t="s">
        <v>349</v>
      </c>
      <c r="L1219" s="1" t="s">
        <v>450</v>
      </c>
      <c r="M1219" s="1" t="s">
        <v>251</v>
      </c>
      <c r="N1219" s="1" t="s">
        <v>252</v>
      </c>
      <c r="O1219" s="1" t="s">
        <v>620</v>
      </c>
      <c r="P1219" s="1" t="str">
        <f t="shared" si="71"/>
        <v>BC Caiaponia1SG50CX(COM1-023)46047,861111111146047,861111111146047,9166666667</v>
      </c>
      <c r="Q1219" s="1" t="str">
        <f t="shared" si="72"/>
        <v>DAURDE</v>
      </c>
    </row>
    <row r="1220" spans="2:17">
      <c r="B1220" s="1" t="s">
        <v>268</v>
      </c>
      <c r="C1220" s="1" t="s">
        <v>296</v>
      </c>
      <c r="D1220" s="52">
        <v>46047.861111111109</v>
      </c>
      <c r="E1220" s="52">
        <v>46047.861111111109</v>
      </c>
      <c r="F1220" s="52">
        <v>46047.916666666664</v>
      </c>
      <c r="G1220" s="53">
        <f t="shared" si="73"/>
        <v>5.5555555554747116E-2</v>
      </c>
      <c r="H1220" s="1" t="s">
        <v>248</v>
      </c>
      <c r="J1220" s="1" t="s">
        <v>249</v>
      </c>
      <c r="K1220" s="1" t="s">
        <v>349</v>
      </c>
      <c r="L1220" s="1" t="s">
        <v>450</v>
      </c>
      <c r="M1220" s="1" t="s">
        <v>251</v>
      </c>
      <c r="N1220" s="1" t="s">
        <v>252</v>
      </c>
      <c r="O1220" s="1" t="s">
        <v>620</v>
      </c>
      <c r="P1220" s="1" t="str">
        <f t="shared" si="71"/>
        <v>BC Caiaponia1SG50CX(COM1-024)46047,861111111146047,861111111146047,9166666667</v>
      </c>
      <c r="Q1220" s="1" t="str">
        <f t="shared" si="72"/>
        <v>DAURDE</v>
      </c>
    </row>
    <row r="1221" spans="2:17">
      <c r="B1221" s="1" t="s">
        <v>268</v>
      </c>
      <c r="C1221" s="1" t="s">
        <v>297</v>
      </c>
      <c r="D1221" s="52">
        <v>46047.861111111109</v>
      </c>
      <c r="E1221" s="52">
        <v>46047.861111111109</v>
      </c>
      <c r="F1221" s="52">
        <v>46047.916666666664</v>
      </c>
      <c r="G1221" s="53">
        <f t="shared" si="73"/>
        <v>5.5555555554747116E-2</v>
      </c>
      <c r="H1221" s="1" t="s">
        <v>248</v>
      </c>
      <c r="J1221" s="1" t="s">
        <v>249</v>
      </c>
      <c r="K1221" s="1" t="s">
        <v>349</v>
      </c>
      <c r="L1221" s="1" t="s">
        <v>450</v>
      </c>
      <c r="M1221" s="1" t="s">
        <v>251</v>
      </c>
      <c r="N1221" s="1" t="s">
        <v>252</v>
      </c>
      <c r="O1221" s="1" t="s">
        <v>620</v>
      </c>
      <c r="P1221" s="1" t="str">
        <f t="shared" si="71"/>
        <v>BC Caiaponia1SG50CX(COM1-025)46047,861111111146047,861111111146047,9166666667</v>
      </c>
      <c r="Q1221" s="1" t="str">
        <f t="shared" si="72"/>
        <v>DAURDE</v>
      </c>
    </row>
    <row r="1222" spans="2:17">
      <c r="B1222" s="1" t="s">
        <v>246</v>
      </c>
      <c r="C1222" s="1" t="s">
        <v>247</v>
      </c>
      <c r="D1222" s="52">
        <v>46047.861111111109</v>
      </c>
      <c r="E1222" s="52">
        <v>46047.861111111109</v>
      </c>
      <c r="F1222" s="52">
        <v>46047.916666666664</v>
      </c>
      <c r="G1222" s="53">
        <f t="shared" si="73"/>
        <v>5.5555555554747116E-2</v>
      </c>
      <c r="H1222" s="1" t="s">
        <v>248</v>
      </c>
      <c r="J1222" s="1" t="s">
        <v>249</v>
      </c>
      <c r="K1222" s="1" t="s">
        <v>349</v>
      </c>
      <c r="L1222" s="1" t="s">
        <v>450</v>
      </c>
      <c r="M1222" s="1" t="s">
        <v>251</v>
      </c>
      <c r="N1222" s="1" t="s">
        <v>252</v>
      </c>
      <c r="O1222" s="1" t="s">
        <v>620</v>
      </c>
      <c r="P1222" s="1" t="str">
        <f t="shared" si="71"/>
        <v>BC Caiaponia2.1215KTL-H3(MBUS-12)46047,861111111146047,861111111146047,9166666667</v>
      </c>
      <c r="Q1222" s="1" t="str">
        <f t="shared" si="72"/>
        <v>DAURDE</v>
      </c>
    </row>
    <row r="1223" spans="2:17">
      <c r="B1223" s="1" t="s">
        <v>246</v>
      </c>
      <c r="C1223" s="1" t="s">
        <v>254</v>
      </c>
      <c r="D1223" s="52">
        <v>46047.861111111109</v>
      </c>
      <c r="E1223" s="52">
        <v>46047.861111111109</v>
      </c>
      <c r="F1223" s="52">
        <v>46047.916666666664</v>
      </c>
      <c r="G1223" s="53">
        <f t="shared" si="73"/>
        <v>5.5555555554747116E-2</v>
      </c>
      <c r="H1223" s="1" t="s">
        <v>248</v>
      </c>
      <c r="J1223" s="1" t="s">
        <v>249</v>
      </c>
      <c r="K1223" s="1" t="s">
        <v>349</v>
      </c>
      <c r="L1223" s="1" t="s">
        <v>450</v>
      </c>
      <c r="M1223" s="1" t="s">
        <v>251</v>
      </c>
      <c r="N1223" s="1" t="s">
        <v>252</v>
      </c>
      <c r="O1223" s="1" t="s">
        <v>620</v>
      </c>
      <c r="P1223" s="1" t="str">
        <f t="shared" si="71"/>
        <v>BC Caiaponia2.1215KTL-H3(MBUS-13)46047,861111111146047,861111111146047,9166666667</v>
      </c>
      <c r="Q1223" s="1" t="str">
        <f t="shared" si="72"/>
        <v>DAURDE</v>
      </c>
    </row>
    <row r="1224" spans="2:17">
      <c r="B1224" s="1" t="s">
        <v>246</v>
      </c>
      <c r="C1224" s="1" t="s">
        <v>255</v>
      </c>
      <c r="D1224" s="52">
        <v>46047.861111111109</v>
      </c>
      <c r="E1224" s="52">
        <v>46047.861111111109</v>
      </c>
      <c r="F1224" s="52">
        <v>46047.916666666664</v>
      </c>
      <c r="G1224" s="53">
        <f t="shared" si="73"/>
        <v>5.5555555554747116E-2</v>
      </c>
      <c r="H1224" s="1" t="s">
        <v>248</v>
      </c>
      <c r="J1224" s="1" t="s">
        <v>249</v>
      </c>
      <c r="K1224" s="1" t="s">
        <v>349</v>
      </c>
      <c r="L1224" s="1" t="s">
        <v>450</v>
      </c>
      <c r="M1224" s="1" t="s">
        <v>251</v>
      </c>
      <c r="N1224" s="1" t="s">
        <v>252</v>
      </c>
      <c r="O1224" s="1" t="s">
        <v>620</v>
      </c>
      <c r="P1224" s="1" t="str">
        <f t="shared" si="71"/>
        <v>BC Caiaponia2.1215KTL-H3(MBUS-14)46047,861111111146047,861111111146047,9166666667</v>
      </c>
      <c r="Q1224" s="1" t="str">
        <f t="shared" si="72"/>
        <v>DAURDE</v>
      </c>
    </row>
    <row r="1225" spans="2:17">
      <c r="B1225" s="1" t="s">
        <v>246</v>
      </c>
      <c r="C1225" s="1" t="s">
        <v>256</v>
      </c>
      <c r="D1225" s="52">
        <v>46047.861111111109</v>
      </c>
      <c r="E1225" s="52">
        <v>46047.861111111109</v>
      </c>
      <c r="F1225" s="52">
        <v>46047.916666666664</v>
      </c>
      <c r="G1225" s="53">
        <f t="shared" ref="G1225:G1288" si="74">F1225-E1225</f>
        <v>5.5555555554747116E-2</v>
      </c>
      <c r="H1225" s="1" t="s">
        <v>248</v>
      </c>
      <c r="J1225" s="1" t="s">
        <v>249</v>
      </c>
      <c r="K1225" s="1" t="s">
        <v>349</v>
      </c>
      <c r="L1225" s="1" t="s">
        <v>450</v>
      </c>
      <c r="M1225" s="1" t="s">
        <v>251</v>
      </c>
      <c r="N1225" s="1" t="s">
        <v>252</v>
      </c>
      <c r="O1225" s="1" t="s">
        <v>620</v>
      </c>
      <c r="P1225" s="1" t="str">
        <f t="shared" si="71"/>
        <v>BC Caiaponia2.1215KTL-H3(MBUS-15)46047,861111111146047,861111111146047,9166666667</v>
      </c>
      <c r="Q1225" s="1" t="str">
        <f t="shared" si="72"/>
        <v>DAURDE</v>
      </c>
    </row>
    <row r="1226" spans="2:17">
      <c r="B1226" s="1" t="s">
        <v>246</v>
      </c>
      <c r="C1226" s="1" t="s">
        <v>257</v>
      </c>
      <c r="D1226" s="52">
        <v>46047.861111111109</v>
      </c>
      <c r="E1226" s="52">
        <v>46047.861111111109</v>
      </c>
      <c r="F1226" s="52">
        <v>46047.916666666664</v>
      </c>
      <c r="G1226" s="53">
        <f t="shared" si="74"/>
        <v>5.5555555554747116E-2</v>
      </c>
      <c r="H1226" s="1" t="s">
        <v>248</v>
      </c>
      <c r="J1226" s="1" t="s">
        <v>249</v>
      </c>
      <c r="K1226" s="1" t="s">
        <v>349</v>
      </c>
      <c r="L1226" s="1" t="s">
        <v>450</v>
      </c>
      <c r="M1226" s="1" t="s">
        <v>251</v>
      </c>
      <c r="N1226" s="1" t="s">
        <v>252</v>
      </c>
      <c r="O1226" s="1" t="s">
        <v>620</v>
      </c>
      <c r="P1226" s="1" t="str">
        <f t="shared" si="71"/>
        <v>BC Caiaponia2.1215KTL-H3(MBUS-16)46047,861111111146047,861111111146047,9166666667</v>
      </c>
      <c r="Q1226" s="1" t="str">
        <f t="shared" si="72"/>
        <v>DAURDE</v>
      </c>
    </row>
    <row r="1227" spans="2:17">
      <c r="B1227" s="1" t="s">
        <v>258</v>
      </c>
      <c r="C1227" s="1" t="s">
        <v>247</v>
      </c>
      <c r="D1227" s="52">
        <v>46047.861111111109</v>
      </c>
      <c r="E1227" s="52">
        <v>46047.861111111109</v>
      </c>
      <c r="F1227" s="52">
        <v>46047.916666666664</v>
      </c>
      <c r="G1227" s="53">
        <f t="shared" si="74"/>
        <v>5.5555555554747116E-2</v>
      </c>
      <c r="H1227" s="1" t="s">
        <v>248</v>
      </c>
      <c r="J1227" s="1" t="s">
        <v>249</v>
      </c>
      <c r="K1227" s="1" t="s">
        <v>349</v>
      </c>
      <c r="L1227" s="1" t="s">
        <v>450</v>
      </c>
      <c r="M1227" s="1" t="s">
        <v>251</v>
      </c>
      <c r="N1227" s="1" t="s">
        <v>252</v>
      </c>
      <c r="O1227" s="1" t="s">
        <v>620</v>
      </c>
      <c r="P1227" s="1" t="str">
        <f t="shared" si="71"/>
        <v>BC Caiaponia2.2215KTL-H3(MBUS-12)46047,861111111146047,861111111146047,9166666667</v>
      </c>
      <c r="Q1227" s="1" t="str">
        <f t="shared" si="72"/>
        <v>DAURDE</v>
      </c>
    </row>
    <row r="1228" spans="2:17">
      <c r="B1228" s="1" t="s">
        <v>258</v>
      </c>
      <c r="C1228" s="1" t="s">
        <v>254</v>
      </c>
      <c r="D1228" s="52">
        <v>46047.861111111109</v>
      </c>
      <c r="E1228" s="52">
        <v>46047.861111111109</v>
      </c>
      <c r="F1228" s="52">
        <v>46047.916666666664</v>
      </c>
      <c r="G1228" s="53">
        <f t="shared" si="74"/>
        <v>5.5555555554747116E-2</v>
      </c>
      <c r="H1228" s="1" t="s">
        <v>248</v>
      </c>
      <c r="J1228" s="1" t="s">
        <v>249</v>
      </c>
      <c r="K1228" s="1" t="s">
        <v>349</v>
      </c>
      <c r="L1228" s="1" t="s">
        <v>450</v>
      </c>
      <c r="M1228" s="1" t="s">
        <v>251</v>
      </c>
      <c r="N1228" s="1" t="s">
        <v>252</v>
      </c>
      <c r="O1228" s="1" t="s">
        <v>620</v>
      </c>
      <c r="P1228" s="1" t="str">
        <f t="shared" si="71"/>
        <v>BC Caiaponia2.2215KTL-H3(MBUS-13)46047,861111111146047,861111111146047,9166666667</v>
      </c>
      <c r="Q1228" s="1" t="str">
        <f t="shared" si="72"/>
        <v>DAURDE</v>
      </c>
    </row>
    <row r="1229" spans="2:17">
      <c r="B1229" s="1" t="s">
        <v>258</v>
      </c>
      <c r="C1229" s="1" t="s">
        <v>255</v>
      </c>
      <c r="D1229" s="52">
        <v>46047.861111111109</v>
      </c>
      <c r="E1229" s="52">
        <v>46047.861111111109</v>
      </c>
      <c r="F1229" s="52">
        <v>46047.916666666664</v>
      </c>
      <c r="G1229" s="53">
        <f t="shared" si="74"/>
        <v>5.5555555554747116E-2</v>
      </c>
      <c r="H1229" s="1" t="s">
        <v>248</v>
      </c>
      <c r="J1229" s="1" t="s">
        <v>249</v>
      </c>
      <c r="K1229" s="1" t="s">
        <v>349</v>
      </c>
      <c r="L1229" s="1" t="s">
        <v>450</v>
      </c>
      <c r="M1229" s="1" t="s">
        <v>251</v>
      </c>
      <c r="N1229" s="1" t="s">
        <v>252</v>
      </c>
      <c r="O1229" s="1" t="s">
        <v>620</v>
      </c>
      <c r="P1229" s="1" t="str">
        <f t="shared" si="71"/>
        <v>BC Caiaponia2.2215KTL-H3(MBUS-14)46047,861111111146047,861111111146047,9166666667</v>
      </c>
      <c r="Q1229" s="1" t="str">
        <f t="shared" si="72"/>
        <v>DAURDE</v>
      </c>
    </row>
    <row r="1230" spans="2:17">
      <c r="B1230" s="1" t="s">
        <v>258</v>
      </c>
      <c r="C1230" s="1" t="s">
        <v>256</v>
      </c>
      <c r="D1230" s="52">
        <v>46047.861111111109</v>
      </c>
      <c r="E1230" s="52">
        <v>46047.861111111109</v>
      </c>
      <c r="F1230" s="52">
        <v>46047.916666666664</v>
      </c>
      <c r="G1230" s="53">
        <f t="shared" si="74"/>
        <v>5.5555555554747116E-2</v>
      </c>
      <c r="H1230" s="1" t="s">
        <v>248</v>
      </c>
      <c r="J1230" s="1" t="s">
        <v>249</v>
      </c>
      <c r="K1230" s="1" t="s">
        <v>349</v>
      </c>
      <c r="L1230" s="1" t="s">
        <v>450</v>
      </c>
      <c r="M1230" s="1" t="s">
        <v>251</v>
      </c>
      <c r="N1230" s="1" t="s">
        <v>252</v>
      </c>
      <c r="O1230" s="1" t="s">
        <v>620</v>
      </c>
      <c r="P1230" s="1" t="str">
        <f t="shared" si="71"/>
        <v>BC Caiaponia2.2215KTL-H3(MBUS-15)46047,861111111146047,861111111146047,9166666667</v>
      </c>
      <c r="Q1230" s="1" t="str">
        <f t="shared" si="72"/>
        <v>DAURDE</v>
      </c>
    </row>
    <row r="1231" spans="2:17">
      <c r="B1231" s="1" t="s">
        <v>258</v>
      </c>
      <c r="C1231" s="1" t="s">
        <v>257</v>
      </c>
      <c r="D1231" s="52">
        <v>46047.861111111109</v>
      </c>
      <c r="E1231" s="52">
        <v>46047.861111111109</v>
      </c>
      <c r="F1231" s="52">
        <v>46047.916666666664</v>
      </c>
      <c r="G1231" s="53">
        <f t="shared" si="74"/>
        <v>5.5555555554747116E-2</v>
      </c>
      <c r="H1231" s="1" t="s">
        <v>248</v>
      </c>
      <c r="J1231" s="1" t="s">
        <v>249</v>
      </c>
      <c r="K1231" s="1" t="s">
        <v>349</v>
      </c>
      <c r="L1231" s="1" t="s">
        <v>450</v>
      </c>
      <c r="M1231" s="1" t="s">
        <v>251</v>
      </c>
      <c r="N1231" s="1" t="s">
        <v>252</v>
      </c>
      <c r="O1231" s="1" t="s">
        <v>620</v>
      </c>
      <c r="P1231" s="1" t="str">
        <f t="shared" si="71"/>
        <v>BC Caiaponia2.2215KTL-H3(MBUS-16)46047,861111111146047,861111111146047,9166666667</v>
      </c>
      <c r="Q1231" s="1" t="str">
        <f t="shared" si="72"/>
        <v>DAURDE</v>
      </c>
    </row>
    <row r="1232" spans="2:17">
      <c r="B1232" s="1" t="s">
        <v>259</v>
      </c>
      <c r="C1232" s="1" t="s">
        <v>247</v>
      </c>
      <c r="D1232" s="52">
        <v>46047.861111111109</v>
      </c>
      <c r="E1232" s="52">
        <v>46047.861111111109</v>
      </c>
      <c r="F1232" s="52">
        <v>46047.916666666664</v>
      </c>
      <c r="G1232" s="53">
        <f t="shared" si="74"/>
        <v>5.5555555554747116E-2</v>
      </c>
      <c r="H1232" s="1" t="s">
        <v>248</v>
      </c>
      <c r="J1232" s="1" t="s">
        <v>249</v>
      </c>
      <c r="K1232" s="1" t="s">
        <v>349</v>
      </c>
      <c r="L1232" s="1" t="s">
        <v>450</v>
      </c>
      <c r="M1232" s="1" t="s">
        <v>251</v>
      </c>
      <c r="N1232" s="1" t="s">
        <v>252</v>
      </c>
      <c r="O1232" s="1" t="s">
        <v>620</v>
      </c>
      <c r="P1232" s="1" t="str">
        <f t="shared" si="71"/>
        <v>BC Caiaponia2.3215KTL-H3(MBUS-12)46047,861111111146047,861111111146047,9166666667</v>
      </c>
      <c r="Q1232" s="1" t="str">
        <f t="shared" si="72"/>
        <v>DAURDE</v>
      </c>
    </row>
    <row r="1233" spans="2:17">
      <c r="B1233" s="1" t="s">
        <v>259</v>
      </c>
      <c r="C1233" s="1" t="s">
        <v>254</v>
      </c>
      <c r="D1233" s="52">
        <v>46047.861111111109</v>
      </c>
      <c r="E1233" s="52">
        <v>46047.861111111109</v>
      </c>
      <c r="F1233" s="52">
        <v>46047.916666666664</v>
      </c>
      <c r="G1233" s="53">
        <f t="shared" si="74"/>
        <v>5.5555555554747116E-2</v>
      </c>
      <c r="H1233" s="1" t="s">
        <v>248</v>
      </c>
      <c r="J1233" s="1" t="s">
        <v>249</v>
      </c>
      <c r="K1233" s="1" t="s">
        <v>349</v>
      </c>
      <c r="L1233" s="1" t="s">
        <v>450</v>
      </c>
      <c r="M1233" s="1" t="s">
        <v>251</v>
      </c>
      <c r="N1233" s="1" t="s">
        <v>252</v>
      </c>
      <c r="O1233" s="1" t="s">
        <v>620</v>
      </c>
      <c r="P1233" s="1" t="str">
        <f t="shared" si="71"/>
        <v>BC Caiaponia2.3215KTL-H3(MBUS-13)46047,861111111146047,861111111146047,9166666667</v>
      </c>
      <c r="Q1233" s="1" t="str">
        <f t="shared" si="72"/>
        <v>DAURDE</v>
      </c>
    </row>
    <row r="1234" spans="2:17">
      <c r="B1234" s="1" t="s">
        <v>259</v>
      </c>
      <c r="C1234" s="1" t="s">
        <v>255</v>
      </c>
      <c r="D1234" s="52">
        <v>46047.861111111109</v>
      </c>
      <c r="E1234" s="52">
        <v>46047.861111111109</v>
      </c>
      <c r="F1234" s="52">
        <v>46047.916666666664</v>
      </c>
      <c r="G1234" s="53">
        <f t="shared" si="74"/>
        <v>5.5555555554747116E-2</v>
      </c>
      <c r="H1234" s="1" t="s">
        <v>248</v>
      </c>
      <c r="J1234" s="1" t="s">
        <v>249</v>
      </c>
      <c r="K1234" s="1" t="s">
        <v>349</v>
      </c>
      <c r="L1234" s="1" t="s">
        <v>450</v>
      </c>
      <c r="M1234" s="1" t="s">
        <v>251</v>
      </c>
      <c r="N1234" s="1" t="s">
        <v>252</v>
      </c>
      <c r="O1234" s="1" t="s">
        <v>620</v>
      </c>
      <c r="P1234" s="1" t="str">
        <f t="shared" si="71"/>
        <v>BC Caiaponia2.3215KTL-H3(MBUS-14)46047,861111111146047,861111111146047,9166666667</v>
      </c>
      <c r="Q1234" s="1" t="str">
        <f t="shared" si="72"/>
        <v>DAURDE</v>
      </c>
    </row>
    <row r="1235" spans="2:17">
      <c r="B1235" s="1" t="s">
        <v>259</v>
      </c>
      <c r="C1235" s="1" t="s">
        <v>256</v>
      </c>
      <c r="D1235" s="52">
        <v>46047.861111111109</v>
      </c>
      <c r="E1235" s="52">
        <v>46047.861111111109</v>
      </c>
      <c r="F1235" s="52">
        <v>46047.916666666664</v>
      </c>
      <c r="G1235" s="53">
        <f t="shared" si="74"/>
        <v>5.5555555554747116E-2</v>
      </c>
      <c r="H1235" s="1" t="s">
        <v>248</v>
      </c>
      <c r="J1235" s="1" t="s">
        <v>249</v>
      </c>
      <c r="K1235" s="1" t="s">
        <v>349</v>
      </c>
      <c r="L1235" s="1" t="s">
        <v>450</v>
      </c>
      <c r="M1235" s="1" t="s">
        <v>251</v>
      </c>
      <c r="N1235" s="1" t="s">
        <v>252</v>
      </c>
      <c r="O1235" s="1" t="s">
        <v>620</v>
      </c>
      <c r="P1235" s="1" t="str">
        <f t="shared" si="71"/>
        <v>BC Caiaponia2.3215KTL-H3(MBUS-15)46047,861111111146047,861111111146047,9166666667</v>
      </c>
      <c r="Q1235" s="1" t="str">
        <f t="shared" si="72"/>
        <v>DAURDE</v>
      </c>
    </row>
    <row r="1236" spans="2:17">
      <c r="B1236" s="1" t="s">
        <v>259</v>
      </c>
      <c r="C1236" s="1" t="s">
        <v>257</v>
      </c>
      <c r="D1236" s="52">
        <v>46047.861111111109</v>
      </c>
      <c r="E1236" s="52">
        <v>46047.861111111109</v>
      </c>
      <c r="F1236" s="52">
        <v>46047.916666666664</v>
      </c>
      <c r="G1236" s="53">
        <f t="shared" si="74"/>
        <v>5.5555555554747116E-2</v>
      </c>
      <c r="H1236" s="1" t="s">
        <v>248</v>
      </c>
      <c r="J1236" s="1" t="s">
        <v>249</v>
      </c>
      <c r="K1236" s="1" t="s">
        <v>349</v>
      </c>
      <c r="L1236" s="1" t="s">
        <v>450</v>
      </c>
      <c r="M1236" s="1" t="s">
        <v>251</v>
      </c>
      <c r="N1236" s="1" t="s">
        <v>252</v>
      </c>
      <c r="O1236" s="1" t="s">
        <v>620</v>
      </c>
      <c r="P1236" s="1" t="str">
        <f t="shared" si="71"/>
        <v>BC Caiaponia2.3215KTL-H3(MBUS-16)46047,861111111146047,861111111146047,9166666667</v>
      </c>
      <c r="Q1236" s="1" t="str">
        <f t="shared" si="72"/>
        <v>DAURDE</v>
      </c>
    </row>
    <row r="1237" spans="2:17">
      <c r="B1237" s="1" t="s">
        <v>477</v>
      </c>
      <c r="C1237" s="1" t="s">
        <v>486</v>
      </c>
      <c r="D1237" s="52">
        <v>46048.267361111109</v>
      </c>
      <c r="E1237" s="52">
        <v>46048.267361111109</v>
      </c>
      <c r="F1237" s="52">
        <v>46048.298611111109</v>
      </c>
      <c r="G1237" s="53">
        <f t="shared" si="74"/>
        <v>3.125E-2</v>
      </c>
      <c r="H1237" s="1" t="s">
        <v>248</v>
      </c>
      <c r="J1237" s="1" t="s">
        <v>249</v>
      </c>
      <c r="K1237" s="1" t="s">
        <v>349</v>
      </c>
      <c r="L1237" s="1" t="s">
        <v>450</v>
      </c>
      <c r="M1237" s="1" t="s">
        <v>251</v>
      </c>
      <c r="N1237" s="1" t="s">
        <v>252</v>
      </c>
      <c r="O1237" s="1" t="s">
        <v>626</v>
      </c>
      <c r="P1237" s="1" t="str">
        <f t="shared" si="71"/>
        <v>BC Rio Monte1Inverter3546048,267361111146048,267361111146048,2986111111</v>
      </c>
      <c r="Q1237" s="1" t="str">
        <f t="shared" si="72"/>
        <v>DAURDE</v>
      </c>
    </row>
    <row r="1238" spans="2:17">
      <c r="B1238" s="1" t="s">
        <v>477</v>
      </c>
      <c r="C1238" s="1" t="s">
        <v>487</v>
      </c>
      <c r="D1238" s="52">
        <v>46048.267361111109</v>
      </c>
      <c r="E1238" s="52">
        <v>46048.267361111109</v>
      </c>
      <c r="F1238" s="52">
        <v>46048.298611111109</v>
      </c>
      <c r="G1238" s="53">
        <f t="shared" si="74"/>
        <v>3.125E-2</v>
      </c>
      <c r="H1238" s="1" t="s">
        <v>248</v>
      </c>
      <c r="J1238" s="1" t="s">
        <v>249</v>
      </c>
      <c r="K1238" s="1" t="s">
        <v>349</v>
      </c>
      <c r="L1238" s="1" t="s">
        <v>450</v>
      </c>
      <c r="M1238" s="1" t="s">
        <v>251</v>
      </c>
      <c r="N1238" s="1" t="s">
        <v>252</v>
      </c>
      <c r="O1238" s="1" t="s">
        <v>626</v>
      </c>
      <c r="P1238" s="1" t="str">
        <f t="shared" si="71"/>
        <v>BC Rio Monte1Inverter4046048,267361111146048,267361111146048,2986111111</v>
      </c>
      <c r="Q1238" s="1" t="str">
        <f t="shared" si="72"/>
        <v>DAURDE</v>
      </c>
    </row>
    <row r="1239" spans="2:17">
      <c r="B1239" s="1" t="s">
        <v>477</v>
      </c>
      <c r="C1239" s="1" t="s">
        <v>488</v>
      </c>
      <c r="D1239" s="52">
        <v>46048.267361111109</v>
      </c>
      <c r="E1239" s="52">
        <v>46048.267361111109</v>
      </c>
      <c r="F1239" s="52">
        <v>46048.298611111109</v>
      </c>
      <c r="G1239" s="53">
        <f t="shared" si="74"/>
        <v>3.125E-2</v>
      </c>
      <c r="H1239" s="1" t="s">
        <v>248</v>
      </c>
      <c r="J1239" s="1" t="s">
        <v>249</v>
      </c>
      <c r="K1239" s="1" t="s">
        <v>349</v>
      </c>
      <c r="L1239" s="1" t="s">
        <v>450</v>
      </c>
      <c r="M1239" s="1" t="s">
        <v>251</v>
      </c>
      <c r="N1239" s="1" t="s">
        <v>252</v>
      </c>
      <c r="O1239" s="1" t="s">
        <v>626</v>
      </c>
      <c r="P1239" s="1" t="str">
        <f t="shared" si="71"/>
        <v>BC Rio Monte1Inverter4246048,267361111146048,267361111146048,2986111111</v>
      </c>
      <c r="Q1239" s="1" t="str">
        <f t="shared" si="72"/>
        <v>DAURDE</v>
      </c>
    </row>
    <row r="1240" spans="2:17">
      <c r="B1240" s="1" t="s">
        <v>477</v>
      </c>
      <c r="C1240" s="1" t="s">
        <v>489</v>
      </c>
      <c r="D1240" s="52">
        <v>46048.267361111109</v>
      </c>
      <c r="E1240" s="52">
        <v>46048.267361111109</v>
      </c>
      <c r="F1240" s="52">
        <v>46048.298611111109</v>
      </c>
      <c r="G1240" s="53">
        <f t="shared" si="74"/>
        <v>3.125E-2</v>
      </c>
      <c r="H1240" s="1" t="s">
        <v>248</v>
      </c>
      <c r="J1240" s="1" t="s">
        <v>249</v>
      </c>
      <c r="K1240" s="1" t="s">
        <v>349</v>
      </c>
      <c r="L1240" s="1" t="s">
        <v>450</v>
      </c>
      <c r="M1240" s="1" t="s">
        <v>251</v>
      </c>
      <c r="N1240" s="1" t="s">
        <v>252</v>
      </c>
      <c r="O1240" s="1" t="s">
        <v>626</v>
      </c>
      <c r="P1240" s="1" t="str">
        <f t="shared" si="71"/>
        <v>BC Rio Monte1Inverter4146048,267361111146048,267361111146048,2986111111</v>
      </c>
      <c r="Q1240" s="1" t="str">
        <f t="shared" si="72"/>
        <v>DAURDE</v>
      </c>
    </row>
    <row r="1241" spans="2:17">
      <c r="B1241" s="1" t="s">
        <v>477</v>
      </c>
      <c r="C1241" s="1" t="s">
        <v>490</v>
      </c>
      <c r="D1241" s="52">
        <v>46048.267361111109</v>
      </c>
      <c r="E1241" s="52">
        <v>46048.267361111109</v>
      </c>
      <c r="F1241" s="52">
        <v>46048.298611111109</v>
      </c>
      <c r="G1241" s="53">
        <f t="shared" si="74"/>
        <v>3.125E-2</v>
      </c>
      <c r="H1241" s="1" t="s">
        <v>248</v>
      </c>
      <c r="J1241" s="1" t="s">
        <v>249</v>
      </c>
      <c r="K1241" s="1" t="s">
        <v>349</v>
      </c>
      <c r="L1241" s="1" t="s">
        <v>450</v>
      </c>
      <c r="M1241" s="1" t="s">
        <v>251</v>
      </c>
      <c r="N1241" s="1" t="s">
        <v>252</v>
      </c>
      <c r="O1241" s="1" t="s">
        <v>626</v>
      </c>
      <c r="P1241" s="1" t="str">
        <f t="shared" si="71"/>
        <v>BC Rio Monte1Inverter4446048,267361111146048,267361111146048,2986111111</v>
      </c>
      <c r="Q1241" s="1" t="str">
        <f t="shared" si="72"/>
        <v>DAURDE</v>
      </c>
    </row>
    <row r="1242" spans="2:17">
      <c r="B1242" s="1" t="s">
        <v>477</v>
      </c>
      <c r="C1242" s="1" t="s">
        <v>491</v>
      </c>
      <c r="D1242" s="52">
        <v>46048.267361111109</v>
      </c>
      <c r="E1242" s="52">
        <v>46048.267361111109</v>
      </c>
      <c r="F1242" s="52">
        <v>46048.298611111109</v>
      </c>
      <c r="G1242" s="53">
        <f t="shared" si="74"/>
        <v>3.125E-2</v>
      </c>
      <c r="H1242" s="1" t="s">
        <v>248</v>
      </c>
      <c r="J1242" s="1" t="s">
        <v>249</v>
      </c>
      <c r="K1242" s="1" t="s">
        <v>349</v>
      </c>
      <c r="L1242" s="1" t="s">
        <v>450</v>
      </c>
      <c r="M1242" s="1" t="s">
        <v>251</v>
      </c>
      <c r="N1242" s="1" t="s">
        <v>252</v>
      </c>
      <c r="O1242" s="1" t="s">
        <v>626</v>
      </c>
      <c r="P1242" s="1" t="str">
        <f t="shared" si="71"/>
        <v>BC Rio Monte1Inverter4346048,267361111146048,267361111146048,2986111111</v>
      </c>
      <c r="Q1242" s="1" t="str">
        <f t="shared" si="72"/>
        <v>DAURDE</v>
      </c>
    </row>
    <row r="1243" spans="2:17">
      <c r="B1243" s="1" t="s">
        <v>477</v>
      </c>
      <c r="C1243" s="1" t="s">
        <v>492</v>
      </c>
      <c r="D1243" s="52">
        <v>46048.267361111109</v>
      </c>
      <c r="E1243" s="52">
        <v>46048.267361111109</v>
      </c>
      <c r="F1243" s="52">
        <v>46048.298611111109</v>
      </c>
      <c r="G1243" s="53">
        <f t="shared" si="74"/>
        <v>3.125E-2</v>
      </c>
      <c r="H1243" s="1" t="s">
        <v>248</v>
      </c>
      <c r="J1243" s="1" t="s">
        <v>249</v>
      </c>
      <c r="K1243" s="1" t="s">
        <v>349</v>
      </c>
      <c r="L1243" s="1" t="s">
        <v>450</v>
      </c>
      <c r="M1243" s="1" t="s">
        <v>251</v>
      </c>
      <c r="N1243" s="1" t="s">
        <v>252</v>
      </c>
      <c r="O1243" s="1" t="s">
        <v>626</v>
      </c>
      <c r="P1243" s="1" t="str">
        <f t="shared" si="71"/>
        <v>BC Rio Monte1Inverter4546048,267361111146048,267361111146048,2986111111</v>
      </c>
      <c r="Q1243" s="1" t="str">
        <f t="shared" si="72"/>
        <v>DAURDE</v>
      </c>
    </row>
    <row r="1244" spans="2:17">
      <c r="B1244" s="1" t="s">
        <v>477</v>
      </c>
      <c r="C1244" s="1" t="s">
        <v>627</v>
      </c>
      <c r="D1244" s="52">
        <v>46048.267361111109</v>
      </c>
      <c r="E1244" s="52">
        <v>46048.267361111109</v>
      </c>
      <c r="F1244" s="52">
        <v>46048.298611111109</v>
      </c>
      <c r="G1244" s="53">
        <f t="shared" si="74"/>
        <v>3.125E-2</v>
      </c>
      <c r="H1244" s="1" t="s">
        <v>248</v>
      </c>
      <c r="J1244" s="1" t="s">
        <v>249</v>
      </c>
      <c r="K1244" s="1" t="s">
        <v>349</v>
      </c>
      <c r="L1244" s="1" t="s">
        <v>450</v>
      </c>
      <c r="M1244" s="1" t="s">
        <v>251</v>
      </c>
      <c r="N1244" s="1" t="s">
        <v>252</v>
      </c>
      <c r="O1244" s="1" t="s">
        <v>626</v>
      </c>
      <c r="P1244" s="1" t="str">
        <f t="shared" si="71"/>
        <v>BC Rio Monte1Inverter3446048,267361111146048,267361111146048,2986111111</v>
      </c>
      <c r="Q1244" s="1" t="str">
        <f t="shared" si="72"/>
        <v>DAURDE</v>
      </c>
    </row>
    <row r="1245" spans="2:17">
      <c r="B1245" s="1" t="s">
        <v>477</v>
      </c>
      <c r="C1245" s="1" t="s">
        <v>628</v>
      </c>
      <c r="D1245" s="52">
        <v>46048.267361111109</v>
      </c>
      <c r="E1245" s="52">
        <v>46048.267361111109</v>
      </c>
      <c r="F1245" s="52">
        <v>46048.298611111109</v>
      </c>
      <c r="G1245" s="53">
        <f t="shared" si="74"/>
        <v>3.125E-2</v>
      </c>
      <c r="H1245" s="1" t="s">
        <v>248</v>
      </c>
      <c r="J1245" s="1" t="s">
        <v>249</v>
      </c>
      <c r="K1245" s="1" t="s">
        <v>349</v>
      </c>
      <c r="L1245" s="1" t="s">
        <v>450</v>
      </c>
      <c r="M1245" s="1" t="s">
        <v>251</v>
      </c>
      <c r="N1245" s="1" t="s">
        <v>252</v>
      </c>
      <c r="O1245" s="1" t="s">
        <v>626</v>
      </c>
      <c r="P1245" s="1" t="str">
        <f t="shared" si="71"/>
        <v>BC Rio Monte1Inverter3746048,267361111146048,267361111146048,2986111111</v>
      </c>
      <c r="Q1245" s="1" t="str">
        <f t="shared" si="72"/>
        <v>DAURDE</v>
      </c>
    </row>
    <row r="1246" spans="2:17">
      <c r="B1246" s="1" t="s">
        <v>477</v>
      </c>
      <c r="C1246" s="1" t="s">
        <v>629</v>
      </c>
      <c r="D1246" s="52">
        <v>46048.267361111109</v>
      </c>
      <c r="E1246" s="52">
        <v>46048.267361111109</v>
      </c>
      <c r="F1246" s="52">
        <v>46048.298611111109</v>
      </c>
      <c r="G1246" s="53">
        <f t="shared" si="74"/>
        <v>3.125E-2</v>
      </c>
      <c r="H1246" s="1" t="s">
        <v>248</v>
      </c>
      <c r="J1246" s="1" t="s">
        <v>249</v>
      </c>
      <c r="K1246" s="1" t="s">
        <v>349</v>
      </c>
      <c r="L1246" s="1" t="s">
        <v>450</v>
      </c>
      <c r="M1246" s="1" t="s">
        <v>251</v>
      </c>
      <c r="N1246" s="1" t="s">
        <v>252</v>
      </c>
      <c r="O1246" s="1" t="s">
        <v>626</v>
      </c>
      <c r="P1246" s="1" t="str">
        <f t="shared" si="71"/>
        <v>BC Rio Monte1Inverter3346048,267361111146048,267361111146048,2986111111</v>
      </c>
      <c r="Q1246" s="1" t="str">
        <f t="shared" si="72"/>
        <v>DAURDE</v>
      </c>
    </row>
    <row r="1247" spans="2:17">
      <c r="B1247" s="1" t="s">
        <v>477</v>
      </c>
      <c r="C1247" s="1" t="s">
        <v>630</v>
      </c>
      <c r="D1247" s="52">
        <v>46048.267361111109</v>
      </c>
      <c r="E1247" s="52">
        <v>46048.267361111109</v>
      </c>
      <c r="F1247" s="52">
        <v>46048.298611111109</v>
      </c>
      <c r="G1247" s="53">
        <f t="shared" si="74"/>
        <v>3.125E-2</v>
      </c>
      <c r="H1247" s="1" t="s">
        <v>248</v>
      </c>
      <c r="J1247" s="1" t="s">
        <v>249</v>
      </c>
      <c r="K1247" s="1" t="s">
        <v>349</v>
      </c>
      <c r="L1247" s="1" t="s">
        <v>450</v>
      </c>
      <c r="M1247" s="1" t="s">
        <v>251</v>
      </c>
      <c r="N1247" s="1" t="s">
        <v>252</v>
      </c>
      <c r="O1247" s="1" t="s">
        <v>626</v>
      </c>
      <c r="P1247" s="1" t="str">
        <f t="shared" si="71"/>
        <v>BC Rio Monte1Inverter2946048,267361111146048,267361111146048,2986111111</v>
      </c>
      <c r="Q1247" s="1" t="str">
        <f t="shared" si="72"/>
        <v>DAURDE</v>
      </c>
    </row>
    <row r="1248" spans="2:17">
      <c r="B1248" s="1" t="s">
        <v>477</v>
      </c>
      <c r="C1248" s="1" t="s">
        <v>478</v>
      </c>
      <c r="D1248" s="52">
        <v>46048.267361111109</v>
      </c>
      <c r="E1248" s="52">
        <v>46048.267361111109</v>
      </c>
      <c r="F1248" s="52">
        <v>46048.298611111109</v>
      </c>
      <c r="G1248" s="53">
        <f t="shared" si="74"/>
        <v>3.125E-2</v>
      </c>
      <c r="H1248" s="1" t="s">
        <v>248</v>
      </c>
      <c r="J1248" s="1" t="s">
        <v>249</v>
      </c>
      <c r="K1248" s="1" t="s">
        <v>349</v>
      </c>
      <c r="L1248" s="1" t="s">
        <v>450</v>
      </c>
      <c r="M1248" s="1" t="s">
        <v>251</v>
      </c>
      <c r="N1248" s="1" t="s">
        <v>252</v>
      </c>
      <c r="O1248" s="1" t="s">
        <v>626</v>
      </c>
      <c r="P1248" s="1" t="str">
        <f t="shared" si="71"/>
        <v>BC Rio Monte1Inverter3646048,267361111146048,267361111146048,2986111111</v>
      </c>
      <c r="Q1248" s="1" t="str">
        <f t="shared" si="72"/>
        <v>DAURDE</v>
      </c>
    </row>
    <row r="1249" spans="2:17">
      <c r="B1249" s="1" t="s">
        <v>477</v>
      </c>
      <c r="C1249" s="1" t="s">
        <v>631</v>
      </c>
      <c r="D1249" s="52">
        <v>46048.267361111109</v>
      </c>
      <c r="E1249" s="52">
        <v>46048.267361111109</v>
      </c>
      <c r="F1249" s="52">
        <v>46048.298611111109</v>
      </c>
      <c r="G1249" s="53">
        <f t="shared" si="74"/>
        <v>3.125E-2</v>
      </c>
      <c r="H1249" s="1" t="s">
        <v>248</v>
      </c>
      <c r="J1249" s="1" t="s">
        <v>249</v>
      </c>
      <c r="K1249" s="1" t="s">
        <v>349</v>
      </c>
      <c r="L1249" s="1" t="s">
        <v>450</v>
      </c>
      <c r="M1249" s="1" t="s">
        <v>251</v>
      </c>
      <c r="N1249" s="1" t="s">
        <v>252</v>
      </c>
      <c r="O1249" s="1" t="s">
        <v>626</v>
      </c>
      <c r="P1249" s="1" t="str">
        <f t="shared" si="71"/>
        <v>BC Rio Monte1Inverter3946048,267361111146048,267361111146048,2986111111</v>
      </c>
      <c r="Q1249" s="1" t="str">
        <f t="shared" si="72"/>
        <v>DAURDE</v>
      </c>
    </row>
    <row r="1250" spans="2:17">
      <c r="B1250" s="1" t="s">
        <v>477</v>
      </c>
      <c r="C1250" s="1" t="s">
        <v>632</v>
      </c>
      <c r="D1250" s="52">
        <v>46048.267361111109</v>
      </c>
      <c r="E1250" s="52">
        <v>46048.267361111109</v>
      </c>
      <c r="F1250" s="52">
        <v>46048.298611111109</v>
      </c>
      <c r="G1250" s="53">
        <f t="shared" si="74"/>
        <v>3.125E-2</v>
      </c>
      <c r="H1250" s="1" t="s">
        <v>248</v>
      </c>
      <c r="J1250" s="1" t="s">
        <v>249</v>
      </c>
      <c r="K1250" s="1" t="s">
        <v>349</v>
      </c>
      <c r="L1250" s="1" t="s">
        <v>450</v>
      </c>
      <c r="M1250" s="1" t="s">
        <v>251</v>
      </c>
      <c r="N1250" s="1" t="s">
        <v>252</v>
      </c>
      <c r="O1250" s="1" t="s">
        <v>626</v>
      </c>
      <c r="P1250" s="1" t="str">
        <f t="shared" si="71"/>
        <v>BC Rio Monte1Inverter3146048,267361111146048,267361111146048,2986111111</v>
      </c>
      <c r="Q1250" s="1" t="str">
        <f t="shared" si="72"/>
        <v>DAURDE</v>
      </c>
    </row>
    <row r="1251" spans="2:17">
      <c r="B1251" s="1" t="s">
        <v>477</v>
      </c>
      <c r="C1251" s="1" t="s">
        <v>633</v>
      </c>
      <c r="D1251" s="52">
        <v>46048.267361111109</v>
      </c>
      <c r="E1251" s="52">
        <v>46048.267361111109</v>
      </c>
      <c r="F1251" s="52">
        <v>46048.298611111109</v>
      </c>
      <c r="G1251" s="53">
        <f t="shared" si="74"/>
        <v>3.125E-2</v>
      </c>
      <c r="H1251" s="1" t="s">
        <v>248</v>
      </c>
      <c r="J1251" s="1" t="s">
        <v>249</v>
      </c>
      <c r="K1251" s="1" t="s">
        <v>349</v>
      </c>
      <c r="L1251" s="1" t="s">
        <v>450</v>
      </c>
      <c r="M1251" s="1" t="s">
        <v>251</v>
      </c>
      <c r="N1251" s="1" t="s">
        <v>252</v>
      </c>
      <c r="O1251" s="1" t="s">
        <v>626</v>
      </c>
      <c r="P1251" s="1" t="str">
        <f t="shared" ref="P1251:P1314" si="75">_xlfn.CONCAT(B1251,C1251,D1251,E1251,F1251)</f>
        <v>BC Rio Monte1Inverter3046048,267361111146048,267361111146048,2986111111</v>
      </c>
      <c r="Q1251" s="1" t="str">
        <f t="shared" ref="Q1251:Q1314" si="76">_xlfn.CONCAT(H1251,I1251,J1251)</f>
        <v>DAURDE</v>
      </c>
    </row>
    <row r="1252" spans="2:17">
      <c r="B1252" s="1" t="s">
        <v>477</v>
      </c>
      <c r="C1252" s="1" t="s">
        <v>634</v>
      </c>
      <c r="D1252" s="52">
        <v>46048.267361111109</v>
      </c>
      <c r="E1252" s="52">
        <v>46048.267361111109</v>
      </c>
      <c r="F1252" s="52">
        <v>46048.298611111109</v>
      </c>
      <c r="G1252" s="53">
        <f t="shared" si="74"/>
        <v>3.125E-2</v>
      </c>
      <c r="H1252" s="1" t="s">
        <v>248</v>
      </c>
      <c r="J1252" s="1" t="s">
        <v>249</v>
      </c>
      <c r="K1252" s="1" t="s">
        <v>349</v>
      </c>
      <c r="L1252" s="1" t="s">
        <v>450</v>
      </c>
      <c r="M1252" s="1" t="s">
        <v>251</v>
      </c>
      <c r="N1252" s="1" t="s">
        <v>252</v>
      </c>
      <c r="O1252" s="1" t="s">
        <v>626</v>
      </c>
      <c r="P1252" s="1" t="str">
        <f t="shared" si="75"/>
        <v>BC Rio Monte1Inverter3846048,267361111146048,267361111146048,2986111111</v>
      </c>
      <c r="Q1252" s="1" t="str">
        <f t="shared" si="76"/>
        <v>DAURDE</v>
      </c>
    </row>
    <row r="1253" spans="2:17">
      <c r="B1253" s="1" t="s">
        <v>477</v>
      </c>
      <c r="C1253" s="1" t="s">
        <v>635</v>
      </c>
      <c r="D1253" s="52">
        <v>46048.267361111109</v>
      </c>
      <c r="E1253" s="52">
        <v>46048.267361111109</v>
      </c>
      <c r="F1253" s="52">
        <v>46048.298611111109</v>
      </c>
      <c r="G1253" s="53">
        <f t="shared" si="74"/>
        <v>3.125E-2</v>
      </c>
      <c r="H1253" s="1" t="s">
        <v>248</v>
      </c>
      <c r="J1253" s="1" t="s">
        <v>249</v>
      </c>
      <c r="K1253" s="1" t="s">
        <v>349</v>
      </c>
      <c r="L1253" s="1" t="s">
        <v>450</v>
      </c>
      <c r="M1253" s="1" t="s">
        <v>251</v>
      </c>
      <c r="N1253" s="1" t="s">
        <v>252</v>
      </c>
      <c r="O1253" s="1" t="s">
        <v>626</v>
      </c>
      <c r="P1253" s="1" t="str">
        <f t="shared" si="75"/>
        <v>BC Rio Monte1Inverter3246048,267361111146048,267361111146048,2986111111</v>
      </c>
      <c r="Q1253" s="1" t="str">
        <f t="shared" si="76"/>
        <v>DAURDE</v>
      </c>
    </row>
    <row r="1254" spans="2:17">
      <c r="B1254" s="1" t="s">
        <v>419</v>
      </c>
      <c r="C1254" s="1" t="s">
        <v>407</v>
      </c>
      <c r="D1254" s="52">
        <v>46048.354166666664</v>
      </c>
      <c r="E1254" s="52">
        <v>46048.354166666664</v>
      </c>
      <c r="F1254" s="52">
        <v>46048.354861111111</v>
      </c>
      <c r="G1254" s="53">
        <f t="shared" si="74"/>
        <v>6.944444467080757E-4</v>
      </c>
      <c r="H1254" s="1" t="s">
        <v>260</v>
      </c>
      <c r="I1254" s="1" t="s">
        <v>261</v>
      </c>
      <c r="J1254" s="1" t="s">
        <v>262</v>
      </c>
      <c r="K1254" s="1" t="s">
        <v>263</v>
      </c>
      <c r="L1254" s="1" t="s">
        <v>264</v>
      </c>
      <c r="M1254" s="1" t="s">
        <v>265</v>
      </c>
      <c r="N1254" s="1" t="s">
        <v>266</v>
      </c>
      <c r="O1254" s="1" t="s">
        <v>636</v>
      </c>
      <c r="P1254" s="1" t="str">
        <f t="shared" si="75"/>
        <v>BC Corumba2.2U02.I0146048,354166666746048,354166666746048,3548611111</v>
      </c>
      <c r="Q1254" s="1" t="str">
        <f t="shared" si="76"/>
        <v>LIGRFOCOM</v>
      </c>
    </row>
    <row r="1255" spans="2:17">
      <c r="B1255" s="1" t="s">
        <v>419</v>
      </c>
      <c r="C1255" s="1" t="s">
        <v>408</v>
      </c>
      <c r="D1255" s="52">
        <v>46048.354166666664</v>
      </c>
      <c r="E1255" s="52">
        <v>46048.354166666664</v>
      </c>
      <c r="F1255" s="52">
        <v>46048.354861111111</v>
      </c>
      <c r="G1255" s="53">
        <f t="shared" si="74"/>
        <v>6.944444467080757E-4</v>
      </c>
      <c r="H1255" s="1" t="s">
        <v>260</v>
      </c>
      <c r="I1255" s="1" t="s">
        <v>261</v>
      </c>
      <c r="J1255" s="1" t="s">
        <v>262</v>
      </c>
      <c r="K1255" s="1" t="s">
        <v>263</v>
      </c>
      <c r="L1255" s="1" t="s">
        <v>264</v>
      </c>
      <c r="M1255" s="1" t="s">
        <v>265</v>
      </c>
      <c r="N1255" s="1" t="s">
        <v>266</v>
      </c>
      <c r="O1255" s="1" t="s">
        <v>636</v>
      </c>
      <c r="P1255" s="1" t="str">
        <f t="shared" si="75"/>
        <v>BC Corumba2.2U02.I0246048,354166666746048,354166666746048,3548611111</v>
      </c>
      <c r="Q1255" s="1" t="str">
        <f t="shared" si="76"/>
        <v>LIGRFOCOM</v>
      </c>
    </row>
    <row r="1256" spans="2:17">
      <c r="B1256" s="1" t="s">
        <v>419</v>
      </c>
      <c r="C1256" s="1" t="s">
        <v>409</v>
      </c>
      <c r="D1256" s="52">
        <v>46048.354166666664</v>
      </c>
      <c r="E1256" s="52">
        <v>46048.354166666664</v>
      </c>
      <c r="F1256" s="52">
        <v>46048.354861111111</v>
      </c>
      <c r="G1256" s="53">
        <f t="shared" si="74"/>
        <v>6.944444467080757E-4</v>
      </c>
      <c r="H1256" s="1" t="s">
        <v>260</v>
      </c>
      <c r="I1256" s="1" t="s">
        <v>261</v>
      </c>
      <c r="J1256" s="1" t="s">
        <v>262</v>
      </c>
      <c r="K1256" s="1" t="s">
        <v>263</v>
      </c>
      <c r="L1256" s="1" t="s">
        <v>264</v>
      </c>
      <c r="M1256" s="1" t="s">
        <v>265</v>
      </c>
      <c r="N1256" s="1" t="s">
        <v>266</v>
      </c>
      <c r="O1256" s="1" t="s">
        <v>636</v>
      </c>
      <c r="P1256" s="1" t="str">
        <f t="shared" si="75"/>
        <v>BC Corumba2.2U02.I0346048,354166666746048,354166666746048,3548611111</v>
      </c>
      <c r="Q1256" s="1" t="str">
        <f t="shared" si="76"/>
        <v>LIGRFOCOM</v>
      </c>
    </row>
    <row r="1257" spans="2:17">
      <c r="B1257" s="1" t="s">
        <v>419</v>
      </c>
      <c r="C1257" s="1" t="s">
        <v>410</v>
      </c>
      <c r="D1257" s="52">
        <v>46048.354166666664</v>
      </c>
      <c r="E1257" s="52">
        <v>46048.354166666664</v>
      </c>
      <c r="F1257" s="52">
        <v>46048.354861111111</v>
      </c>
      <c r="G1257" s="53">
        <f t="shared" si="74"/>
        <v>6.944444467080757E-4</v>
      </c>
      <c r="H1257" s="1" t="s">
        <v>260</v>
      </c>
      <c r="I1257" s="1" t="s">
        <v>261</v>
      </c>
      <c r="J1257" s="1" t="s">
        <v>262</v>
      </c>
      <c r="K1257" s="1" t="s">
        <v>263</v>
      </c>
      <c r="L1257" s="1" t="s">
        <v>264</v>
      </c>
      <c r="M1257" s="1" t="s">
        <v>265</v>
      </c>
      <c r="N1257" s="1" t="s">
        <v>266</v>
      </c>
      <c r="O1257" s="1" t="s">
        <v>636</v>
      </c>
      <c r="P1257" s="1" t="str">
        <f t="shared" si="75"/>
        <v>BC Corumba2.2U02.I0446048,354166666746048,354166666746048,3548611111</v>
      </c>
      <c r="Q1257" s="1" t="str">
        <f t="shared" si="76"/>
        <v>LIGRFOCOM</v>
      </c>
    </row>
    <row r="1258" spans="2:17">
      <c r="B1258" s="1" t="s">
        <v>419</v>
      </c>
      <c r="C1258" s="1" t="s">
        <v>411</v>
      </c>
      <c r="D1258" s="52">
        <v>46048.354166666664</v>
      </c>
      <c r="E1258" s="52">
        <v>46048.354166666664</v>
      </c>
      <c r="F1258" s="52">
        <v>46048.354861111111</v>
      </c>
      <c r="G1258" s="53">
        <f t="shared" si="74"/>
        <v>6.944444467080757E-4</v>
      </c>
      <c r="H1258" s="1" t="s">
        <v>260</v>
      </c>
      <c r="I1258" s="1" t="s">
        <v>261</v>
      </c>
      <c r="J1258" s="1" t="s">
        <v>262</v>
      </c>
      <c r="K1258" s="1" t="s">
        <v>263</v>
      </c>
      <c r="L1258" s="1" t="s">
        <v>264</v>
      </c>
      <c r="M1258" s="1" t="s">
        <v>265</v>
      </c>
      <c r="N1258" s="1" t="s">
        <v>266</v>
      </c>
      <c r="O1258" s="1" t="s">
        <v>636</v>
      </c>
      <c r="P1258" s="1" t="str">
        <f t="shared" si="75"/>
        <v>BC Corumba2.2U02.I0546048,354166666746048,354166666746048,3548611111</v>
      </c>
      <c r="Q1258" s="1" t="str">
        <f t="shared" si="76"/>
        <v>LIGRFOCOM</v>
      </c>
    </row>
    <row r="1259" spans="2:17">
      <c r="B1259" s="1" t="s">
        <v>423</v>
      </c>
      <c r="C1259" s="1" t="s">
        <v>354</v>
      </c>
      <c r="D1259" s="52">
        <v>46048.413194444445</v>
      </c>
      <c r="E1259" s="52">
        <v>46048.413194444445</v>
      </c>
      <c r="F1259" s="52">
        <v>46048.459027777775</v>
      </c>
      <c r="G1259" s="53">
        <f t="shared" si="74"/>
        <v>4.5833333329937886E-2</v>
      </c>
      <c r="H1259" s="1" t="s">
        <v>248</v>
      </c>
      <c r="J1259" s="1" t="s">
        <v>249</v>
      </c>
      <c r="K1259" s="1" t="s">
        <v>349</v>
      </c>
      <c r="L1259" s="1" t="s">
        <v>637</v>
      </c>
      <c r="M1259" s="1" t="s">
        <v>251</v>
      </c>
      <c r="N1259" s="1" t="s">
        <v>252</v>
      </c>
      <c r="O1259" s="1" t="s">
        <v>638</v>
      </c>
      <c r="P1259" s="1" t="str">
        <f t="shared" si="75"/>
        <v>BC Formoso2.1Inverter(MBUS-12)46048,413194444446048,413194444446048,4590277778</v>
      </c>
      <c r="Q1259" s="1" t="str">
        <f t="shared" si="76"/>
        <v>DAURDE</v>
      </c>
    </row>
    <row r="1260" spans="2:17">
      <c r="B1260" s="1" t="s">
        <v>423</v>
      </c>
      <c r="C1260" s="1" t="s">
        <v>358</v>
      </c>
      <c r="D1260" s="52">
        <v>46048.413194444445</v>
      </c>
      <c r="E1260" s="52">
        <v>46048.413194444445</v>
      </c>
      <c r="F1260" s="52">
        <v>46048.459027777775</v>
      </c>
      <c r="G1260" s="53">
        <f t="shared" si="74"/>
        <v>4.5833333329937886E-2</v>
      </c>
      <c r="H1260" s="1" t="s">
        <v>248</v>
      </c>
      <c r="J1260" s="1" t="s">
        <v>249</v>
      </c>
      <c r="K1260" s="1" t="s">
        <v>349</v>
      </c>
      <c r="L1260" s="1" t="s">
        <v>637</v>
      </c>
      <c r="M1260" s="1" t="s">
        <v>251</v>
      </c>
      <c r="N1260" s="1" t="s">
        <v>252</v>
      </c>
      <c r="O1260" s="1" t="s">
        <v>638</v>
      </c>
      <c r="P1260" s="1" t="str">
        <f t="shared" si="75"/>
        <v>BC Formoso2.1Inverter(MBUS-14)46048,413194444446048,413194444446048,4590277778</v>
      </c>
      <c r="Q1260" s="1" t="str">
        <f t="shared" si="76"/>
        <v>DAURDE</v>
      </c>
    </row>
    <row r="1261" spans="2:17">
      <c r="B1261" s="1" t="s">
        <v>423</v>
      </c>
      <c r="C1261" s="1" t="s">
        <v>357</v>
      </c>
      <c r="D1261" s="52">
        <v>46048.413194444445</v>
      </c>
      <c r="E1261" s="52">
        <v>46048.413194444445</v>
      </c>
      <c r="F1261" s="52">
        <v>46048.459027777775</v>
      </c>
      <c r="G1261" s="53">
        <f t="shared" si="74"/>
        <v>4.5833333329937886E-2</v>
      </c>
      <c r="H1261" s="1" t="s">
        <v>248</v>
      </c>
      <c r="J1261" s="1" t="s">
        <v>249</v>
      </c>
      <c r="K1261" s="1" t="s">
        <v>349</v>
      </c>
      <c r="L1261" s="1" t="s">
        <v>637</v>
      </c>
      <c r="M1261" s="1" t="s">
        <v>251</v>
      </c>
      <c r="N1261" s="1" t="s">
        <v>252</v>
      </c>
      <c r="O1261" s="1" t="s">
        <v>638</v>
      </c>
      <c r="P1261" s="1" t="str">
        <f t="shared" si="75"/>
        <v>BC Formoso2.1Inverter(MBUS-13)46048,413194444446048,413194444446048,4590277778</v>
      </c>
      <c r="Q1261" s="1" t="str">
        <f t="shared" si="76"/>
        <v>DAURDE</v>
      </c>
    </row>
    <row r="1262" spans="2:17">
      <c r="B1262" s="1" t="s">
        <v>423</v>
      </c>
      <c r="C1262" s="1" t="s">
        <v>328</v>
      </c>
      <c r="D1262" s="52">
        <v>46048.413194444445</v>
      </c>
      <c r="E1262" s="52">
        <v>46048.413194444445</v>
      </c>
      <c r="F1262" s="52">
        <v>46048.459027777775</v>
      </c>
      <c r="G1262" s="53">
        <f t="shared" si="74"/>
        <v>4.5833333329937886E-2</v>
      </c>
      <c r="H1262" s="1" t="s">
        <v>248</v>
      </c>
      <c r="J1262" s="1" t="s">
        <v>249</v>
      </c>
      <c r="K1262" s="1" t="s">
        <v>349</v>
      </c>
      <c r="L1262" s="1" t="s">
        <v>637</v>
      </c>
      <c r="M1262" s="1" t="s">
        <v>251</v>
      </c>
      <c r="N1262" s="1" t="s">
        <v>252</v>
      </c>
      <c r="O1262" s="1" t="s">
        <v>638</v>
      </c>
      <c r="P1262" s="1" t="str">
        <f t="shared" si="75"/>
        <v>BC Formoso2.1Inverter(MBUS-1)46048,413194444446048,413194444446048,4590277778</v>
      </c>
      <c r="Q1262" s="1" t="str">
        <f t="shared" si="76"/>
        <v>DAURDE</v>
      </c>
    </row>
    <row r="1263" spans="2:17">
      <c r="B1263" s="1" t="s">
        <v>420</v>
      </c>
      <c r="C1263" s="1" t="s">
        <v>413</v>
      </c>
      <c r="D1263" s="52">
        <v>46049.197916666664</v>
      </c>
      <c r="E1263" s="52">
        <v>46049.197916666664</v>
      </c>
      <c r="F1263" s="52">
        <v>46049.295138888891</v>
      </c>
      <c r="G1263" s="53">
        <f>F1263-E1263</f>
        <v>9.7222222226264421E-2</v>
      </c>
      <c r="H1263" s="1" t="s">
        <v>260</v>
      </c>
      <c r="I1263" s="1" t="s">
        <v>261</v>
      </c>
      <c r="J1263" s="1" t="s">
        <v>262</v>
      </c>
      <c r="K1263" s="1" t="s">
        <v>263</v>
      </c>
      <c r="L1263" s="1" t="s">
        <v>639</v>
      </c>
      <c r="M1263" s="1" t="s">
        <v>265</v>
      </c>
      <c r="N1263" s="1" t="s">
        <v>266</v>
      </c>
      <c r="O1263" s="1" t="s">
        <v>640</v>
      </c>
      <c r="P1263" s="1" t="str">
        <f t="shared" si="75"/>
        <v>BC Corumba2.3U03.I0146049,197916666746049,197916666746049,2951388889</v>
      </c>
      <c r="Q1263" s="1" t="str">
        <f t="shared" si="76"/>
        <v>LIGRFOCOM</v>
      </c>
    </row>
    <row r="1264" spans="2:17">
      <c r="B1264" s="1" t="s">
        <v>420</v>
      </c>
      <c r="C1264" s="1" t="s">
        <v>414</v>
      </c>
      <c r="D1264" s="52">
        <v>46049.197916666664</v>
      </c>
      <c r="E1264" s="52">
        <v>46049.197916666664</v>
      </c>
      <c r="F1264" s="52">
        <v>46049.295138888891</v>
      </c>
      <c r="G1264" s="53">
        <f t="shared" si="74"/>
        <v>9.7222222226264421E-2</v>
      </c>
      <c r="H1264" s="1" t="s">
        <v>260</v>
      </c>
      <c r="I1264" s="1" t="s">
        <v>261</v>
      </c>
      <c r="J1264" s="1" t="s">
        <v>262</v>
      </c>
      <c r="K1264" s="1" t="s">
        <v>263</v>
      </c>
      <c r="L1264" s="1" t="s">
        <v>639</v>
      </c>
      <c r="M1264" s="1" t="s">
        <v>265</v>
      </c>
      <c r="N1264" s="1" t="s">
        <v>266</v>
      </c>
      <c r="O1264" s="1" t="s">
        <v>640</v>
      </c>
      <c r="P1264" s="1" t="str">
        <f t="shared" si="75"/>
        <v>BC Corumba2.3U03.I0246049,197916666746049,197916666746049,2951388889</v>
      </c>
      <c r="Q1264" s="1" t="str">
        <f t="shared" si="76"/>
        <v>LIGRFOCOM</v>
      </c>
    </row>
    <row r="1265" spans="2:17">
      <c r="B1265" s="1" t="s">
        <v>420</v>
      </c>
      <c r="C1265" s="1" t="s">
        <v>415</v>
      </c>
      <c r="D1265" s="52">
        <v>46049.197916666664</v>
      </c>
      <c r="E1265" s="52">
        <v>46049.197916666664</v>
      </c>
      <c r="F1265" s="52">
        <v>46049.295138888891</v>
      </c>
      <c r="G1265" s="53">
        <f t="shared" si="74"/>
        <v>9.7222222226264421E-2</v>
      </c>
      <c r="H1265" s="1" t="s">
        <v>260</v>
      </c>
      <c r="I1265" s="1" t="s">
        <v>261</v>
      </c>
      <c r="J1265" s="1" t="s">
        <v>262</v>
      </c>
      <c r="K1265" s="1" t="s">
        <v>263</v>
      </c>
      <c r="L1265" s="1" t="s">
        <v>639</v>
      </c>
      <c r="M1265" s="1" t="s">
        <v>265</v>
      </c>
      <c r="N1265" s="1" t="s">
        <v>266</v>
      </c>
      <c r="O1265" s="1" t="s">
        <v>640</v>
      </c>
      <c r="P1265" s="1" t="str">
        <f t="shared" si="75"/>
        <v>BC Corumba2.3U03.I0346049,197916666746049,197916666746049,2951388889</v>
      </c>
      <c r="Q1265" s="1" t="str">
        <f t="shared" si="76"/>
        <v>LIGRFOCOM</v>
      </c>
    </row>
    <row r="1266" spans="2:17">
      <c r="B1266" s="73" t="s">
        <v>556</v>
      </c>
      <c r="C1266" s="1" t="s">
        <v>557</v>
      </c>
      <c r="D1266" s="52">
        <v>46049.357638888891</v>
      </c>
      <c r="E1266" s="52">
        <v>46049.357638888891</v>
      </c>
      <c r="F1266" s="52">
        <v>46049.395833333336</v>
      </c>
      <c r="G1266" s="53">
        <f t="shared" si="74"/>
        <v>3.8194444445252884E-2</v>
      </c>
      <c r="H1266" s="1" t="s">
        <v>248</v>
      </c>
      <c r="J1266" s="1" t="s">
        <v>300</v>
      </c>
      <c r="K1266" s="1" t="s">
        <v>350</v>
      </c>
      <c r="L1266" s="1" t="s">
        <v>641</v>
      </c>
      <c r="M1266" s="1" t="s">
        <v>375</v>
      </c>
      <c r="N1266" s="1" t="s">
        <v>266</v>
      </c>
      <c r="O1266" s="1" t="s">
        <v>642</v>
      </c>
      <c r="P1266" s="1" t="str">
        <f t="shared" si="75"/>
        <v>BC Vazante 1.1Inverter1346049,357638888946049,357638888946049,3958333333</v>
      </c>
      <c r="Q1266" s="1" t="str">
        <f t="shared" si="76"/>
        <v>DAUINV</v>
      </c>
    </row>
    <row r="1267" spans="2:17">
      <c r="B1267" s="1" t="s">
        <v>353</v>
      </c>
      <c r="C1267" s="1" t="s">
        <v>354</v>
      </c>
      <c r="D1267" s="52">
        <v>46049.506944444445</v>
      </c>
      <c r="E1267" s="52">
        <v>46049.506944444445</v>
      </c>
      <c r="F1267" s="52">
        <v>46049.552083333336</v>
      </c>
      <c r="G1267" s="53">
        <f t="shared" si="74"/>
        <v>4.5138888890505768E-2</v>
      </c>
      <c r="H1267" s="1" t="s">
        <v>260</v>
      </c>
      <c r="I1267" s="1" t="s">
        <v>261</v>
      </c>
      <c r="J1267" s="1" t="s">
        <v>262</v>
      </c>
      <c r="K1267" s="1" t="s">
        <v>263</v>
      </c>
      <c r="L1267" s="1" t="s">
        <v>264</v>
      </c>
      <c r="M1267" s="1" t="s">
        <v>265</v>
      </c>
      <c r="N1267" s="1" t="s">
        <v>266</v>
      </c>
      <c r="O1267" s="1" t="s">
        <v>643</v>
      </c>
      <c r="P1267" s="1" t="str">
        <f t="shared" si="75"/>
        <v>ARAGUATINS 1.1Inverter(MBUS-12)46049,506944444446049,506944444446049,5520833333</v>
      </c>
      <c r="Q1267" s="1" t="str">
        <f t="shared" si="76"/>
        <v>LIGRFOCOM</v>
      </c>
    </row>
    <row r="1268" spans="2:17">
      <c r="B1268" s="1" t="s">
        <v>353</v>
      </c>
      <c r="C1268" s="1" t="s">
        <v>357</v>
      </c>
      <c r="D1268" s="52">
        <v>46049.506944444445</v>
      </c>
      <c r="E1268" s="52">
        <v>46049.506944444445</v>
      </c>
      <c r="F1268" s="52">
        <v>46049.552083333336</v>
      </c>
      <c r="G1268" s="53">
        <f t="shared" si="74"/>
        <v>4.5138888890505768E-2</v>
      </c>
      <c r="H1268" s="1" t="s">
        <v>260</v>
      </c>
      <c r="I1268" s="1" t="s">
        <v>261</v>
      </c>
      <c r="J1268" s="1" t="s">
        <v>262</v>
      </c>
      <c r="K1268" s="1" t="s">
        <v>263</v>
      </c>
      <c r="L1268" s="1" t="s">
        <v>264</v>
      </c>
      <c r="M1268" s="1" t="s">
        <v>265</v>
      </c>
      <c r="N1268" s="1" t="s">
        <v>266</v>
      </c>
      <c r="O1268" s="1" t="s">
        <v>643</v>
      </c>
      <c r="P1268" s="1" t="str">
        <f t="shared" si="75"/>
        <v>ARAGUATINS 1.1Inverter(MBUS-13)46049,506944444446049,506944444446049,5520833333</v>
      </c>
      <c r="Q1268" s="1" t="str">
        <f t="shared" si="76"/>
        <v>LIGRFOCOM</v>
      </c>
    </row>
    <row r="1269" spans="2:17">
      <c r="B1269" s="1" t="s">
        <v>353</v>
      </c>
      <c r="C1269" s="1" t="s">
        <v>358</v>
      </c>
      <c r="D1269" s="52">
        <v>46049.506944444445</v>
      </c>
      <c r="E1269" s="52">
        <v>46049.506944444445</v>
      </c>
      <c r="F1269" s="52">
        <v>46049.552083333336</v>
      </c>
      <c r="G1269" s="53">
        <f t="shared" si="74"/>
        <v>4.5138888890505768E-2</v>
      </c>
      <c r="H1269" s="1" t="s">
        <v>260</v>
      </c>
      <c r="I1269" s="1" t="s">
        <v>261</v>
      </c>
      <c r="J1269" s="1" t="s">
        <v>262</v>
      </c>
      <c r="K1269" s="1" t="s">
        <v>263</v>
      </c>
      <c r="L1269" s="1" t="s">
        <v>264</v>
      </c>
      <c r="M1269" s="1" t="s">
        <v>265</v>
      </c>
      <c r="N1269" s="1" t="s">
        <v>266</v>
      </c>
      <c r="O1269" s="1" t="s">
        <v>643</v>
      </c>
      <c r="P1269" s="1" t="str">
        <f t="shared" si="75"/>
        <v>ARAGUATINS 1.1Inverter(MBUS-14)46049,506944444446049,506944444446049,5520833333</v>
      </c>
      <c r="Q1269" s="1" t="str">
        <f t="shared" si="76"/>
        <v>LIGRFOCOM</v>
      </c>
    </row>
    <row r="1270" spans="2:17">
      <c r="B1270" s="1" t="s">
        <v>353</v>
      </c>
      <c r="C1270" s="1" t="s">
        <v>359</v>
      </c>
      <c r="D1270" s="52">
        <v>46049.506944444445</v>
      </c>
      <c r="E1270" s="52">
        <v>46049.506944444445</v>
      </c>
      <c r="F1270" s="52">
        <v>46049.552083333336</v>
      </c>
      <c r="G1270" s="53">
        <f t="shared" si="74"/>
        <v>4.5138888890505768E-2</v>
      </c>
      <c r="H1270" s="1" t="s">
        <v>260</v>
      </c>
      <c r="I1270" s="1" t="s">
        <v>261</v>
      </c>
      <c r="J1270" s="1" t="s">
        <v>262</v>
      </c>
      <c r="K1270" s="1" t="s">
        <v>263</v>
      </c>
      <c r="L1270" s="1" t="s">
        <v>264</v>
      </c>
      <c r="M1270" s="1" t="s">
        <v>265</v>
      </c>
      <c r="N1270" s="1" t="s">
        <v>266</v>
      </c>
      <c r="O1270" s="1" t="s">
        <v>643</v>
      </c>
      <c r="P1270" s="1" t="str">
        <f t="shared" si="75"/>
        <v>ARAGUATINS 1.1Inverter(MBUS-15)46049,506944444446049,506944444446049,5520833333</v>
      </c>
      <c r="Q1270" s="1" t="str">
        <f t="shared" si="76"/>
        <v>LIGRFOCOM</v>
      </c>
    </row>
    <row r="1271" spans="2:17">
      <c r="B1271" s="1" t="s">
        <v>360</v>
      </c>
      <c r="C1271" s="1" t="s">
        <v>354</v>
      </c>
      <c r="D1271" s="52">
        <v>46049.506944444445</v>
      </c>
      <c r="E1271" s="52">
        <v>46049.506944444445</v>
      </c>
      <c r="F1271" s="52">
        <v>46049.552083333336</v>
      </c>
      <c r="G1271" s="53">
        <f t="shared" si="74"/>
        <v>4.5138888890505768E-2</v>
      </c>
      <c r="H1271" s="1" t="s">
        <v>260</v>
      </c>
      <c r="I1271" s="1" t="s">
        <v>261</v>
      </c>
      <c r="J1271" s="1" t="s">
        <v>262</v>
      </c>
      <c r="K1271" s="1" t="s">
        <v>263</v>
      </c>
      <c r="L1271" s="1" t="s">
        <v>264</v>
      </c>
      <c r="M1271" s="1" t="s">
        <v>265</v>
      </c>
      <c r="N1271" s="1" t="s">
        <v>266</v>
      </c>
      <c r="O1271" s="1" t="s">
        <v>643</v>
      </c>
      <c r="P1271" s="1" t="str">
        <f t="shared" si="75"/>
        <v>ARAGUATINS 1.2Inverter(MBUS-12)46049,506944444446049,506944444446049,5520833333</v>
      </c>
      <c r="Q1271" s="1" t="str">
        <f t="shared" si="76"/>
        <v>LIGRFOCOM</v>
      </c>
    </row>
    <row r="1272" spans="2:17">
      <c r="B1272" s="1" t="s">
        <v>360</v>
      </c>
      <c r="C1272" s="1" t="s">
        <v>357</v>
      </c>
      <c r="D1272" s="52">
        <v>46049.506944444445</v>
      </c>
      <c r="E1272" s="52">
        <v>46049.506944444445</v>
      </c>
      <c r="F1272" s="52">
        <v>46049.552083333336</v>
      </c>
      <c r="G1272" s="53">
        <f t="shared" si="74"/>
        <v>4.5138888890505768E-2</v>
      </c>
      <c r="H1272" s="1" t="s">
        <v>260</v>
      </c>
      <c r="I1272" s="1" t="s">
        <v>261</v>
      </c>
      <c r="J1272" s="1" t="s">
        <v>262</v>
      </c>
      <c r="K1272" s="1" t="s">
        <v>263</v>
      </c>
      <c r="L1272" s="1" t="s">
        <v>264</v>
      </c>
      <c r="M1272" s="1" t="s">
        <v>265</v>
      </c>
      <c r="N1272" s="1" t="s">
        <v>266</v>
      </c>
      <c r="O1272" s="1" t="s">
        <v>643</v>
      </c>
      <c r="P1272" s="1" t="str">
        <f t="shared" si="75"/>
        <v>ARAGUATINS 1.2Inverter(MBUS-13)46049,506944444446049,506944444446049,5520833333</v>
      </c>
      <c r="Q1272" s="1" t="str">
        <f t="shared" si="76"/>
        <v>LIGRFOCOM</v>
      </c>
    </row>
    <row r="1273" spans="2:17">
      <c r="B1273" s="1" t="s">
        <v>360</v>
      </c>
      <c r="C1273" s="1" t="s">
        <v>358</v>
      </c>
      <c r="D1273" s="52">
        <v>46049.506944444445</v>
      </c>
      <c r="E1273" s="52">
        <v>46049.506944444445</v>
      </c>
      <c r="F1273" s="52">
        <v>46049.552083333336</v>
      </c>
      <c r="G1273" s="53">
        <f t="shared" si="74"/>
        <v>4.5138888890505768E-2</v>
      </c>
      <c r="H1273" s="1" t="s">
        <v>260</v>
      </c>
      <c r="I1273" s="1" t="s">
        <v>261</v>
      </c>
      <c r="J1273" s="1" t="s">
        <v>262</v>
      </c>
      <c r="K1273" s="1" t="s">
        <v>263</v>
      </c>
      <c r="L1273" s="1" t="s">
        <v>264</v>
      </c>
      <c r="M1273" s="1" t="s">
        <v>265</v>
      </c>
      <c r="N1273" s="1" t="s">
        <v>266</v>
      </c>
      <c r="O1273" s="1" t="s">
        <v>643</v>
      </c>
      <c r="P1273" s="1" t="str">
        <f t="shared" si="75"/>
        <v>ARAGUATINS 1.2Inverter(MBUS-14)46049,506944444446049,506944444446049,5520833333</v>
      </c>
      <c r="Q1273" s="1" t="str">
        <f t="shared" si="76"/>
        <v>LIGRFOCOM</v>
      </c>
    </row>
    <row r="1274" spans="2:17">
      <c r="B1274" s="1" t="s">
        <v>360</v>
      </c>
      <c r="C1274" s="1" t="s">
        <v>359</v>
      </c>
      <c r="D1274" s="52">
        <v>46049.506944444445</v>
      </c>
      <c r="E1274" s="52">
        <v>46049.506944444445</v>
      </c>
      <c r="F1274" s="52">
        <v>46049.552083333336</v>
      </c>
      <c r="G1274" s="53">
        <f t="shared" si="74"/>
        <v>4.5138888890505768E-2</v>
      </c>
      <c r="H1274" s="1" t="s">
        <v>260</v>
      </c>
      <c r="I1274" s="1" t="s">
        <v>261</v>
      </c>
      <c r="J1274" s="1" t="s">
        <v>262</v>
      </c>
      <c r="K1274" s="1" t="s">
        <v>263</v>
      </c>
      <c r="L1274" s="1" t="s">
        <v>264</v>
      </c>
      <c r="M1274" s="1" t="s">
        <v>265</v>
      </c>
      <c r="N1274" s="1" t="s">
        <v>266</v>
      </c>
      <c r="O1274" s="1" t="s">
        <v>643</v>
      </c>
      <c r="P1274" s="1" t="str">
        <f t="shared" si="75"/>
        <v>ARAGUATINS 1.2Inverter(MBUS-15)46049,506944444446049,506944444446049,5520833333</v>
      </c>
      <c r="Q1274" s="1" t="str">
        <f t="shared" si="76"/>
        <v>LIGRFOCOM</v>
      </c>
    </row>
    <row r="1275" spans="2:17">
      <c r="B1275" s="1" t="s">
        <v>361</v>
      </c>
      <c r="C1275" s="1" t="s">
        <v>362</v>
      </c>
      <c r="D1275" s="52">
        <v>46049.506944444445</v>
      </c>
      <c r="E1275" s="52">
        <v>46049.506944444445</v>
      </c>
      <c r="F1275" s="52">
        <v>46049.552083333336</v>
      </c>
      <c r="G1275" s="53">
        <f t="shared" si="74"/>
        <v>4.5138888890505768E-2</v>
      </c>
      <c r="H1275" s="1" t="s">
        <v>260</v>
      </c>
      <c r="I1275" s="1" t="s">
        <v>261</v>
      </c>
      <c r="J1275" s="1" t="s">
        <v>262</v>
      </c>
      <c r="K1275" s="1" t="s">
        <v>263</v>
      </c>
      <c r="L1275" s="1" t="s">
        <v>264</v>
      </c>
      <c r="M1275" s="1" t="s">
        <v>265</v>
      </c>
      <c r="N1275" s="1" t="s">
        <v>266</v>
      </c>
      <c r="O1275" s="1" t="s">
        <v>643</v>
      </c>
      <c r="P1275" s="1" t="str">
        <f t="shared" si="75"/>
        <v>ARAGUATINS 1.3Inverter(MBUS-20)46049,506944444446049,506944444446049,5520833333</v>
      </c>
      <c r="Q1275" s="1" t="str">
        <f t="shared" si="76"/>
        <v>LIGRFOCOM</v>
      </c>
    </row>
    <row r="1276" spans="2:17">
      <c r="B1276" s="1" t="s">
        <v>361</v>
      </c>
      <c r="C1276" s="1" t="s">
        <v>328</v>
      </c>
      <c r="D1276" s="52">
        <v>46049.506944444445</v>
      </c>
      <c r="E1276" s="52">
        <v>46049.506944444445</v>
      </c>
      <c r="F1276" s="52">
        <v>46049.552083333336</v>
      </c>
      <c r="G1276" s="53">
        <f t="shared" si="74"/>
        <v>4.5138888890505768E-2</v>
      </c>
      <c r="H1276" s="1" t="s">
        <v>260</v>
      </c>
      <c r="I1276" s="1" t="s">
        <v>261</v>
      </c>
      <c r="J1276" s="1" t="s">
        <v>262</v>
      </c>
      <c r="K1276" s="1" t="s">
        <v>263</v>
      </c>
      <c r="L1276" s="1" t="s">
        <v>264</v>
      </c>
      <c r="M1276" s="1" t="s">
        <v>265</v>
      </c>
      <c r="N1276" s="1" t="s">
        <v>266</v>
      </c>
      <c r="O1276" s="1" t="s">
        <v>643</v>
      </c>
      <c r="P1276" s="1" t="str">
        <f t="shared" si="75"/>
        <v>ARAGUATINS 1.3Inverter(MBUS-1)46049,506944444446049,506944444446049,5520833333</v>
      </c>
      <c r="Q1276" s="1" t="str">
        <f t="shared" si="76"/>
        <v>LIGRFOCOM</v>
      </c>
    </row>
    <row r="1277" spans="2:17">
      <c r="B1277" s="1" t="s">
        <v>363</v>
      </c>
      <c r="C1277" s="1" t="s">
        <v>354</v>
      </c>
      <c r="D1277" s="52">
        <v>46049.506944444445</v>
      </c>
      <c r="E1277" s="52">
        <v>46049.506944444445</v>
      </c>
      <c r="F1277" s="52">
        <v>46049.552083333336</v>
      </c>
      <c r="G1277" s="53">
        <f t="shared" si="74"/>
        <v>4.5138888890505768E-2</v>
      </c>
      <c r="H1277" s="1" t="s">
        <v>260</v>
      </c>
      <c r="I1277" s="1" t="s">
        <v>261</v>
      </c>
      <c r="J1277" s="1" t="s">
        <v>262</v>
      </c>
      <c r="K1277" s="1" t="s">
        <v>263</v>
      </c>
      <c r="L1277" s="1" t="s">
        <v>264</v>
      </c>
      <c r="M1277" s="1" t="s">
        <v>265</v>
      </c>
      <c r="N1277" s="1" t="s">
        <v>266</v>
      </c>
      <c r="O1277" s="1" t="s">
        <v>643</v>
      </c>
      <c r="P1277" s="1" t="str">
        <f t="shared" si="75"/>
        <v>ARAGUATINS 2.1Inverter(MBUS-12)46049,506944444446049,506944444446049,5520833333</v>
      </c>
      <c r="Q1277" s="1" t="str">
        <f t="shared" si="76"/>
        <v>LIGRFOCOM</v>
      </c>
    </row>
    <row r="1278" spans="2:17">
      <c r="B1278" s="1" t="s">
        <v>363</v>
      </c>
      <c r="C1278" s="1" t="s">
        <v>359</v>
      </c>
      <c r="D1278" s="52">
        <v>46049.506944444445</v>
      </c>
      <c r="E1278" s="52">
        <v>46049.506944444445</v>
      </c>
      <c r="F1278" s="52">
        <v>46049.552083333336</v>
      </c>
      <c r="G1278" s="53">
        <f t="shared" si="74"/>
        <v>4.5138888890505768E-2</v>
      </c>
      <c r="H1278" s="1" t="s">
        <v>260</v>
      </c>
      <c r="I1278" s="1" t="s">
        <v>261</v>
      </c>
      <c r="J1278" s="1" t="s">
        <v>262</v>
      </c>
      <c r="K1278" s="1" t="s">
        <v>263</v>
      </c>
      <c r="L1278" s="1" t="s">
        <v>264</v>
      </c>
      <c r="M1278" s="1" t="s">
        <v>265</v>
      </c>
      <c r="N1278" s="1" t="s">
        <v>266</v>
      </c>
      <c r="O1278" s="1" t="s">
        <v>643</v>
      </c>
      <c r="P1278" s="1" t="str">
        <f t="shared" si="75"/>
        <v>ARAGUATINS 2.1Inverter(MBUS-15)46049,506944444446049,506944444446049,5520833333</v>
      </c>
      <c r="Q1278" s="1" t="str">
        <f t="shared" si="76"/>
        <v>LIGRFOCOM</v>
      </c>
    </row>
    <row r="1279" spans="2:17">
      <c r="B1279" s="1" t="s">
        <v>363</v>
      </c>
      <c r="C1279" s="1" t="s">
        <v>358</v>
      </c>
      <c r="D1279" s="52">
        <v>46049.506944444445</v>
      </c>
      <c r="E1279" s="52">
        <v>46049.506944444445</v>
      </c>
      <c r="F1279" s="52">
        <v>46049.552083333336</v>
      </c>
      <c r="G1279" s="53">
        <f t="shared" si="74"/>
        <v>4.5138888890505768E-2</v>
      </c>
      <c r="H1279" s="1" t="s">
        <v>260</v>
      </c>
      <c r="I1279" s="1" t="s">
        <v>261</v>
      </c>
      <c r="J1279" s="1" t="s">
        <v>262</v>
      </c>
      <c r="K1279" s="1" t="s">
        <v>263</v>
      </c>
      <c r="L1279" s="1" t="s">
        <v>264</v>
      </c>
      <c r="M1279" s="1" t="s">
        <v>265</v>
      </c>
      <c r="N1279" s="1" t="s">
        <v>266</v>
      </c>
      <c r="O1279" s="1" t="s">
        <v>643</v>
      </c>
      <c r="P1279" s="1" t="str">
        <f t="shared" si="75"/>
        <v>ARAGUATINS 2.1Inverter(MBUS-14)46049,506944444446049,506944444446049,5520833333</v>
      </c>
      <c r="Q1279" s="1" t="str">
        <f t="shared" si="76"/>
        <v>LIGRFOCOM</v>
      </c>
    </row>
    <row r="1280" spans="2:17">
      <c r="B1280" s="1" t="s">
        <v>363</v>
      </c>
      <c r="C1280" s="1" t="s">
        <v>328</v>
      </c>
      <c r="D1280" s="52">
        <v>46049.506944444445</v>
      </c>
      <c r="E1280" s="52">
        <v>46049.506944444445</v>
      </c>
      <c r="F1280" s="52">
        <v>46049.552083333336</v>
      </c>
      <c r="G1280" s="53">
        <f t="shared" si="74"/>
        <v>4.5138888890505768E-2</v>
      </c>
      <c r="H1280" s="1" t="s">
        <v>260</v>
      </c>
      <c r="I1280" s="1" t="s">
        <v>261</v>
      </c>
      <c r="J1280" s="1" t="s">
        <v>262</v>
      </c>
      <c r="K1280" s="1" t="s">
        <v>263</v>
      </c>
      <c r="L1280" s="1" t="s">
        <v>264</v>
      </c>
      <c r="M1280" s="1" t="s">
        <v>265</v>
      </c>
      <c r="N1280" s="1" t="s">
        <v>266</v>
      </c>
      <c r="O1280" s="1" t="s">
        <v>643</v>
      </c>
      <c r="P1280" s="1" t="str">
        <f t="shared" si="75"/>
        <v>ARAGUATINS 2.1Inverter(MBUS-1)46049,506944444446049,506944444446049,5520833333</v>
      </c>
      <c r="Q1280" s="1" t="str">
        <f t="shared" si="76"/>
        <v>LIGRFOCOM</v>
      </c>
    </row>
    <row r="1281" spans="2:17">
      <c r="B1281" s="1" t="s">
        <v>369</v>
      </c>
      <c r="C1281" s="1" t="s">
        <v>359</v>
      </c>
      <c r="D1281" s="52">
        <v>46049.506944444445</v>
      </c>
      <c r="E1281" s="52">
        <v>46049.506944444445</v>
      </c>
      <c r="F1281" s="52">
        <v>46049.552083333336</v>
      </c>
      <c r="G1281" s="53">
        <f t="shared" si="74"/>
        <v>4.5138888890505768E-2</v>
      </c>
      <c r="H1281" s="1" t="s">
        <v>260</v>
      </c>
      <c r="I1281" s="1" t="s">
        <v>261</v>
      </c>
      <c r="J1281" s="1" t="s">
        <v>262</v>
      </c>
      <c r="K1281" s="1" t="s">
        <v>263</v>
      </c>
      <c r="L1281" s="1" t="s">
        <v>264</v>
      </c>
      <c r="M1281" s="1" t="s">
        <v>265</v>
      </c>
      <c r="N1281" s="1" t="s">
        <v>266</v>
      </c>
      <c r="O1281" s="1" t="s">
        <v>643</v>
      </c>
      <c r="P1281" s="1" t="str">
        <f t="shared" si="75"/>
        <v>ARAGUATINS 2.2Inverter(MBUS-15)46049,506944444446049,506944444446049,5520833333</v>
      </c>
      <c r="Q1281" s="1" t="str">
        <f t="shared" si="76"/>
        <v>LIGRFOCOM</v>
      </c>
    </row>
    <row r="1282" spans="2:17">
      <c r="B1282" s="1" t="s">
        <v>369</v>
      </c>
      <c r="C1282" s="1" t="s">
        <v>357</v>
      </c>
      <c r="D1282" s="52">
        <v>46049.506944444445</v>
      </c>
      <c r="E1282" s="52">
        <v>46049.506944444445</v>
      </c>
      <c r="F1282" s="52">
        <v>46049.552083333336</v>
      </c>
      <c r="G1282" s="53">
        <f t="shared" si="74"/>
        <v>4.5138888890505768E-2</v>
      </c>
      <c r="H1282" s="1" t="s">
        <v>260</v>
      </c>
      <c r="I1282" s="1" t="s">
        <v>261</v>
      </c>
      <c r="J1282" s="1" t="s">
        <v>262</v>
      </c>
      <c r="K1282" s="1" t="s">
        <v>263</v>
      </c>
      <c r="L1282" s="1" t="s">
        <v>264</v>
      </c>
      <c r="M1282" s="1" t="s">
        <v>265</v>
      </c>
      <c r="N1282" s="1" t="s">
        <v>266</v>
      </c>
      <c r="O1282" s="1" t="s">
        <v>643</v>
      </c>
      <c r="P1282" s="1" t="str">
        <f t="shared" si="75"/>
        <v>ARAGUATINS 2.2Inverter(MBUS-13)46049,506944444446049,506944444446049,5520833333</v>
      </c>
      <c r="Q1282" s="1" t="str">
        <f t="shared" si="76"/>
        <v>LIGRFOCOM</v>
      </c>
    </row>
    <row r="1283" spans="2:17">
      <c r="B1283" s="1" t="s">
        <v>369</v>
      </c>
      <c r="C1283" s="1" t="s">
        <v>358</v>
      </c>
      <c r="D1283" s="52">
        <v>46049.506944444445</v>
      </c>
      <c r="E1283" s="52">
        <v>46049.506944444445</v>
      </c>
      <c r="F1283" s="52">
        <v>46049.552083333336</v>
      </c>
      <c r="G1283" s="53">
        <f t="shared" si="74"/>
        <v>4.5138888890505768E-2</v>
      </c>
      <c r="H1283" s="1" t="s">
        <v>260</v>
      </c>
      <c r="I1283" s="1" t="s">
        <v>261</v>
      </c>
      <c r="J1283" s="1" t="s">
        <v>262</v>
      </c>
      <c r="K1283" s="1" t="s">
        <v>263</v>
      </c>
      <c r="L1283" s="1" t="s">
        <v>264</v>
      </c>
      <c r="M1283" s="1" t="s">
        <v>265</v>
      </c>
      <c r="N1283" s="1" t="s">
        <v>266</v>
      </c>
      <c r="O1283" s="1" t="s">
        <v>643</v>
      </c>
      <c r="P1283" s="1" t="str">
        <f t="shared" si="75"/>
        <v>ARAGUATINS 2.2Inverter(MBUS-14)46049,506944444446049,506944444446049,5520833333</v>
      </c>
      <c r="Q1283" s="1" t="str">
        <f t="shared" si="76"/>
        <v>LIGRFOCOM</v>
      </c>
    </row>
    <row r="1284" spans="2:17">
      <c r="B1284" s="1" t="s">
        <v>369</v>
      </c>
      <c r="C1284" s="1" t="s">
        <v>354</v>
      </c>
      <c r="D1284" s="52">
        <v>46049.506944444445</v>
      </c>
      <c r="E1284" s="52">
        <v>46049.506944444445</v>
      </c>
      <c r="F1284" s="52">
        <v>46049.552083333336</v>
      </c>
      <c r="G1284" s="53">
        <f t="shared" si="74"/>
        <v>4.5138888890505768E-2</v>
      </c>
      <c r="H1284" s="1" t="s">
        <v>260</v>
      </c>
      <c r="I1284" s="1" t="s">
        <v>261</v>
      </c>
      <c r="J1284" s="1" t="s">
        <v>262</v>
      </c>
      <c r="K1284" s="1" t="s">
        <v>263</v>
      </c>
      <c r="L1284" s="1" t="s">
        <v>264</v>
      </c>
      <c r="M1284" s="1" t="s">
        <v>265</v>
      </c>
      <c r="N1284" s="1" t="s">
        <v>266</v>
      </c>
      <c r="O1284" s="1" t="s">
        <v>643</v>
      </c>
      <c r="P1284" s="1" t="str">
        <f t="shared" si="75"/>
        <v>ARAGUATINS 2.2Inverter(MBUS-12)46049,506944444446049,506944444446049,5520833333</v>
      </c>
      <c r="Q1284" s="1" t="str">
        <f t="shared" si="76"/>
        <v>LIGRFOCOM</v>
      </c>
    </row>
    <row r="1285" spans="2:17">
      <c r="B1285" s="1" t="s">
        <v>370</v>
      </c>
      <c r="C1285" s="1" t="s">
        <v>354</v>
      </c>
      <c r="D1285" s="52">
        <v>46049.506944444445</v>
      </c>
      <c r="E1285" s="52">
        <v>46049.506944444445</v>
      </c>
      <c r="F1285" s="52">
        <v>46049.552083333336</v>
      </c>
      <c r="G1285" s="53">
        <f t="shared" si="74"/>
        <v>4.5138888890505768E-2</v>
      </c>
      <c r="H1285" s="1" t="s">
        <v>260</v>
      </c>
      <c r="I1285" s="1" t="s">
        <v>261</v>
      </c>
      <c r="J1285" s="1" t="s">
        <v>262</v>
      </c>
      <c r="K1285" s="1" t="s">
        <v>263</v>
      </c>
      <c r="L1285" s="1" t="s">
        <v>264</v>
      </c>
      <c r="M1285" s="1" t="s">
        <v>265</v>
      </c>
      <c r="N1285" s="1" t="s">
        <v>266</v>
      </c>
      <c r="O1285" s="1" t="s">
        <v>643</v>
      </c>
      <c r="P1285" s="1" t="str">
        <f t="shared" si="75"/>
        <v>ARAGUATINS 2.3Inverter(MBUS-12)46049,506944444446049,506944444446049,5520833333</v>
      </c>
      <c r="Q1285" s="1" t="str">
        <f t="shared" si="76"/>
        <v>LIGRFOCOM</v>
      </c>
    </row>
    <row r="1286" spans="2:17">
      <c r="B1286" s="1" t="s">
        <v>370</v>
      </c>
      <c r="C1286" s="1" t="s">
        <v>357</v>
      </c>
      <c r="D1286" s="52">
        <v>46049.506944444445</v>
      </c>
      <c r="E1286" s="52">
        <v>46049.506944444445</v>
      </c>
      <c r="F1286" s="52">
        <v>46049.552083333336</v>
      </c>
      <c r="G1286" s="53">
        <f t="shared" si="74"/>
        <v>4.5138888890505768E-2</v>
      </c>
      <c r="H1286" s="1" t="s">
        <v>260</v>
      </c>
      <c r="I1286" s="1" t="s">
        <v>261</v>
      </c>
      <c r="J1286" s="1" t="s">
        <v>262</v>
      </c>
      <c r="K1286" s="1" t="s">
        <v>263</v>
      </c>
      <c r="L1286" s="1" t="s">
        <v>264</v>
      </c>
      <c r="M1286" s="1" t="s">
        <v>265</v>
      </c>
      <c r="N1286" s="1" t="s">
        <v>266</v>
      </c>
      <c r="O1286" s="1" t="s">
        <v>643</v>
      </c>
      <c r="P1286" s="1" t="str">
        <f t="shared" si="75"/>
        <v>ARAGUATINS 2.3Inverter(MBUS-13)46049,506944444446049,506944444446049,5520833333</v>
      </c>
      <c r="Q1286" s="1" t="str">
        <f t="shared" si="76"/>
        <v>LIGRFOCOM</v>
      </c>
    </row>
    <row r="1287" spans="2:17">
      <c r="B1287" s="1" t="s">
        <v>644</v>
      </c>
      <c r="C1287" s="1" t="s">
        <v>328</v>
      </c>
      <c r="D1287" s="52">
        <v>46049.513888888891</v>
      </c>
      <c r="E1287" s="52">
        <v>46049.513888888891</v>
      </c>
      <c r="G1287" s="53">
        <f t="shared" si="74"/>
        <v>-46049.513888888891</v>
      </c>
      <c r="H1287" s="1" t="s">
        <v>248</v>
      </c>
      <c r="J1287" s="1" t="s">
        <v>300</v>
      </c>
      <c r="K1287" s="1" t="s">
        <v>350</v>
      </c>
      <c r="L1287" s="1" t="s">
        <v>645</v>
      </c>
      <c r="M1287" s="1" t="s">
        <v>375</v>
      </c>
      <c r="N1287" s="1" t="s">
        <v>266</v>
      </c>
      <c r="O1287" s="72" t="s">
        <v>646</v>
      </c>
      <c r="P1287" s="1" t="str">
        <f t="shared" si="75"/>
        <v>BC Vazante2.2Inverter(MBUS-1)46049,513888888946049,5138888889</v>
      </c>
      <c r="Q1287" s="1" t="e">
        <f>_xlfn.CONCAT(#REF!,H1287,J1287)</f>
        <v>#REF!</v>
      </c>
    </row>
    <row r="1288" spans="2:17">
      <c r="B1288" s="1" t="s">
        <v>437</v>
      </c>
      <c r="C1288" s="1" t="s">
        <v>354</v>
      </c>
      <c r="D1288" s="52">
        <v>46049.486111111109</v>
      </c>
      <c r="E1288" s="52">
        <v>46049.486111111109</v>
      </c>
      <c r="F1288" s="52">
        <v>46049.800694444442</v>
      </c>
      <c r="G1288" s="53">
        <f t="shared" si="74"/>
        <v>0.31458333333284827</v>
      </c>
      <c r="H1288" s="1" t="s">
        <v>343</v>
      </c>
      <c r="J1288" s="1" t="s">
        <v>230</v>
      </c>
      <c r="K1288" s="1" t="s">
        <v>230</v>
      </c>
      <c r="L1288" s="1" t="s">
        <v>647</v>
      </c>
      <c r="M1288" s="1" t="s">
        <v>302</v>
      </c>
      <c r="N1288" s="1" t="s">
        <v>252</v>
      </c>
      <c r="O1288" s="1" t="s">
        <v>648</v>
      </c>
      <c r="P1288" s="1" t="str">
        <f t="shared" si="75"/>
        <v>BC Ibiuna 1.1Inverter(MBUS-12)46049,486111111146049,486111111146049,8006944444</v>
      </c>
      <c r="Q1288" s="1" t="str">
        <f t="shared" si="76"/>
        <v>DPRUFV</v>
      </c>
    </row>
    <row r="1289" spans="2:17">
      <c r="B1289" s="1" t="s">
        <v>437</v>
      </c>
      <c r="C1289" s="1" t="s">
        <v>357</v>
      </c>
      <c r="D1289" s="52">
        <v>46049.486111111109</v>
      </c>
      <c r="E1289" s="52">
        <v>46049.486111111109</v>
      </c>
      <c r="F1289" s="52">
        <v>46049.800694444442</v>
      </c>
      <c r="G1289" s="53">
        <f t="shared" ref="G1289:G1352" si="77">F1289-E1289</f>
        <v>0.31458333333284827</v>
      </c>
      <c r="H1289" s="1" t="s">
        <v>343</v>
      </c>
      <c r="J1289" s="1" t="s">
        <v>230</v>
      </c>
      <c r="K1289" s="1" t="s">
        <v>230</v>
      </c>
      <c r="L1289" s="1" t="s">
        <v>647</v>
      </c>
      <c r="M1289" s="1" t="s">
        <v>302</v>
      </c>
      <c r="N1289" s="1" t="s">
        <v>252</v>
      </c>
      <c r="O1289" s="1" t="s">
        <v>648</v>
      </c>
      <c r="P1289" s="1" t="str">
        <f t="shared" si="75"/>
        <v>BC Ibiuna 1.1Inverter(MBUS-13)46049,486111111146049,486111111146049,8006944444</v>
      </c>
      <c r="Q1289" s="1" t="str">
        <f t="shared" si="76"/>
        <v>DPRUFV</v>
      </c>
    </row>
    <row r="1290" spans="2:17">
      <c r="B1290" s="1" t="s">
        <v>437</v>
      </c>
      <c r="C1290" s="1" t="s">
        <v>358</v>
      </c>
      <c r="D1290" s="52">
        <v>46049.486111111109</v>
      </c>
      <c r="E1290" s="52">
        <v>46049.486111111109</v>
      </c>
      <c r="F1290" s="52">
        <v>46049.800694444442</v>
      </c>
      <c r="G1290" s="53">
        <f t="shared" si="77"/>
        <v>0.31458333333284827</v>
      </c>
      <c r="H1290" s="1" t="s">
        <v>343</v>
      </c>
      <c r="J1290" s="1" t="s">
        <v>230</v>
      </c>
      <c r="K1290" s="1" t="s">
        <v>230</v>
      </c>
      <c r="L1290" s="1" t="s">
        <v>647</v>
      </c>
      <c r="M1290" s="1" t="s">
        <v>302</v>
      </c>
      <c r="N1290" s="1" t="s">
        <v>252</v>
      </c>
      <c r="O1290" s="1" t="s">
        <v>648</v>
      </c>
      <c r="P1290" s="1" t="str">
        <f t="shared" si="75"/>
        <v>BC Ibiuna 1.1Inverter(MBUS-14)46049,486111111146049,486111111146049,8006944444</v>
      </c>
      <c r="Q1290" s="1" t="str">
        <f t="shared" si="76"/>
        <v>DPRUFV</v>
      </c>
    </row>
    <row r="1291" spans="2:17">
      <c r="B1291" s="1" t="s">
        <v>437</v>
      </c>
      <c r="C1291" s="1" t="s">
        <v>359</v>
      </c>
      <c r="D1291" s="52">
        <v>46049.486111111109</v>
      </c>
      <c r="E1291" s="52">
        <v>46049.486111111109</v>
      </c>
      <c r="F1291" s="52">
        <v>46049.800694444442</v>
      </c>
      <c r="G1291" s="53">
        <f t="shared" si="77"/>
        <v>0.31458333333284827</v>
      </c>
      <c r="H1291" s="1" t="s">
        <v>343</v>
      </c>
      <c r="J1291" s="1" t="s">
        <v>230</v>
      </c>
      <c r="K1291" s="1" t="s">
        <v>230</v>
      </c>
      <c r="L1291" s="1" t="s">
        <v>647</v>
      </c>
      <c r="M1291" s="1" t="s">
        <v>302</v>
      </c>
      <c r="N1291" s="1" t="s">
        <v>252</v>
      </c>
      <c r="O1291" s="1" t="s">
        <v>648</v>
      </c>
      <c r="P1291" s="1" t="str">
        <f t="shared" si="75"/>
        <v>BC Ibiuna 1.1Inverter(MBUS-15)46049,486111111146049,486111111146049,8006944444</v>
      </c>
      <c r="Q1291" s="1" t="str">
        <f t="shared" si="76"/>
        <v>DPRUFV</v>
      </c>
    </row>
    <row r="1292" spans="2:17">
      <c r="B1292" s="1" t="s">
        <v>439</v>
      </c>
      <c r="C1292" s="1" t="s">
        <v>354</v>
      </c>
      <c r="D1292" s="52">
        <v>46049.486111111109</v>
      </c>
      <c r="E1292" s="52">
        <v>46049.486111111109</v>
      </c>
      <c r="F1292" s="52">
        <v>46049.800694444442</v>
      </c>
      <c r="G1292" s="53">
        <f t="shared" si="77"/>
        <v>0.31458333333284827</v>
      </c>
      <c r="H1292" s="1" t="s">
        <v>343</v>
      </c>
      <c r="J1292" s="1" t="s">
        <v>230</v>
      </c>
      <c r="K1292" s="1" t="s">
        <v>230</v>
      </c>
      <c r="L1292" s="1" t="s">
        <v>647</v>
      </c>
      <c r="M1292" s="1" t="s">
        <v>302</v>
      </c>
      <c r="N1292" s="1" t="s">
        <v>252</v>
      </c>
      <c r="O1292" s="1" t="s">
        <v>648</v>
      </c>
      <c r="P1292" s="1" t="str">
        <f t="shared" si="75"/>
        <v>BC Ibiuna 1.2Inverter(MBUS-12)46049,486111111146049,486111111146049,8006944444</v>
      </c>
      <c r="Q1292" s="1" t="str">
        <f t="shared" si="76"/>
        <v>DPRUFV</v>
      </c>
    </row>
    <row r="1293" spans="2:17">
      <c r="B1293" s="1" t="s">
        <v>439</v>
      </c>
      <c r="C1293" s="1" t="s">
        <v>357</v>
      </c>
      <c r="D1293" s="52">
        <v>46049.486111111109</v>
      </c>
      <c r="E1293" s="52">
        <v>46049.486111111109</v>
      </c>
      <c r="F1293" s="52">
        <v>46049.800694444442</v>
      </c>
      <c r="G1293" s="53">
        <f t="shared" si="77"/>
        <v>0.31458333333284827</v>
      </c>
      <c r="H1293" s="1" t="s">
        <v>343</v>
      </c>
      <c r="J1293" s="1" t="s">
        <v>230</v>
      </c>
      <c r="K1293" s="1" t="s">
        <v>230</v>
      </c>
      <c r="L1293" s="1" t="s">
        <v>647</v>
      </c>
      <c r="M1293" s="1" t="s">
        <v>302</v>
      </c>
      <c r="N1293" s="1" t="s">
        <v>252</v>
      </c>
      <c r="O1293" s="1" t="s">
        <v>648</v>
      </c>
      <c r="P1293" s="1" t="str">
        <f t="shared" si="75"/>
        <v>BC Ibiuna 1.2Inverter(MBUS-13)46049,486111111146049,486111111146049,8006944444</v>
      </c>
      <c r="Q1293" s="1" t="str">
        <f t="shared" si="76"/>
        <v>DPRUFV</v>
      </c>
    </row>
    <row r="1294" spans="2:17">
      <c r="B1294" s="1" t="s">
        <v>439</v>
      </c>
      <c r="C1294" s="1" t="s">
        <v>358</v>
      </c>
      <c r="D1294" s="52">
        <v>46049.486111111109</v>
      </c>
      <c r="E1294" s="52">
        <v>46049.486111111109</v>
      </c>
      <c r="F1294" s="52">
        <v>46049.800694444442</v>
      </c>
      <c r="G1294" s="53">
        <f t="shared" si="77"/>
        <v>0.31458333333284827</v>
      </c>
      <c r="H1294" s="1" t="s">
        <v>343</v>
      </c>
      <c r="J1294" s="1" t="s">
        <v>230</v>
      </c>
      <c r="K1294" s="1" t="s">
        <v>230</v>
      </c>
      <c r="L1294" s="1" t="s">
        <v>647</v>
      </c>
      <c r="M1294" s="1" t="s">
        <v>302</v>
      </c>
      <c r="N1294" s="1" t="s">
        <v>252</v>
      </c>
      <c r="O1294" s="1" t="s">
        <v>648</v>
      </c>
      <c r="P1294" s="1" t="str">
        <f t="shared" si="75"/>
        <v>BC Ibiuna 1.2Inverter(MBUS-14)46049,486111111146049,486111111146049,8006944444</v>
      </c>
      <c r="Q1294" s="1" t="str">
        <f t="shared" si="76"/>
        <v>DPRUFV</v>
      </c>
    </row>
    <row r="1295" spans="2:17">
      <c r="B1295" s="1" t="s">
        <v>439</v>
      </c>
      <c r="C1295" s="1" t="s">
        <v>359</v>
      </c>
      <c r="D1295" s="52">
        <v>46049.486111111109</v>
      </c>
      <c r="E1295" s="52">
        <v>46049.486111111109</v>
      </c>
      <c r="F1295" s="52">
        <v>46049.800694444442</v>
      </c>
      <c r="G1295" s="53">
        <f t="shared" si="77"/>
        <v>0.31458333333284827</v>
      </c>
      <c r="H1295" s="1" t="s">
        <v>343</v>
      </c>
      <c r="J1295" s="1" t="s">
        <v>230</v>
      </c>
      <c r="K1295" s="1" t="s">
        <v>230</v>
      </c>
      <c r="L1295" s="1" t="s">
        <v>647</v>
      </c>
      <c r="M1295" s="1" t="s">
        <v>302</v>
      </c>
      <c r="N1295" s="1" t="s">
        <v>252</v>
      </c>
      <c r="O1295" s="1" t="s">
        <v>648</v>
      </c>
      <c r="P1295" s="1" t="str">
        <f t="shared" si="75"/>
        <v>BC Ibiuna 1.2Inverter(MBUS-15)46049,486111111146049,486111111146049,8006944444</v>
      </c>
      <c r="Q1295" s="1" t="str">
        <f t="shared" si="76"/>
        <v>DPRUFV</v>
      </c>
    </row>
    <row r="1296" spans="2:17">
      <c r="B1296" s="1" t="s">
        <v>268</v>
      </c>
      <c r="C1296" s="1" t="s">
        <v>269</v>
      </c>
      <c r="D1296" s="52">
        <v>46049.600694444445</v>
      </c>
      <c r="E1296" s="52">
        <v>46049.600694444445</v>
      </c>
      <c r="F1296" s="52">
        <v>46049.680555555555</v>
      </c>
      <c r="G1296" s="53">
        <f t="shared" si="77"/>
        <v>7.9861111109494232E-2</v>
      </c>
      <c r="H1296" s="1" t="s">
        <v>248</v>
      </c>
      <c r="J1296" s="1" t="s">
        <v>249</v>
      </c>
      <c r="K1296" s="1" t="s">
        <v>349</v>
      </c>
      <c r="L1296" s="1" t="s">
        <v>649</v>
      </c>
      <c r="M1296" s="1" t="s">
        <v>251</v>
      </c>
      <c r="N1296" s="1" t="s">
        <v>252</v>
      </c>
      <c r="O1296" s="1" t="s">
        <v>638</v>
      </c>
      <c r="P1296" s="1" t="str">
        <f t="shared" si="75"/>
        <v>BC Caiaponia1SG60KTL(COM1-001)_001_00746049,600694444446049,600694444446049,6805555556</v>
      </c>
      <c r="Q1296" s="1" t="str">
        <f t="shared" si="76"/>
        <v>DAURDE</v>
      </c>
    </row>
    <row r="1297" spans="2:17">
      <c r="B1297" s="1" t="s">
        <v>268</v>
      </c>
      <c r="C1297" s="1" t="s">
        <v>270</v>
      </c>
      <c r="D1297" s="52">
        <v>46049.600694444445</v>
      </c>
      <c r="E1297" s="52">
        <v>46049.600694444445</v>
      </c>
      <c r="F1297" s="52">
        <v>46049.680555555555</v>
      </c>
      <c r="G1297" s="53">
        <f t="shared" si="77"/>
        <v>7.9861111109494232E-2</v>
      </c>
      <c r="H1297" s="1" t="s">
        <v>248</v>
      </c>
      <c r="J1297" s="1" t="s">
        <v>249</v>
      </c>
      <c r="K1297" s="1" t="s">
        <v>349</v>
      </c>
      <c r="L1297" s="1" t="s">
        <v>649</v>
      </c>
      <c r="M1297" s="1" t="s">
        <v>251</v>
      </c>
      <c r="N1297" s="1" t="s">
        <v>252</v>
      </c>
      <c r="O1297" s="1" t="s">
        <v>638</v>
      </c>
      <c r="P1297" s="1" t="str">
        <f t="shared" si="75"/>
        <v>BC Caiaponia1SG60KTL(COM1-002)_001_01046049,600694444446049,600694444446049,6805555556</v>
      </c>
      <c r="Q1297" s="1" t="str">
        <f t="shared" si="76"/>
        <v>DAURDE</v>
      </c>
    </row>
    <row r="1298" spans="2:17">
      <c r="B1298" s="1" t="s">
        <v>268</v>
      </c>
      <c r="C1298" s="1" t="s">
        <v>271</v>
      </c>
      <c r="D1298" s="52">
        <v>46049.600694444445</v>
      </c>
      <c r="E1298" s="52">
        <v>46049.600694444445</v>
      </c>
      <c r="F1298" s="52">
        <v>46049.680555555555</v>
      </c>
      <c r="G1298" s="53">
        <f t="shared" si="77"/>
        <v>7.9861111109494232E-2</v>
      </c>
      <c r="H1298" s="1" t="s">
        <v>248</v>
      </c>
      <c r="J1298" s="1" t="s">
        <v>249</v>
      </c>
      <c r="K1298" s="1" t="s">
        <v>349</v>
      </c>
      <c r="L1298" s="1" t="s">
        <v>649</v>
      </c>
      <c r="M1298" s="1" t="s">
        <v>251</v>
      </c>
      <c r="N1298" s="1" t="s">
        <v>252</v>
      </c>
      <c r="O1298" s="1" t="s">
        <v>638</v>
      </c>
      <c r="P1298" s="1" t="str">
        <f t="shared" si="75"/>
        <v>BC Caiaponia1SG60KTL(COM1-003)_001_01146049,600694444446049,600694444446049,6805555556</v>
      </c>
      <c r="Q1298" s="1" t="str">
        <f t="shared" si="76"/>
        <v>DAURDE</v>
      </c>
    </row>
    <row r="1299" spans="2:17">
      <c r="B1299" s="1" t="s">
        <v>268</v>
      </c>
      <c r="C1299" s="1" t="s">
        <v>272</v>
      </c>
      <c r="D1299" s="52">
        <v>46049.600694444445</v>
      </c>
      <c r="E1299" s="52">
        <v>46049.600694444445</v>
      </c>
      <c r="F1299" s="52">
        <v>46049.680555555555</v>
      </c>
      <c r="G1299" s="53">
        <f t="shared" si="77"/>
        <v>7.9861111109494232E-2</v>
      </c>
      <c r="H1299" s="1" t="s">
        <v>248</v>
      </c>
      <c r="J1299" s="1" t="s">
        <v>249</v>
      </c>
      <c r="K1299" s="1" t="s">
        <v>349</v>
      </c>
      <c r="L1299" s="1" t="s">
        <v>649</v>
      </c>
      <c r="M1299" s="1" t="s">
        <v>251</v>
      </c>
      <c r="N1299" s="1" t="s">
        <v>252</v>
      </c>
      <c r="O1299" s="1" t="s">
        <v>638</v>
      </c>
      <c r="P1299" s="1" t="str">
        <f t="shared" si="75"/>
        <v>BC Caiaponia1SG60KTL(COM1-004)_001_01446049,600694444446049,600694444446049,6805555556</v>
      </c>
      <c r="Q1299" s="1" t="str">
        <f t="shared" si="76"/>
        <v>DAURDE</v>
      </c>
    </row>
    <row r="1300" spans="2:17">
      <c r="B1300" s="1" t="s">
        <v>268</v>
      </c>
      <c r="C1300" s="1" t="s">
        <v>273</v>
      </c>
      <c r="D1300" s="52">
        <v>46049.600694444445</v>
      </c>
      <c r="E1300" s="52">
        <v>46049.600694444445</v>
      </c>
      <c r="F1300" s="52">
        <v>46049.680555555555</v>
      </c>
      <c r="G1300" s="53">
        <f t="shared" si="77"/>
        <v>7.9861111109494232E-2</v>
      </c>
      <c r="H1300" s="1" t="s">
        <v>248</v>
      </c>
      <c r="J1300" s="1" t="s">
        <v>249</v>
      </c>
      <c r="K1300" s="1" t="s">
        <v>349</v>
      </c>
      <c r="L1300" s="1" t="s">
        <v>649</v>
      </c>
      <c r="M1300" s="1" t="s">
        <v>251</v>
      </c>
      <c r="N1300" s="1" t="s">
        <v>252</v>
      </c>
      <c r="O1300" s="1" t="s">
        <v>638</v>
      </c>
      <c r="P1300" s="1" t="str">
        <f t="shared" si="75"/>
        <v>BC Caiaponia1SG60KTL(COM1-005)_001_01746049,600694444446049,600694444446049,6805555556</v>
      </c>
      <c r="Q1300" s="1" t="str">
        <f t="shared" si="76"/>
        <v>DAURDE</v>
      </c>
    </row>
    <row r="1301" spans="2:17">
      <c r="B1301" s="1" t="s">
        <v>268</v>
      </c>
      <c r="C1301" s="1" t="s">
        <v>274</v>
      </c>
      <c r="D1301" s="52">
        <v>46049.600694444445</v>
      </c>
      <c r="E1301" s="52">
        <v>46049.600694444445</v>
      </c>
      <c r="F1301" s="52">
        <v>46049.680555555555</v>
      </c>
      <c r="G1301" s="53">
        <f t="shared" si="77"/>
        <v>7.9861111109494232E-2</v>
      </c>
      <c r="H1301" s="1" t="s">
        <v>248</v>
      </c>
      <c r="J1301" s="1" t="s">
        <v>249</v>
      </c>
      <c r="K1301" s="1" t="s">
        <v>349</v>
      </c>
      <c r="L1301" s="1" t="s">
        <v>649</v>
      </c>
      <c r="M1301" s="1" t="s">
        <v>251</v>
      </c>
      <c r="N1301" s="1" t="s">
        <v>252</v>
      </c>
      <c r="O1301" s="1" t="s">
        <v>638</v>
      </c>
      <c r="P1301" s="1" t="str">
        <f t="shared" si="75"/>
        <v>BC Caiaponia1SG60KTL(COM1-006)_001_01646049,600694444446049,600694444446049,6805555556</v>
      </c>
      <c r="Q1301" s="1" t="str">
        <f t="shared" si="76"/>
        <v>DAURDE</v>
      </c>
    </row>
    <row r="1302" spans="2:17">
      <c r="B1302" s="1" t="s">
        <v>268</v>
      </c>
      <c r="C1302" s="1" t="s">
        <v>275</v>
      </c>
      <c r="D1302" s="52">
        <v>46049.600694444445</v>
      </c>
      <c r="E1302" s="52">
        <v>46049.600694444445</v>
      </c>
      <c r="F1302" s="52">
        <v>46049.680555555555</v>
      </c>
      <c r="G1302" s="53">
        <f t="shared" si="77"/>
        <v>7.9861111109494232E-2</v>
      </c>
      <c r="H1302" s="1" t="s">
        <v>248</v>
      </c>
      <c r="J1302" s="1" t="s">
        <v>249</v>
      </c>
      <c r="K1302" s="1" t="s">
        <v>349</v>
      </c>
      <c r="L1302" s="1" t="s">
        <v>649</v>
      </c>
      <c r="M1302" s="1" t="s">
        <v>251</v>
      </c>
      <c r="N1302" s="1" t="s">
        <v>252</v>
      </c>
      <c r="O1302" s="1" t="s">
        <v>638</v>
      </c>
      <c r="P1302" s="1" t="str">
        <f t="shared" si="75"/>
        <v>BC Caiaponia1SG60KTL(COM1-007)_001_01346049,600694444446049,600694444446049,6805555556</v>
      </c>
      <c r="Q1302" s="1" t="str">
        <f t="shared" si="76"/>
        <v>DAURDE</v>
      </c>
    </row>
    <row r="1303" spans="2:17">
      <c r="B1303" s="1" t="s">
        <v>268</v>
      </c>
      <c r="C1303" s="1" t="s">
        <v>276</v>
      </c>
      <c r="D1303" s="52">
        <v>46049.600694444445</v>
      </c>
      <c r="E1303" s="52">
        <v>46049.600694444445</v>
      </c>
      <c r="F1303" s="52">
        <v>46049.680555555555</v>
      </c>
      <c r="G1303" s="53">
        <f t="shared" si="77"/>
        <v>7.9861111109494232E-2</v>
      </c>
      <c r="H1303" s="1" t="s">
        <v>248</v>
      </c>
      <c r="J1303" s="1" t="s">
        <v>249</v>
      </c>
      <c r="K1303" s="1" t="s">
        <v>349</v>
      </c>
      <c r="L1303" s="1" t="s">
        <v>649</v>
      </c>
      <c r="M1303" s="1" t="s">
        <v>251</v>
      </c>
      <c r="N1303" s="1" t="s">
        <v>252</v>
      </c>
      <c r="O1303" s="1" t="s">
        <v>638</v>
      </c>
      <c r="P1303" s="1" t="str">
        <f t="shared" si="75"/>
        <v>BC Caiaponia1SG60KTL(COM1-008)_001_00146049,600694444446049,600694444446049,6805555556</v>
      </c>
      <c r="Q1303" s="1" t="str">
        <f t="shared" si="76"/>
        <v>DAURDE</v>
      </c>
    </row>
    <row r="1304" spans="2:17">
      <c r="B1304" s="1" t="s">
        <v>268</v>
      </c>
      <c r="C1304" s="1" t="s">
        <v>277</v>
      </c>
      <c r="D1304" s="52">
        <v>46049.600694444445</v>
      </c>
      <c r="E1304" s="52">
        <v>46049.600694444445</v>
      </c>
      <c r="F1304" s="52">
        <v>46049.680555555555</v>
      </c>
      <c r="G1304" s="53">
        <f t="shared" si="77"/>
        <v>7.9861111109494232E-2</v>
      </c>
      <c r="H1304" s="1" t="s">
        <v>248</v>
      </c>
      <c r="J1304" s="1" t="s">
        <v>249</v>
      </c>
      <c r="K1304" s="1" t="s">
        <v>349</v>
      </c>
      <c r="L1304" s="1" t="s">
        <v>649</v>
      </c>
      <c r="M1304" s="1" t="s">
        <v>251</v>
      </c>
      <c r="N1304" s="1" t="s">
        <v>252</v>
      </c>
      <c r="O1304" s="1" t="s">
        <v>638</v>
      </c>
      <c r="P1304" s="1" t="str">
        <f t="shared" si="75"/>
        <v>BC Caiaponia1SG60KTL(COM1-009)46049,600694444446049,600694444446049,6805555556</v>
      </c>
      <c r="Q1304" s="1" t="str">
        <f t="shared" si="76"/>
        <v>DAURDE</v>
      </c>
    </row>
    <row r="1305" spans="2:17">
      <c r="B1305" s="1" t="s">
        <v>268</v>
      </c>
      <c r="C1305" s="1" t="s">
        <v>278</v>
      </c>
      <c r="D1305" s="52">
        <v>46049.600694444445</v>
      </c>
      <c r="E1305" s="52">
        <v>46049.600694444445</v>
      </c>
      <c r="F1305" s="52">
        <v>46049.680555555555</v>
      </c>
      <c r="G1305" s="53">
        <f t="shared" si="77"/>
        <v>7.9861111109494232E-2</v>
      </c>
      <c r="H1305" s="1" t="s">
        <v>248</v>
      </c>
      <c r="J1305" s="1" t="s">
        <v>249</v>
      </c>
      <c r="K1305" s="1" t="s">
        <v>349</v>
      </c>
      <c r="L1305" s="1" t="s">
        <v>649</v>
      </c>
      <c r="M1305" s="1" t="s">
        <v>251</v>
      </c>
      <c r="N1305" s="1" t="s">
        <v>252</v>
      </c>
      <c r="O1305" s="1" t="s">
        <v>638</v>
      </c>
      <c r="P1305" s="1" t="str">
        <f t="shared" si="75"/>
        <v>BC Caiaponia1SG60KTL(COM1-010)46049,600694444446049,600694444446049,6805555556</v>
      </c>
      <c r="Q1305" s="1" t="str">
        <f t="shared" si="76"/>
        <v>DAURDE</v>
      </c>
    </row>
    <row r="1306" spans="2:17">
      <c r="B1306" s="1" t="s">
        <v>268</v>
      </c>
      <c r="C1306" s="1" t="s">
        <v>279</v>
      </c>
      <c r="D1306" s="52">
        <v>46049.600694444445</v>
      </c>
      <c r="E1306" s="52">
        <v>46049.600694444445</v>
      </c>
      <c r="F1306" s="52">
        <v>46049.680555555555</v>
      </c>
      <c r="G1306" s="53">
        <f t="shared" si="77"/>
        <v>7.9861111109494232E-2</v>
      </c>
      <c r="H1306" s="1" t="s">
        <v>248</v>
      </c>
      <c r="J1306" s="1" t="s">
        <v>249</v>
      </c>
      <c r="K1306" s="1" t="s">
        <v>349</v>
      </c>
      <c r="L1306" s="1" t="s">
        <v>649</v>
      </c>
      <c r="M1306" s="1" t="s">
        <v>251</v>
      </c>
      <c r="N1306" s="1" t="s">
        <v>252</v>
      </c>
      <c r="O1306" s="1" t="s">
        <v>638</v>
      </c>
      <c r="P1306" s="1" t="str">
        <f t="shared" si="75"/>
        <v>BC Caiaponia1SG60KTL(COM1-011)46049,600694444446049,600694444446049,6805555556</v>
      </c>
      <c r="Q1306" s="1" t="str">
        <f t="shared" si="76"/>
        <v>DAURDE</v>
      </c>
    </row>
    <row r="1307" spans="2:17">
      <c r="B1307" s="1" t="s">
        <v>268</v>
      </c>
      <c r="C1307" s="1" t="s">
        <v>280</v>
      </c>
      <c r="D1307" s="52">
        <v>46049.600694444445</v>
      </c>
      <c r="E1307" s="52">
        <v>46049.600694444445</v>
      </c>
      <c r="F1307" s="52">
        <v>46049.680555555555</v>
      </c>
      <c r="G1307" s="53">
        <f t="shared" si="77"/>
        <v>7.9861111109494232E-2</v>
      </c>
      <c r="H1307" s="1" t="s">
        <v>248</v>
      </c>
      <c r="J1307" s="1" t="s">
        <v>249</v>
      </c>
      <c r="K1307" s="1" t="s">
        <v>349</v>
      </c>
      <c r="L1307" s="1" t="s">
        <v>649</v>
      </c>
      <c r="M1307" s="1" t="s">
        <v>251</v>
      </c>
      <c r="N1307" s="1" t="s">
        <v>252</v>
      </c>
      <c r="O1307" s="1" t="s">
        <v>638</v>
      </c>
      <c r="P1307" s="1" t="str">
        <f t="shared" si="75"/>
        <v>BC Caiaponia1SG60KTL(COM1-012)46049,600694444446049,600694444446049,6805555556</v>
      </c>
      <c r="Q1307" s="1" t="str">
        <f t="shared" si="76"/>
        <v>DAURDE</v>
      </c>
    </row>
    <row r="1308" spans="2:17">
      <c r="B1308" s="1" t="s">
        <v>268</v>
      </c>
      <c r="C1308" s="1" t="s">
        <v>281</v>
      </c>
      <c r="D1308" s="52">
        <v>46049.600694444445</v>
      </c>
      <c r="E1308" s="52">
        <v>46049.600694444445</v>
      </c>
      <c r="F1308" s="52">
        <v>46049.680555555555</v>
      </c>
      <c r="G1308" s="53">
        <f t="shared" si="77"/>
        <v>7.9861111109494232E-2</v>
      </c>
      <c r="H1308" s="1" t="s">
        <v>248</v>
      </c>
      <c r="J1308" s="1" t="s">
        <v>249</v>
      </c>
      <c r="K1308" s="1" t="s">
        <v>349</v>
      </c>
      <c r="L1308" s="1" t="s">
        <v>649</v>
      </c>
      <c r="M1308" s="1" t="s">
        <v>251</v>
      </c>
      <c r="N1308" s="1" t="s">
        <v>252</v>
      </c>
      <c r="O1308" s="1" t="s">
        <v>638</v>
      </c>
      <c r="P1308" s="1" t="str">
        <f t="shared" si="75"/>
        <v>BC Caiaponia1SG60KTL(COM1-013)46049,600694444446049,600694444446049,6805555556</v>
      </c>
      <c r="Q1308" s="1" t="str">
        <f t="shared" si="76"/>
        <v>DAURDE</v>
      </c>
    </row>
    <row r="1309" spans="2:17">
      <c r="B1309" s="1" t="s">
        <v>268</v>
      </c>
      <c r="C1309" s="1" t="s">
        <v>282</v>
      </c>
      <c r="D1309" s="52">
        <v>46049.600694444445</v>
      </c>
      <c r="E1309" s="52">
        <v>46049.600694444445</v>
      </c>
      <c r="F1309" s="52">
        <v>46049.680555555555</v>
      </c>
      <c r="G1309" s="53">
        <f t="shared" si="77"/>
        <v>7.9861111109494232E-2</v>
      </c>
      <c r="H1309" s="1" t="s">
        <v>248</v>
      </c>
      <c r="J1309" s="1" t="s">
        <v>249</v>
      </c>
      <c r="K1309" s="1" t="s">
        <v>349</v>
      </c>
      <c r="L1309" s="1" t="s">
        <v>649</v>
      </c>
      <c r="M1309" s="1" t="s">
        <v>251</v>
      </c>
      <c r="N1309" s="1" t="s">
        <v>252</v>
      </c>
      <c r="O1309" s="1" t="s">
        <v>638</v>
      </c>
      <c r="P1309" s="1" t="str">
        <f t="shared" si="75"/>
        <v>BC Caiaponia1SG60KTL(COM1-014)46049,600694444446049,600694444446049,6805555556</v>
      </c>
      <c r="Q1309" s="1" t="str">
        <f t="shared" si="76"/>
        <v>DAURDE</v>
      </c>
    </row>
    <row r="1310" spans="2:17">
      <c r="B1310" s="1" t="s">
        <v>268</v>
      </c>
      <c r="C1310" s="1" t="s">
        <v>283</v>
      </c>
      <c r="D1310" s="52">
        <v>46049.600694444445</v>
      </c>
      <c r="E1310" s="52">
        <v>46049.600694444445</v>
      </c>
      <c r="F1310" s="52">
        <v>46049.680555555555</v>
      </c>
      <c r="G1310" s="53">
        <f t="shared" si="77"/>
        <v>7.9861111109494232E-2</v>
      </c>
      <c r="H1310" s="1" t="s">
        <v>248</v>
      </c>
      <c r="J1310" s="1" t="s">
        <v>249</v>
      </c>
      <c r="K1310" s="1" t="s">
        <v>349</v>
      </c>
      <c r="L1310" s="1" t="s">
        <v>649</v>
      </c>
      <c r="M1310" s="1" t="s">
        <v>251</v>
      </c>
      <c r="N1310" s="1" t="s">
        <v>252</v>
      </c>
      <c r="O1310" s="1" t="s">
        <v>638</v>
      </c>
      <c r="P1310" s="1" t="str">
        <f t="shared" si="75"/>
        <v>BC Caiaponia1SG60KTL(COM1-015)46049,600694444446049,600694444446049,6805555556</v>
      </c>
      <c r="Q1310" s="1" t="str">
        <f t="shared" si="76"/>
        <v>DAURDE</v>
      </c>
    </row>
    <row r="1311" spans="2:17">
      <c r="B1311" s="1" t="s">
        <v>268</v>
      </c>
      <c r="C1311" s="1" t="s">
        <v>284</v>
      </c>
      <c r="D1311" s="52">
        <v>46049.600694444445</v>
      </c>
      <c r="E1311" s="52">
        <v>46049.600694444445</v>
      </c>
      <c r="F1311" s="52">
        <v>46049.680555555555</v>
      </c>
      <c r="G1311" s="53">
        <f t="shared" si="77"/>
        <v>7.9861111109494232E-2</v>
      </c>
      <c r="H1311" s="1" t="s">
        <v>248</v>
      </c>
      <c r="J1311" s="1" t="s">
        <v>249</v>
      </c>
      <c r="K1311" s="1" t="s">
        <v>349</v>
      </c>
      <c r="L1311" s="1" t="s">
        <v>649</v>
      </c>
      <c r="M1311" s="1" t="s">
        <v>251</v>
      </c>
      <c r="N1311" s="1" t="s">
        <v>252</v>
      </c>
      <c r="O1311" s="1" t="s">
        <v>638</v>
      </c>
      <c r="P1311" s="1" t="str">
        <f t="shared" si="75"/>
        <v>BC Caiaponia1SG60KTL(COM3-016)_001_00946049,600694444446049,600694444446049,6805555556</v>
      </c>
      <c r="Q1311" s="1" t="str">
        <f t="shared" si="76"/>
        <v>DAURDE</v>
      </c>
    </row>
    <row r="1312" spans="2:17">
      <c r="B1312" s="1" t="s">
        <v>268</v>
      </c>
      <c r="C1312" s="1" t="s">
        <v>285</v>
      </c>
      <c r="D1312" s="52">
        <v>46049.600694444445</v>
      </c>
      <c r="E1312" s="52">
        <v>46049.600694444445</v>
      </c>
      <c r="F1312" s="52">
        <v>46049.680555555555</v>
      </c>
      <c r="G1312" s="53">
        <f t="shared" si="77"/>
        <v>7.9861111109494232E-2</v>
      </c>
      <c r="H1312" s="1" t="s">
        <v>248</v>
      </c>
      <c r="J1312" s="1" t="s">
        <v>249</v>
      </c>
      <c r="K1312" s="1" t="s">
        <v>349</v>
      </c>
      <c r="L1312" s="1" t="s">
        <v>649</v>
      </c>
      <c r="M1312" s="1" t="s">
        <v>251</v>
      </c>
      <c r="N1312" s="1" t="s">
        <v>252</v>
      </c>
      <c r="O1312" s="1" t="s">
        <v>638</v>
      </c>
      <c r="P1312" s="1" t="str">
        <f t="shared" si="75"/>
        <v>BC Caiaponia1SG60KTL(COM3-017)_001_01246049,600694444446049,600694444446049,6805555556</v>
      </c>
      <c r="Q1312" s="1" t="str">
        <f t="shared" si="76"/>
        <v>DAURDE</v>
      </c>
    </row>
    <row r="1313" spans="2:17">
      <c r="B1313" s="1" t="s">
        <v>268</v>
      </c>
      <c r="C1313" s="1" t="s">
        <v>286</v>
      </c>
      <c r="D1313" s="52">
        <v>46049.600694444445</v>
      </c>
      <c r="E1313" s="52">
        <v>46049.600694444445</v>
      </c>
      <c r="F1313" s="52">
        <v>46049.680555555555</v>
      </c>
      <c r="G1313" s="53">
        <f t="shared" si="77"/>
        <v>7.9861111109494232E-2</v>
      </c>
      <c r="H1313" s="1" t="s">
        <v>248</v>
      </c>
      <c r="J1313" s="1" t="s">
        <v>249</v>
      </c>
      <c r="K1313" s="1" t="s">
        <v>349</v>
      </c>
      <c r="L1313" s="1" t="s">
        <v>649</v>
      </c>
      <c r="M1313" s="1" t="s">
        <v>251</v>
      </c>
      <c r="N1313" s="1" t="s">
        <v>252</v>
      </c>
      <c r="O1313" s="1" t="s">
        <v>638</v>
      </c>
      <c r="P1313" s="1" t="str">
        <f t="shared" si="75"/>
        <v>BC Caiaponia1SG60KTL(COM3-018)_001_00846049,600694444446049,600694444446049,6805555556</v>
      </c>
      <c r="Q1313" s="1" t="str">
        <f t="shared" si="76"/>
        <v>DAURDE</v>
      </c>
    </row>
    <row r="1314" spans="2:17">
      <c r="B1314" s="1" t="s">
        <v>268</v>
      </c>
      <c r="C1314" s="1" t="s">
        <v>287</v>
      </c>
      <c r="D1314" s="52">
        <v>46049.600694444445</v>
      </c>
      <c r="E1314" s="52">
        <v>46049.600694444445</v>
      </c>
      <c r="F1314" s="52">
        <v>46049.680555555555</v>
      </c>
      <c r="G1314" s="53">
        <f t="shared" si="77"/>
        <v>7.9861111109494232E-2</v>
      </c>
      <c r="H1314" s="1" t="s">
        <v>248</v>
      </c>
      <c r="J1314" s="1" t="s">
        <v>249</v>
      </c>
      <c r="K1314" s="1" t="s">
        <v>349</v>
      </c>
      <c r="L1314" s="1" t="s">
        <v>649</v>
      </c>
      <c r="M1314" s="1" t="s">
        <v>251</v>
      </c>
      <c r="N1314" s="1" t="s">
        <v>252</v>
      </c>
      <c r="O1314" s="1" t="s">
        <v>638</v>
      </c>
      <c r="P1314" s="1" t="str">
        <f t="shared" si="75"/>
        <v>BC Caiaponia1SG60KTL(COM3-019)_001_01946049,600694444446049,600694444446049,6805555556</v>
      </c>
      <c r="Q1314" s="1" t="str">
        <f t="shared" si="76"/>
        <v>DAURDE</v>
      </c>
    </row>
    <row r="1315" spans="2:17">
      <c r="B1315" s="1" t="s">
        <v>268</v>
      </c>
      <c r="C1315" s="1" t="s">
        <v>288</v>
      </c>
      <c r="D1315" s="52">
        <v>46049.600694444445</v>
      </c>
      <c r="E1315" s="52">
        <v>46049.600694444445</v>
      </c>
      <c r="F1315" s="52">
        <v>46049.680555555555</v>
      </c>
      <c r="G1315" s="53">
        <f t="shared" si="77"/>
        <v>7.9861111109494232E-2</v>
      </c>
      <c r="H1315" s="1" t="s">
        <v>248</v>
      </c>
      <c r="J1315" s="1" t="s">
        <v>249</v>
      </c>
      <c r="K1315" s="1" t="s">
        <v>349</v>
      </c>
      <c r="L1315" s="1" t="s">
        <v>649</v>
      </c>
      <c r="M1315" s="1" t="s">
        <v>251</v>
      </c>
      <c r="N1315" s="1" t="s">
        <v>252</v>
      </c>
      <c r="O1315" s="1" t="s">
        <v>638</v>
      </c>
      <c r="P1315" s="1" t="str">
        <f t="shared" ref="P1315:P1378" si="78">_xlfn.CONCAT(B1315,C1315,D1315,E1315,F1315)</f>
        <v>BC Caiaponia1SG60KTL(COM3-020)_001_02046049,600694444446049,600694444446049,6805555556</v>
      </c>
      <c r="Q1315" s="1" t="str">
        <f t="shared" ref="Q1315:Q1378" si="79">_xlfn.CONCAT(H1315,I1315,J1315)</f>
        <v>DAURDE</v>
      </c>
    </row>
    <row r="1316" spans="2:17">
      <c r="B1316" s="1" t="s">
        <v>268</v>
      </c>
      <c r="C1316" s="1" t="s">
        <v>289</v>
      </c>
      <c r="D1316" s="52">
        <v>46049.600694444445</v>
      </c>
      <c r="E1316" s="52">
        <v>46049.600694444445</v>
      </c>
      <c r="F1316" s="52">
        <v>46049.680555555555</v>
      </c>
      <c r="G1316" s="53">
        <f t="shared" si="77"/>
        <v>7.9861111109494232E-2</v>
      </c>
      <c r="H1316" s="1" t="s">
        <v>248</v>
      </c>
      <c r="J1316" s="1" t="s">
        <v>249</v>
      </c>
      <c r="K1316" s="1" t="s">
        <v>349</v>
      </c>
      <c r="L1316" s="1" t="s">
        <v>649</v>
      </c>
      <c r="M1316" s="1" t="s">
        <v>251</v>
      </c>
      <c r="N1316" s="1" t="s">
        <v>252</v>
      </c>
      <c r="O1316" s="1" t="s">
        <v>638</v>
      </c>
      <c r="P1316" s="1" t="str">
        <f t="shared" si="78"/>
        <v>BC Caiaponia1SG60KTL(COM2-026)46049,600694444446049,600694444446049,6805555556</v>
      </c>
      <c r="Q1316" s="1" t="str">
        <f t="shared" si="79"/>
        <v>DAURDE</v>
      </c>
    </row>
    <row r="1317" spans="2:17">
      <c r="B1317" s="1" t="s">
        <v>268</v>
      </c>
      <c r="C1317" s="1" t="s">
        <v>290</v>
      </c>
      <c r="D1317" s="52">
        <v>46049.600694444445</v>
      </c>
      <c r="E1317" s="52">
        <v>46049.600694444445</v>
      </c>
      <c r="F1317" s="52">
        <v>46049.680555555555</v>
      </c>
      <c r="G1317" s="53">
        <f t="shared" si="77"/>
        <v>7.9861111109494232E-2</v>
      </c>
      <c r="H1317" s="1" t="s">
        <v>248</v>
      </c>
      <c r="J1317" s="1" t="s">
        <v>249</v>
      </c>
      <c r="K1317" s="1" t="s">
        <v>349</v>
      </c>
      <c r="L1317" s="1" t="s">
        <v>649</v>
      </c>
      <c r="M1317" s="1" t="s">
        <v>251</v>
      </c>
      <c r="N1317" s="1" t="s">
        <v>252</v>
      </c>
      <c r="O1317" s="1" t="s">
        <v>638</v>
      </c>
      <c r="P1317" s="1" t="str">
        <f t="shared" si="78"/>
        <v>BC Caiaponia1SG60KTL(COM2-027)46049,600694444446049,600694444446049,6805555556</v>
      </c>
      <c r="Q1317" s="1" t="str">
        <f t="shared" si="79"/>
        <v>DAURDE</v>
      </c>
    </row>
    <row r="1318" spans="2:17">
      <c r="B1318" s="1" t="s">
        <v>268</v>
      </c>
      <c r="C1318" s="1" t="s">
        <v>291</v>
      </c>
      <c r="D1318" s="52">
        <v>46049.600694444445</v>
      </c>
      <c r="E1318" s="52">
        <v>46049.600694444445</v>
      </c>
      <c r="F1318" s="52">
        <v>46049.680555555555</v>
      </c>
      <c r="G1318" s="53">
        <f t="shared" si="77"/>
        <v>7.9861111109494232E-2</v>
      </c>
      <c r="H1318" s="1" t="s">
        <v>248</v>
      </c>
      <c r="J1318" s="1" t="s">
        <v>249</v>
      </c>
      <c r="K1318" s="1" t="s">
        <v>349</v>
      </c>
      <c r="L1318" s="1" t="s">
        <v>649</v>
      </c>
      <c r="M1318" s="1" t="s">
        <v>251</v>
      </c>
      <c r="N1318" s="1" t="s">
        <v>252</v>
      </c>
      <c r="O1318" s="1" t="s">
        <v>638</v>
      </c>
      <c r="P1318" s="1" t="str">
        <f t="shared" si="78"/>
        <v>BC Caiaponia1SG60KTL(COM2-028)46049,600694444446049,600694444446049,6805555556</v>
      </c>
      <c r="Q1318" s="1" t="str">
        <f t="shared" si="79"/>
        <v>DAURDE</v>
      </c>
    </row>
    <row r="1319" spans="2:17">
      <c r="B1319" s="1" t="s">
        <v>268</v>
      </c>
      <c r="C1319" s="1" t="s">
        <v>292</v>
      </c>
      <c r="D1319" s="52">
        <v>46049.600694444445</v>
      </c>
      <c r="E1319" s="52">
        <v>46049.600694444445</v>
      </c>
      <c r="F1319" s="52">
        <v>46049.680555555555</v>
      </c>
      <c r="G1319" s="53">
        <f t="shared" si="77"/>
        <v>7.9861111109494232E-2</v>
      </c>
      <c r="H1319" s="1" t="s">
        <v>248</v>
      </c>
      <c r="J1319" s="1" t="s">
        <v>249</v>
      </c>
      <c r="K1319" s="1" t="s">
        <v>349</v>
      </c>
      <c r="L1319" s="1" t="s">
        <v>649</v>
      </c>
      <c r="M1319" s="1" t="s">
        <v>251</v>
      </c>
      <c r="N1319" s="1" t="s">
        <v>252</v>
      </c>
      <c r="O1319" s="1" t="s">
        <v>638</v>
      </c>
      <c r="P1319" s="1" t="str">
        <f t="shared" si="78"/>
        <v>BC Caiaponia1SG60KTL(COM2-029)46049,600694444446049,600694444446049,6805555556</v>
      </c>
      <c r="Q1319" s="1" t="str">
        <f t="shared" si="79"/>
        <v>DAURDE</v>
      </c>
    </row>
    <row r="1320" spans="2:17">
      <c r="B1320" s="1" t="s">
        <v>268</v>
      </c>
      <c r="C1320" s="1" t="s">
        <v>293</v>
      </c>
      <c r="D1320" s="52">
        <v>46049.600694444445</v>
      </c>
      <c r="E1320" s="52">
        <v>46049.600694444445</v>
      </c>
      <c r="F1320" s="52">
        <v>46049.680555555555</v>
      </c>
      <c r="G1320" s="53">
        <f t="shared" si="77"/>
        <v>7.9861111109494232E-2</v>
      </c>
      <c r="H1320" s="1" t="s">
        <v>248</v>
      </c>
      <c r="J1320" s="1" t="s">
        <v>249</v>
      </c>
      <c r="K1320" s="1" t="s">
        <v>349</v>
      </c>
      <c r="L1320" s="1" t="s">
        <v>649</v>
      </c>
      <c r="M1320" s="1" t="s">
        <v>251</v>
      </c>
      <c r="N1320" s="1" t="s">
        <v>252</v>
      </c>
      <c r="O1320" s="1" t="s">
        <v>638</v>
      </c>
      <c r="P1320" s="1" t="str">
        <f t="shared" si="78"/>
        <v>BC Caiaponia1SG50CX(COM1-021)46049,600694444446049,600694444446049,6805555556</v>
      </c>
      <c r="Q1320" s="1" t="str">
        <f t="shared" si="79"/>
        <v>DAURDE</v>
      </c>
    </row>
    <row r="1321" spans="2:17">
      <c r="B1321" s="1" t="s">
        <v>268</v>
      </c>
      <c r="C1321" s="1" t="s">
        <v>294</v>
      </c>
      <c r="D1321" s="52">
        <v>46049.600694444445</v>
      </c>
      <c r="E1321" s="52">
        <v>46049.600694444445</v>
      </c>
      <c r="F1321" s="52">
        <v>46049.680555555555</v>
      </c>
      <c r="G1321" s="53">
        <f t="shared" si="77"/>
        <v>7.9861111109494232E-2</v>
      </c>
      <c r="H1321" s="1" t="s">
        <v>248</v>
      </c>
      <c r="J1321" s="1" t="s">
        <v>249</v>
      </c>
      <c r="K1321" s="1" t="s">
        <v>349</v>
      </c>
      <c r="L1321" s="1" t="s">
        <v>649</v>
      </c>
      <c r="M1321" s="1" t="s">
        <v>251</v>
      </c>
      <c r="N1321" s="1" t="s">
        <v>252</v>
      </c>
      <c r="O1321" s="1" t="s">
        <v>638</v>
      </c>
      <c r="P1321" s="1" t="str">
        <f t="shared" si="78"/>
        <v>BC Caiaponia1SG50CX(COM1-022)46049,600694444446049,600694444446049,6805555556</v>
      </c>
      <c r="Q1321" s="1" t="str">
        <f t="shared" si="79"/>
        <v>DAURDE</v>
      </c>
    </row>
    <row r="1322" spans="2:17">
      <c r="B1322" s="1" t="s">
        <v>268</v>
      </c>
      <c r="C1322" s="1" t="s">
        <v>295</v>
      </c>
      <c r="D1322" s="52">
        <v>46049.600694444445</v>
      </c>
      <c r="E1322" s="52">
        <v>46049.600694444445</v>
      </c>
      <c r="F1322" s="52">
        <v>46049.680555555555</v>
      </c>
      <c r="G1322" s="53">
        <f t="shared" si="77"/>
        <v>7.9861111109494232E-2</v>
      </c>
      <c r="H1322" s="1" t="s">
        <v>248</v>
      </c>
      <c r="J1322" s="1" t="s">
        <v>249</v>
      </c>
      <c r="K1322" s="1" t="s">
        <v>349</v>
      </c>
      <c r="L1322" s="1" t="s">
        <v>649</v>
      </c>
      <c r="M1322" s="1" t="s">
        <v>251</v>
      </c>
      <c r="N1322" s="1" t="s">
        <v>252</v>
      </c>
      <c r="O1322" s="1" t="s">
        <v>638</v>
      </c>
      <c r="P1322" s="1" t="str">
        <f t="shared" si="78"/>
        <v>BC Caiaponia1SG50CX(COM1-023)46049,600694444446049,600694444446049,6805555556</v>
      </c>
      <c r="Q1322" s="1" t="str">
        <f t="shared" si="79"/>
        <v>DAURDE</v>
      </c>
    </row>
    <row r="1323" spans="2:17">
      <c r="B1323" s="1" t="s">
        <v>268</v>
      </c>
      <c r="C1323" s="1" t="s">
        <v>296</v>
      </c>
      <c r="D1323" s="52">
        <v>46049.600694444445</v>
      </c>
      <c r="E1323" s="52">
        <v>46049.600694444445</v>
      </c>
      <c r="F1323" s="52">
        <v>46049.680555555555</v>
      </c>
      <c r="G1323" s="53">
        <f t="shared" si="77"/>
        <v>7.9861111109494232E-2</v>
      </c>
      <c r="H1323" s="1" t="s">
        <v>248</v>
      </c>
      <c r="J1323" s="1" t="s">
        <v>249</v>
      </c>
      <c r="K1323" s="1" t="s">
        <v>349</v>
      </c>
      <c r="L1323" s="1" t="s">
        <v>649</v>
      </c>
      <c r="M1323" s="1" t="s">
        <v>251</v>
      </c>
      <c r="N1323" s="1" t="s">
        <v>252</v>
      </c>
      <c r="O1323" s="1" t="s">
        <v>638</v>
      </c>
      <c r="P1323" s="1" t="str">
        <f t="shared" si="78"/>
        <v>BC Caiaponia1SG50CX(COM1-024)46049,600694444446049,600694444446049,6805555556</v>
      </c>
      <c r="Q1323" s="1" t="str">
        <f t="shared" si="79"/>
        <v>DAURDE</v>
      </c>
    </row>
    <row r="1324" spans="2:17">
      <c r="B1324" s="1" t="s">
        <v>268</v>
      </c>
      <c r="C1324" s="1" t="s">
        <v>297</v>
      </c>
      <c r="D1324" s="52">
        <v>46049.600694444445</v>
      </c>
      <c r="E1324" s="52">
        <v>46049.600694444445</v>
      </c>
      <c r="F1324" s="52">
        <v>46049.680555555555</v>
      </c>
      <c r="G1324" s="53">
        <f t="shared" si="77"/>
        <v>7.9861111109494232E-2</v>
      </c>
      <c r="H1324" s="1" t="s">
        <v>248</v>
      </c>
      <c r="J1324" s="1" t="s">
        <v>249</v>
      </c>
      <c r="K1324" s="1" t="s">
        <v>349</v>
      </c>
      <c r="L1324" s="1" t="s">
        <v>649</v>
      </c>
      <c r="M1324" s="1" t="s">
        <v>251</v>
      </c>
      <c r="N1324" s="1" t="s">
        <v>252</v>
      </c>
      <c r="O1324" s="1" t="s">
        <v>638</v>
      </c>
      <c r="P1324" s="1" t="str">
        <f t="shared" si="78"/>
        <v>BC Caiaponia1SG50CX(COM1-025)46049,600694444446049,600694444446049,6805555556</v>
      </c>
      <c r="Q1324" s="1" t="str">
        <f t="shared" si="79"/>
        <v>DAURDE</v>
      </c>
    </row>
    <row r="1325" spans="2:17">
      <c r="B1325" s="1" t="s">
        <v>246</v>
      </c>
      <c r="C1325" s="1" t="s">
        <v>247</v>
      </c>
      <c r="D1325" s="52">
        <v>46049.600694444445</v>
      </c>
      <c r="E1325" s="52">
        <v>46049.600694444445</v>
      </c>
      <c r="F1325" s="52">
        <v>46049.680555555555</v>
      </c>
      <c r="G1325" s="53">
        <f t="shared" si="77"/>
        <v>7.9861111109494232E-2</v>
      </c>
      <c r="H1325" s="1" t="s">
        <v>248</v>
      </c>
      <c r="J1325" s="1" t="s">
        <v>249</v>
      </c>
      <c r="K1325" s="1" t="s">
        <v>349</v>
      </c>
      <c r="L1325" s="1" t="s">
        <v>649</v>
      </c>
      <c r="M1325" s="1" t="s">
        <v>251</v>
      </c>
      <c r="N1325" s="1" t="s">
        <v>252</v>
      </c>
      <c r="O1325" s="1" t="s">
        <v>638</v>
      </c>
      <c r="P1325" s="1" t="str">
        <f t="shared" si="78"/>
        <v>BC Caiaponia2.1215KTL-H3(MBUS-12)46049,600694444446049,600694444446049,6805555556</v>
      </c>
      <c r="Q1325" s="1" t="str">
        <f t="shared" si="79"/>
        <v>DAURDE</v>
      </c>
    </row>
    <row r="1326" spans="2:17">
      <c r="B1326" s="1" t="s">
        <v>246</v>
      </c>
      <c r="C1326" s="1" t="s">
        <v>254</v>
      </c>
      <c r="D1326" s="52">
        <v>46049.600694444445</v>
      </c>
      <c r="E1326" s="52">
        <v>46049.600694444445</v>
      </c>
      <c r="F1326" s="52">
        <v>46049.680555555555</v>
      </c>
      <c r="G1326" s="53">
        <f t="shared" si="77"/>
        <v>7.9861111109494232E-2</v>
      </c>
      <c r="H1326" s="1" t="s">
        <v>248</v>
      </c>
      <c r="J1326" s="1" t="s">
        <v>249</v>
      </c>
      <c r="K1326" s="1" t="s">
        <v>349</v>
      </c>
      <c r="L1326" s="1" t="s">
        <v>649</v>
      </c>
      <c r="M1326" s="1" t="s">
        <v>251</v>
      </c>
      <c r="N1326" s="1" t="s">
        <v>252</v>
      </c>
      <c r="O1326" s="1" t="s">
        <v>638</v>
      </c>
      <c r="P1326" s="1" t="str">
        <f t="shared" si="78"/>
        <v>BC Caiaponia2.1215KTL-H3(MBUS-13)46049,600694444446049,600694444446049,6805555556</v>
      </c>
      <c r="Q1326" s="1" t="str">
        <f t="shared" si="79"/>
        <v>DAURDE</v>
      </c>
    </row>
    <row r="1327" spans="2:17">
      <c r="B1327" s="1" t="s">
        <v>246</v>
      </c>
      <c r="C1327" s="1" t="s">
        <v>255</v>
      </c>
      <c r="D1327" s="52">
        <v>46049.600694444445</v>
      </c>
      <c r="E1327" s="52">
        <v>46049.600694444445</v>
      </c>
      <c r="F1327" s="52">
        <v>46049.680555555555</v>
      </c>
      <c r="G1327" s="53">
        <f t="shared" si="77"/>
        <v>7.9861111109494232E-2</v>
      </c>
      <c r="H1327" s="1" t="s">
        <v>248</v>
      </c>
      <c r="J1327" s="1" t="s">
        <v>249</v>
      </c>
      <c r="K1327" s="1" t="s">
        <v>349</v>
      </c>
      <c r="L1327" s="1" t="s">
        <v>649</v>
      </c>
      <c r="M1327" s="1" t="s">
        <v>251</v>
      </c>
      <c r="N1327" s="1" t="s">
        <v>252</v>
      </c>
      <c r="O1327" s="1" t="s">
        <v>638</v>
      </c>
      <c r="P1327" s="1" t="str">
        <f t="shared" si="78"/>
        <v>BC Caiaponia2.1215KTL-H3(MBUS-14)46049,600694444446049,600694444446049,6805555556</v>
      </c>
      <c r="Q1327" s="1" t="str">
        <f t="shared" si="79"/>
        <v>DAURDE</v>
      </c>
    </row>
    <row r="1328" spans="2:17">
      <c r="B1328" s="1" t="s">
        <v>246</v>
      </c>
      <c r="C1328" s="1" t="s">
        <v>256</v>
      </c>
      <c r="D1328" s="52">
        <v>46049.600694444445</v>
      </c>
      <c r="E1328" s="52">
        <v>46049.600694444445</v>
      </c>
      <c r="F1328" s="52">
        <v>46049.680555555555</v>
      </c>
      <c r="G1328" s="53">
        <f t="shared" si="77"/>
        <v>7.9861111109494232E-2</v>
      </c>
      <c r="H1328" s="1" t="s">
        <v>248</v>
      </c>
      <c r="J1328" s="1" t="s">
        <v>249</v>
      </c>
      <c r="K1328" s="1" t="s">
        <v>349</v>
      </c>
      <c r="L1328" s="1" t="s">
        <v>649</v>
      </c>
      <c r="M1328" s="1" t="s">
        <v>251</v>
      </c>
      <c r="N1328" s="1" t="s">
        <v>252</v>
      </c>
      <c r="O1328" s="1" t="s">
        <v>638</v>
      </c>
      <c r="P1328" s="1" t="str">
        <f t="shared" si="78"/>
        <v>BC Caiaponia2.1215KTL-H3(MBUS-15)46049,600694444446049,600694444446049,6805555556</v>
      </c>
      <c r="Q1328" s="1" t="str">
        <f t="shared" si="79"/>
        <v>DAURDE</v>
      </c>
    </row>
    <row r="1329" spans="2:17">
      <c r="B1329" s="1" t="s">
        <v>246</v>
      </c>
      <c r="C1329" s="1" t="s">
        <v>257</v>
      </c>
      <c r="D1329" s="52">
        <v>46049.600694444445</v>
      </c>
      <c r="E1329" s="52">
        <v>46049.600694444445</v>
      </c>
      <c r="F1329" s="52">
        <v>46049.680555555555</v>
      </c>
      <c r="G1329" s="53">
        <f t="shared" si="77"/>
        <v>7.9861111109494232E-2</v>
      </c>
      <c r="H1329" s="1" t="s">
        <v>248</v>
      </c>
      <c r="J1329" s="1" t="s">
        <v>249</v>
      </c>
      <c r="K1329" s="1" t="s">
        <v>349</v>
      </c>
      <c r="L1329" s="1" t="s">
        <v>649</v>
      </c>
      <c r="M1329" s="1" t="s">
        <v>251</v>
      </c>
      <c r="N1329" s="1" t="s">
        <v>252</v>
      </c>
      <c r="O1329" s="1" t="s">
        <v>638</v>
      </c>
      <c r="P1329" s="1" t="str">
        <f t="shared" si="78"/>
        <v>BC Caiaponia2.1215KTL-H3(MBUS-16)46049,600694444446049,600694444446049,6805555556</v>
      </c>
      <c r="Q1329" s="1" t="str">
        <f t="shared" si="79"/>
        <v>DAURDE</v>
      </c>
    </row>
    <row r="1330" spans="2:17">
      <c r="B1330" s="1" t="s">
        <v>258</v>
      </c>
      <c r="C1330" s="1" t="s">
        <v>247</v>
      </c>
      <c r="D1330" s="52">
        <v>46049.600694444445</v>
      </c>
      <c r="E1330" s="52">
        <v>46049.600694444445</v>
      </c>
      <c r="F1330" s="52">
        <v>46049.680555555555</v>
      </c>
      <c r="G1330" s="53">
        <f t="shared" si="77"/>
        <v>7.9861111109494232E-2</v>
      </c>
      <c r="H1330" s="1" t="s">
        <v>248</v>
      </c>
      <c r="J1330" s="1" t="s">
        <v>249</v>
      </c>
      <c r="K1330" s="1" t="s">
        <v>349</v>
      </c>
      <c r="L1330" s="1" t="s">
        <v>649</v>
      </c>
      <c r="M1330" s="1" t="s">
        <v>251</v>
      </c>
      <c r="N1330" s="1" t="s">
        <v>252</v>
      </c>
      <c r="O1330" s="1" t="s">
        <v>638</v>
      </c>
      <c r="P1330" s="1" t="str">
        <f t="shared" si="78"/>
        <v>BC Caiaponia2.2215KTL-H3(MBUS-12)46049,600694444446049,600694444446049,6805555556</v>
      </c>
      <c r="Q1330" s="1" t="str">
        <f t="shared" si="79"/>
        <v>DAURDE</v>
      </c>
    </row>
    <row r="1331" spans="2:17">
      <c r="B1331" s="1" t="s">
        <v>258</v>
      </c>
      <c r="C1331" s="1" t="s">
        <v>254</v>
      </c>
      <c r="D1331" s="52">
        <v>46049.600694444445</v>
      </c>
      <c r="E1331" s="52">
        <v>46049.600694444445</v>
      </c>
      <c r="F1331" s="52">
        <v>46049.680555555555</v>
      </c>
      <c r="G1331" s="53">
        <f t="shared" si="77"/>
        <v>7.9861111109494232E-2</v>
      </c>
      <c r="H1331" s="1" t="s">
        <v>248</v>
      </c>
      <c r="J1331" s="1" t="s">
        <v>249</v>
      </c>
      <c r="K1331" s="1" t="s">
        <v>349</v>
      </c>
      <c r="L1331" s="1" t="s">
        <v>649</v>
      </c>
      <c r="M1331" s="1" t="s">
        <v>251</v>
      </c>
      <c r="N1331" s="1" t="s">
        <v>252</v>
      </c>
      <c r="O1331" s="1" t="s">
        <v>638</v>
      </c>
      <c r="P1331" s="1" t="str">
        <f t="shared" si="78"/>
        <v>BC Caiaponia2.2215KTL-H3(MBUS-13)46049,600694444446049,600694444446049,6805555556</v>
      </c>
      <c r="Q1331" s="1" t="str">
        <f t="shared" si="79"/>
        <v>DAURDE</v>
      </c>
    </row>
    <row r="1332" spans="2:17">
      <c r="B1332" s="1" t="s">
        <v>258</v>
      </c>
      <c r="C1332" s="1" t="s">
        <v>255</v>
      </c>
      <c r="D1332" s="52">
        <v>46049.600694444445</v>
      </c>
      <c r="E1332" s="52">
        <v>46049.600694444445</v>
      </c>
      <c r="F1332" s="52">
        <v>46049.680555555555</v>
      </c>
      <c r="G1332" s="53">
        <f t="shared" si="77"/>
        <v>7.9861111109494232E-2</v>
      </c>
      <c r="H1332" s="1" t="s">
        <v>248</v>
      </c>
      <c r="J1332" s="1" t="s">
        <v>249</v>
      </c>
      <c r="K1332" s="1" t="s">
        <v>349</v>
      </c>
      <c r="L1332" s="1" t="s">
        <v>649</v>
      </c>
      <c r="M1332" s="1" t="s">
        <v>251</v>
      </c>
      <c r="N1332" s="1" t="s">
        <v>252</v>
      </c>
      <c r="O1332" s="1" t="s">
        <v>638</v>
      </c>
      <c r="P1332" s="1" t="str">
        <f t="shared" si="78"/>
        <v>BC Caiaponia2.2215KTL-H3(MBUS-14)46049,600694444446049,600694444446049,6805555556</v>
      </c>
      <c r="Q1332" s="1" t="str">
        <f t="shared" si="79"/>
        <v>DAURDE</v>
      </c>
    </row>
    <row r="1333" spans="2:17">
      <c r="B1333" s="1" t="s">
        <v>258</v>
      </c>
      <c r="C1333" s="1" t="s">
        <v>256</v>
      </c>
      <c r="D1333" s="52">
        <v>46049.600694444445</v>
      </c>
      <c r="E1333" s="52">
        <v>46049.600694444445</v>
      </c>
      <c r="F1333" s="52">
        <v>46049.680555555555</v>
      </c>
      <c r="G1333" s="53">
        <f t="shared" si="77"/>
        <v>7.9861111109494232E-2</v>
      </c>
      <c r="H1333" s="1" t="s">
        <v>248</v>
      </c>
      <c r="J1333" s="1" t="s">
        <v>249</v>
      </c>
      <c r="K1333" s="1" t="s">
        <v>349</v>
      </c>
      <c r="L1333" s="1" t="s">
        <v>649</v>
      </c>
      <c r="M1333" s="1" t="s">
        <v>251</v>
      </c>
      <c r="N1333" s="1" t="s">
        <v>252</v>
      </c>
      <c r="O1333" s="1" t="s">
        <v>638</v>
      </c>
      <c r="P1333" s="1" t="str">
        <f t="shared" si="78"/>
        <v>BC Caiaponia2.2215KTL-H3(MBUS-15)46049,600694444446049,600694444446049,6805555556</v>
      </c>
      <c r="Q1333" s="1" t="str">
        <f t="shared" si="79"/>
        <v>DAURDE</v>
      </c>
    </row>
    <row r="1334" spans="2:17">
      <c r="B1334" s="1" t="s">
        <v>258</v>
      </c>
      <c r="C1334" s="1" t="s">
        <v>257</v>
      </c>
      <c r="D1334" s="52">
        <v>46049.600694444445</v>
      </c>
      <c r="E1334" s="52">
        <v>46049.600694444445</v>
      </c>
      <c r="F1334" s="52">
        <v>46049.680555555555</v>
      </c>
      <c r="G1334" s="53">
        <f t="shared" si="77"/>
        <v>7.9861111109494232E-2</v>
      </c>
      <c r="H1334" s="1" t="s">
        <v>248</v>
      </c>
      <c r="J1334" s="1" t="s">
        <v>249</v>
      </c>
      <c r="K1334" s="1" t="s">
        <v>349</v>
      </c>
      <c r="L1334" s="1" t="s">
        <v>649</v>
      </c>
      <c r="M1334" s="1" t="s">
        <v>251</v>
      </c>
      <c r="N1334" s="1" t="s">
        <v>252</v>
      </c>
      <c r="O1334" s="1" t="s">
        <v>638</v>
      </c>
      <c r="P1334" s="1" t="str">
        <f t="shared" si="78"/>
        <v>BC Caiaponia2.2215KTL-H3(MBUS-16)46049,600694444446049,600694444446049,6805555556</v>
      </c>
      <c r="Q1334" s="1" t="str">
        <f t="shared" si="79"/>
        <v>DAURDE</v>
      </c>
    </row>
    <row r="1335" spans="2:17">
      <c r="B1335" s="1" t="s">
        <v>259</v>
      </c>
      <c r="C1335" s="1" t="s">
        <v>247</v>
      </c>
      <c r="D1335" s="52">
        <v>46049.600694444445</v>
      </c>
      <c r="E1335" s="52">
        <v>46049.600694444445</v>
      </c>
      <c r="F1335" s="52">
        <v>46049.680555555555</v>
      </c>
      <c r="G1335" s="53">
        <f t="shared" si="77"/>
        <v>7.9861111109494232E-2</v>
      </c>
      <c r="H1335" s="1" t="s">
        <v>248</v>
      </c>
      <c r="J1335" s="1" t="s">
        <v>249</v>
      </c>
      <c r="K1335" s="1" t="s">
        <v>349</v>
      </c>
      <c r="L1335" s="1" t="s">
        <v>649</v>
      </c>
      <c r="M1335" s="1" t="s">
        <v>251</v>
      </c>
      <c r="N1335" s="1" t="s">
        <v>252</v>
      </c>
      <c r="O1335" s="1" t="s">
        <v>638</v>
      </c>
      <c r="P1335" s="1" t="str">
        <f t="shared" si="78"/>
        <v>BC Caiaponia2.3215KTL-H3(MBUS-12)46049,600694444446049,600694444446049,6805555556</v>
      </c>
      <c r="Q1335" s="1" t="str">
        <f t="shared" si="79"/>
        <v>DAURDE</v>
      </c>
    </row>
    <row r="1336" spans="2:17">
      <c r="B1336" s="1" t="s">
        <v>259</v>
      </c>
      <c r="C1336" s="1" t="s">
        <v>254</v>
      </c>
      <c r="D1336" s="52">
        <v>46049.600694444445</v>
      </c>
      <c r="E1336" s="52">
        <v>46049.600694444445</v>
      </c>
      <c r="F1336" s="52">
        <v>46049.680555555555</v>
      </c>
      <c r="G1336" s="53">
        <f t="shared" si="77"/>
        <v>7.9861111109494232E-2</v>
      </c>
      <c r="H1336" s="1" t="s">
        <v>248</v>
      </c>
      <c r="J1336" s="1" t="s">
        <v>249</v>
      </c>
      <c r="K1336" s="1" t="s">
        <v>349</v>
      </c>
      <c r="L1336" s="1" t="s">
        <v>649</v>
      </c>
      <c r="M1336" s="1" t="s">
        <v>251</v>
      </c>
      <c r="N1336" s="1" t="s">
        <v>252</v>
      </c>
      <c r="O1336" s="1" t="s">
        <v>638</v>
      </c>
      <c r="P1336" s="1" t="str">
        <f t="shared" si="78"/>
        <v>BC Caiaponia2.3215KTL-H3(MBUS-13)46049,600694444446049,600694444446049,6805555556</v>
      </c>
      <c r="Q1336" s="1" t="str">
        <f t="shared" si="79"/>
        <v>DAURDE</v>
      </c>
    </row>
    <row r="1337" spans="2:17">
      <c r="B1337" s="1" t="s">
        <v>259</v>
      </c>
      <c r="C1337" s="1" t="s">
        <v>255</v>
      </c>
      <c r="D1337" s="52">
        <v>46049.600694444445</v>
      </c>
      <c r="E1337" s="52">
        <v>46049.600694444445</v>
      </c>
      <c r="F1337" s="52">
        <v>46049.680555555555</v>
      </c>
      <c r="G1337" s="53">
        <f t="shared" si="77"/>
        <v>7.9861111109494232E-2</v>
      </c>
      <c r="H1337" s="1" t="s">
        <v>248</v>
      </c>
      <c r="J1337" s="1" t="s">
        <v>249</v>
      </c>
      <c r="K1337" s="1" t="s">
        <v>349</v>
      </c>
      <c r="L1337" s="1" t="s">
        <v>649</v>
      </c>
      <c r="M1337" s="1" t="s">
        <v>251</v>
      </c>
      <c r="N1337" s="1" t="s">
        <v>252</v>
      </c>
      <c r="O1337" s="1" t="s">
        <v>638</v>
      </c>
      <c r="P1337" s="1" t="str">
        <f t="shared" si="78"/>
        <v>BC Caiaponia2.3215KTL-H3(MBUS-14)46049,600694444446049,600694444446049,6805555556</v>
      </c>
      <c r="Q1337" s="1" t="str">
        <f t="shared" si="79"/>
        <v>DAURDE</v>
      </c>
    </row>
    <row r="1338" spans="2:17">
      <c r="B1338" s="1" t="s">
        <v>259</v>
      </c>
      <c r="C1338" s="1" t="s">
        <v>256</v>
      </c>
      <c r="D1338" s="52">
        <v>46049.600694444445</v>
      </c>
      <c r="E1338" s="52">
        <v>46049.600694444445</v>
      </c>
      <c r="F1338" s="52">
        <v>46049.680555555555</v>
      </c>
      <c r="G1338" s="53">
        <f t="shared" si="77"/>
        <v>7.9861111109494232E-2</v>
      </c>
      <c r="H1338" s="1" t="s">
        <v>248</v>
      </c>
      <c r="J1338" s="1" t="s">
        <v>249</v>
      </c>
      <c r="K1338" s="1" t="s">
        <v>349</v>
      </c>
      <c r="L1338" s="1" t="s">
        <v>649</v>
      </c>
      <c r="M1338" s="1" t="s">
        <v>251</v>
      </c>
      <c r="N1338" s="1" t="s">
        <v>252</v>
      </c>
      <c r="O1338" s="1" t="s">
        <v>638</v>
      </c>
      <c r="P1338" s="1" t="str">
        <f t="shared" si="78"/>
        <v>BC Caiaponia2.3215KTL-H3(MBUS-15)46049,600694444446049,600694444446049,6805555556</v>
      </c>
      <c r="Q1338" s="1" t="str">
        <f t="shared" si="79"/>
        <v>DAURDE</v>
      </c>
    </row>
    <row r="1339" spans="2:17">
      <c r="B1339" s="1" t="s">
        <v>259</v>
      </c>
      <c r="C1339" s="1" t="s">
        <v>257</v>
      </c>
      <c r="D1339" s="52">
        <v>46049.600694444445</v>
      </c>
      <c r="E1339" s="52">
        <v>46049.600694444445</v>
      </c>
      <c r="F1339" s="52">
        <v>46049.680555555555</v>
      </c>
      <c r="G1339" s="53">
        <f t="shared" si="77"/>
        <v>7.9861111109494232E-2</v>
      </c>
      <c r="H1339" s="1" t="s">
        <v>248</v>
      </c>
      <c r="J1339" s="1" t="s">
        <v>249</v>
      </c>
      <c r="K1339" s="1" t="s">
        <v>349</v>
      </c>
      <c r="L1339" s="1" t="s">
        <v>649</v>
      </c>
      <c r="M1339" s="1" t="s">
        <v>251</v>
      </c>
      <c r="N1339" s="1" t="s">
        <v>252</v>
      </c>
      <c r="O1339" s="1" t="s">
        <v>638</v>
      </c>
      <c r="P1339" s="1" t="str">
        <f t="shared" si="78"/>
        <v>BC Caiaponia2.3215KTL-H3(MBUS-16)46049,600694444446049,600694444446049,6805555556</v>
      </c>
      <c r="Q1339" s="1" t="str">
        <f t="shared" si="79"/>
        <v>DAURDE</v>
      </c>
    </row>
    <row r="1340" spans="2:17">
      <c r="B1340" s="1" t="s">
        <v>327</v>
      </c>
      <c r="C1340" s="1" t="s">
        <v>328</v>
      </c>
      <c r="D1340" s="52">
        <v>46049.628472222219</v>
      </c>
      <c r="E1340" s="52">
        <v>46049.628472222219</v>
      </c>
      <c r="F1340" s="52">
        <v>46049.770138888889</v>
      </c>
      <c r="G1340" s="53">
        <f t="shared" si="77"/>
        <v>0.14166666667006211</v>
      </c>
      <c r="H1340" s="1" t="s">
        <v>248</v>
      </c>
      <c r="J1340" s="1" t="s">
        <v>249</v>
      </c>
      <c r="K1340" s="1" t="s">
        <v>349</v>
      </c>
      <c r="L1340" s="1" t="s">
        <v>650</v>
      </c>
      <c r="M1340" s="1" t="s">
        <v>251</v>
      </c>
      <c r="N1340" s="1" t="s">
        <v>252</v>
      </c>
      <c r="O1340" s="1" t="s">
        <v>638</v>
      </c>
      <c r="P1340" s="1" t="str">
        <f t="shared" si="78"/>
        <v>BC Aracu5.1Inverter(MBUS-1)46049,628472222246049,628472222246049,7701388889</v>
      </c>
      <c r="Q1340" s="1" t="str">
        <f t="shared" si="79"/>
        <v>DAURDE</v>
      </c>
    </row>
    <row r="1341" spans="2:17">
      <c r="B1341" s="1" t="s">
        <v>332</v>
      </c>
      <c r="C1341" s="1" t="s">
        <v>328</v>
      </c>
      <c r="D1341" s="52">
        <v>46049.628472222219</v>
      </c>
      <c r="E1341" s="52">
        <v>46049.628472222219</v>
      </c>
      <c r="F1341" s="52">
        <v>46049.770138888889</v>
      </c>
      <c r="G1341" s="53">
        <f t="shared" si="77"/>
        <v>0.14166666667006211</v>
      </c>
      <c r="H1341" s="1" t="s">
        <v>248</v>
      </c>
      <c r="J1341" s="1" t="s">
        <v>249</v>
      </c>
      <c r="K1341" s="1" t="s">
        <v>349</v>
      </c>
      <c r="L1341" s="1" t="s">
        <v>650</v>
      </c>
      <c r="M1341" s="1" t="s">
        <v>251</v>
      </c>
      <c r="N1341" s="1" t="s">
        <v>252</v>
      </c>
      <c r="O1341" s="1" t="s">
        <v>638</v>
      </c>
      <c r="P1341" s="1" t="str">
        <f t="shared" si="78"/>
        <v>BC Aracu5.2Inverter(MBUS-1)46049,628472222246049,628472222246049,7701388889</v>
      </c>
      <c r="Q1341" s="1" t="str">
        <f t="shared" si="79"/>
        <v>DAURDE</v>
      </c>
    </row>
    <row r="1342" spans="2:17">
      <c r="B1342" s="1" t="s">
        <v>333</v>
      </c>
      <c r="C1342" s="1" t="s">
        <v>328</v>
      </c>
      <c r="D1342" s="52">
        <v>46049.628472222219</v>
      </c>
      <c r="E1342" s="52">
        <v>46049.628472222219</v>
      </c>
      <c r="F1342" s="52">
        <v>46049.770138888889</v>
      </c>
      <c r="G1342" s="53">
        <f t="shared" si="77"/>
        <v>0.14166666667006211</v>
      </c>
      <c r="H1342" s="1" t="s">
        <v>248</v>
      </c>
      <c r="J1342" s="1" t="s">
        <v>249</v>
      </c>
      <c r="K1342" s="1" t="s">
        <v>349</v>
      </c>
      <c r="L1342" s="1" t="s">
        <v>650</v>
      </c>
      <c r="M1342" s="1" t="s">
        <v>251</v>
      </c>
      <c r="N1342" s="1" t="s">
        <v>252</v>
      </c>
      <c r="O1342" s="1" t="s">
        <v>638</v>
      </c>
      <c r="P1342" s="1" t="str">
        <f t="shared" si="78"/>
        <v>BC Aracu5.3Inverter(MBUS-1)46049,628472222246049,628472222246049,7701388889</v>
      </c>
      <c r="Q1342" s="1" t="str">
        <f t="shared" si="79"/>
        <v>DAURDE</v>
      </c>
    </row>
    <row r="1343" spans="2:17">
      <c r="B1343" s="1" t="s">
        <v>334</v>
      </c>
      <c r="C1343" s="1" t="s">
        <v>328</v>
      </c>
      <c r="D1343" s="52">
        <v>46049.628472222219</v>
      </c>
      <c r="E1343" s="52">
        <v>46049.628472222219</v>
      </c>
      <c r="F1343" s="52">
        <v>46049.770138888889</v>
      </c>
      <c r="G1343" s="53">
        <f t="shared" si="77"/>
        <v>0.14166666667006211</v>
      </c>
      <c r="H1343" s="1" t="s">
        <v>248</v>
      </c>
      <c r="J1343" s="1" t="s">
        <v>249</v>
      </c>
      <c r="K1343" s="1" t="s">
        <v>349</v>
      </c>
      <c r="L1343" s="1" t="s">
        <v>650</v>
      </c>
      <c r="M1343" s="1" t="s">
        <v>251</v>
      </c>
      <c r="N1343" s="1" t="s">
        <v>252</v>
      </c>
      <c r="O1343" s="1" t="s">
        <v>638</v>
      </c>
      <c r="P1343" s="1" t="str">
        <f t="shared" si="78"/>
        <v>BC Aracu5.4Inverter(MBUS-1)46049,628472222246049,628472222246049,7701388889</v>
      </c>
      <c r="Q1343" s="1" t="str">
        <f t="shared" si="79"/>
        <v>DAURDE</v>
      </c>
    </row>
    <row r="1344" spans="2:17">
      <c r="B1344" s="1" t="s">
        <v>335</v>
      </c>
      <c r="C1344" s="1" t="s">
        <v>328</v>
      </c>
      <c r="D1344" s="52">
        <v>46049.628472222219</v>
      </c>
      <c r="E1344" s="52">
        <v>46049.628472222219</v>
      </c>
      <c r="F1344" s="52">
        <v>46049.770138888889</v>
      </c>
      <c r="G1344" s="53">
        <f t="shared" si="77"/>
        <v>0.14166666667006211</v>
      </c>
      <c r="H1344" s="1" t="s">
        <v>248</v>
      </c>
      <c r="J1344" s="1" t="s">
        <v>249</v>
      </c>
      <c r="K1344" s="1" t="s">
        <v>349</v>
      </c>
      <c r="L1344" s="1" t="s">
        <v>650</v>
      </c>
      <c r="M1344" s="1" t="s">
        <v>251</v>
      </c>
      <c r="N1344" s="1" t="s">
        <v>252</v>
      </c>
      <c r="O1344" s="1" t="s">
        <v>638</v>
      </c>
      <c r="P1344" s="1" t="str">
        <f t="shared" si="78"/>
        <v>BC Aracu5.5Inverter(MBUS-1)46049,628472222246049,628472222246049,7701388889</v>
      </c>
      <c r="Q1344" s="1" t="str">
        <f t="shared" si="79"/>
        <v>DAURDE</v>
      </c>
    </row>
    <row r="1345" spans="2:17">
      <c r="B1345" s="1" t="s">
        <v>423</v>
      </c>
      <c r="C1345" s="1" t="s">
        <v>354</v>
      </c>
      <c r="D1345" s="52">
        <v>46049.840277777781</v>
      </c>
      <c r="E1345" s="52">
        <v>46049.840277777781</v>
      </c>
      <c r="F1345" s="52">
        <v>46049.9375</v>
      </c>
      <c r="G1345" s="53">
        <f t="shared" si="77"/>
        <v>9.7222222218988463E-2</v>
      </c>
      <c r="H1345" s="1" t="s">
        <v>248</v>
      </c>
      <c r="J1345" s="1" t="s">
        <v>249</v>
      </c>
      <c r="K1345" s="1" t="s">
        <v>349</v>
      </c>
      <c r="L1345" s="1" t="s">
        <v>651</v>
      </c>
      <c r="M1345" s="1" t="s">
        <v>251</v>
      </c>
      <c r="N1345" s="1" t="s">
        <v>252</v>
      </c>
      <c r="O1345" s="1" t="s">
        <v>638</v>
      </c>
      <c r="P1345" s="1" t="str">
        <f t="shared" si="78"/>
        <v>BC Formoso2.1Inverter(MBUS-12)46049,840277777846049,840277777846049,9375</v>
      </c>
      <c r="Q1345" s="1" t="str">
        <f t="shared" si="79"/>
        <v>DAURDE</v>
      </c>
    </row>
    <row r="1346" spans="2:17">
      <c r="B1346" s="1" t="s">
        <v>423</v>
      </c>
      <c r="C1346" s="1" t="s">
        <v>358</v>
      </c>
      <c r="D1346" s="52">
        <v>46049.840277777781</v>
      </c>
      <c r="E1346" s="52">
        <v>46049.840277777781</v>
      </c>
      <c r="F1346" s="52">
        <v>46049.9375</v>
      </c>
      <c r="G1346" s="53">
        <f t="shared" si="77"/>
        <v>9.7222222218988463E-2</v>
      </c>
      <c r="H1346" s="1" t="s">
        <v>248</v>
      </c>
      <c r="J1346" s="1" t="s">
        <v>249</v>
      </c>
      <c r="K1346" s="1" t="s">
        <v>349</v>
      </c>
      <c r="L1346" s="1" t="s">
        <v>651</v>
      </c>
      <c r="M1346" s="1" t="s">
        <v>251</v>
      </c>
      <c r="N1346" s="1" t="s">
        <v>252</v>
      </c>
      <c r="O1346" s="1" t="s">
        <v>638</v>
      </c>
      <c r="P1346" s="1" t="str">
        <f t="shared" si="78"/>
        <v>BC Formoso2.1Inverter(MBUS-14)46049,840277777846049,840277777846049,9375</v>
      </c>
      <c r="Q1346" s="1" t="str">
        <f t="shared" si="79"/>
        <v>DAURDE</v>
      </c>
    </row>
    <row r="1347" spans="2:17">
      <c r="B1347" s="1" t="s">
        <v>423</v>
      </c>
      <c r="C1347" s="1" t="s">
        <v>357</v>
      </c>
      <c r="D1347" s="52">
        <v>46049.840277777781</v>
      </c>
      <c r="E1347" s="52">
        <v>46049.840277777781</v>
      </c>
      <c r="F1347" s="52">
        <v>46049.9375</v>
      </c>
      <c r="G1347" s="53">
        <f t="shared" si="77"/>
        <v>9.7222222218988463E-2</v>
      </c>
      <c r="H1347" s="1" t="s">
        <v>248</v>
      </c>
      <c r="J1347" s="1" t="s">
        <v>249</v>
      </c>
      <c r="K1347" s="1" t="s">
        <v>349</v>
      </c>
      <c r="L1347" s="1" t="s">
        <v>651</v>
      </c>
      <c r="M1347" s="1" t="s">
        <v>251</v>
      </c>
      <c r="N1347" s="1" t="s">
        <v>252</v>
      </c>
      <c r="O1347" s="1" t="s">
        <v>638</v>
      </c>
      <c r="P1347" s="1" t="str">
        <f t="shared" si="78"/>
        <v>BC Formoso2.1Inverter(MBUS-13)46049,840277777846049,840277777846049,9375</v>
      </c>
      <c r="Q1347" s="1" t="str">
        <f t="shared" si="79"/>
        <v>DAURDE</v>
      </c>
    </row>
    <row r="1348" spans="2:17">
      <c r="B1348" s="1" t="s">
        <v>423</v>
      </c>
      <c r="C1348" s="1" t="s">
        <v>328</v>
      </c>
      <c r="D1348" s="52">
        <v>46049.840277777781</v>
      </c>
      <c r="E1348" s="52">
        <v>46049.840277777781</v>
      </c>
      <c r="F1348" s="52">
        <v>46049.9375</v>
      </c>
      <c r="G1348" s="53">
        <f t="shared" si="77"/>
        <v>9.7222222218988463E-2</v>
      </c>
      <c r="H1348" s="1" t="s">
        <v>248</v>
      </c>
      <c r="J1348" s="1" t="s">
        <v>249</v>
      </c>
      <c r="K1348" s="1" t="s">
        <v>349</v>
      </c>
      <c r="L1348" s="1" t="s">
        <v>651</v>
      </c>
      <c r="M1348" s="1" t="s">
        <v>251</v>
      </c>
      <c r="N1348" s="1" t="s">
        <v>252</v>
      </c>
      <c r="O1348" s="1" t="s">
        <v>638</v>
      </c>
      <c r="P1348" s="1" t="str">
        <f t="shared" si="78"/>
        <v>BC Formoso2.1Inverter(MBUS-1)46049,840277777846049,840277777846049,9375</v>
      </c>
      <c r="Q1348" s="1" t="str">
        <f t="shared" si="79"/>
        <v>DAURDE</v>
      </c>
    </row>
    <row r="1349" spans="2:17">
      <c r="B1349" s="1" t="s">
        <v>424</v>
      </c>
      <c r="C1349" s="1" t="s">
        <v>358</v>
      </c>
      <c r="D1349" s="52">
        <v>46049.840277777781</v>
      </c>
      <c r="E1349" s="52">
        <v>46049.840277777781</v>
      </c>
      <c r="F1349" s="52">
        <v>46049.9375</v>
      </c>
      <c r="G1349" s="53">
        <f t="shared" si="77"/>
        <v>9.7222222218988463E-2</v>
      </c>
      <c r="H1349" s="1" t="s">
        <v>248</v>
      </c>
      <c r="J1349" s="1" t="s">
        <v>249</v>
      </c>
      <c r="K1349" s="1" t="s">
        <v>349</v>
      </c>
      <c r="L1349" s="1" t="s">
        <v>651</v>
      </c>
      <c r="M1349" s="1" t="s">
        <v>251</v>
      </c>
      <c r="N1349" s="1" t="s">
        <v>252</v>
      </c>
      <c r="O1349" s="1" t="s">
        <v>638</v>
      </c>
      <c r="P1349" s="1" t="str">
        <f t="shared" si="78"/>
        <v>BC Formoso2.2Inverter(MBUS-14)46049,840277777846049,840277777846049,9375</v>
      </c>
      <c r="Q1349" s="1" t="str">
        <f t="shared" si="79"/>
        <v>DAURDE</v>
      </c>
    </row>
    <row r="1350" spans="2:17">
      <c r="B1350" s="1" t="s">
        <v>424</v>
      </c>
      <c r="C1350" s="1" t="s">
        <v>357</v>
      </c>
      <c r="D1350" s="52">
        <v>46049.840277777781</v>
      </c>
      <c r="E1350" s="52">
        <v>46049.840277777781</v>
      </c>
      <c r="F1350" s="52">
        <v>46049.9375</v>
      </c>
      <c r="G1350" s="53">
        <f t="shared" si="77"/>
        <v>9.7222222218988463E-2</v>
      </c>
      <c r="H1350" s="1" t="s">
        <v>248</v>
      </c>
      <c r="J1350" s="1" t="s">
        <v>249</v>
      </c>
      <c r="K1350" s="1" t="s">
        <v>349</v>
      </c>
      <c r="L1350" s="1" t="s">
        <v>651</v>
      </c>
      <c r="M1350" s="1" t="s">
        <v>251</v>
      </c>
      <c r="N1350" s="1" t="s">
        <v>252</v>
      </c>
      <c r="O1350" s="1" t="s">
        <v>638</v>
      </c>
      <c r="P1350" s="1" t="str">
        <f t="shared" si="78"/>
        <v>BC Formoso2.2Inverter(MBUS-13)46049,840277777846049,840277777846049,9375</v>
      </c>
      <c r="Q1350" s="1" t="str">
        <f t="shared" si="79"/>
        <v>DAURDE</v>
      </c>
    </row>
    <row r="1351" spans="2:17">
      <c r="B1351" s="1" t="s">
        <v>424</v>
      </c>
      <c r="C1351" s="1" t="s">
        <v>354</v>
      </c>
      <c r="D1351" s="52">
        <v>46049.840277777781</v>
      </c>
      <c r="E1351" s="52">
        <v>46049.840277777781</v>
      </c>
      <c r="F1351" s="52">
        <v>46049.9375</v>
      </c>
      <c r="G1351" s="53">
        <f t="shared" si="77"/>
        <v>9.7222222218988463E-2</v>
      </c>
      <c r="H1351" s="1" t="s">
        <v>248</v>
      </c>
      <c r="J1351" s="1" t="s">
        <v>249</v>
      </c>
      <c r="K1351" s="1" t="s">
        <v>349</v>
      </c>
      <c r="L1351" s="1" t="s">
        <v>651</v>
      </c>
      <c r="M1351" s="1" t="s">
        <v>251</v>
      </c>
      <c r="N1351" s="1" t="s">
        <v>252</v>
      </c>
      <c r="O1351" s="1" t="s">
        <v>638</v>
      </c>
      <c r="P1351" s="1" t="str">
        <f t="shared" si="78"/>
        <v>BC Formoso2.2Inverter(MBUS-12)46049,840277777846049,840277777846049,9375</v>
      </c>
      <c r="Q1351" s="1" t="str">
        <f t="shared" si="79"/>
        <v>DAURDE</v>
      </c>
    </row>
    <row r="1352" spans="2:17">
      <c r="B1352" s="1" t="s">
        <v>424</v>
      </c>
      <c r="C1352" s="1" t="s">
        <v>328</v>
      </c>
      <c r="D1352" s="52">
        <v>46049.840277777781</v>
      </c>
      <c r="E1352" s="52">
        <v>46049.840277777781</v>
      </c>
      <c r="F1352" s="52">
        <v>46049.9375</v>
      </c>
      <c r="G1352" s="53">
        <f t="shared" si="77"/>
        <v>9.7222222218988463E-2</v>
      </c>
      <c r="H1352" s="1" t="s">
        <v>248</v>
      </c>
      <c r="J1352" s="1" t="s">
        <v>249</v>
      </c>
      <c r="K1352" s="1" t="s">
        <v>349</v>
      </c>
      <c r="L1352" s="1" t="s">
        <v>651</v>
      </c>
      <c r="M1352" s="1" t="s">
        <v>251</v>
      </c>
      <c r="N1352" s="1" t="s">
        <v>252</v>
      </c>
      <c r="O1352" s="1" t="s">
        <v>638</v>
      </c>
      <c r="P1352" s="1" t="str">
        <f t="shared" si="78"/>
        <v>BC Formoso2.2Inverter(MBUS-1)46049,840277777846049,840277777846049,9375</v>
      </c>
      <c r="Q1352" s="1" t="str">
        <f t="shared" si="79"/>
        <v>DAURDE</v>
      </c>
    </row>
    <row r="1353" spans="2:17">
      <c r="B1353" s="1" t="s">
        <v>425</v>
      </c>
      <c r="C1353" s="1" t="s">
        <v>357</v>
      </c>
      <c r="D1353" s="52">
        <v>46049.840277777781</v>
      </c>
      <c r="E1353" s="52">
        <v>46049.840277777781</v>
      </c>
      <c r="F1353" s="52">
        <v>46049.9375</v>
      </c>
      <c r="G1353" s="53">
        <f t="shared" ref="G1353:G1416" si="80">F1353-E1353</f>
        <v>9.7222222218988463E-2</v>
      </c>
      <c r="H1353" s="1" t="s">
        <v>248</v>
      </c>
      <c r="J1353" s="1" t="s">
        <v>249</v>
      </c>
      <c r="K1353" s="1" t="s">
        <v>349</v>
      </c>
      <c r="L1353" s="1" t="s">
        <v>651</v>
      </c>
      <c r="M1353" s="1" t="s">
        <v>251</v>
      </c>
      <c r="N1353" s="1" t="s">
        <v>252</v>
      </c>
      <c r="O1353" s="1" t="s">
        <v>638</v>
      </c>
      <c r="P1353" s="1" t="str">
        <f t="shared" si="78"/>
        <v>BC Formoso2.3Inverter(MBUS-13)46049,840277777846049,840277777846049,9375</v>
      </c>
      <c r="Q1353" s="1" t="str">
        <f t="shared" si="79"/>
        <v>DAURDE</v>
      </c>
    </row>
    <row r="1354" spans="2:17">
      <c r="B1354" s="1" t="s">
        <v>425</v>
      </c>
      <c r="C1354" s="1" t="s">
        <v>354</v>
      </c>
      <c r="D1354" s="52">
        <v>46049.840277777781</v>
      </c>
      <c r="E1354" s="52">
        <v>46049.840277777781</v>
      </c>
      <c r="F1354" s="52">
        <v>46049.9375</v>
      </c>
      <c r="G1354" s="53">
        <f t="shared" si="80"/>
        <v>9.7222222218988463E-2</v>
      </c>
      <c r="H1354" s="1" t="s">
        <v>248</v>
      </c>
      <c r="J1354" s="1" t="s">
        <v>249</v>
      </c>
      <c r="K1354" s="1" t="s">
        <v>349</v>
      </c>
      <c r="L1354" s="1" t="s">
        <v>651</v>
      </c>
      <c r="M1354" s="1" t="s">
        <v>251</v>
      </c>
      <c r="N1354" s="1" t="s">
        <v>252</v>
      </c>
      <c r="O1354" s="1" t="s">
        <v>638</v>
      </c>
      <c r="P1354" s="1" t="str">
        <f t="shared" si="78"/>
        <v>BC Formoso2.3Inverter(MBUS-12)46049,840277777846049,840277777846049,9375</v>
      </c>
      <c r="Q1354" s="1" t="str">
        <f t="shared" si="79"/>
        <v>DAURDE</v>
      </c>
    </row>
    <row r="1355" spans="2:17">
      <c r="B1355" s="1" t="s">
        <v>268</v>
      </c>
      <c r="C1355" s="1" t="s">
        <v>269</v>
      </c>
      <c r="D1355" s="52">
        <v>46049.965277777781</v>
      </c>
      <c r="E1355" s="52">
        <v>46049.965277777781</v>
      </c>
      <c r="F1355" s="52">
        <v>46050.331944444442</v>
      </c>
      <c r="G1355" s="53">
        <f t="shared" si="80"/>
        <v>0.36666666666133096</v>
      </c>
      <c r="H1355" s="1" t="s">
        <v>248</v>
      </c>
      <c r="J1355" s="1" t="s">
        <v>249</v>
      </c>
      <c r="K1355" s="1" t="s">
        <v>349</v>
      </c>
      <c r="L1355" s="1" t="s">
        <v>652</v>
      </c>
      <c r="M1355" s="1" t="s">
        <v>251</v>
      </c>
      <c r="N1355" s="1" t="s">
        <v>252</v>
      </c>
      <c r="O1355" s="1" t="s">
        <v>638</v>
      </c>
      <c r="P1355" s="1" t="str">
        <f t="shared" si="78"/>
        <v>BC Caiaponia1SG60KTL(COM1-001)_001_00746049,965277777846049,965277777846050,3319444444</v>
      </c>
      <c r="Q1355" s="1" t="str">
        <f t="shared" si="79"/>
        <v>DAURDE</v>
      </c>
    </row>
    <row r="1356" spans="2:17">
      <c r="B1356" s="1" t="s">
        <v>268</v>
      </c>
      <c r="C1356" s="1" t="s">
        <v>270</v>
      </c>
      <c r="D1356" s="52">
        <v>46049.965277777781</v>
      </c>
      <c r="E1356" s="52">
        <v>46049.965277777781</v>
      </c>
      <c r="F1356" s="52">
        <v>46050.331944444442</v>
      </c>
      <c r="G1356" s="53">
        <f t="shared" si="80"/>
        <v>0.36666666666133096</v>
      </c>
      <c r="H1356" s="1" t="s">
        <v>248</v>
      </c>
      <c r="J1356" s="1" t="s">
        <v>249</v>
      </c>
      <c r="K1356" s="1" t="s">
        <v>349</v>
      </c>
      <c r="L1356" s="1" t="s">
        <v>652</v>
      </c>
      <c r="M1356" s="1" t="s">
        <v>251</v>
      </c>
      <c r="N1356" s="1" t="s">
        <v>252</v>
      </c>
      <c r="O1356" s="1" t="s">
        <v>638</v>
      </c>
      <c r="P1356" s="1" t="str">
        <f t="shared" si="78"/>
        <v>BC Caiaponia1SG60KTL(COM1-002)_001_01046049,965277777846049,965277777846050,3319444444</v>
      </c>
      <c r="Q1356" s="1" t="str">
        <f t="shared" si="79"/>
        <v>DAURDE</v>
      </c>
    </row>
    <row r="1357" spans="2:17">
      <c r="B1357" s="1" t="s">
        <v>268</v>
      </c>
      <c r="C1357" s="1" t="s">
        <v>271</v>
      </c>
      <c r="D1357" s="52">
        <v>46049.965277777781</v>
      </c>
      <c r="E1357" s="52">
        <v>46049.965277777781</v>
      </c>
      <c r="F1357" s="52">
        <v>46050.331944444442</v>
      </c>
      <c r="G1357" s="53">
        <f t="shared" si="80"/>
        <v>0.36666666666133096</v>
      </c>
      <c r="H1357" s="1" t="s">
        <v>248</v>
      </c>
      <c r="J1357" s="1" t="s">
        <v>249</v>
      </c>
      <c r="K1357" s="1" t="s">
        <v>349</v>
      </c>
      <c r="L1357" s="1" t="s">
        <v>652</v>
      </c>
      <c r="M1357" s="1" t="s">
        <v>251</v>
      </c>
      <c r="N1357" s="1" t="s">
        <v>252</v>
      </c>
      <c r="O1357" s="1" t="s">
        <v>638</v>
      </c>
      <c r="P1357" s="1" t="str">
        <f t="shared" si="78"/>
        <v>BC Caiaponia1SG60KTL(COM1-003)_001_01146049,965277777846049,965277777846050,3319444444</v>
      </c>
      <c r="Q1357" s="1" t="str">
        <f t="shared" si="79"/>
        <v>DAURDE</v>
      </c>
    </row>
    <row r="1358" spans="2:17">
      <c r="B1358" s="1" t="s">
        <v>268</v>
      </c>
      <c r="C1358" s="1" t="s">
        <v>272</v>
      </c>
      <c r="D1358" s="52">
        <v>46049.965277777781</v>
      </c>
      <c r="E1358" s="52">
        <v>46049.965277777781</v>
      </c>
      <c r="F1358" s="52">
        <v>46050.331944444442</v>
      </c>
      <c r="G1358" s="53">
        <f t="shared" si="80"/>
        <v>0.36666666666133096</v>
      </c>
      <c r="H1358" s="1" t="s">
        <v>248</v>
      </c>
      <c r="J1358" s="1" t="s">
        <v>249</v>
      </c>
      <c r="K1358" s="1" t="s">
        <v>349</v>
      </c>
      <c r="L1358" s="1" t="s">
        <v>652</v>
      </c>
      <c r="M1358" s="1" t="s">
        <v>251</v>
      </c>
      <c r="N1358" s="1" t="s">
        <v>252</v>
      </c>
      <c r="O1358" s="1" t="s">
        <v>638</v>
      </c>
      <c r="P1358" s="1" t="str">
        <f t="shared" si="78"/>
        <v>BC Caiaponia1SG60KTL(COM1-004)_001_01446049,965277777846049,965277777846050,3319444444</v>
      </c>
      <c r="Q1358" s="1" t="str">
        <f t="shared" si="79"/>
        <v>DAURDE</v>
      </c>
    </row>
    <row r="1359" spans="2:17">
      <c r="B1359" s="1" t="s">
        <v>268</v>
      </c>
      <c r="C1359" s="1" t="s">
        <v>273</v>
      </c>
      <c r="D1359" s="52">
        <v>46049.965277777781</v>
      </c>
      <c r="E1359" s="52">
        <v>46049.965277777781</v>
      </c>
      <c r="F1359" s="52">
        <v>46050.331944444442</v>
      </c>
      <c r="G1359" s="53">
        <f t="shared" si="80"/>
        <v>0.36666666666133096</v>
      </c>
      <c r="H1359" s="1" t="s">
        <v>248</v>
      </c>
      <c r="J1359" s="1" t="s">
        <v>249</v>
      </c>
      <c r="K1359" s="1" t="s">
        <v>349</v>
      </c>
      <c r="L1359" s="1" t="s">
        <v>652</v>
      </c>
      <c r="M1359" s="1" t="s">
        <v>251</v>
      </c>
      <c r="N1359" s="1" t="s">
        <v>252</v>
      </c>
      <c r="O1359" s="1" t="s">
        <v>638</v>
      </c>
      <c r="P1359" s="1" t="str">
        <f t="shared" si="78"/>
        <v>BC Caiaponia1SG60KTL(COM1-005)_001_01746049,965277777846049,965277777846050,3319444444</v>
      </c>
      <c r="Q1359" s="1" t="str">
        <f t="shared" si="79"/>
        <v>DAURDE</v>
      </c>
    </row>
    <row r="1360" spans="2:17">
      <c r="B1360" s="1" t="s">
        <v>268</v>
      </c>
      <c r="C1360" s="1" t="s">
        <v>274</v>
      </c>
      <c r="D1360" s="52">
        <v>46049.965277777781</v>
      </c>
      <c r="E1360" s="52">
        <v>46049.965277777781</v>
      </c>
      <c r="F1360" s="52">
        <v>46050.331944444442</v>
      </c>
      <c r="G1360" s="53">
        <f t="shared" si="80"/>
        <v>0.36666666666133096</v>
      </c>
      <c r="H1360" s="1" t="s">
        <v>248</v>
      </c>
      <c r="J1360" s="1" t="s">
        <v>249</v>
      </c>
      <c r="K1360" s="1" t="s">
        <v>349</v>
      </c>
      <c r="L1360" s="1" t="s">
        <v>652</v>
      </c>
      <c r="M1360" s="1" t="s">
        <v>251</v>
      </c>
      <c r="N1360" s="1" t="s">
        <v>252</v>
      </c>
      <c r="O1360" s="1" t="s">
        <v>638</v>
      </c>
      <c r="P1360" s="1" t="str">
        <f t="shared" si="78"/>
        <v>BC Caiaponia1SG60KTL(COM1-006)_001_01646049,965277777846049,965277777846050,3319444444</v>
      </c>
      <c r="Q1360" s="1" t="str">
        <f t="shared" si="79"/>
        <v>DAURDE</v>
      </c>
    </row>
    <row r="1361" spans="2:17">
      <c r="B1361" s="1" t="s">
        <v>268</v>
      </c>
      <c r="C1361" s="1" t="s">
        <v>275</v>
      </c>
      <c r="D1361" s="52">
        <v>46049.965277777781</v>
      </c>
      <c r="E1361" s="52">
        <v>46049.965277777781</v>
      </c>
      <c r="F1361" s="52">
        <v>46050.331944444442</v>
      </c>
      <c r="G1361" s="53">
        <f t="shared" si="80"/>
        <v>0.36666666666133096</v>
      </c>
      <c r="H1361" s="1" t="s">
        <v>248</v>
      </c>
      <c r="J1361" s="1" t="s">
        <v>249</v>
      </c>
      <c r="K1361" s="1" t="s">
        <v>349</v>
      </c>
      <c r="L1361" s="1" t="s">
        <v>652</v>
      </c>
      <c r="M1361" s="1" t="s">
        <v>251</v>
      </c>
      <c r="N1361" s="1" t="s">
        <v>252</v>
      </c>
      <c r="O1361" s="1" t="s">
        <v>638</v>
      </c>
      <c r="P1361" s="1" t="str">
        <f t="shared" si="78"/>
        <v>BC Caiaponia1SG60KTL(COM1-007)_001_01346049,965277777846049,965277777846050,3319444444</v>
      </c>
      <c r="Q1361" s="1" t="str">
        <f t="shared" si="79"/>
        <v>DAURDE</v>
      </c>
    </row>
    <row r="1362" spans="2:17">
      <c r="B1362" s="1" t="s">
        <v>268</v>
      </c>
      <c r="C1362" s="1" t="s">
        <v>276</v>
      </c>
      <c r="D1362" s="52">
        <v>46049.965277777781</v>
      </c>
      <c r="E1362" s="52">
        <v>46049.965277777781</v>
      </c>
      <c r="F1362" s="52">
        <v>46050.331944444442</v>
      </c>
      <c r="G1362" s="53">
        <f t="shared" si="80"/>
        <v>0.36666666666133096</v>
      </c>
      <c r="H1362" s="1" t="s">
        <v>248</v>
      </c>
      <c r="J1362" s="1" t="s">
        <v>249</v>
      </c>
      <c r="K1362" s="1" t="s">
        <v>349</v>
      </c>
      <c r="L1362" s="1" t="s">
        <v>652</v>
      </c>
      <c r="M1362" s="1" t="s">
        <v>251</v>
      </c>
      <c r="N1362" s="1" t="s">
        <v>252</v>
      </c>
      <c r="O1362" s="1" t="s">
        <v>638</v>
      </c>
      <c r="P1362" s="1" t="str">
        <f t="shared" si="78"/>
        <v>BC Caiaponia1SG60KTL(COM1-008)_001_00146049,965277777846049,965277777846050,3319444444</v>
      </c>
      <c r="Q1362" s="1" t="str">
        <f t="shared" si="79"/>
        <v>DAURDE</v>
      </c>
    </row>
    <row r="1363" spans="2:17">
      <c r="B1363" s="1" t="s">
        <v>268</v>
      </c>
      <c r="C1363" s="1" t="s">
        <v>277</v>
      </c>
      <c r="D1363" s="52">
        <v>46049.965277777781</v>
      </c>
      <c r="E1363" s="52">
        <v>46049.965277777781</v>
      </c>
      <c r="F1363" s="52">
        <v>46050.331944444442</v>
      </c>
      <c r="G1363" s="53">
        <f t="shared" si="80"/>
        <v>0.36666666666133096</v>
      </c>
      <c r="H1363" s="1" t="s">
        <v>248</v>
      </c>
      <c r="J1363" s="1" t="s">
        <v>249</v>
      </c>
      <c r="K1363" s="1" t="s">
        <v>349</v>
      </c>
      <c r="L1363" s="1" t="s">
        <v>652</v>
      </c>
      <c r="M1363" s="1" t="s">
        <v>251</v>
      </c>
      <c r="N1363" s="1" t="s">
        <v>252</v>
      </c>
      <c r="O1363" s="1" t="s">
        <v>638</v>
      </c>
      <c r="P1363" s="1" t="str">
        <f t="shared" si="78"/>
        <v>BC Caiaponia1SG60KTL(COM1-009)46049,965277777846049,965277777846050,3319444444</v>
      </c>
      <c r="Q1363" s="1" t="str">
        <f t="shared" si="79"/>
        <v>DAURDE</v>
      </c>
    </row>
    <row r="1364" spans="2:17">
      <c r="B1364" s="1" t="s">
        <v>268</v>
      </c>
      <c r="C1364" s="1" t="s">
        <v>278</v>
      </c>
      <c r="D1364" s="52">
        <v>46049.965277777781</v>
      </c>
      <c r="E1364" s="52">
        <v>46049.965277777781</v>
      </c>
      <c r="F1364" s="52">
        <v>46050.331944444442</v>
      </c>
      <c r="G1364" s="53">
        <f t="shared" si="80"/>
        <v>0.36666666666133096</v>
      </c>
      <c r="H1364" s="1" t="s">
        <v>248</v>
      </c>
      <c r="J1364" s="1" t="s">
        <v>249</v>
      </c>
      <c r="K1364" s="1" t="s">
        <v>349</v>
      </c>
      <c r="L1364" s="1" t="s">
        <v>652</v>
      </c>
      <c r="M1364" s="1" t="s">
        <v>251</v>
      </c>
      <c r="N1364" s="1" t="s">
        <v>252</v>
      </c>
      <c r="O1364" s="1" t="s">
        <v>638</v>
      </c>
      <c r="P1364" s="1" t="str">
        <f t="shared" si="78"/>
        <v>BC Caiaponia1SG60KTL(COM1-010)46049,965277777846049,965277777846050,3319444444</v>
      </c>
      <c r="Q1364" s="1" t="str">
        <f t="shared" si="79"/>
        <v>DAURDE</v>
      </c>
    </row>
    <row r="1365" spans="2:17">
      <c r="B1365" s="1" t="s">
        <v>268</v>
      </c>
      <c r="C1365" s="1" t="s">
        <v>279</v>
      </c>
      <c r="D1365" s="52">
        <v>46049.965277777781</v>
      </c>
      <c r="E1365" s="52">
        <v>46049.965277777781</v>
      </c>
      <c r="F1365" s="52">
        <v>46050.331944444442</v>
      </c>
      <c r="G1365" s="53">
        <f t="shared" si="80"/>
        <v>0.36666666666133096</v>
      </c>
      <c r="H1365" s="1" t="s">
        <v>248</v>
      </c>
      <c r="J1365" s="1" t="s">
        <v>249</v>
      </c>
      <c r="K1365" s="1" t="s">
        <v>349</v>
      </c>
      <c r="L1365" s="1" t="s">
        <v>652</v>
      </c>
      <c r="M1365" s="1" t="s">
        <v>251</v>
      </c>
      <c r="N1365" s="1" t="s">
        <v>252</v>
      </c>
      <c r="O1365" s="1" t="s">
        <v>638</v>
      </c>
      <c r="P1365" s="1" t="str">
        <f t="shared" si="78"/>
        <v>BC Caiaponia1SG60KTL(COM1-011)46049,965277777846049,965277777846050,3319444444</v>
      </c>
      <c r="Q1365" s="1" t="str">
        <f t="shared" si="79"/>
        <v>DAURDE</v>
      </c>
    </row>
    <row r="1366" spans="2:17">
      <c r="B1366" s="1" t="s">
        <v>268</v>
      </c>
      <c r="C1366" s="1" t="s">
        <v>280</v>
      </c>
      <c r="D1366" s="52">
        <v>46049.965277777781</v>
      </c>
      <c r="E1366" s="52">
        <v>46049.965277777781</v>
      </c>
      <c r="F1366" s="52">
        <v>46050.331944444442</v>
      </c>
      <c r="G1366" s="53">
        <f t="shared" si="80"/>
        <v>0.36666666666133096</v>
      </c>
      <c r="H1366" s="1" t="s">
        <v>248</v>
      </c>
      <c r="J1366" s="1" t="s">
        <v>249</v>
      </c>
      <c r="K1366" s="1" t="s">
        <v>349</v>
      </c>
      <c r="L1366" s="1" t="s">
        <v>652</v>
      </c>
      <c r="M1366" s="1" t="s">
        <v>251</v>
      </c>
      <c r="N1366" s="1" t="s">
        <v>252</v>
      </c>
      <c r="O1366" s="1" t="s">
        <v>638</v>
      </c>
      <c r="P1366" s="1" t="str">
        <f t="shared" si="78"/>
        <v>BC Caiaponia1SG60KTL(COM1-012)46049,965277777846049,965277777846050,3319444444</v>
      </c>
      <c r="Q1366" s="1" t="str">
        <f t="shared" si="79"/>
        <v>DAURDE</v>
      </c>
    </row>
    <row r="1367" spans="2:17">
      <c r="B1367" s="1" t="s">
        <v>268</v>
      </c>
      <c r="C1367" s="1" t="s">
        <v>281</v>
      </c>
      <c r="D1367" s="52">
        <v>46049.965277777781</v>
      </c>
      <c r="E1367" s="52">
        <v>46049.965277777781</v>
      </c>
      <c r="F1367" s="52">
        <v>46050.331944444442</v>
      </c>
      <c r="G1367" s="53">
        <f t="shared" si="80"/>
        <v>0.36666666666133096</v>
      </c>
      <c r="H1367" s="1" t="s">
        <v>248</v>
      </c>
      <c r="J1367" s="1" t="s">
        <v>249</v>
      </c>
      <c r="K1367" s="1" t="s">
        <v>349</v>
      </c>
      <c r="L1367" s="1" t="s">
        <v>652</v>
      </c>
      <c r="M1367" s="1" t="s">
        <v>251</v>
      </c>
      <c r="N1367" s="1" t="s">
        <v>252</v>
      </c>
      <c r="O1367" s="1" t="s">
        <v>638</v>
      </c>
      <c r="P1367" s="1" t="str">
        <f t="shared" si="78"/>
        <v>BC Caiaponia1SG60KTL(COM1-013)46049,965277777846049,965277777846050,3319444444</v>
      </c>
      <c r="Q1367" s="1" t="str">
        <f t="shared" si="79"/>
        <v>DAURDE</v>
      </c>
    </row>
    <row r="1368" spans="2:17">
      <c r="B1368" s="1" t="s">
        <v>268</v>
      </c>
      <c r="C1368" s="1" t="s">
        <v>282</v>
      </c>
      <c r="D1368" s="52">
        <v>46049.965277777781</v>
      </c>
      <c r="E1368" s="52">
        <v>46049.965277777781</v>
      </c>
      <c r="F1368" s="52">
        <v>46050.331944444442</v>
      </c>
      <c r="G1368" s="53">
        <f t="shared" si="80"/>
        <v>0.36666666666133096</v>
      </c>
      <c r="H1368" s="1" t="s">
        <v>248</v>
      </c>
      <c r="J1368" s="1" t="s">
        <v>249</v>
      </c>
      <c r="K1368" s="1" t="s">
        <v>349</v>
      </c>
      <c r="L1368" s="1" t="s">
        <v>652</v>
      </c>
      <c r="M1368" s="1" t="s">
        <v>251</v>
      </c>
      <c r="N1368" s="1" t="s">
        <v>252</v>
      </c>
      <c r="O1368" s="1" t="s">
        <v>638</v>
      </c>
      <c r="P1368" s="1" t="str">
        <f t="shared" si="78"/>
        <v>BC Caiaponia1SG60KTL(COM1-014)46049,965277777846049,965277777846050,3319444444</v>
      </c>
      <c r="Q1368" s="1" t="str">
        <f t="shared" si="79"/>
        <v>DAURDE</v>
      </c>
    </row>
    <row r="1369" spans="2:17">
      <c r="B1369" s="1" t="s">
        <v>268</v>
      </c>
      <c r="C1369" s="1" t="s">
        <v>283</v>
      </c>
      <c r="D1369" s="52">
        <v>46049.965277777781</v>
      </c>
      <c r="E1369" s="52">
        <v>46049.965277777781</v>
      </c>
      <c r="F1369" s="52">
        <v>46050.331944444442</v>
      </c>
      <c r="G1369" s="53">
        <f t="shared" si="80"/>
        <v>0.36666666666133096</v>
      </c>
      <c r="H1369" s="1" t="s">
        <v>248</v>
      </c>
      <c r="J1369" s="1" t="s">
        <v>249</v>
      </c>
      <c r="K1369" s="1" t="s">
        <v>349</v>
      </c>
      <c r="L1369" s="1" t="s">
        <v>652</v>
      </c>
      <c r="M1369" s="1" t="s">
        <v>251</v>
      </c>
      <c r="N1369" s="1" t="s">
        <v>252</v>
      </c>
      <c r="O1369" s="1" t="s">
        <v>638</v>
      </c>
      <c r="P1369" s="1" t="str">
        <f t="shared" si="78"/>
        <v>BC Caiaponia1SG60KTL(COM1-015)46049,965277777846049,965277777846050,3319444444</v>
      </c>
      <c r="Q1369" s="1" t="str">
        <f t="shared" si="79"/>
        <v>DAURDE</v>
      </c>
    </row>
    <row r="1370" spans="2:17">
      <c r="B1370" s="1" t="s">
        <v>268</v>
      </c>
      <c r="C1370" s="1" t="s">
        <v>284</v>
      </c>
      <c r="D1370" s="52">
        <v>46049.965277777781</v>
      </c>
      <c r="E1370" s="52">
        <v>46049.965277777781</v>
      </c>
      <c r="F1370" s="52">
        <v>46050.331944444442</v>
      </c>
      <c r="G1370" s="53">
        <f t="shared" si="80"/>
        <v>0.36666666666133096</v>
      </c>
      <c r="H1370" s="1" t="s">
        <v>248</v>
      </c>
      <c r="J1370" s="1" t="s">
        <v>249</v>
      </c>
      <c r="K1370" s="1" t="s">
        <v>349</v>
      </c>
      <c r="L1370" s="1" t="s">
        <v>652</v>
      </c>
      <c r="M1370" s="1" t="s">
        <v>251</v>
      </c>
      <c r="N1370" s="1" t="s">
        <v>252</v>
      </c>
      <c r="O1370" s="1" t="s">
        <v>638</v>
      </c>
      <c r="P1370" s="1" t="str">
        <f t="shared" si="78"/>
        <v>BC Caiaponia1SG60KTL(COM3-016)_001_00946049,965277777846049,965277777846050,3319444444</v>
      </c>
      <c r="Q1370" s="1" t="str">
        <f t="shared" si="79"/>
        <v>DAURDE</v>
      </c>
    </row>
    <row r="1371" spans="2:17">
      <c r="B1371" s="1" t="s">
        <v>268</v>
      </c>
      <c r="C1371" s="1" t="s">
        <v>285</v>
      </c>
      <c r="D1371" s="52">
        <v>46049.965277777781</v>
      </c>
      <c r="E1371" s="52">
        <v>46049.965277777781</v>
      </c>
      <c r="F1371" s="52">
        <v>46050.331944444442</v>
      </c>
      <c r="G1371" s="53">
        <f t="shared" si="80"/>
        <v>0.36666666666133096</v>
      </c>
      <c r="H1371" s="1" t="s">
        <v>248</v>
      </c>
      <c r="J1371" s="1" t="s">
        <v>249</v>
      </c>
      <c r="K1371" s="1" t="s">
        <v>349</v>
      </c>
      <c r="L1371" s="1" t="s">
        <v>652</v>
      </c>
      <c r="M1371" s="1" t="s">
        <v>251</v>
      </c>
      <c r="N1371" s="1" t="s">
        <v>252</v>
      </c>
      <c r="O1371" s="1" t="s">
        <v>638</v>
      </c>
      <c r="P1371" s="1" t="str">
        <f t="shared" si="78"/>
        <v>BC Caiaponia1SG60KTL(COM3-017)_001_01246049,965277777846049,965277777846050,3319444444</v>
      </c>
      <c r="Q1371" s="1" t="str">
        <f t="shared" si="79"/>
        <v>DAURDE</v>
      </c>
    </row>
    <row r="1372" spans="2:17">
      <c r="B1372" s="1" t="s">
        <v>268</v>
      </c>
      <c r="C1372" s="1" t="s">
        <v>286</v>
      </c>
      <c r="D1372" s="52">
        <v>46049.965277777781</v>
      </c>
      <c r="E1372" s="52">
        <v>46049.965277777781</v>
      </c>
      <c r="F1372" s="52">
        <v>46050.331944444442</v>
      </c>
      <c r="G1372" s="53">
        <f t="shared" si="80"/>
        <v>0.36666666666133096</v>
      </c>
      <c r="H1372" s="1" t="s">
        <v>248</v>
      </c>
      <c r="J1372" s="1" t="s">
        <v>249</v>
      </c>
      <c r="K1372" s="1" t="s">
        <v>349</v>
      </c>
      <c r="L1372" s="1" t="s">
        <v>652</v>
      </c>
      <c r="M1372" s="1" t="s">
        <v>251</v>
      </c>
      <c r="N1372" s="1" t="s">
        <v>252</v>
      </c>
      <c r="O1372" s="1" t="s">
        <v>638</v>
      </c>
      <c r="P1372" s="1" t="str">
        <f t="shared" si="78"/>
        <v>BC Caiaponia1SG60KTL(COM3-018)_001_00846049,965277777846049,965277777846050,3319444444</v>
      </c>
      <c r="Q1372" s="1" t="str">
        <f t="shared" si="79"/>
        <v>DAURDE</v>
      </c>
    </row>
    <row r="1373" spans="2:17">
      <c r="B1373" s="1" t="s">
        <v>268</v>
      </c>
      <c r="C1373" s="1" t="s">
        <v>287</v>
      </c>
      <c r="D1373" s="52">
        <v>46049.965277777781</v>
      </c>
      <c r="E1373" s="52">
        <v>46049.965277777781</v>
      </c>
      <c r="F1373" s="52">
        <v>46050.331944444442</v>
      </c>
      <c r="G1373" s="53">
        <f t="shared" si="80"/>
        <v>0.36666666666133096</v>
      </c>
      <c r="H1373" s="1" t="s">
        <v>248</v>
      </c>
      <c r="J1373" s="1" t="s">
        <v>249</v>
      </c>
      <c r="K1373" s="1" t="s">
        <v>349</v>
      </c>
      <c r="L1373" s="1" t="s">
        <v>652</v>
      </c>
      <c r="M1373" s="1" t="s">
        <v>251</v>
      </c>
      <c r="N1373" s="1" t="s">
        <v>252</v>
      </c>
      <c r="O1373" s="1" t="s">
        <v>638</v>
      </c>
      <c r="P1373" s="1" t="str">
        <f t="shared" si="78"/>
        <v>BC Caiaponia1SG60KTL(COM3-019)_001_01946049,965277777846049,965277777846050,3319444444</v>
      </c>
      <c r="Q1373" s="1" t="str">
        <f t="shared" si="79"/>
        <v>DAURDE</v>
      </c>
    </row>
    <row r="1374" spans="2:17">
      <c r="B1374" s="1" t="s">
        <v>268</v>
      </c>
      <c r="C1374" s="1" t="s">
        <v>288</v>
      </c>
      <c r="D1374" s="52">
        <v>46049.965277777781</v>
      </c>
      <c r="E1374" s="52">
        <v>46049.965277777781</v>
      </c>
      <c r="F1374" s="52">
        <v>46050.331944444442</v>
      </c>
      <c r="G1374" s="53">
        <f t="shared" si="80"/>
        <v>0.36666666666133096</v>
      </c>
      <c r="H1374" s="1" t="s">
        <v>248</v>
      </c>
      <c r="J1374" s="1" t="s">
        <v>249</v>
      </c>
      <c r="K1374" s="1" t="s">
        <v>349</v>
      </c>
      <c r="L1374" s="1" t="s">
        <v>652</v>
      </c>
      <c r="M1374" s="1" t="s">
        <v>251</v>
      </c>
      <c r="N1374" s="1" t="s">
        <v>252</v>
      </c>
      <c r="O1374" s="1" t="s">
        <v>638</v>
      </c>
      <c r="P1374" s="1" t="str">
        <f t="shared" si="78"/>
        <v>BC Caiaponia1SG60KTL(COM3-020)_001_02046049,965277777846049,965277777846050,3319444444</v>
      </c>
      <c r="Q1374" s="1" t="str">
        <f t="shared" si="79"/>
        <v>DAURDE</v>
      </c>
    </row>
    <row r="1375" spans="2:17">
      <c r="B1375" s="1" t="s">
        <v>268</v>
      </c>
      <c r="C1375" s="1" t="s">
        <v>289</v>
      </c>
      <c r="D1375" s="52">
        <v>46049.965277777781</v>
      </c>
      <c r="E1375" s="52">
        <v>46049.965277777781</v>
      </c>
      <c r="F1375" s="52">
        <v>46050.331944444442</v>
      </c>
      <c r="G1375" s="53">
        <f t="shared" si="80"/>
        <v>0.36666666666133096</v>
      </c>
      <c r="H1375" s="1" t="s">
        <v>248</v>
      </c>
      <c r="J1375" s="1" t="s">
        <v>249</v>
      </c>
      <c r="K1375" s="1" t="s">
        <v>349</v>
      </c>
      <c r="L1375" s="1" t="s">
        <v>652</v>
      </c>
      <c r="M1375" s="1" t="s">
        <v>251</v>
      </c>
      <c r="N1375" s="1" t="s">
        <v>252</v>
      </c>
      <c r="O1375" s="1" t="s">
        <v>638</v>
      </c>
      <c r="P1375" s="1" t="str">
        <f t="shared" si="78"/>
        <v>BC Caiaponia1SG60KTL(COM2-026)46049,965277777846049,965277777846050,3319444444</v>
      </c>
      <c r="Q1375" s="1" t="str">
        <f t="shared" si="79"/>
        <v>DAURDE</v>
      </c>
    </row>
    <row r="1376" spans="2:17">
      <c r="B1376" s="1" t="s">
        <v>268</v>
      </c>
      <c r="C1376" s="1" t="s">
        <v>290</v>
      </c>
      <c r="D1376" s="52">
        <v>46049.965277777781</v>
      </c>
      <c r="E1376" s="52">
        <v>46049.965277777781</v>
      </c>
      <c r="F1376" s="52">
        <v>46050.331944444442</v>
      </c>
      <c r="G1376" s="53">
        <f t="shared" si="80"/>
        <v>0.36666666666133096</v>
      </c>
      <c r="H1376" s="1" t="s">
        <v>248</v>
      </c>
      <c r="J1376" s="1" t="s">
        <v>249</v>
      </c>
      <c r="K1376" s="1" t="s">
        <v>349</v>
      </c>
      <c r="L1376" s="1" t="s">
        <v>652</v>
      </c>
      <c r="M1376" s="1" t="s">
        <v>251</v>
      </c>
      <c r="N1376" s="1" t="s">
        <v>252</v>
      </c>
      <c r="O1376" s="1" t="s">
        <v>638</v>
      </c>
      <c r="P1376" s="1" t="str">
        <f t="shared" si="78"/>
        <v>BC Caiaponia1SG60KTL(COM2-027)46049,965277777846049,965277777846050,3319444444</v>
      </c>
      <c r="Q1376" s="1" t="str">
        <f t="shared" si="79"/>
        <v>DAURDE</v>
      </c>
    </row>
    <row r="1377" spans="2:17">
      <c r="B1377" s="1" t="s">
        <v>268</v>
      </c>
      <c r="C1377" s="1" t="s">
        <v>291</v>
      </c>
      <c r="D1377" s="52">
        <v>46049.965277777781</v>
      </c>
      <c r="E1377" s="52">
        <v>46049.965277777781</v>
      </c>
      <c r="F1377" s="52">
        <v>46050.331944444442</v>
      </c>
      <c r="G1377" s="53">
        <f t="shared" si="80"/>
        <v>0.36666666666133096</v>
      </c>
      <c r="H1377" s="1" t="s">
        <v>248</v>
      </c>
      <c r="J1377" s="1" t="s">
        <v>249</v>
      </c>
      <c r="K1377" s="1" t="s">
        <v>349</v>
      </c>
      <c r="L1377" s="1" t="s">
        <v>652</v>
      </c>
      <c r="M1377" s="1" t="s">
        <v>251</v>
      </c>
      <c r="N1377" s="1" t="s">
        <v>252</v>
      </c>
      <c r="O1377" s="1" t="s">
        <v>638</v>
      </c>
      <c r="P1377" s="1" t="str">
        <f t="shared" si="78"/>
        <v>BC Caiaponia1SG60KTL(COM2-028)46049,965277777846049,965277777846050,3319444444</v>
      </c>
      <c r="Q1377" s="1" t="str">
        <f t="shared" si="79"/>
        <v>DAURDE</v>
      </c>
    </row>
    <row r="1378" spans="2:17">
      <c r="B1378" s="1" t="s">
        <v>268</v>
      </c>
      <c r="C1378" s="1" t="s">
        <v>292</v>
      </c>
      <c r="D1378" s="52">
        <v>46049.965277777781</v>
      </c>
      <c r="E1378" s="52">
        <v>46049.965277777781</v>
      </c>
      <c r="F1378" s="52">
        <v>46050.331944444442</v>
      </c>
      <c r="G1378" s="53">
        <f t="shared" si="80"/>
        <v>0.36666666666133096</v>
      </c>
      <c r="H1378" s="1" t="s">
        <v>248</v>
      </c>
      <c r="J1378" s="1" t="s">
        <v>249</v>
      </c>
      <c r="K1378" s="1" t="s">
        <v>349</v>
      </c>
      <c r="L1378" s="1" t="s">
        <v>652</v>
      </c>
      <c r="M1378" s="1" t="s">
        <v>251</v>
      </c>
      <c r="N1378" s="1" t="s">
        <v>252</v>
      </c>
      <c r="O1378" s="1" t="s">
        <v>638</v>
      </c>
      <c r="P1378" s="1" t="str">
        <f t="shared" si="78"/>
        <v>BC Caiaponia1SG60KTL(COM2-029)46049,965277777846049,965277777846050,3319444444</v>
      </c>
      <c r="Q1378" s="1" t="str">
        <f t="shared" si="79"/>
        <v>DAURDE</v>
      </c>
    </row>
    <row r="1379" spans="2:17">
      <c r="B1379" s="1" t="s">
        <v>268</v>
      </c>
      <c r="C1379" s="1" t="s">
        <v>293</v>
      </c>
      <c r="D1379" s="52">
        <v>46049.965277777781</v>
      </c>
      <c r="E1379" s="52">
        <v>46049.965277777781</v>
      </c>
      <c r="F1379" s="52">
        <v>46050.331944444442</v>
      </c>
      <c r="G1379" s="53">
        <f t="shared" si="80"/>
        <v>0.36666666666133096</v>
      </c>
      <c r="H1379" s="1" t="s">
        <v>248</v>
      </c>
      <c r="J1379" s="1" t="s">
        <v>249</v>
      </c>
      <c r="K1379" s="1" t="s">
        <v>349</v>
      </c>
      <c r="L1379" s="1" t="s">
        <v>652</v>
      </c>
      <c r="M1379" s="1" t="s">
        <v>251</v>
      </c>
      <c r="N1379" s="1" t="s">
        <v>252</v>
      </c>
      <c r="O1379" s="1" t="s">
        <v>638</v>
      </c>
      <c r="P1379" s="1" t="str">
        <f t="shared" ref="P1379:P1442" si="81">_xlfn.CONCAT(B1379,C1379,D1379,E1379,F1379)</f>
        <v>BC Caiaponia1SG50CX(COM1-021)46049,965277777846049,965277777846050,3319444444</v>
      </c>
      <c r="Q1379" s="1" t="str">
        <f t="shared" ref="Q1379:Q1442" si="82">_xlfn.CONCAT(H1379,I1379,J1379)</f>
        <v>DAURDE</v>
      </c>
    </row>
    <row r="1380" spans="2:17">
      <c r="B1380" s="1" t="s">
        <v>268</v>
      </c>
      <c r="C1380" s="1" t="s">
        <v>294</v>
      </c>
      <c r="D1380" s="52">
        <v>46049.965277777781</v>
      </c>
      <c r="E1380" s="52">
        <v>46049.965277777781</v>
      </c>
      <c r="F1380" s="52">
        <v>46050.331944444442</v>
      </c>
      <c r="G1380" s="53">
        <f t="shared" si="80"/>
        <v>0.36666666666133096</v>
      </c>
      <c r="H1380" s="1" t="s">
        <v>248</v>
      </c>
      <c r="J1380" s="1" t="s">
        <v>249</v>
      </c>
      <c r="K1380" s="1" t="s">
        <v>349</v>
      </c>
      <c r="L1380" s="1" t="s">
        <v>652</v>
      </c>
      <c r="M1380" s="1" t="s">
        <v>251</v>
      </c>
      <c r="N1380" s="1" t="s">
        <v>252</v>
      </c>
      <c r="O1380" s="1" t="s">
        <v>638</v>
      </c>
      <c r="P1380" s="1" t="str">
        <f t="shared" si="81"/>
        <v>BC Caiaponia1SG50CX(COM1-022)46049,965277777846049,965277777846050,3319444444</v>
      </c>
      <c r="Q1380" s="1" t="str">
        <f t="shared" si="82"/>
        <v>DAURDE</v>
      </c>
    </row>
    <row r="1381" spans="2:17">
      <c r="B1381" s="1" t="s">
        <v>268</v>
      </c>
      <c r="C1381" s="1" t="s">
        <v>295</v>
      </c>
      <c r="D1381" s="52">
        <v>46049.965277777781</v>
      </c>
      <c r="E1381" s="52">
        <v>46049.965277777781</v>
      </c>
      <c r="F1381" s="52">
        <v>46050.331944444442</v>
      </c>
      <c r="G1381" s="53">
        <f t="shared" si="80"/>
        <v>0.36666666666133096</v>
      </c>
      <c r="H1381" s="1" t="s">
        <v>248</v>
      </c>
      <c r="J1381" s="1" t="s">
        <v>249</v>
      </c>
      <c r="K1381" s="1" t="s">
        <v>349</v>
      </c>
      <c r="L1381" s="1" t="s">
        <v>652</v>
      </c>
      <c r="M1381" s="1" t="s">
        <v>251</v>
      </c>
      <c r="N1381" s="1" t="s">
        <v>252</v>
      </c>
      <c r="O1381" s="1" t="s">
        <v>638</v>
      </c>
      <c r="P1381" s="1" t="str">
        <f t="shared" si="81"/>
        <v>BC Caiaponia1SG50CX(COM1-023)46049,965277777846049,965277777846050,3319444444</v>
      </c>
      <c r="Q1381" s="1" t="str">
        <f t="shared" si="82"/>
        <v>DAURDE</v>
      </c>
    </row>
    <row r="1382" spans="2:17">
      <c r="B1382" s="1" t="s">
        <v>268</v>
      </c>
      <c r="C1382" s="1" t="s">
        <v>296</v>
      </c>
      <c r="D1382" s="52">
        <v>46049.965277777781</v>
      </c>
      <c r="E1382" s="52">
        <v>46049.965277777781</v>
      </c>
      <c r="F1382" s="52">
        <v>46050.331944444442</v>
      </c>
      <c r="G1382" s="53">
        <f t="shared" si="80"/>
        <v>0.36666666666133096</v>
      </c>
      <c r="H1382" s="1" t="s">
        <v>248</v>
      </c>
      <c r="J1382" s="1" t="s">
        <v>249</v>
      </c>
      <c r="K1382" s="1" t="s">
        <v>349</v>
      </c>
      <c r="L1382" s="1" t="s">
        <v>652</v>
      </c>
      <c r="M1382" s="1" t="s">
        <v>251</v>
      </c>
      <c r="N1382" s="1" t="s">
        <v>252</v>
      </c>
      <c r="O1382" s="1" t="s">
        <v>638</v>
      </c>
      <c r="P1382" s="1" t="str">
        <f t="shared" si="81"/>
        <v>BC Caiaponia1SG50CX(COM1-024)46049,965277777846049,965277777846050,3319444444</v>
      </c>
      <c r="Q1382" s="1" t="str">
        <f t="shared" si="82"/>
        <v>DAURDE</v>
      </c>
    </row>
    <row r="1383" spans="2:17">
      <c r="B1383" s="1" t="s">
        <v>268</v>
      </c>
      <c r="C1383" s="1" t="s">
        <v>297</v>
      </c>
      <c r="D1383" s="52">
        <v>46049.965277777781</v>
      </c>
      <c r="E1383" s="52">
        <v>46049.965277777781</v>
      </c>
      <c r="F1383" s="52">
        <v>46050.331944444442</v>
      </c>
      <c r="G1383" s="53">
        <f t="shared" si="80"/>
        <v>0.36666666666133096</v>
      </c>
      <c r="H1383" s="1" t="s">
        <v>248</v>
      </c>
      <c r="J1383" s="1" t="s">
        <v>249</v>
      </c>
      <c r="K1383" s="1" t="s">
        <v>349</v>
      </c>
      <c r="L1383" s="1" t="s">
        <v>652</v>
      </c>
      <c r="M1383" s="1" t="s">
        <v>251</v>
      </c>
      <c r="N1383" s="1" t="s">
        <v>252</v>
      </c>
      <c r="O1383" s="1" t="s">
        <v>638</v>
      </c>
      <c r="P1383" s="1" t="str">
        <f t="shared" si="81"/>
        <v>BC Caiaponia1SG50CX(COM1-025)46049,965277777846049,965277777846050,3319444444</v>
      </c>
      <c r="Q1383" s="1" t="str">
        <f t="shared" si="82"/>
        <v>DAURDE</v>
      </c>
    </row>
    <row r="1384" spans="2:17">
      <c r="B1384" s="1" t="s">
        <v>246</v>
      </c>
      <c r="C1384" s="1" t="s">
        <v>247</v>
      </c>
      <c r="D1384" s="52">
        <v>46049.965277777781</v>
      </c>
      <c r="E1384" s="52">
        <v>46049.965277777781</v>
      </c>
      <c r="F1384" s="52">
        <v>46050.331944444442</v>
      </c>
      <c r="G1384" s="53">
        <f t="shared" si="80"/>
        <v>0.36666666666133096</v>
      </c>
      <c r="H1384" s="1" t="s">
        <v>248</v>
      </c>
      <c r="J1384" s="1" t="s">
        <v>249</v>
      </c>
      <c r="K1384" s="1" t="s">
        <v>349</v>
      </c>
      <c r="L1384" s="1" t="s">
        <v>652</v>
      </c>
      <c r="M1384" s="1" t="s">
        <v>251</v>
      </c>
      <c r="N1384" s="1" t="s">
        <v>252</v>
      </c>
      <c r="O1384" s="1" t="s">
        <v>638</v>
      </c>
      <c r="P1384" s="1" t="str">
        <f t="shared" si="81"/>
        <v>BC Caiaponia2.1215KTL-H3(MBUS-12)46049,965277777846049,965277777846050,3319444444</v>
      </c>
      <c r="Q1384" s="1" t="str">
        <f t="shared" si="82"/>
        <v>DAURDE</v>
      </c>
    </row>
    <row r="1385" spans="2:17">
      <c r="B1385" s="1" t="s">
        <v>246</v>
      </c>
      <c r="C1385" s="1" t="s">
        <v>254</v>
      </c>
      <c r="D1385" s="52">
        <v>46049.965277777781</v>
      </c>
      <c r="E1385" s="52">
        <v>46049.965277777781</v>
      </c>
      <c r="F1385" s="52">
        <v>46050.331944444442</v>
      </c>
      <c r="G1385" s="53">
        <f t="shared" si="80"/>
        <v>0.36666666666133096</v>
      </c>
      <c r="H1385" s="1" t="s">
        <v>248</v>
      </c>
      <c r="J1385" s="1" t="s">
        <v>249</v>
      </c>
      <c r="K1385" s="1" t="s">
        <v>349</v>
      </c>
      <c r="L1385" s="1" t="s">
        <v>652</v>
      </c>
      <c r="M1385" s="1" t="s">
        <v>251</v>
      </c>
      <c r="N1385" s="1" t="s">
        <v>252</v>
      </c>
      <c r="O1385" s="1" t="s">
        <v>638</v>
      </c>
      <c r="P1385" s="1" t="str">
        <f t="shared" si="81"/>
        <v>BC Caiaponia2.1215KTL-H3(MBUS-13)46049,965277777846049,965277777846050,3319444444</v>
      </c>
      <c r="Q1385" s="1" t="str">
        <f t="shared" si="82"/>
        <v>DAURDE</v>
      </c>
    </row>
    <row r="1386" spans="2:17">
      <c r="B1386" s="1" t="s">
        <v>246</v>
      </c>
      <c r="C1386" s="1" t="s">
        <v>255</v>
      </c>
      <c r="D1386" s="52">
        <v>46049.965277777781</v>
      </c>
      <c r="E1386" s="52">
        <v>46049.965277777781</v>
      </c>
      <c r="F1386" s="52">
        <v>46050.331944444442</v>
      </c>
      <c r="G1386" s="53">
        <f t="shared" si="80"/>
        <v>0.36666666666133096</v>
      </c>
      <c r="H1386" s="1" t="s">
        <v>248</v>
      </c>
      <c r="J1386" s="1" t="s">
        <v>249</v>
      </c>
      <c r="K1386" s="1" t="s">
        <v>349</v>
      </c>
      <c r="L1386" s="1" t="s">
        <v>652</v>
      </c>
      <c r="M1386" s="1" t="s">
        <v>251</v>
      </c>
      <c r="N1386" s="1" t="s">
        <v>252</v>
      </c>
      <c r="O1386" s="1" t="s">
        <v>638</v>
      </c>
      <c r="P1386" s="1" t="str">
        <f t="shared" si="81"/>
        <v>BC Caiaponia2.1215KTL-H3(MBUS-14)46049,965277777846049,965277777846050,3319444444</v>
      </c>
      <c r="Q1386" s="1" t="str">
        <f t="shared" si="82"/>
        <v>DAURDE</v>
      </c>
    </row>
    <row r="1387" spans="2:17">
      <c r="B1387" s="1" t="s">
        <v>246</v>
      </c>
      <c r="C1387" s="1" t="s">
        <v>256</v>
      </c>
      <c r="D1387" s="52">
        <v>46049.965277777781</v>
      </c>
      <c r="E1387" s="52">
        <v>46049.965277777781</v>
      </c>
      <c r="F1387" s="52">
        <v>46050.331944444442</v>
      </c>
      <c r="G1387" s="53">
        <f t="shared" si="80"/>
        <v>0.36666666666133096</v>
      </c>
      <c r="H1387" s="1" t="s">
        <v>248</v>
      </c>
      <c r="J1387" s="1" t="s">
        <v>249</v>
      </c>
      <c r="K1387" s="1" t="s">
        <v>349</v>
      </c>
      <c r="L1387" s="1" t="s">
        <v>652</v>
      </c>
      <c r="M1387" s="1" t="s">
        <v>251</v>
      </c>
      <c r="N1387" s="1" t="s">
        <v>252</v>
      </c>
      <c r="O1387" s="1" t="s">
        <v>638</v>
      </c>
      <c r="P1387" s="1" t="str">
        <f t="shared" si="81"/>
        <v>BC Caiaponia2.1215KTL-H3(MBUS-15)46049,965277777846049,965277777846050,3319444444</v>
      </c>
      <c r="Q1387" s="1" t="str">
        <f t="shared" si="82"/>
        <v>DAURDE</v>
      </c>
    </row>
    <row r="1388" spans="2:17">
      <c r="B1388" s="1" t="s">
        <v>246</v>
      </c>
      <c r="C1388" s="1" t="s">
        <v>257</v>
      </c>
      <c r="D1388" s="52">
        <v>46049.965277777781</v>
      </c>
      <c r="E1388" s="52">
        <v>46049.965277777781</v>
      </c>
      <c r="F1388" s="52">
        <v>46050.331944444442</v>
      </c>
      <c r="G1388" s="53">
        <f t="shared" si="80"/>
        <v>0.36666666666133096</v>
      </c>
      <c r="H1388" s="1" t="s">
        <v>248</v>
      </c>
      <c r="J1388" s="1" t="s">
        <v>249</v>
      </c>
      <c r="K1388" s="1" t="s">
        <v>349</v>
      </c>
      <c r="L1388" s="1" t="s">
        <v>652</v>
      </c>
      <c r="M1388" s="1" t="s">
        <v>251</v>
      </c>
      <c r="N1388" s="1" t="s">
        <v>252</v>
      </c>
      <c r="O1388" s="1" t="s">
        <v>638</v>
      </c>
      <c r="P1388" s="1" t="str">
        <f t="shared" si="81"/>
        <v>BC Caiaponia2.1215KTL-H3(MBUS-16)46049,965277777846049,965277777846050,3319444444</v>
      </c>
      <c r="Q1388" s="1" t="str">
        <f t="shared" si="82"/>
        <v>DAURDE</v>
      </c>
    </row>
    <row r="1389" spans="2:17">
      <c r="B1389" s="1" t="s">
        <v>258</v>
      </c>
      <c r="C1389" s="1" t="s">
        <v>247</v>
      </c>
      <c r="D1389" s="52">
        <v>46049.965277777781</v>
      </c>
      <c r="E1389" s="52">
        <v>46049.965277777781</v>
      </c>
      <c r="F1389" s="52">
        <v>46050.331944444442</v>
      </c>
      <c r="G1389" s="53">
        <f t="shared" si="80"/>
        <v>0.36666666666133096</v>
      </c>
      <c r="H1389" s="1" t="s">
        <v>248</v>
      </c>
      <c r="J1389" s="1" t="s">
        <v>249</v>
      </c>
      <c r="K1389" s="1" t="s">
        <v>349</v>
      </c>
      <c r="L1389" s="1" t="s">
        <v>652</v>
      </c>
      <c r="M1389" s="1" t="s">
        <v>251</v>
      </c>
      <c r="N1389" s="1" t="s">
        <v>252</v>
      </c>
      <c r="O1389" s="1" t="s">
        <v>638</v>
      </c>
      <c r="P1389" s="1" t="str">
        <f t="shared" si="81"/>
        <v>BC Caiaponia2.2215KTL-H3(MBUS-12)46049,965277777846049,965277777846050,3319444444</v>
      </c>
      <c r="Q1389" s="1" t="str">
        <f t="shared" si="82"/>
        <v>DAURDE</v>
      </c>
    </row>
    <row r="1390" spans="2:17">
      <c r="B1390" s="1" t="s">
        <v>258</v>
      </c>
      <c r="C1390" s="1" t="s">
        <v>254</v>
      </c>
      <c r="D1390" s="52">
        <v>46049.965277777781</v>
      </c>
      <c r="E1390" s="52">
        <v>46049.965277777781</v>
      </c>
      <c r="F1390" s="52">
        <v>46050.331944444442</v>
      </c>
      <c r="G1390" s="53">
        <f t="shared" si="80"/>
        <v>0.36666666666133096</v>
      </c>
      <c r="H1390" s="1" t="s">
        <v>248</v>
      </c>
      <c r="J1390" s="1" t="s">
        <v>249</v>
      </c>
      <c r="K1390" s="1" t="s">
        <v>349</v>
      </c>
      <c r="L1390" s="1" t="s">
        <v>652</v>
      </c>
      <c r="M1390" s="1" t="s">
        <v>251</v>
      </c>
      <c r="N1390" s="1" t="s">
        <v>252</v>
      </c>
      <c r="O1390" s="1" t="s">
        <v>638</v>
      </c>
      <c r="P1390" s="1" t="str">
        <f t="shared" si="81"/>
        <v>BC Caiaponia2.2215KTL-H3(MBUS-13)46049,965277777846049,965277777846050,3319444444</v>
      </c>
      <c r="Q1390" s="1" t="str">
        <f t="shared" si="82"/>
        <v>DAURDE</v>
      </c>
    </row>
    <row r="1391" spans="2:17">
      <c r="B1391" s="1" t="s">
        <v>258</v>
      </c>
      <c r="C1391" s="1" t="s">
        <v>255</v>
      </c>
      <c r="D1391" s="52">
        <v>46049.965277777781</v>
      </c>
      <c r="E1391" s="52">
        <v>46049.965277777781</v>
      </c>
      <c r="F1391" s="52">
        <v>46050.331944444442</v>
      </c>
      <c r="G1391" s="53">
        <f t="shared" si="80"/>
        <v>0.36666666666133096</v>
      </c>
      <c r="H1391" s="1" t="s">
        <v>248</v>
      </c>
      <c r="J1391" s="1" t="s">
        <v>249</v>
      </c>
      <c r="K1391" s="1" t="s">
        <v>349</v>
      </c>
      <c r="L1391" s="1" t="s">
        <v>652</v>
      </c>
      <c r="M1391" s="1" t="s">
        <v>251</v>
      </c>
      <c r="N1391" s="1" t="s">
        <v>252</v>
      </c>
      <c r="O1391" s="1" t="s">
        <v>638</v>
      </c>
      <c r="P1391" s="1" t="str">
        <f t="shared" si="81"/>
        <v>BC Caiaponia2.2215KTL-H3(MBUS-14)46049,965277777846049,965277777846050,3319444444</v>
      </c>
      <c r="Q1391" s="1" t="str">
        <f t="shared" si="82"/>
        <v>DAURDE</v>
      </c>
    </row>
    <row r="1392" spans="2:17">
      <c r="B1392" s="1" t="s">
        <v>258</v>
      </c>
      <c r="C1392" s="1" t="s">
        <v>256</v>
      </c>
      <c r="D1392" s="52">
        <v>46049.965277777781</v>
      </c>
      <c r="E1392" s="52">
        <v>46049.965277777781</v>
      </c>
      <c r="F1392" s="52">
        <v>46050.331944444442</v>
      </c>
      <c r="G1392" s="53">
        <f t="shared" si="80"/>
        <v>0.36666666666133096</v>
      </c>
      <c r="H1392" s="1" t="s">
        <v>248</v>
      </c>
      <c r="J1392" s="1" t="s">
        <v>249</v>
      </c>
      <c r="K1392" s="1" t="s">
        <v>349</v>
      </c>
      <c r="L1392" s="1" t="s">
        <v>652</v>
      </c>
      <c r="M1392" s="1" t="s">
        <v>251</v>
      </c>
      <c r="N1392" s="1" t="s">
        <v>252</v>
      </c>
      <c r="O1392" s="1" t="s">
        <v>638</v>
      </c>
      <c r="P1392" s="1" t="str">
        <f t="shared" si="81"/>
        <v>BC Caiaponia2.2215KTL-H3(MBUS-15)46049,965277777846049,965277777846050,3319444444</v>
      </c>
      <c r="Q1392" s="1" t="str">
        <f t="shared" si="82"/>
        <v>DAURDE</v>
      </c>
    </row>
    <row r="1393" spans="2:17">
      <c r="B1393" s="1" t="s">
        <v>258</v>
      </c>
      <c r="C1393" s="1" t="s">
        <v>257</v>
      </c>
      <c r="D1393" s="52">
        <v>46049.965277777781</v>
      </c>
      <c r="E1393" s="52">
        <v>46049.965277777781</v>
      </c>
      <c r="F1393" s="52">
        <v>46050.331944444442</v>
      </c>
      <c r="G1393" s="53">
        <f t="shared" si="80"/>
        <v>0.36666666666133096</v>
      </c>
      <c r="H1393" s="1" t="s">
        <v>248</v>
      </c>
      <c r="J1393" s="1" t="s">
        <v>249</v>
      </c>
      <c r="K1393" s="1" t="s">
        <v>349</v>
      </c>
      <c r="L1393" s="1" t="s">
        <v>652</v>
      </c>
      <c r="M1393" s="1" t="s">
        <v>251</v>
      </c>
      <c r="N1393" s="1" t="s">
        <v>252</v>
      </c>
      <c r="O1393" s="1" t="s">
        <v>638</v>
      </c>
      <c r="P1393" s="1" t="str">
        <f t="shared" si="81"/>
        <v>BC Caiaponia2.2215KTL-H3(MBUS-16)46049,965277777846049,965277777846050,3319444444</v>
      </c>
      <c r="Q1393" s="1" t="str">
        <f t="shared" si="82"/>
        <v>DAURDE</v>
      </c>
    </row>
    <row r="1394" spans="2:17">
      <c r="B1394" s="1" t="s">
        <v>259</v>
      </c>
      <c r="C1394" s="1" t="s">
        <v>247</v>
      </c>
      <c r="D1394" s="52">
        <v>46049.965277777781</v>
      </c>
      <c r="E1394" s="52">
        <v>46049.965277777781</v>
      </c>
      <c r="F1394" s="52">
        <v>46050.331944444442</v>
      </c>
      <c r="G1394" s="53">
        <f t="shared" si="80"/>
        <v>0.36666666666133096</v>
      </c>
      <c r="H1394" s="1" t="s">
        <v>248</v>
      </c>
      <c r="J1394" s="1" t="s">
        <v>249</v>
      </c>
      <c r="K1394" s="1" t="s">
        <v>349</v>
      </c>
      <c r="L1394" s="1" t="s">
        <v>652</v>
      </c>
      <c r="M1394" s="1" t="s">
        <v>251</v>
      </c>
      <c r="N1394" s="1" t="s">
        <v>252</v>
      </c>
      <c r="O1394" s="1" t="s">
        <v>638</v>
      </c>
      <c r="P1394" s="1" t="str">
        <f t="shared" si="81"/>
        <v>BC Caiaponia2.3215KTL-H3(MBUS-12)46049,965277777846049,965277777846050,3319444444</v>
      </c>
      <c r="Q1394" s="1" t="str">
        <f t="shared" si="82"/>
        <v>DAURDE</v>
      </c>
    </row>
    <row r="1395" spans="2:17">
      <c r="B1395" s="1" t="s">
        <v>259</v>
      </c>
      <c r="C1395" s="1" t="s">
        <v>254</v>
      </c>
      <c r="D1395" s="52">
        <v>46049.965277777781</v>
      </c>
      <c r="E1395" s="52">
        <v>46049.965277777781</v>
      </c>
      <c r="F1395" s="52">
        <v>46050.331944444442</v>
      </c>
      <c r="G1395" s="53">
        <f t="shared" si="80"/>
        <v>0.36666666666133096</v>
      </c>
      <c r="H1395" s="1" t="s">
        <v>248</v>
      </c>
      <c r="J1395" s="1" t="s">
        <v>249</v>
      </c>
      <c r="K1395" s="1" t="s">
        <v>349</v>
      </c>
      <c r="L1395" s="1" t="s">
        <v>652</v>
      </c>
      <c r="M1395" s="1" t="s">
        <v>251</v>
      </c>
      <c r="N1395" s="1" t="s">
        <v>252</v>
      </c>
      <c r="O1395" s="1" t="s">
        <v>638</v>
      </c>
      <c r="P1395" s="1" t="str">
        <f t="shared" si="81"/>
        <v>BC Caiaponia2.3215KTL-H3(MBUS-13)46049,965277777846049,965277777846050,3319444444</v>
      </c>
      <c r="Q1395" s="1" t="str">
        <f t="shared" si="82"/>
        <v>DAURDE</v>
      </c>
    </row>
    <row r="1396" spans="2:17">
      <c r="B1396" s="1" t="s">
        <v>259</v>
      </c>
      <c r="C1396" s="1" t="s">
        <v>255</v>
      </c>
      <c r="D1396" s="52">
        <v>46049.965277777781</v>
      </c>
      <c r="E1396" s="52">
        <v>46049.965277777781</v>
      </c>
      <c r="F1396" s="52">
        <v>46050.331944444442</v>
      </c>
      <c r="G1396" s="53">
        <f t="shared" si="80"/>
        <v>0.36666666666133096</v>
      </c>
      <c r="H1396" s="1" t="s">
        <v>248</v>
      </c>
      <c r="J1396" s="1" t="s">
        <v>249</v>
      </c>
      <c r="K1396" s="1" t="s">
        <v>349</v>
      </c>
      <c r="L1396" s="1" t="s">
        <v>652</v>
      </c>
      <c r="M1396" s="1" t="s">
        <v>251</v>
      </c>
      <c r="N1396" s="1" t="s">
        <v>252</v>
      </c>
      <c r="O1396" s="1" t="s">
        <v>638</v>
      </c>
      <c r="P1396" s="1" t="str">
        <f t="shared" si="81"/>
        <v>BC Caiaponia2.3215KTL-H3(MBUS-14)46049,965277777846049,965277777846050,3319444444</v>
      </c>
      <c r="Q1396" s="1" t="str">
        <f t="shared" si="82"/>
        <v>DAURDE</v>
      </c>
    </row>
    <row r="1397" spans="2:17">
      <c r="B1397" s="1" t="s">
        <v>259</v>
      </c>
      <c r="C1397" s="1" t="s">
        <v>256</v>
      </c>
      <c r="D1397" s="52">
        <v>46049.965277777781</v>
      </c>
      <c r="E1397" s="52">
        <v>46049.965277777781</v>
      </c>
      <c r="F1397" s="52">
        <v>46050.331944444442</v>
      </c>
      <c r="G1397" s="53">
        <f t="shared" si="80"/>
        <v>0.36666666666133096</v>
      </c>
      <c r="H1397" s="1" t="s">
        <v>248</v>
      </c>
      <c r="J1397" s="1" t="s">
        <v>249</v>
      </c>
      <c r="K1397" s="1" t="s">
        <v>349</v>
      </c>
      <c r="L1397" s="1" t="s">
        <v>652</v>
      </c>
      <c r="M1397" s="1" t="s">
        <v>251</v>
      </c>
      <c r="N1397" s="1" t="s">
        <v>252</v>
      </c>
      <c r="O1397" s="1" t="s">
        <v>638</v>
      </c>
      <c r="P1397" s="1" t="str">
        <f t="shared" si="81"/>
        <v>BC Caiaponia2.3215KTL-H3(MBUS-15)46049,965277777846049,965277777846050,3319444444</v>
      </c>
      <c r="Q1397" s="1" t="str">
        <f t="shared" si="82"/>
        <v>DAURDE</v>
      </c>
    </row>
    <row r="1398" spans="2:17">
      <c r="B1398" s="1" t="s">
        <v>259</v>
      </c>
      <c r="C1398" s="1" t="s">
        <v>257</v>
      </c>
      <c r="D1398" s="52">
        <v>46049.965277777781</v>
      </c>
      <c r="E1398" s="52">
        <v>46049.965277777781</v>
      </c>
      <c r="F1398" s="52">
        <v>46050.331944444442</v>
      </c>
      <c r="G1398" s="53">
        <f t="shared" si="80"/>
        <v>0.36666666666133096</v>
      </c>
      <c r="H1398" s="1" t="s">
        <v>248</v>
      </c>
      <c r="J1398" s="1" t="s">
        <v>249</v>
      </c>
      <c r="K1398" s="1" t="s">
        <v>349</v>
      </c>
      <c r="L1398" s="1" t="s">
        <v>652</v>
      </c>
      <c r="M1398" s="1" t="s">
        <v>251</v>
      </c>
      <c r="N1398" s="1" t="s">
        <v>252</v>
      </c>
      <c r="O1398" s="1" t="s">
        <v>638</v>
      </c>
      <c r="P1398" s="1" t="str">
        <f t="shared" si="81"/>
        <v>BC Caiaponia2.3215KTL-H3(MBUS-16)46049,965277777846049,965277777846050,3319444444</v>
      </c>
      <c r="Q1398" s="1" t="str">
        <f t="shared" si="82"/>
        <v>DAURDE</v>
      </c>
    </row>
    <row r="1399" spans="2:17">
      <c r="B1399" s="1" t="s">
        <v>353</v>
      </c>
      <c r="C1399" s="1" t="s">
        <v>354</v>
      </c>
      <c r="D1399" s="52">
        <v>46049.9375</v>
      </c>
      <c r="E1399" s="52">
        <v>46049.9375</v>
      </c>
      <c r="F1399" s="52">
        <v>46050.332638888889</v>
      </c>
      <c r="G1399" s="53">
        <f t="shared" si="80"/>
        <v>0.39513888888905058</v>
      </c>
      <c r="H1399" s="1" t="s">
        <v>248</v>
      </c>
      <c r="J1399" s="1" t="s">
        <v>249</v>
      </c>
      <c r="K1399" s="1" t="s">
        <v>349</v>
      </c>
      <c r="L1399" s="1" t="s">
        <v>653</v>
      </c>
      <c r="M1399" s="1" t="s">
        <v>251</v>
      </c>
      <c r="N1399" s="1" t="s">
        <v>252</v>
      </c>
      <c r="O1399" s="1" t="s">
        <v>638</v>
      </c>
      <c r="P1399" s="1" t="str">
        <f t="shared" si="81"/>
        <v>ARAGUATINS 1.1Inverter(MBUS-12)46049,937546049,937546050,3326388889</v>
      </c>
      <c r="Q1399" s="1" t="str">
        <f t="shared" si="82"/>
        <v>DAURDE</v>
      </c>
    </row>
    <row r="1400" spans="2:17">
      <c r="B1400" s="1" t="s">
        <v>353</v>
      </c>
      <c r="C1400" s="1" t="s">
        <v>357</v>
      </c>
      <c r="D1400" s="52">
        <v>46049.9375</v>
      </c>
      <c r="E1400" s="52">
        <v>46049.9375</v>
      </c>
      <c r="F1400" s="52">
        <v>46050.332638888889</v>
      </c>
      <c r="G1400" s="53">
        <f t="shared" si="80"/>
        <v>0.39513888888905058</v>
      </c>
      <c r="H1400" s="1" t="s">
        <v>248</v>
      </c>
      <c r="J1400" s="1" t="s">
        <v>249</v>
      </c>
      <c r="K1400" s="1" t="s">
        <v>349</v>
      </c>
      <c r="L1400" s="1" t="s">
        <v>653</v>
      </c>
      <c r="M1400" s="1" t="s">
        <v>251</v>
      </c>
      <c r="N1400" s="1" t="s">
        <v>252</v>
      </c>
      <c r="O1400" s="1" t="s">
        <v>638</v>
      </c>
      <c r="P1400" s="1" t="str">
        <f t="shared" si="81"/>
        <v>ARAGUATINS 1.1Inverter(MBUS-13)46049,937546049,937546050,3326388889</v>
      </c>
      <c r="Q1400" s="1" t="str">
        <f t="shared" si="82"/>
        <v>DAURDE</v>
      </c>
    </row>
    <row r="1401" spans="2:17">
      <c r="B1401" s="1" t="s">
        <v>353</v>
      </c>
      <c r="C1401" s="1" t="s">
        <v>358</v>
      </c>
      <c r="D1401" s="52">
        <v>46049.9375</v>
      </c>
      <c r="E1401" s="52">
        <v>46049.9375</v>
      </c>
      <c r="F1401" s="52">
        <v>46050.332638888889</v>
      </c>
      <c r="G1401" s="53">
        <f t="shared" si="80"/>
        <v>0.39513888888905058</v>
      </c>
      <c r="H1401" s="1" t="s">
        <v>248</v>
      </c>
      <c r="J1401" s="1" t="s">
        <v>249</v>
      </c>
      <c r="K1401" s="1" t="s">
        <v>349</v>
      </c>
      <c r="L1401" s="1" t="s">
        <v>653</v>
      </c>
      <c r="M1401" s="1" t="s">
        <v>251</v>
      </c>
      <c r="N1401" s="1" t="s">
        <v>252</v>
      </c>
      <c r="O1401" s="1" t="s">
        <v>638</v>
      </c>
      <c r="P1401" s="1" t="str">
        <f t="shared" si="81"/>
        <v>ARAGUATINS 1.1Inverter(MBUS-14)46049,937546049,937546050,3326388889</v>
      </c>
      <c r="Q1401" s="1" t="str">
        <f t="shared" si="82"/>
        <v>DAURDE</v>
      </c>
    </row>
    <row r="1402" spans="2:17">
      <c r="B1402" s="1" t="s">
        <v>353</v>
      </c>
      <c r="C1402" s="1" t="s">
        <v>359</v>
      </c>
      <c r="D1402" s="52">
        <v>46049.9375</v>
      </c>
      <c r="E1402" s="52">
        <v>46049.9375</v>
      </c>
      <c r="F1402" s="52">
        <v>46050.332638888889</v>
      </c>
      <c r="G1402" s="53">
        <f t="shared" si="80"/>
        <v>0.39513888888905058</v>
      </c>
      <c r="H1402" s="1" t="s">
        <v>248</v>
      </c>
      <c r="J1402" s="1" t="s">
        <v>249</v>
      </c>
      <c r="K1402" s="1" t="s">
        <v>349</v>
      </c>
      <c r="L1402" s="1" t="s">
        <v>653</v>
      </c>
      <c r="M1402" s="1" t="s">
        <v>251</v>
      </c>
      <c r="N1402" s="1" t="s">
        <v>252</v>
      </c>
      <c r="O1402" s="1" t="s">
        <v>638</v>
      </c>
      <c r="P1402" s="1" t="str">
        <f t="shared" si="81"/>
        <v>ARAGUATINS 1.1Inverter(MBUS-15)46049,937546049,937546050,3326388889</v>
      </c>
      <c r="Q1402" s="1" t="str">
        <f t="shared" si="82"/>
        <v>DAURDE</v>
      </c>
    </row>
    <row r="1403" spans="2:17">
      <c r="B1403" s="1" t="s">
        <v>360</v>
      </c>
      <c r="C1403" s="1" t="s">
        <v>354</v>
      </c>
      <c r="D1403" s="52">
        <v>46049.9375</v>
      </c>
      <c r="E1403" s="52">
        <v>46049.9375</v>
      </c>
      <c r="F1403" s="52">
        <v>46050.332638888889</v>
      </c>
      <c r="G1403" s="53">
        <f t="shared" si="80"/>
        <v>0.39513888888905058</v>
      </c>
      <c r="H1403" s="1" t="s">
        <v>248</v>
      </c>
      <c r="J1403" s="1" t="s">
        <v>249</v>
      </c>
      <c r="K1403" s="1" t="s">
        <v>349</v>
      </c>
      <c r="L1403" s="1" t="s">
        <v>653</v>
      </c>
      <c r="M1403" s="1" t="s">
        <v>251</v>
      </c>
      <c r="N1403" s="1" t="s">
        <v>252</v>
      </c>
      <c r="O1403" s="1" t="s">
        <v>638</v>
      </c>
      <c r="P1403" s="1" t="str">
        <f t="shared" si="81"/>
        <v>ARAGUATINS 1.2Inverter(MBUS-12)46049,937546049,937546050,3326388889</v>
      </c>
      <c r="Q1403" s="1" t="str">
        <f t="shared" si="82"/>
        <v>DAURDE</v>
      </c>
    </row>
    <row r="1404" spans="2:17">
      <c r="B1404" s="1" t="s">
        <v>360</v>
      </c>
      <c r="C1404" s="1" t="s">
        <v>357</v>
      </c>
      <c r="D1404" s="52">
        <v>46049.9375</v>
      </c>
      <c r="E1404" s="52">
        <v>46049.9375</v>
      </c>
      <c r="F1404" s="52">
        <v>46050.332638888889</v>
      </c>
      <c r="G1404" s="53">
        <f t="shared" si="80"/>
        <v>0.39513888888905058</v>
      </c>
      <c r="H1404" s="1" t="s">
        <v>248</v>
      </c>
      <c r="J1404" s="1" t="s">
        <v>249</v>
      </c>
      <c r="K1404" s="1" t="s">
        <v>349</v>
      </c>
      <c r="L1404" s="1" t="s">
        <v>653</v>
      </c>
      <c r="M1404" s="1" t="s">
        <v>251</v>
      </c>
      <c r="N1404" s="1" t="s">
        <v>252</v>
      </c>
      <c r="O1404" s="1" t="s">
        <v>638</v>
      </c>
      <c r="P1404" s="1" t="str">
        <f t="shared" si="81"/>
        <v>ARAGUATINS 1.2Inverter(MBUS-13)46049,937546049,937546050,3326388889</v>
      </c>
      <c r="Q1404" s="1" t="str">
        <f t="shared" si="82"/>
        <v>DAURDE</v>
      </c>
    </row>
    <row r="1405" spans="2:17">
      <c r="B1405" s="1" t="s">
        <v>360</v>
      </c>
      <c r="C1405" s="1" t="s">
        <v>358</v>
      </c>
      <c r="D1405" s="52">
        <v>46049.9375</v>
      </c>
      <c r="E1405" s="52">
        <v>46049.9375</v>
      </c>
      <c r="F1405" s="52">
        <v>46050.332638888889</v>
      </c>
      <c r="G1405" s="53">
        <f t="shared" si="80"/>
        <v>0.39513888888905058</v>
      </c>
      <c r="H1405" s="1" t="s">
        <v>248</v>
      </c>
      <c r="J1405" s="1" t="s">
        <v>249</v>
      </c>
      <c r="K1405" s="1" t="s">
        <v>349</v>
      </c>
      <c r="L1405" s="1" t="s">
        <v>653</v>
      </c>
      <c r="M1405" s="1" t="s">
        <v>251</v>
      </c>
      <c r="N1405" s="1" t="s">
        <v>252</v>
      </c>
      <c r="O1405" s="1" t="s">
        <v>638</v>
      </c>
      <c r="P1405" s="1" t="str">
        <f t="shared" si="81"/>
        <v>ARAGUATINS 1.2Inverter(MBUS-14)46049,937546049,937546050,3326388889</v>
      </c>
      <c r="Q1405" s="1" t="str">
        <f t="shared" si="82"/>
        <v>DAURDE</v>
      </c>
    </row>
    <row r="1406" spans="2:17">
      <c r="B1406" s="1" t="s">
        <v>360</v>
      </c>
      <c r="C1406" s="1" t="s">
        <v>359</v>
      </c>
      <c r="D1406" s="52">
        <v>46049.9375</v>
      </c>
      <c r="E1406" s="52">
        <v>46049.9375</v>
      </c>
      <c r="F1406" s="52">
        <v>46050.332638888889</v>
      </c>
      <c r="G1406" s="53">
        <f t="shared" si="80"/>
        <v>0.39513888888905058</v>
      </c>
      <c r="H1406" s="1" t="s">
        <v>248</v>
      </c>
      <c r="J1406" s="1" t="s">
        <v>249</v>
      </c>
      <c r="K1406" s="1" t="s">
        <v>349</v>
      </c>
      <c r="L1406" s="1" t="s">
        <v>653</v>
      </c>
      <c r="M1406" s="1" t="s">
        <v>251</v>
      </c>
      <c r="N1406" s="1" t="s">
        <v>252</v>
      </c>
      <c r="O1406" s="1" t="s">
        <v>638</v>
      </c>
      <c r="P1406" s="1" t="str">
        <f t="shared" si="81"/>
        <v>ARAGUATINS 1.2Inverter(MBUS-15)46049,937546049,937546050,3326388889</v>
      </c>
      <c r="Q1406" s="1" t="str">
        <f t="shared" si="82"/>
        <v>DAURDE</v>
      </c>
    </row>
    <row r="1407" spans="2:17">
      <c r="B1407" s="1" t="s">
        <v>361</v>
      </c>
      <c r="C1407" s="1" t="s">
        <v>362</v>
      </c>
      <c r="D1407" s="52">
        <v>46049.9375</v>
      </c>
      <c r="E1407" s="52">
        <v>46049.9375</v>
      </c>
      <c r="F1407" s="52">
        <v>46050.332638888889</v>
      </c>
      <c r="G1407" s="53">
        <f t="shared" si="80"/>
        <v>0.39513888888905058</v>
      </c>
      <c r="H1407" s="1" t="s">
        <v>248</v>
      </c>
      <c r="J1407" s="1" t="s">
        <v>249</v>
      </c>
      <c r="K1407" s="1" t="s">
        <v>349</v>
      </c>
      <c r="L1407" s="1" t="s">
        <v>653</v>
      </c>
      <c r="M1407" s="1" t="s">
        <v>251</v>
      </c>
      <c r="N1407" s="1" t="s">
        <v>252</v>
      </c>
      <c r="O1407" s="1" t="s">
        <v>638</v>
      </c>
      <c r="P1407" s="1" t="str">
        <f t="shared" si="81"/>
        <v>ARAGUATINS 1.3Inverter(MBUS-20)46049,937546049,937546050,3326388889</v>
      </c>
      <c r="Q1407" s="1" t="str">
        <f t="shared" si="82"/>
        <v>DAURDE</v>
      </c>
    </row>
    <row r="1408" spans="2:17">
      <c r="B1408" s="1" t="s">
        <v>361</v>
      </c>
      <c r="C1408" s="1" t="s">
        <v>328</v>
      </c>
      <c r="D1408" s="52">
        <v>46049.9375</v>
      </c>
      <c r="E1408" s="52">
        <v>46049.9375</v>
      </c>
      <c r="F1408" s="52">
        <v>46050.332638888889</v>
      </c>
      <c r="G1408" s="53">
        <f t="shared" si="80"/>
        <v>0.39513888888905058</v>
      </c>
      <c r="H1408" s="1" t="s">
        <v>248</v>
      </c>
      <c r="J1408" s="1" t="s">
        <v>249</v>
      </c>
      <c r="K1408" s="1" t="s">
        <v>349</v>
      </c>
      <c r="L1408" s="1" t="s">
        <v>653</v>
      </c>
      <c r="M1408" s="1" t="s">
        <v>251</v>
      </c>
      <c r="N1408" s="1" t="s">
        <v>252</v>
      </c>
      <c r="O1408" s="1" t="s">
        <v>638</v>
      </c>
      <c r="P1408" s="1" t="str">
        <f t="shared" si="81"/>
        <v>ARAGUATINS 1.3Inverter(MBUS-1)46049,937546049,937546050,3326388889</v>
      </c>
      <c r="Q1408" s="1" t="str">
        <f t="shared" si="82"/>
        <v>DAURDE</v>
      </c>
    </row>
    <row r="1409" spans="2:17">
      <c r="B1409" s="1" t="s">
        <v>556</v>
      </c>
      <c r="C1409" s="1" t="s">
        <v>654</v>
      </c>
      <c r="D1409" s="52">
        <v>46049.582638888889</v>
      </c>
      <c r="E1409" s="52">
        <v>46049.582638888889</v>
      </c>
      <c r="F1409" s="52">
        <v>46049.604166666664</v>
      </c>
      <c r="G1409" s="53">
        <f t="shared" si="80"/>
        <v>2.1527777775190771E-2</v>
      </c>
      <c r="H1409" s="1" t="s">
        <v>248</v>
      </c>
      <c r="J1409" s="1" t="s">
        <v>249</v>
      </c>
      <c r="K1409" s="1" t="s">
        <v>349</v>
      </c>
      <c r="L1409" s="1" t="s">
        <v>655</v>
      </c>
      <c r="M1409" s="1" t="s">
        <v>251</v>
      </c>
      <c r="N1409" s="1" t="s">
        <v>252</v>
      </c>
      <c r="O1409" s="1" t="s">
        <v>656</v>
      </c>
      <c r="P1409" s="1" t="str">
        <f t="shared" si="81"/>
        <v>BC Vazante 1.1Inverter1246049,582638888946049,582638888946049,6041666667</v>
      </c>
      <c r="Q1409" s="1" t="str">
        <f t="shared" si="82"/>
        <v>DAURDE</v>
      </c>
    </row>
    <row r="1410" spans="2:17">
      <c r="G1410" s="53">
        <f t="shared" si="80"/>
        <v>0</v>
      </c>
      <c r="P1410" s="1" t="str">
        <f t="shared" si="81"/>
        <v/>
      </c>
      <c r="Q1410" s="1" t="str">
        <f t="shared" si="82"/>
        <v/>
      </c>
    </row>
    <row r="1411" spans="2:17">
      <c r="G1411" s="53">
        <f t="shared" si="80"/>
        <v>0</v>
      </c>
      <c r="P1411" s="1" t="str">
        <f t="shared" si="81"/>
        <v/>
      </c>
      <c r="Q1411" s="1" t="str">
        <f t="shared" si="82"/>
        <v/>
      </c>
    </row>
    <row r="1412" spans="2:17">
      <c r="G1412" s="53">
        <f t="shared" si="80"/>
        <v>0</v>
      </c>
      <c r="P1412" s="1" t="str">
        <f t="shared" si="81"/>
        <v/>
      </c>
      <c r="Q1412" s="1" t="str">
        <f t="shared" si="82"/>
        <v/>
      </c>
    </row>
    <row r="1413" spans="2:17">
      <c r="G1413" s="53">
        <f t="shared" si="80"/>
        <v>0</v>
      </c>
      <c r="P1413" s="1" t="str">
        <f t="shared" si="81"/>
        <v/>
      </c>
      <c r="Q1413" s="1" t="str">
        <f t="shared" si="82"/>
        <v/>
      </c>
    </row>
    <row r="1414" spans="2:17">
      <c r="G1414" s="53">
        <f t="shared" si="80"/>
        <v>0</v>
      </c>
      <c r="P1414" s="1" t="str">
        <f t="shared" si="81"/>
        <v/>
      </c>
      <c r="Q1414" s="1" t="str">
        <f t="shared" si="82"/>
        <v/>
      </c>
    </row>
    <row r="1415" spans="2:17">
      <c r="G1415" s="53">
        <f t="shared" si="80"/>
        <v>0</v>
      </c>
      <c r="P1415" s="1" t="str">
        <f t="shared" si="81"/>
        <v/>
      </c>
      <c r="Q1415" s="1" t="str">
        <f t="shared" si="82"/>
        <v/>
      </c>
    </row>
    <row r="1416" spans="2:17">
      <c r="G1416" s="53">
        <f t="shared" si="80"/>
        <v>0</v>
      </c>
      <c r="P1416" s="1" t="str">
        <f t="shared" si="81"/>
        <v/>
      </c>
      <c r="Q1416" s="1" t="str">
        <f t="shared" si="82"/>
        <v/>
      </c>
    </row>
    <row r="1417" spans="2:17">
      <c r="G1417" s="53">
        <f t="shared" ref="G1417:G1480" si="83">F1417-E1417</f>
        <v>0</v>
      </c>
      <c r="P1417" s="1" t="str">
        <f t="shared" si="81"/>
        <v/>
      </c>
      <c r="Q1417" s="1" t="str">
        <f t="shared" si="82"/>
        <v/>
      </c>
    </row>
    <row r="1418" spans="2:17">
      <c r="G1418" s="53">
        <f t="shared" si="83"/>
        <v>0</v>
      </c>
      <c r="P1418" s="1" t="str">
        <f t="shared" si="81"/>
        <v/>
      </c>
      <c r="Q1418" s="1" t="str">
        <f t="shared" si="82"/>
        <v/>
      </c>
    </row>
    <row r="1419" spans="2:17">
      <c r="G1419" s="53">
        <f t="shared" si="83"/>
        <v>0</v>
      </c>
      <c r="P1419" s="1" t="str">
        <f t="shared" si="81"/>
        <v/>
      </c>
      <c r="Q1419" s="1" t="str">
        <f t="shared" si="82"/>
        <v/>
      </c>
    </row>
    <row r="1420" spans="2:17">
      <c r="G1420" s="53">
        <f t="shared" si="83"/>
        <v>0</v>
      </c>
      <c r="P1420" s="1" t="str">
        <f t="shared" si="81"/>
        <v/>
      </c>
      <c r="Q1420" s="1" t="str">
        <f t="shared" si="82"/>
        <v/>
      </c>
    </row>
    <row r="1421" spans="2:17">
      <c r="G1421" s="53">
        <f t="shared" si="83"/>
        <v>0</v>
      </c>
      <c r="P1421" s="1" t="str">
        <f t="shared" si="81"/>
        <v/>
      </c>
      <c r="Q1421" s="1" t="str">
        <f t="shared" si="82"/>
        <v/>
      </c>
    </row>
    <row r="1422" spans="2:17">
      <c r="G1422" s="53">
        <f t="shared" si="83"/>
        <v>0</v>
      </c>
      <c r="P1422" s="1" t="str">
        <f t="shared" si="81"/>
        <v/>
      </c>
      <c r="Q1422" s="1" t="str">
        <f t="shared" si="82"/>
        <v/>
      </c>
    </row>
    <row r="1423" spans="2:17">
      <c r="G1423" s="53">
        <f t="shared" si="83"/>
        <v>0</v>
      </c>
      <c r="P1423" s="1" t="str">
        <f t="shared" si="81"/>
        <v/>
      </c>
      <c r="Q1423" s="1" t="str">
        <f t="shared" si="82"/>
        <v/>
      </c>
    </row>
    <row r="1424" spans="2:17">
      <c r="G1424" s="53">
        <f t="shared" si="83"/>
        <v>0</v>
      </c>
      <c r="P1424" s="1" t="str">
        <f t="shared" si="81"/>
        <v/>
      </c>
      <c r="Q1424" s="1" t="str">
        <f t="shared" si="82"/>
        <v/>
      </c>
    </row>
    <row r="1425" spans="7:17">
      <c r="G1425" s="53">
        <f t="shared" si="83"/>
        <v>0</v>
      </c>
      <c r="P1425" s="1" t="str">
        <f t="shared" si="81"/>
        <v/>
      </c>
      <c r="Q1425" s="1" t="str">
        <f t="shared" si="82"/>
        <v/>
      </c>
    </row>
    <row r="1426" spans="7:17">
      <c r="G1426" s="53">
        <f t="shared" si="83"/>
        <v>0</v>
      </c>
      <c r="P1426" s="1" t="str">
        <f t="shared" si="81"/>
        <v/>
      </c>
      <c r="Q1426" s="1" t="str">
        <f t="shared" si="82"/>
        <v/>
      </c>
    </row>
    <row r="1427" spans="7:17">
      <c r="G1427" s="53">
        <f t="shared" si="83"/>
        <v>0</v>
      </c>
      <c r="P1427" s="1" t="str">
        <f t="shared" si="81"/>
        <v/>
      </c>
      <c r="Q1427" s="1" t="str">
        <f t="shared" si="82"/>
        <v/>
      </c>
    </row>
    <row r="1428" spans="7:17">
      <c r="G1428" s="53">
        <f t="shared" si="83"/>
        <v>0</v>
      </c>
      <c r="P1428" s="1" t="str">
        <f t="shared" si="81"/>
        <v/>
      </c>
      <c r="Q1428" s="1" t="str">
        <f t="shared" si="82"/>
        <v/>
      </c>
    </row>
    <row r="1429" spans="7:17">
      <c r="G1429" s="53">
        <f t="shared" si="83"/>
        <v>0</v>
      </c>
      <c r="P1429" s="1" t="str">
        <f t="shared" si="81"/>
        <v/>
      </c>
      <c r="Q1429" s="1" t="str">
        <f t="shared" si="82"/>
        <v/>
      </c>
    </row>
    <row r="1430" spans="7:17">
      <c r="G1430" s="53">
        <f t="shared" si="83"/>
        <v>0</v>
      </c>
      <c r="P1430" s="1" t="str">
        <f t="shared" si="81"/>
        <v/>
      </c>
      <c r="Q1430" s="1" t="str">
        <f t="shared" si="82"/>
        <v/>
      </c>
    </row>
    <row r="1431" spans="7:17">
      <c r="G1431" s="53">
        <f t="shared" si="83"/>
        <v>0</v>
      </c>
      <c r="P1431" s="1" t="str">
        <f t="shared" si="81"/>
        <v/>
      </c>
      <c r="Q1431" s="1" t="str">
        <f t="shared" si="82"/>
        <v/>
      </c>
    </row>
    <row r="1432" spans="7:17">
      <c r="G1432" s="53">
        <f t="shared" si="83"/>
        <v>0</v>
      </c>
      <c r="P1432" s="1" t="str">
        <f t="shared" si="81"/>
        <v/>
      </c>
      <c r="Q1432" s="1" t="str">
        <f t="shared" si="82"/>
        <v/>
      </c>
    </row>
    <row r="1433" spans="7:17">
      <c r="G1433" s="53">
        <f t="shared" si="83"/>
        <v>0</v>
      </c>
      <c r="P1433" s="1" t="str">
        <f t="shared" si="81"/>
        <v/>
      </c>
      <c r="Q1433" s="1" t="str">
        <f t="shared" si="82"/>
        <v/>
      </c>
    </row>
    <row r="1434" spans="7:17">
      <c r="G1434" s="53">
        <f t="shared" si="83"/>
        <v>0</v>
      </c>
      <c r="P1434" s="1" t="str">
        <f t="shared" si="81"/>
        <v/>
      </c>
      <c r="Q1434" s="1" t="str">
        <f t="shared" si="82"/>
        <v/>
      </c>
    </row>
    <row r="1435" spans="7:17">
      <c r="G1435" s="53">
        <f t="shared" si="83"/>
        <v>0</v>
      </c>
      <c r="P1435" s="1" t="str">
        <f t="shared" si="81"/>
        <v/>
      </c>
      <c r="Q1435" s="1" t="str">
        <f t="shared" si="82"/>
        <v/>
      </c>
    </row>
    <row r="1436" spans="7:17">
      <c r="G1436" s="53">
        <f t="shared" si="83"/>
        <v>0</v>
      </c>
      <c r="P1436" s="1" t="str">
        <f t="shared" si="81"/>
        <v/>
      </c>
      <c r="Q1436" s="1" t="str">
        <f t="shared" si="82"/>
        <v/>
      </c>
    </row>
    <row r="1437" spans="7:17">
      <c r="G1437" s="53">
        <f t="shared" si="83"/>
        <v>0</v>
      </c>
      <c r="P1437" s="1" t="str">
        <f t="shared" si="81"/>
        <v/>
      </c>
      <c r="Q1437" s="1" t="str">
        <f t="shared" si="82"/>
        <v/>
      </c>
    </row>
    <row r="1438" spans="7:17">
      <c r="G1438" s="53">
        <f t="shared" si="83"/>
        <v>0</v>
      </c>
      <c r="P1438" s="1" t="str">
        <f t="shared" si="81"/>
        <v/>
      </c>
      <c r="Q1438" s="1" t="str">
        <f t="shared" si="82"/>
        <v/>
      </c>
    </row>
    <row r="1439" spans="7:17">
      <c r="G1439" s="53">
        <f t="shared" si="83"/>
        <v>0</v>
      </c>
      <c r="P1439" s="1" t="str">
        <f t="shared" si="81"/>
        <v/>
      </c>
      <c r="Q1439" s="1" t="str">
        <f t="shared" si="82"/>
        <v/>
      </c>
    </row>
    <row r="1440" spans="7:17">
      <c r="G1440" s="53">
        <f t="shared" si="83"/>
        <v>0</v>
      </c>
      <c r="P1440" s="1" t="str">
        <f t="shared" si="81"/>
        <v/>
      </c>
      <c r="Q1440" s="1" t="str">
        <f t="shared" si="82"/>
        <v/>
      </c>
    </row>
    <row r="1441" spans="7:17">
      <c r="G1441" s="53">
        <f t="shared" si="83"/>
        <v>0</v>
      </c>
      <c r="P1441" s="1" t="str">
        <f t="shared" si="81"/>
        <v/>
      </c>
      <c r="Q1441" s="1" t="str">
        <f t="shared" si="82"/>
        <v/>
      </c>
    </row>
    <row r="1442" spans="7:17">
      <c r="G1442" s="53">
        <f t="shared" si="83"/>
        <v>0</v>
      </c>
      <c r="P1442" s="1" t="str">
        <f t="shared" si="81"/>
        <v/>
      </c>
      <c r="Q1442" s="1" t="str">
        <f t="shared" si="82"/>
        <v/>
      </c>
    </row>
    <row r="1443" spans="7:17">
      <c r="G1443" s="53">
        <f t="shared" si="83"/>
        <v>0</v>
      </c>
      <c r="P1443" s="1" t="str">
        <f t="shared" ref="P1443:P1500" si="84">_xlfn.CONCAT(B1443,C1443,D1443,E1443,F1443)</f>
        <v/>
      </c>
      <c r="Q1443" s="1" t="str">
        <f t="shared" ref="Q1443:Q1500" si="85">_xlfn.CONCAT(H1443,I1443,J1443)</f>
        <v/>
      </c>
    </row>
    <row r="1444" spans="7:17">
      <c r="G1444" s="53">
        <f t="shared" si="83"/>
        <v>0</v>
      </c>
      <c r="P1444" s="1" t="str">
        <f t="shared" si="84"/>
        <v/>
      </c>
      <c r="Q1444" s="1" t="str">
        <f t="shared" si="85"/>
        <v/>
      </c>
    </row>
    <row r="1445" spans="7:17">
      <c r="G1445" s="53">
        <f t="shared" si="83"/>
        <v>0</v>
      </c>
      <c r="P1445" s="1" t="str">
        <f t="shared" si="84"/>
        <v/>
      </c>
      <c r="Q1445" s="1" t="str">
        <f t="shared" si="85"/>
        <v/>
      </c>
    </row>
    <row r="1446" spans="7:17">
      <c r="G1446" s="53">
        <f t="shared" si="83"/>
        <v>0</v>
      </c>
      <c r="P1446" s="1" t="str">
        <f t="shared" si="84"/>
        <v/>
      </c>
      <c r="Q1446" s="1" t="str">
        <f t="shared" si="85"/>
        <v/>
      </c>
    </row>
    <row r="1447" spans="7:17">
      <c r="G1447" s="53">
        <f t="shared" si="83"/>
        <v>0</v>
      </c>
      <c r="P1447" s="1" t="str">
        <f t="shared" si="84"/>
        <v/>
      </c>
      <c r="Q1447" s="1" t="str">
        <f t="shared" si="85"/>
        <v/>
      </c>
    </row>
    <row r="1448" spans="7:17">
      <c r="G1448" s="53">
        <f t="shared" si="83"/>
        <v>0</v>
      </c>
      <c r="P1448" s="1" t="str">
        <f t="shared" si="84"/>
        <v/>
      </c>
      <c r="Q1448" s="1" t="str">
        <f t="shared" si="85"/>
        <v/>
      </c>
    </row>
    <row r="1449" spans="7:17">
      <c r="G1449" s="53">
        <f t="shared" si="83"/>
        <v>0</v>
      </c>
      <c r="P1449" s="1" t="str">
        <f t="shared" si="84"/>
        <v/>
      </c>
      <c r="Q1449" s="1" t="str">
        <f t="shared" si="85"/>
        <v/>
      </c>
    </row>
    <row r="1450" spans="7:17">
      <c r="G1450" s="53">
        <f t="shared" si="83"/>
        <v>0</v>
      </c>
      <c r="P1450" s="1" t="str">
        <f t="shared" si="84"/>
        <v/>
      </c>
      <c r="Q1450" s="1" t="str">
        <f t="shared" si="85"/>
        <v/>
      </c>
    </row>
    <row r="1451" spans="7:17">
      <c r="G1451" s="53">
        <f t="shared" si="83"/>
        <v>0</v>
      </c>
      <c r="P1451" s="1" t="str">
        <f t="shared" si="84"/>
        <v/>
      </c>
      <c r="Q1451" s="1" t="str">
        <f t="shared" si="85"/>
        <v/>
      </c>
    </row>
    <row r="1452" spans="7:17">
      <c r="G1452" s="53">
        <f t="shared" si="83"/>
        <v>0</v>
      </c>
      <c r="P1452" s="1" t="str">
        <f t="shared" si="84"/>
        <v/>
      </c>
      <c r="Q1452" s="1" t="str">
        <f t="shared" si="85"/>
        <v/>
      </c>
    </row>
    <row r="1453" spans="7:17">
      <c r="G1453" s="53">
        <f t="shared" si="83"/>
        <v>0</v>
      </c>
      <c r="P1453" s="1" t="str">
        <f t="shared" si="84"/>
        <v/>
      </c>
      <c r="Q1453" s="1" t="str">
        <f t="shared" si="85"/>
        <v/>
      </c>
    </row>
    <row r="1454" spans="7:17">
      <c r="G1454" s="53">
        <f t="shared" si="83"/>
        <v>0</v>
      </c>
      <c r="P1454" s="1" t="str">
        <f t="shared" si="84"/>
        <v/>
      </c>
      <c r="Q1454" s="1" t="str">
        <f t="shared" si="85"/>
        <v/>
      </c>
    </row>
    <row r="1455" spans="7:17">
      <c r="G1455" s="53">
        <f t="shared" si="83"/>
        <v>0</v>
      </c>
      <c r="P1455" s="1" t="str">
        <f t="shared" si="84"/>
        <v/>
      </c>
      <c r="Q1455" s="1" t="str">
        <f t="shared" si="85"/>
        <v/>
      </c>
    </row>
    <row r="1456" spans="7:17">
      <c r="G1456" s="53">
        <f t="shared" si="83"/>
        <v>0</v>
      </c>
      <c r="P1456" s="1" t="str">
        <f t="shared" si="84"/>
        <v/>
      </c>
      <c r="Q1456" s="1" t="str">
        <f t="shared" si="85"/>
        <v/>
      </c>
    </row>
    <row r="1457" spans="7:17">
      <c r="G1457" s="53">
        <f t="shared" si="83"/>
        <v>0</v>
      </c>
      <c r="P1457" s="1" t="str">
        <f t="shared" si="84"/>
        <v/>
      </c>
      <c r="Q1457" s="1" t="str">
        <f t="shared" si="85"/>
        <v/>
      </c>
    </row>
    <row r="1458" spans="7:17">
      <c r="G1458" s="53">
        <f t="shared" si="83"/>
        <v>0</v>
      </c>
      <c r="P1458" s="1" t="str">
        <f t="shared" si="84"/>
        <v/>
      </c>
      <c r="Q1458" s="1" t="str">
        <f t="shared" si="85"/>
        <v/>
      </c>
    </row>
    <row r="1459" spans="7:17">
      <c r="G1459" s="53">
        <f t="shared" si="83"/>
        <v>0</v>
      </c>
      <c r="P1459" s="1" t="str">
        <f t="shared" si="84"/>
        <v/>
      </c>
      <c r="Q1459" s="1" t="str">
        <f t="shared" si="85"/>
        <v/>
      </c>
    </row>
    <row r="1460" spans="7:17">
      <c r="G1460" s="53">
        <f t="shared" si="83"/>
        <v>0</v>
      </c>
      <c r="P1460" s="1" t="str">
        <f t="shared" si="84"/>
        <v/>
      </c>
      <c r="Q1460" s="1" t="str">
        <f t="shared" si="85"/>
        <v/>
      </c>
    </row>
    <row r="1461" spans="7:17">
      <c r="G1461" s="53">
        <f t="shared" si="83"/>
        <v>0</v>
      </c>
      <c r="P1461" s="1" t="str">
        <f t="shared" si="84"/>
        <v/>
      </c>
      <c r="Q1461" s="1" t="str">
        <f t="shared" si="85"/>
        <v/>
      </c>
    </row>
    <row r="1462" spans="7:17">
      <c r="G1462" s="53">
        <f t="shared" si="83"/>
        <v>0</v>
      </c>
      <c r="P1462" s="1" t="str">
        <f t="shared" si="84"/>
        <v/>
      </c>
      <c r="Q1462" s="1" t="str">
        <f t="shared" si="85"/>
        <v/>
      </c>
    </row>
    <row r="1463" spans="7:17">
      <c r="G1463" s="53">
        <f t="shared" si="83"/>
        <v>0</v>
      </c>
      <c r="P1463" s="1" t="str">
        <f t="shared" si="84"/>
        <v/>
      </c>
      <c r="Q1463" s="1" t="str">
        <f t="shared" si="85"/>
        <v/>
      </c>
    </row>
    <row r="1464" spans="7:17">
      <c r="G1464" s="53">
        <f t="shared" si="83"/>
        <v>0</v>
      </c>
      <c r="P1464" s="1" t="str">
        <f t="shared" si="84"/>
        <v/>
      </c>
      <c r="Q1464" s="1" t="str">
        <f t="shared" si="85"/>
        <v/>
      </c>
    </row>
    <row r="1465" spans="7:17">
      <c r="G1465" s="53">
        <f t="shared" si="83"/>
        <v>0</v>
      </c>
      <c r="P1465" s="1" t="str">
        <f t="shared" si="84"/>
        <v/>
      </c>
      <c r="Q1465" s="1" t="str">
        <f t="shared" si="85"/>
        <v/>
      </c>
    </row>
    <row r="1466" spans="7:17">
      <c r="G1466" s="53">
        <f t="shared" si="83"/>
        <v>0</v>
      </c>
      <c r="P1466" s="1" t="str">
        <f t="shared" si="84"/>
        <v/>
      </c>
      <c r="Q1466" s="1" t="str">
        <f t="shared" si="85"/>
        <v/>
      </c>
    </row>
    <row r="1467" spans="7:17">
      <c r="G1467" s="53">
        <f t="shared" si="83"/>
        <v>0</v>
      </c>
      <c r="P1467" s="1" t="str">
        <f t="shared" si="84"/>
        <v/>
      </c>
      <c r="Q1467" s="1" t="str">
        <f t="shared" si="85"/>
        <v/>
      </c>
    </row>
    <row r="1468" spans="7:17">
      <c r="G1468" s="53">
        <f t="shared" si="83"/>
        <v>0</v>
      </c>
      <c r="P1468" s="1" t="str">
        <f t="shared" si="84"/>
        <v/>
      </c>
      <c r="Q1468" s="1" t="str">
        <f t="shared" si="85"/>
        <v/>
      </c>
    </row>
    <row r="1469" spans="7:17">
      <c r="G1469" s="53">
        <f t="shared" si="83"/>
        <v>0</v>
      </c>
      <c r="P1469" s="1" t="str">
        <f t="shared" si="84"/>
        <v/>
      </c>
      <c r="Q1469" s="1" t="str">
        <f t="shared" si="85"/>
        <v/>
      </c>
    </row>
    <row r="1470" spans="7:17">
      <c r="G1470" s="53">
        <f t="shared" si="83"/>
        <v>0</v>
      </c>
      <c r="P1470" s="1" t="str">
        <f t="shared" si="84"/>
        <v/>
      </c>
      <c r="Q1470" s="1" t="str">
        <f t="shared" si="85"/>
        <v/>
      </c>
    </row>
    <row r="1471" spans="7:17">
      <c r="G1471" s="53">
        <f t="shared" si="83"/>
        <v>0</v>
      </c>
      <c r="P1471" s="1" t="str">
        <f t="shared" si="84"/>
        <v/>
      </c>
      <c r="Q1471" s="1" t="str">
        <f t="shared" si="85"/>
        <v/>
      </c>
    </row>
    <row r="1472" spans="7:17">
      <c r="G1472" s="53">
        <f t="shared" si="83"/>
        <v>0</v>
      </c>
      <c r="P1472" s="1" t="str">
        <f t="shared" si="84"/>
        <v/>
      </c>
      <c r="Q1472" s="1" t="str">
        <f t="shared" si="85"/>
        <v/>
      </c>
    </row>
    <row r="1473" spans="7:17">
      <c r="G1473" s="53">
        <f t="shared" si="83"/>
        <v>0</v>
      </c>
      <c r="P1473" s="1" t="str">
        <f t="shared" si="84"/>
        <v/>
      </c>
      <c r="Q1473" s="1" t="str">
        <f t="shared" si="85"/>
        <v/>
      </c>
    </row>
    <row r="1474" spans="7:17">
      <c r="G1474" s="53">
        <f t="shared" si="83"/>
        <v>0</v>
      </c>
      <c r="P1474" s="1" t="str">
        <f t="shared" si="84"/>
        <v/>
      </c>
      <c r="Q1474" s="1" t="str">
        <f t="shared" si="85"/>
        <v/>
      </c>
    </row>
    <row r="1475" spans="7:17">
      <c r="G1475" s="53">
        <f t="shared" si="83"/>
        <v>0</v>
      </c>
      <c r="P1475" s="1" t="str">
        <f t="shared" si="84"/>
        <v/>
      </c>
      <c r="Q1475" s="1" t="str">
        <f t="shared" si="85"/>
        <v/>
      </c>
    </row>
    <row r="1476" spans="7:17">
      <c r="G1476" s="53">
        <f t="shared" si="83"/>
        <v>0</v>
      </c>
      <c r="P1476" s="1" t="str">
        <f t="shared" si="84"/>
        <v/>
      </c>
      <c r="Q1476" s="1" t="str">
        <f t="shared" si="85"/>
        <v/>
      </c>
    </row>
    <row r="1477" spans="7:17">
      <c r="G1477" s="53">
        <f t="shared" si="83"/>
        <v>0</v>
      </c>
      <c r="P1477" s="1" t="str">
        <f t="shared" si="84"/>
        <v/>
      </c>
      <c r="Q1477" s="1" t="str">
        <f t="shared" si="85"/>
        <v/>
      </c>
    </row>
    <row r="1478" spans="7:17">
      <c r="G1478" s="53">
        <f t="shared" si="83"/>
        <v>0</v>
      </c>
      <c r="P1478" s="1" t="str">
        <f t="shared" si="84"/>
        <v/>
      </c>
      <c r="Q1478" s="1" t="str">
        <f t="shared" si="85"/>
        <v/>
      </c>
    </row>
    <row r="1479" spans="7:17">
      <c r="G1479" s="53">
        <f t="shared" si="83"/>
        <v>0</v>
      </c>
      <c r="P1479" s="1" t="str">
        <f t="shared" si="84"/>
        <v/>
      </c>
      <c r="Q1479" s="1" t="str">
        <f t="shared" si="85"/>
        <v/>
      </c>
    </row>
    <row r="1480" spans="7:17">
      <c r="G1480" s="53">
        <f t="shared" si="83"/>
        <v>0</v>
      </c>
      <c r="P1480" s="1" t="str">
        <f t="shared" si="84"/>
        <v/>
      </c>
      <c r="Q1480" s="1" t="str">
        <f t="shared" si="85"/>
        <v/>
      </c>
    </row>
    <row r="1481" spans="7:17">
      <c r="G1481" s="53">
        <f t="shared" ref="G1481:G1499" si="86">F1481-E1481</f>
        <v>0</v>
      </c>
      <c r="P1481" s="1" t="str">
        <f t="shared" si="84"/>
        <v/>
      </c>
      <c r="Q1481" s="1" t="str">
        <f t="shared" si="85"/>
        <v/>
      </c>
    </row>
    <row r="1482" spans="7:17">
      <c r="G1482" s="53">
        <f t="shared" si="86"/>
        <v>0</v>
      </c>
      <c r="P1482" s="1" t="str">
        <f t="shared" si="84"/>
        <v/>
      </c>
      <c r="Q1482" s="1" t="str">
        <f t="shared" si="85"/>
        <v/>
      </c>
    </row>
    <row r="1483" spans="7:17">
      <c r="G1483" s="53">
        <f t="shared" si="86"/>
        <v>0</v>
      </c>
      <c r="P1483" s="1" t="str">
        <f t="shared" si="84"/>
        <v/>
      </c>
      <c r="Q1483" s="1" t="str">
        <f t="shared" si="85"/>
        <v/>
      </c>
    </row>
    <row r="1484" spans="7:17">
      <c r="G1484" s="53">
        <f t="shared" si="86"/>
        <v>0</v>
      </c>
      <c r="P1484" s="1" t="str">
        <f t="shared" si="84"/>
        <v/>
      </c>
      <c r="Q1484" s="1" t="str">
        <f t="shared" si="85"/>
        <v/>
      </c>
    </row>
    <row r="1485" spans="7:17">
      <c r="G1485" s="53">
        <f t="shared" si="86"/>
        <v>0</v>
      </c>
      <c r="P1485" s="1" t="str">
        <f t="shared" si="84"/>
        <v/>
      </c>
      <c r="Q1485" s="1" t="str">
        <f t="shared" si="85"/>
        <v/>
      </c>
    </row>
    <row r="1486" spans="7:17">
      <c r="G1486" s="53">
        <f t="shared" si="86"/>
        <v>0</v>
      </c>
      <c r="P1486" s="1" t="str">
        <f t="shared" si="84"/>
        <v/>
      </c>
      <c r="Q1486" s="1" t="str">
        <f t="shared" si="85"/>
        <v/>
      </c>
    </row>
    <row r="1487" spans="7:17">
      <c r="G1487" s="53">
        <f t="shared" si="86"/>
        <v>0</v>
      </c>
      <c r="P1487" s="1" t="str">
        <f t="shared" si="84"/>
        <v/>
      </c>
      <c r="Q1487" s="1" t="str">
        <f t="shared" si="85"/>
        <v/>
      </c>
    </row>
    <row r="1488" spans="7:17">
      <c r="G1488" s="53">
        <f t="shared" si="86"/>
        <v>0</v>
      </c>
      <c r="P1488" s="1" t="str">
        <f t="shared" si="84"/>
        <v/>
      </c>
      <c r="Q1488" s="1" t="str">
        <f t="shared" si="85"/>
        <v/>
      </c>
    </row>
    <row r="1489" spans="7:17">
      <c r="G1489" s="53">
        <f t="shared" si="86"/>
        <v>0</v>
      </c>
      <c r="P1489" s="1" t="str">
        <f t="shared" si="84"/>
        <v/>
      </c>
      <c r="Q1489" s="1" t="str">
        <f t="shared" si="85"/>
        <v/>
      </c>
    </row>
    <row r="1490" spans="7:17">
      <c r="G1490" s="53">
        <f t="shared" si="86"/>
        <v>0</v>
      </c>
      <c r="P1490" s="1" t="str">
        <f t="shared" si="84"/>
        <v/>
      </c>
      <c r="Q1490" s="1" t="str">
        <f t="shared" si="85"/>
        <v/>
      </c>
    </row>
    <row r="1491" spans="7:17">
      <c r="G1491" s="53">
        <f t="shared" si="86"/>
        <v>0</v>
      </c>
      <c r="P1491" s="1" t="str">
        <f t="shared" si="84"/>
        <v/>
      </c>
      <c r="Q1491" s="1" t="str">
        <f t="shared" si="85"/>
        <v/>
      </c>
    </row>
    <row r="1492" spans="7:17">
      <c r="G1492" s="53">
        <f t="shared" si="86"/>
        <v>0</v>
      </c>
      <c r="P1492" s="1" t="str">
        <f t="shared" si="84"/>
        <v/>
      </c>
      <c r="Q1492" s="1" t="str">
        <f t="shared" si="85"/>
        <v/>
      </c>
    </row>
    <row r="1493" spans="7:17">
      <c r="G1493" s="53">
        <f t="shared" si="86"/>
        <v>0</v>
      </c>
      <c r="P1493" s="1" t="str">
        <f t="shared" si="84"/>
        <v/>
      </c>
      <c r="Q1493" s="1" t="str">
        <f t="shared" si="85"/>
        <v/>
      </c>
    </row>
    <row r="1494" spans="7:17">
      <c r="G1494" s="53">
        <f t="shared" si="86"/>
        <v>0</v>
      </c>
      <c r="P1494" s="1" t="str">
        <f t="shared" si="84"/>
        <v/>
      </c>
      <c r="Q1494" s="1" t="str">
        <f t="shared" si="85"/>
        <v/>
      </c>
    </row>
    <row r="1495" spans="7:17">
      <c r="G1495" s="53">
        <f t="shared" si="86"/>
        <v>0</v>
      </c>
      <c r="P1495" s="1" t="str">
        <f t="shared" si="84"/>
        <v/>
      </c>
      <c r="Q1495" s="1" t="str">
        <f t="shared" si="85"/>
        <v/>
      </c>
    </row>
    <row r="1496" spans="7:17">
      <c r="G1496" s="53">
        <f t="shared" si="86"/>
        <v>0</v>
      </c>
      <c r="P1496" s="1" t="str">
        <f t="shared" si="84"/>
        <v/>
      </c>
      <c r="Q1496" s="1" t="str">
        <f t="shared" si="85"/>
        <v/>
      </c>
    </row>
    <row r="1497" spans="7:17">
      <c r="G1497" s="53">
        <f t="shared" si="86"/>
        <v>0</v>
      </c>
      <c r="P1497" s="1" t="str">
        <f t="shared" si="84"/>
        <v/>
      </c>
      <c r="Q1497" s="1" t="str">
        <f t="shared" si="85"/>
        <v/>
      </c>
    </row>
    <row r="1498" spans="7:17">
      <c r="G1498" s="53">
        <f t="shared" si="86"/>
        <v>0</v>
      </c>
      <c r="P1498" s="1" t="str">
        <f t="shared" si="84"/>
        <v/>
      </c>
      <c r="Q1498" s="1" t="str">
        <f t="shared" si="85"/>
        <v/>
      </c>
    </row>
    <row r="1499" spans="7:17">
      <c r="G1499" s="53">
        <f t="shared" si="86"/>
        <v>0</v>
      </c>
      <c r="P1499" s="1" t="str">
        <f t="shared" si="84"/>
        <v/>
      </c>
      <c r="Q1499" s="1" t="str">
        <f t="shared" si="85"/>
        <v/>
      </c>
    </row>
    <row r="1500" spans="7:17">
      <c r="P1500" s="1" t="str">
        <f t="shared" si="84"/>
        <v/>
      </c>
      <c r="Q1500" s="1" t="str">
        <f t="shared" si="85"/>
        <v/>
      </c>
    </row>
  </sheetData>
  <autoFilter ref="A1:Q1500" xr:uid="{EA8888B3-0791-4637-B681-517321FB3D7B}"/>
  <conditionalFormatting sqref="P1">
    <cfRule type="duplicateValues" dxfId="9" priority="3"/>
    <cfRule type="duplicateValues" dxfId="8" priority="4"/>
  </conditionalFormatting>
  <conditionalFormatting sqref="P1501:P1048576 P1">
    <cfRule type="duplicateValues" dxfId="7" priority="2"/>
  </conditionalFormatting>
  <conditionalFormatting sqref="P2:P1500">
    <cfRule type="duplicateValues" dxfId="6" priority="10"/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759DE9D-1392-459A-86CB-3EB048DFAB2F}">
          <x14:formula1>
            <xm:f>REF!$A$2:$A$13</xm:f>
          </x14:formula1>
          <xm:sqref>N2:N67 O848:O852 N69:N1500</xm:sqref>
        </x14:dataValidation>
        <x14:dataValidation type="list" allowBlank="1" showInputMessage="1" showErrorMessage="1" xr:uid="{E27B4804-1A40-4603-93F3-919533BBFAD4}">
          <x14:formula1>
            <xm:f>REF!$F$2:$F$16</xm:f>
          </x14:formula1>
          <xm:sqref>M2:M67 M69:M1500</xm:sqref>
        </x14:dataValidation>
        <x14:dataValidation type="list" allowBlank="1" showInputMessage="1" showErrorMessage="1" xr:uid="{15AF66B1-2835-4850-8C37-867408220B15}">
          <x14:formula1>
            <xm:f>REF!$C$2:$C$6</xm:f>
          </x14:formula1>
          <xm:sqref>I2:I99 I101:I627 I655:I658 I853:I867 I882:I1286 I1288:I1513</xm:sqref>
        </x14:dataValidation>
        <x14:dataValidation type="list" allowBlank="1" showInputMessage="1" showErrorMessage="1" xr:uid="{C1770D5F-1D72-491B-9A16-A90EC287FE3D}">
          <x14:formula1>
            <xm:f>REF!$B$2:$B$7</xm:f>
          </x14:formula1>
          <xm:sqref>I100 H2:H1513</xm:sqref>
        </x14:dataValidation>
        <x14:dataValidation type="list" allowBlank="1" showInputMessage="1" showErrorMessage="1" xr:uid="{E8AF3371-2E47-4E75-AB98-1F5943CAD4CC}">
          <x14:formula1>
            <xm:f>REF!$D$2:$D$13</xm:f>
          </x14:formula1>
          <xm:sqref>K1288:K1295 J2:J1513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78EAF-0605-4E1B-ACE9-A1CEDD6BBC65}">
  <sheetPr filterMode="1"/>
  <dimension ref="A1:Q1623"/>
  <sheetViews>
    <sheetView workbookViewId="0">
      <pane xSplit="2" topLeftCell="K829" activePane="topRight" state="frozen"/>
      <selection pane="topRight" activeCell="O909" sqref="L909:O909"/>
    </sheetView>
  </sheetViews>
  <sheetFormatPr defaultRowHeight="15"/>
  <cols>
    <col min="1" max="1" width="17.42578125" style="2" hidden="1" customWidth="1"/>
    <col min="2" max="2" width="32.140625" style="1" customWidth="1"/>
    <col min="3" max="3" width="30.7109375" style="1" customWidth="1"/>
    <col min="4" max="4" width="22.5703125" style="52" customWidth="1"/>
    <col min="5" max="6" width="19.5703125" style="52" bestFit="1" customWidth="1"/>
    <col min="7" max="7" width="13.7109375" style="53" customWidth="1"/>
    <col min="8" max="8" width="12.140625" style="1" customWidth="1"/>
    <col min="9" max="9" width="12" style="1" customWidth="1"/>
    <col min="10" max="10" width="11.7109375" style="1" bestFit="1" customWidth="1"/>
    <col min="11" max="11" width="15.7109375" style="1" bestFit="1" customWidth="1"/>
    <col min="12" max="12" width="142" style="1" customWidth="1"/>
    <col min="13" max="13" width="18.28515625" style="1" bestFit="1" customWidth="1"/>
    <col min="14" max="14" width="36.5703125" style="1" customWidth="1"/>
    <col min="15" max="15" width="184" style="1" customWidth="1"/>
    <col min="16" max="16" width="90.7109375" style="1" bestFit="1" customWidth="1"/>
    <col min="17" max="17" width="16" style="1" bestFit="1" customWidth="1"/>
  </cols>
  <sheetData>
    <row r="1" spans="1:17">
      <c r="A1" s="5" t="s">
        <v>1</v>
      </c>
      <c r="B1" s="50" t="s">
        <v>230</v>
      </c>
      <c r="C1" s="50" t="s">
        <v>231</v>
      </c>
      <c r="D1" s="6" t="s">
        <v>232</v>
      </c>
      <c r="E1" s="6" t="s">
        <v>233</v>
      </c>
      <c r="F1" s="6" t="s">
        <v>234</v>
      </c>
      <c r="G1" s="51" t="s">
        <v>235</v>
      </c>
      <c r="H1" s="50" t="s">
        <v>236</v>
      </c>
      <c r="I1" s="50" t="s">
        <v>237</v>
      </c>
      <c r="J1" s="50" t="s">
        <v>238</v>
      </c>
      <c r="K1" s="50" t="s">
        <v>239</v>
      </c>
      <c r="L1" s="50" t="s">
        <v>240</v>
      </c>
      <c r="M1" s="50" t="s">
        <v>241</v>
      </c>
      <c r="N1" s="50" t="s">
        <v>242</v>
      </c>
      <c r="O1" s="50" t="s">
        <v>243</v>
      </c>
      <c r="P1" s="50" t="s">
        <v>244</v>
      </c>
      <c r="Q1" s="50" t="s">
        <v>245</v>
      </c>
    </row>
    <row r="2" spans="1:17" hidden="1">
      <c r="B2" s="1" t="s">
        <v>459</v>
      </c>
      <c r="C2" s="1" t="s">
        <v>460</v>
      </c>
      <c r="D2" s="52">
        <v>45992.284722222219</v>
      </c>
      <c r="E2" s="52">
        <v>45992.284722222219</v>
      </c>
      <c r="F2" s="52">
        <v>46001.576388888891</v>
      </c>
      <c r="G2" s="53">
        <v>9.2916666666666661</v>
      </c>
      <c r="H2" s="1" t="s">
        <v>248</v>
      </c>
      <c r="J2" s="1" t="s">
        <v>300</v>
      </c>
      <c r="K2" s="1" t="s">
        <v>350</v>
      </c>
      <c r="L2" s="1" t="s">
        <v>657</v>
      </c>
      <c r="M2" s="1" t="s">
        <v>375</v>
      </c>
      <c r="N2" s="1" t="s">
        <v>303</v>
      </c>
      <c r="O2" s="1" t="s">
        <v>658</v>
      </c>
      <c r="P2" s="1" t="str">
        <f>_xlfn.CONCAT(B2,C2,D2,E2,F2)</f>
        <v>BC Varjao2.1215KTL-H0(MBUS-12)45992,284722222245992,284722222246001,5763888889</v>
      </c>
      <c r="Q2" s="1" t="str">
        <f>_xlfn.CONCAT(H2,I2,J2)</f>
        <v>DAUINV</v>
      </c>
    </row>
    <row r="3" spans="1:17">
      <c r="B3" s="1" t="s">
        <v>659</v>
      </c>
      <c r="C3" s="1" t="s">
        <v>299</v>
      </c>
      <c r="D3" s="52">
        <v>45992.729166666664</v>
      </c>
      <c r="E3" s="52">
        <v>45992.729166666664</v>
      </c>
      <c r="F3" s="52">
        <v>45992.833333333336</v>
      </c>
      <c r="G3" s="54">
        <v>0.10416666666666667</v>
      </c>
      <c r="H3" s="1" t="s">
        <v>260</v>
      </c>
      <c r="I3" s="1" t="s">
        <v>261</v>
      </c>
      <c r="J3" s="1" t="s">
        <v>262</v>
      </c>
      <c r="K3" s="1" t="s">
        <v>263</v>
      </c>
      <c r="L3" s="1" t="s">
        <v>660</v>
      </c>
      <c r="M3" s="1" t="s">
        <v>265</v>
      </c>
      <c r="N3" s="1" t="s">
        <v>266</v>
      </c>
      <c r="O3" s="1" t="s">
        <v>392</v>
      </c>
      <c r="P3" s="1" t="str">
        <f t="shared" ref="P3:P66" si="0">_xlfn.CONCAT(B3,C3,D3,E3,F3)</f>
        <v>BC BomSucessoSG60KTL45992,729166666745992,729166666745992,8333333333</v>
      </c>
      <c r="Q3" s="1" t="str">
        <f t="shared" ref="Q3:Q66" si="1">_xlfn.CONCAT(H3,I3,J3)</f>
        <v>LIGRFOCOM</v>
      </c>
    </row>
    <row r="4" spans="1:17">
      <c r="B4" s="1" t="s">
        <v>659</v>
      </c>
      <c r="C4" s="1" t="s">
        <v>661</v>
      </c>
      <c r="D4" s="52">
        <v>45992.729166666664</v>
      </c>
      <c r="E4" s="52">
        <v>45992.729166666664</v>
      </c>
      <c r="F4" s="52">
        <v>45992.833333333336</v>
      </c>
      <c r="G4" s="53">
        <v>0.10416666666666667</v>
      </c>
      <c r="H4" s="1" t="s">
        <v>260</v>
      </c>
      <c r="I4" s="1" t="s">
        <v>261</v>
      </c>
      <c r="J4" s="1" t="s">
        <v>262</v>
      </c>
      <c r="K4" s="1" t="s">
        <v>263</v>
      </c>
      <c r="L4" s="1" t="s">
        <v>660</v>
      </c>
      <c r="M4" s="1" t="s">
        <v>265</v>
      </c>
      <c r="N4" s="1" t="s">
        <v>266</v>
      </c>
      <c r="O4" s="1" t="s">
        <v>392</v>
      </c>
      <c r="P4" s="1" t="str">
        <f t="shared" si="0"/>
        <v>BC BomSucessoABB_0145992,729166666745992,729166666745992,8333333333</v>
      </c>
      <c r="Q4" s="1" t="str">
        <f t="shared" si="1"/>
        <v>LIGRFOCOM</v>
      </c>
    </row>
    <row r="5" spans="1:17">
      <c r="B5" s="1" t="s">
        <v>659</v>
      </c>
      <c r="C5" s="1" t="s">
        <v>662</v>
      </c>
      <c r="D5" s="52">
        <v>45992.729166666664</v>
      </c>
      <c r="E5" s="52">
        <v>45992.729166666664</v>
      </c>
      <c r="F5" s="52">
        <v>45992.833333333336</v>
      </c>
      <c r="G5" s="53">
        <v>0.10416666666666667</v>
      </c>
      <c r="H5" s="1" t="s">
        <v>260</v>
      </c>
      <c r="I5" s="1" t="s">
        <v>261</v>
      </c>
      <c r="J5" s="1" t="s">
        <v>262</v>
      </c>
      <c r="K5" s="1" t="s">
        <v>263</v>
      </c>
      <c r="L5" s="1" t="s">
        <v>660</v>
      </c>
      <c r="M5" s="1" t="s">
        <v>265</v>
      </c>
      <c r="N5" s="1" t="s">
        <v>266</v>
      </c>
      <c r="O5" s="1" t="s">
        <v>392</v>
      </c>
      <c r="P5" s="1" t="str">
        <f t="shared" si="0"/>
        <v>BC BomSucessoABB_0245992,729166666745992,729166666745992,8333333333</v>
      </c>
      <c r="Q5" s="1" t="str">
        <f t="shared" si="1"/>
        <v>LIGRFOCOM</v>
      </c>
    </row>
    <row r="6" spans="1:17">
      <c r="B6" s="1" t="s">
        <v>659</v>
      </c>
      <c r="C6" s="1" t="s">
        <v>663</v>
      </c>
      <c r="D6" s="52">
        <v>45992.729166666664</v>
      </c>
      <c r="E6" s="52">
        <v>45992.729166666664</v>
      </c>
      <c r="F6" s="52">
        <v>45992.833333333336</v>
      </c>
      <c r="G6" s="53">
        <v>0.10416666666666667</v>
      </c>
      <c r="H6" s="1" t="s">
        <v>260</v>
      </c>
      <c r="I6" s="1" t="s">
        <v>261</v>
      </c>
      <c r="J6" s="1" t="s">
        <v>262</v>
      </c>
      <c r="K6" s="1" t="s">
        <v>263</v>
      </c>
      <c r="L6" s="1" t="s">
        <v>660</v>
      </c>
      <c r="M6" s="1" t="s">
        <v>265</v>
      </c>
      <c r="N6" s="1" t="s">
        <v>266</v>
      </c>
      <c r="O6" s="1" t="s">
        <v>392</v>
      </c>
      <c r="P6" s="1" t="str">
        <f t="shared" si="0"/>
        <v>BC BomSucessoABB_0345992,729166666745992,729166666745992,8333333333</v>
      </c>
      <c r="Q6" s="1" t="str">
        <f t="shared" si="1"/>
        <v>LIGRFOCOM</v>
      </c>
    </row>
    <row r="7" spans="1:17">
      <c r="B7" s="1" t="s">
        <v>659</v>
      </c>
      <c r="C7" s="1" t="s">
        <v>664</v>
      </c>
      <c r="D7" s="52">
        <v>45992.729166666664</v>
      </c>
      <c r="E7" s="52">
        <v>45992.729166666664</v>
      </c>
      <c r="F7" s="52">
        <v>45992.833333333336</v>
      </c>
      <c r="G7" s="53">
        <v>0.10416666666666667</v>
      </c>
      <c r="H7" s="1" t="s">
        <v>260</v>
      </c>
      <c r="I7" s="1" t="s">
        <v>261</v>
      </c>
      <c r="J7" s="1" t="s">
        <v>262</v>
      </c>
      <c r="K7" s="1" t="s">
        <v>263</v>
      </c>
      <c r="L7" s="1" t="s">
        <v>660</v>
      </c>
      <c r="M7" s="1" t="s">
        <v>265</v>
      </c>
      <c r="N7" s="1" t="s">
        <v>266</v>
      </c>
      <c r="O7" s="1" t="s">
        <v>392</v>
      </c>
      <c r="P7" s="1" t="str">
        <f t="shared" si="0"/>
        <v>BC BomSucessoABB_0445992,729166666745992,729166666745992,8333333333</v>
      </c>
      <c r="Q7" s="1" t="str">
        <f t="shared" si="1"/>
        <v>LIGRFOCOM</v>
      </c>
    </row>
    <row r="8" spans="1:17">
      <c r="B8" s="1" t="s">
        <v>659</v>
      </c>
      <c r="C8" s="1" t="s">
        <v>665</v>
      </c>
      <c r="D8" s="52">
        <v>45992.729166666664</v>
      </c>
      <c r="E8" s="52">
        <v>45992.729166666664</v>
      </c>
      <c r="F8" s="52">
        <v>45992.833333333336</v>
      </c>
      <c r="G8" s="53">
        <v>0.10416666666666667</v>
      </c>
      <c r="H8" s="1" t="s">
        <v>260</v>
      </c>
      <c r="I8" s="1" t="s">
        <v>261</v>
      </c>
      <c r="J8" s="1" t="s">
        <v>262</v>
      </c>
      <c r="K8" s="1" t="s">
        <v>263</v>
      </c>
      <c r="L8" s="1" t="s">
        <v>660</v>
      </c>
      <c r="M8" s="1" t="s">
        <v>265</v>
      </c>
      <c r="N8" s="1" t="s">
        <v>266</v>
      </c>
      <c r="O8" s="1" t="s">
        <v>392</v>
      </c>
      <c r="P8" s="1" t="str">
        <f t="shared" si="0"/>
        <v>BC BomSucessoABB_0545992,729166666745992,729166666745992,8333333333</v>
      </c>
      <c r="Q8" s="1" t="str">
        <f t="shared" si="1"/>
        <v>LIGRFOCOM</v>
      </c>
    </row>
    <row r="9" spans="1:17">
      <c r="B9" s="1" t="s">
        <v>659</v>
      </c>
      <c r="C9" s="1" t="s">
        <v>666</v>
      </c>
      <c r="D9" s="52">
        <v>45992.729166666664</v>
      </c>
      <c r="E9" s="52">
        <v>45992.729166666664</v>
      </c>
      <c r="F9" s="52">
        <v>45992.833333333336</v>
      </c>
      <c r="G9" s="53">
        <v>0.10416666666666667</v>
      </c>
      <c r="H9" s="1" t="s">
        <v>260</v>
      </c>
      <c r="I9" s="1" t="s">
        <v>261</v>
      </c>
      <c r="J9" s="1" t="s">
        <v>262</v>
      </c>
      <c r="K9" s="1" t="s">
        <v>263</v>
      </c>
      <c r="L9" s="1" t="s">
        <v>660</v>
      </c>
      <c r="M9" s="1" t="s">
        <v>265</v>
      </c>
      <c r="N9" s="1" t="s">
        <v>266</v>
      </c>
      <c r="O9" s="1" t="s">
        <v>392</v>
      </c>
      <c r="P9" s="1" t="str">
        <f t="shared" si="0"/>
        <v>BC BomSucessoABB_0645992,729166666745992,729166666745992,8333333333</v>
      </c>
      <c r="Q9" s="1" t="str">
        <f t="shared" si="1"/>
        <v>LIGRFOCOM</v>
      </c>
    </row>
    <row r="10" spans="1:17">
      <c r="B10" s="1" t="s">
        <v>659</v>
      </c>
      <c r="C10" s="1" t="s">
        <v>667</v>
      </c>
      <c r="D10" s="52">
        <v>45992.729166666664</v>
      </c>
      <c r="E10" s="52">
        <v>45992.729166666664</v>
      </c>
      <c r="F10" s="52">
        <v>45992.833333333336</v>
      </c>
      <c r="G10" s="53">
        <v>0.10416666666666667</v>
      </c>
      <c r="H10" s="1" t="s">
        <v>260</v>
      </c>
      <c r="I10" s="1" t="s">
        <v>261</v>
      </c>
      <c r="J10" s="1" t="s">
        <v>262</v>
      </c>
      <c r="K10" s="1" t="s">
        <v>263</v>
      </c>
      <c r="L10" s="1" t="s">
        <v>660</v>
      </c>
      <c r="M10" s="1" t="s">
        <v>265</v>
      </c>
      <c r="N10" s="1" t="s">
        <v>266</v>
      </c>
      <c r="O10" s="1" t="s">
        <v>392</v>
      </c>
      <c r="P10" s="1" t="str">
        <f t="shared" si="0"/>
        <v>BC BomSucessoABB_0745992,729166666745992,729166666745992,8333333333</v>
      </c>
      <c r="Q10" s="1" t="str">
        <f t="shared" si="1"/>
        <v>LIGRFOCOM</v>
      </c>
    </row>
    <row r="11" spans="1:17">
      <c r="B11" s="1" t="s">
        <v>659</v>
      </c>
      <c r="C11" s="1" t="s">
        <v>668</v>
      </c>
      <c r="D11" s="52">
        <v>45992.729166666664</v>
      </c>
      <c r="E11" s="52">
        <v>45992.729166666664</v>
      </c>
      <c r="F11" s="52">
        <v>45992.833333333336</v>
      </c>
      <c r="G11" s="53">
        <v>0.10416666666666667</v>
      </c>
      <c r="H11" s="1" t="s">
        <v>260</v>
      </c>
      <c r="I11" s="1" t="s">
        <v>261</v>
      </c>
      <c r="J11" s="1" t="s">
        <v>262</v>
      </c>
      <c r="K11" s="1" t="s">
        <v>263</v>
      </c>
      <c r="L11" s="1" t="s">
        <v>660</v>
      </c>
      <c r="M11" s="1" t="s">
        <v>265</v>
      </c>
      <c r="N11" s="1" t="s">
        <v>266</v>
      </c>
      <c r="O11" s="1" t="s">
        <v>392</v>
      </c>
      <c r="P11" s="1" t="str">
        <f t="shared" si="0"/>
        <v>BC BomSucessoABB_0845992,729166666745992,729166666745992,8333333333</v>
      </c>
      <c r="Q11" s="1" t="str">
        <f t="shared" si="1"/>
        <v>LIGRFOCOM</v>
      </c>
    </row>
    <row r="12" spans="1:17">
      <c r="B12" s="1" t="s">
        <v>659</v>
      </c>
      <c r="C12" s="1" t="s">
        <v>669</v>
      </c>
      <c r="D12" s="52">
        <v>45992.729166666664</v>
      </c>
      <c r="E12" s="52">
        <v>45992.729166666664</v>
      </c>
      <c r="F12" s="52">
        <v>45992.833333333336</v>
      </c>
      <c r="G12" s="53">
        <v>0.10416666666666667</v>
      </c>
      <c r="H12" s="1" t="s">
        <v>260</v>
      </c>
      <c r="I12" s="1" t="s">
        <v>261</v>
      </c>
      <c r="J12" s="1" t="s">
        <v>262</v>
      </c>
      <c r="K12" s="1" t="s">
        <v>263</v>
      </c>
      <c r="L12" s="1" t="s">
        <v>660</v>
      </c>
      <c r="M12" s="1" t="s">
        <v>265</v>
      </c>
      <c r="N12" s="1" t="s">
        <v>266</v>
      </c>
      <c r="O12" s="1" t="s">
        <v>392</v>
      </c>
      <c r="P12" s="1" t="str">
        <f t="shared" si="0"/>
        <v>BC BomSucessoABB_0945992,729166666745992,729166666745992,8333333333</v>
      </c>
      <c r="Q12" s="1" t="str">
        <f t="shared" si="1"/>
        <v>LIGRFOCOM</v>
      </c>
    </row>
    <row r="13" spans="1:17">
      <c r="B13" s="1" t="s">
        <v>659</v>
      </c>
      <c r="C13" s="1" t="s">
        <v>670</v>
      </c>
      <c r="D13" s="52">
        <v>45992.729166666664</v>
      </c>
      <c r="E13" s="52">
        <v>45992.729166666664</v>
      </c>
      <c r="F13" s="52">
        <v>45992.833333333336</v>
      </c>
      <c r="G13" s="53">
        <v>0.10416666666666667</v>
      </c>
      <c r="H13" s="1" t="s">
        <v>260</v>
      </c>
      <c r="I13" s="1" t="s">
        <v>261</v>
      </c>
      <c r="J13" s="1" t="s">
        <v>262</v>
      </c>
      <c r="K13" s="1" t="s">
        <v>263</v>
      </c>
      <c r="L13" s="1" t="s">
        <v>660</v>
      </c>
      <c r="M13" s="1" t="s">
        <v>265</v>
      </c>
      <c r="N13" s="1" t="s">
        <v>266</v>
      </c>
      <c r="O13" s="1" t="s">
        <v>392</v>
      </c>
      <c r="P13" s="1" t="str">
        <f t="shared" si="0"/>
        <v>BC BomSucessoABB_1045992,729166666745992,729166666745992,8333333333</v>
      </c>
      <c r="Q13" s="1" t="str">
        <f t="shared" si="1"/>
        <v>LIGRFOCOM</v>
      </c>
    </row>
    <row r="14" spans="1:17">
      <c r="B14" s="1" t="s">
        <v>659</v>
      </c>
      <c r="C14" s="1" t="s">
        <v>671</v>
      </c>
      <c r="D14" s="52">
        <v>45992.729166666664</v>
      </c>
      <c r="E14" s="52">
        <v>45992.729166666664</v>
      </c>
      <c r="F14" s="52">
        <v>45992.833333333336</v>
      </c>
      <c r="G14" s="53">
        <v>0.10416666666666667</v>
      </c>
      <c r="H14" s="1" t="s">
        <v>260</v>
      </c>
      <c r="I14" s="1" t="s">
        <v>261</v>
      </c>
      <c r="J14" s="1" t="s">
        <v>262</v>
      </c>
      <c r="K14" s="1" t="s">
        <v>263</v>
      </c>
      <c r="L14" s="1" t="s">
        <v>660</v>
      </c>
      <c r="M14" s="1" t="s">
        <v>265</v>
      </c>
      <c r="N14" s="1" t="s">
        <v>266</v>
      </c>
      <c r="O14" s="1" t="s">
        <v>392</v>
      </c>
      <c r="P14" s="1" t="str">
        <f t="shared" si="0"/>
        <v>BC BomSucessoABB_1145992,729166666745992,729166666745992,8333333333</v>
      </c>
      <c r="Q14" s="1" t="str">
        <f t="shared" si="1"/>
        <v>LIGRFOCOM</v>
      </c>
    </row>
    <row r="15" spans="1:17" hidden="1">
      <c r="B15" s="1" t="s">
        <v>382</v>
      </c>
      <c r="C15" s="1" t="s">
        <v>247</v>
      </c>
      <c r="D15" s="52">
        <v>45992.75</v>
      </c>
      <c r="E15" s="52">
        <v>45992.75</v>
      </c>
      <c r="F15" s="52">
        <v>45992.8125</v>
      </c>
      <c r="G15" s="53">
        <v>6.25E-2</v>
      </c>
      <c r="H15" s="1" t="s">
        <v>248</v>
      </c>
      <c r="J15" s="1" t="s">
        <v>249</v>
      </c>
      <c r="K15" s="1" t="s">
        <v>349</v>
      </c>
      <c r="L15" s="1" t="s">
        <v>672</v>
      </c>
      <c r="M15" s="1" t="s">
        <v>251</v>
      </c>
      <c r="N15" s="1" t="s">
        <v>330</v>
      </c>
      <c r="O15" s="1" t="s">
        <v>673</v>
      </c>
      <c r="P15" s="1" t="str">
        <f t="shared" si="0"/>
        <v>BC Camarao1.1215KTL-H3(MBUS-12)45992,7545992,7545992,8125</v>
      </c>
      <c r="Q15" s="1" t="str">
        <f t="shared" si="1"/>
        <v>DAURDE</v>
      </c>
    </row>
    <row r="16" spans="1:17" hidden="1">
      <c r="B16" s="1" t="s">
        <v>382</v>
      </c>
      <c r="C16" s="1" t="s">
        <v>254</v>
      </c>
      <c r="D16" s="52">
        <v>45992.75</v>
      </c>
      <c r="E16" s="52">
        <v>45992.75</v>
      </c>
      <c r="F16" s="52">
        <v>45992.8125</v>
      </c>
      <c r="G16" s="53">
        <v>6.25E-2</v>
      </c>
      <c r="H16" s="1" t="s">
        <v>248</v>
      </c>
      <c r="J16" s="1" t="s">
        <v>249</v>
      </c>
      <c r="K16" s="1" t="s">
        <v>349</v>
      </c>
      <c r="L16" s="1" t="s">
        <v>672</v>
      </c>
      <c r="M16" s="1" t="s">
        <v>251</v>
      </c>
      <c r="N16" s="1" t="s">
        <v>330</v>
      </c>
      <c r="O16" s="1" t="s">
        <v>673</v>
      </c>
      <c r="P16" s="1" t="str">
        <f t="shared" si="0"/>
        <v>BC Camarao1.1215KTL-H3(MBUS-13)45992,7545992,7545992,8125</v>
      </c>
      <c r="Q16" s="1" t="str">
        <f t="shared" si="1"/>
        <v>DAURDE</v>
      </c>
    </row>
    <row r="17" spans="2:17" hidden="1">
      <c r="B17" s="1" t="s">
        <v>382</v>
      </c>
      <c r="C17" s="1" t="s">
        <v>257</v>
      </c>
      <c r="D17" s="52">
        <v>45992.75</v>
      </c>
      <c r="E17" s="52">
        <v>45992.75</v>
      </c>
      <c r="F17" s="52">
        <v>45992.8125</v>
      </c>
      <c r="G17" s="53">
        <v>6.25E-2</v>
      </c>
      <c r="H17" s="1" t="s">
        <v>248</v>
      </c>
      <c r="J17" s="1" t="s">
        <v>249</v>
      </c>
      <c r="K17" s="1" t="s">
        <v>349</v>
      </c>
      <c r="L17" s="1" t="s">
        <v>672</v>
      </c>
      <c r="M17" s="1" t="s">
        <v>251</v>
      </c>
      <c r="N17" s="1" t="s">
        <v>330</v>
      </c>
      <c r="O17" s="1" t="s">
        <v>673</v>
      </c>
      <c r="P17" s="1" t="str">
        <f t="shared" si="0"/>
        <v>BC Camarao1.1215KTL-H3(MBUS-16)45992,7545992,7545992,8125</v>
      </c>
      <c r="Q17" s="1" t="str">
        <f t="shared" si="1"/>
        <v>DAURDE</v>
      </c>
    </row>
    <row r="18" spans="2:17" hidden="1">
      <c r="B18" s="1" t="s">
        <v>382</v>
      </c>
      <c r="C18" s="1" t="s">
        <v>256</v>
      </c>
      <c r="D18" s="52">
        <v>45992.75</v>
      </c>
      <c r="E18" s="52">
        <v>45992.75</v>
      </c>
      <c r="F18" s="52">
        <v>45992.8125</v>
      </c>
      <c r="G18" s="53">
        <v>6.25E-2</v>
      </c>
      <c r="H18" s="1" t="s">
        <v>248</v>
      </c>
      <c r="J18" s="1" t="s">
        <v>249</v>
      </c>
      <c r="K18" s="1" t="s">
        <v>349</v>
      </c>
      <c r="L18" s="1" t="s">
        <v>672</v>
      </c>
      <c r="M18" s="1" t="s">
        <v>251</v>
      </c>
      <c r="N18" s="1" t="s">
        <v>330</v>
      </c>
      <c r="O18" s="1" t="s">
        <v>673</v>
      </c>
      <c r="P18" s="1" t="str">
        <f t="shared" si="0"/>
        <v>BC Camarao1.1215KTL-H3(MBUS-15)45992,7545992,7545992,8125</v>
      </c>
      <c r="Q18" s="1" t="str">
        <f t="shared" si="1"/>
        <v>DAURDE</v>
      </c>
    </row>
    <row r="19" spans="2:17" hidden="1">
      <c r="B19" s="1" t="s">
        <v>383</v>
      </c>
      <c r="C19" s="1" t="s">
        <v>385</v>
      </c>
      <c r="D19" s="52">
        <v>45992.75</v>
      </c>
      <c r="E19" s="52">
        <v>45992.75</v>
      </c>
      <c r="F19" s="52">
        <v>45992.8125</v>
      </c>
      <c r="G19" s="53">
        <v>6.25E-2</v>
      </c>
      <c r="H19" s="1" t="s">
        <v>248</v>
      </c>
      <c r="J19" s="1" t="s">
        <v>249</v>
      </c>
      <c r="K19" s="1" t="s">
        <v>349</v>
      </c>
      <c r="L19" s="1" t="s">
        <v>672</v>
      </c>
      <c r="M19" s="1" t="s">
        <v>251</v>
      </c>
      <c r="N19" s="1" t="s">
        <v>330</v>
      </c>
      <c r="O19" s="1" t="s">
        <v>673</v>
      </c>
      <c r="P19" s="1" t="str">
        <f t="shared" si="0"/>
        <v>BC Camarao1.2Inv. 445992,7545992,7545992,8125</v>
      </c>
      <c r="Q19" s="1" t="str">
        <f t="shared" si="1"/>
        <v>DAURDE</v>
      </c>
    </row>
    <row r="20" spans="2:17" hidden="1">
      <c r="B20" s="1" t="s">
        <v>383</v>
      </c>
      <c r="C20" s="1" t="s">
        <v>386</v>
      </c>
      <c r="D20" s="52">
        <v>45992.75</v>
      </c>
      <c r="E20" s="52">
        <v>45992.75</v>
      </c>
      <c r="F20" s="52">
        <v>45992.8125</v>
      </c>
      <c r="G20" s="53">
        <v>6.25E-2</v>
      </c>
      <c r="H20" s="1" t="s">
        <v>248</v>
      </c>
      <c r="J20" s="1" t="s">
        <v>249</v>
      </c>
      <c r="K20" s="1" t="s">
        <v>349</v>
      </c>
      <c r="L20" s="1" t="s">
        <v>672</v>
      </c>
      <c r="M20" s="1" t="s">
        <v>251</v>
      </c>
      <c r="N20" s="1" t="s">
        <v>330</v>
      </c>
      <c r="O20" s="1" t="s">
        <v>673</v>
      </c>
      <c r="P20" s="1" t="str">
        <f t="shared" si="0"/>
        <v>BC Camarao1.2Inverter(MBUS-16)45992,7545992,7545992,8125</v>
      </c>
      <c r="Q20" s="1" t="str">
        <f t="shared" si="1"/>
        <v>DAURDE</v>
      </c>
    </row>
    <row r="21" spans="2:17" hidden="1">
      <c r="B21" s="1" t="s">
        <v>383</v>
      </c>
      <c r="C21" s="1" t="s">
        <v>354</v>
      </c>
      <c r="D21" s="52">
        <v>45992.75</v>
      </c>
      <c r="E21" s="52">
        <v>45992.75</v>
      </c>
      <c r="F21" s="52">
        <v>45992.8125</v>
      </c>
      <c r="G21" s="53">
        <v>6.25E-2</v>
      </c>
      <c r="H21" s="1" t="s">
        <v>248</v>
      </c>
      <c r="J21" s="1" t="s">
        <v>249</v>
      </c>
      <c r="K21" s="1" t="s">
        <v>349</v>
      </c>
      <c r="L21" s="1" t="s">
        <v>672</v>
      </c>
      <c r="M21" s="1" t="s">
        <v>251</v>
      </c>
      <c r="N21" s="1" t="s">
        <v>330</v>
      </c>
      <c r="O21" s="1" t="s">
        <v>673</v>
      </c>
      <c r="P21" s="1" t="str">
        <f t="shared" si="0"/>
        <v>BC Camarao1.2Inverter(MBUS-12)45992,7545992,7545992,8125</v>
      </c>
      <c r="Q21" s="1" t="str">
        <f t="shared" si="1"/>
        <v>DAURDE</v>
      </c>
    </row>
    <row r="22" spans="2:17" hidden="1">
      <c r="B22" s="1" t="s">
        <v>383</v>
      </c>
      <c r="C22" s="1" t="s">
        <v>384</v>
      </c>
      <c r="D22" s="52">
        <v>45992.75</v>
      </c>
      <c r="E22" s="52">
        <v>45992.75</v>
      </c>
      <c r="F22" s="52">
        <v>45992.8125</v>
      </c>
      <c r="G22" s="53">
        <v>6.25E-2</v>
      </c>
      <c r="H22" s="1" t="s">
        <v>248</v>
      </c>
      <c r="J22" s="1" t="s">
        <v>249</v>
      </c>
      <c r="K22" s="1" t="s">
        <v>349</v>
      </c>
      <c r="L22" s="1" t="s">
        <v>672</v>
      </c>
      <c r="M22" s="1" t="s">
        <v>251</v>
      </c>
      <c r="N22" s="1" t="s">
        <v>330</v>
      </c>
      <c r="O22" s="1" t="s">
        <v>673</v>
      </c>
      <c r="P22" s="1" t="str">
        <f t="shared" si="0"/>
        <v>BC Camarao1.2Inv. 345992,7545992,7545992,8125</v>
      </c>
      <c r="Q22" s="1" t="str">
        <f t="shared" si="1"/>
        <v>DAURDE</v>
      </c>
    </row>
    <row r="23" spans="2:17" hidden="1">
      <c r="B23" s="1" t="s">
        <v>383</v>
      </c>
      <c r="C23" s="1" t="s">
        <v>328</v>
      </c>
      <c r="D23" s="52">
        <v>45992.75</v>
      </c>
      <c r="E23" s="52">
        <v>45992.75</v>
      </c>
      <c r="F23" s="52">
        <v>45992.8125</v>
      </c>
      <c r="G23" s="53">
        <v>6.25E-2</v>
      </c>
      <c r="H23" s="1" t="s">
        <v>248</v>
      </c>
      <c r="J23" s="1" t="s">
        <v>249</v>
      </c>
      <c r="K23" s="1" t="s">
        <v>349</v>
      </c>
      <c r="L23" s="1" t="s">
        <v>672</v>
      </c>
      <c r="M23" s="1" t="s">
        <v>251</v>
      </c>
      <c r="N23" s="1" t="s">
        <v>330</v>
      </c>
      <c r="O23" s="1" t="s">
        <v>673</v>
      </c>
      <c r="P23" s="1" t="str">
        <f t="shared" si="0"/>
        <v>BC Camarao1.2Inverter(MBUS-1)45992,7545992,7545992,8125</v>
      </c>
      <c r="Q23" s="1" t="str">
        <f t="shared" si="1"/>
        <v>DAURDE</v>
      </c>
    </row>
    <row r="24" spans="2:17" hidden="1">
      <c r="B24" s="1" t="s">
        <v>387</v>
      </c>
      <c r="C24" s="1" t="s">
        <v>257</v>
      </c>
      <c r="D24" s="52">
        <v>45992.75</v>
      </c>
      <c r="E24" s="52">
        <v>45992.75</v>
      </c>
      <c r="F24" s="52">
        <v>45992.8125</v>
      </c>
      <c r="G24" s="53">
        <v>6.25E-2</v>
      </c>
      <c r="H24" s="1" t="s">
        <v>248</v>
      </c>
      <c r="J24" s="1" t="s">
        <v>249</v>
      </c>
      <c r="K24" s="1" t="s">
        <v>349</v>
      </c>
      <c r="L24" s="1" t="s">
        <v>672</v>
      </c>
      <c r="M24" s="1" t="s">
        <v>251</v>
      </c>
      <c r="N24" s="1" t="s">
        <v>330</v>
      </c>
      <c r="O24" s="1" t="s">
        <v>673</v>
      </c>
      <c r="P24" s="1" t="str">
        <f t="shared" si="0"/>
        <v>BC Camarao1.3215KTL-H3(MBUS-16)45992,7545992,7545992,8125</v>
      </c>
      <c r="Q24" s="1" t="str">
        <f t="shared" si="1"/>
        <v>DAURDE</v>
      </c>
    </row>
    <row r="25" spans="2:17" hidden="1">
      <c r="B25" s="1" t="s">
        <v>387</v>
      </c>
      <c r="C25" s="1" t="s">
        <v>255</v>
      </c>
      <c r="D25" s="52">
        <v>45992.75</v>
      </c>
      <c r="E25" s="52">
        <v>45992.75</v>
      </c>
      <c r="F25" s="52">
        <v>45992.8125</v>
      </c>
      <c r="G25" s="53">
        <v>6.25E-2</v>
      </c>
      <c r="H25" s="1" t="s">
        <v>248</v>
      </c>
      <c r="J25" s="1" t="s">
        <v>249</v>
      </c>
      <c r="K25" s="1" t="s">
        <v>349</v>
      </c>
      <c r="L25" s="1" t="s">
        <v>672</v>
      </c>
      <c r="M25" s="1" t="s">
        <v>251</v>
      </c>
      <c r="N25" s="1" t="s">
        <v>330</v>
      </c>
      <c r="O25" s="1" t="s">
        <v>673</v>
      </c>
      <c r="P25" s="1" t="str">
        <f t="shared" si="0"/>
        <v>BC Camarao1.3215KTL-H3(MBUS-14)45992,7545992,7545992,8125</v>
      </c>
      <c r="Q25" s="1" t="str">
        <f t="shared" si="1"/>
        <v>DAURDE</v>
      </c>
    </row>
    <row r="26" spans="2:17" hidden="1">
      <c r="B26" s="1" t="s">
        <v>387</v>
      </c>
      <c r="C26" s="1" t="s">
        <v>256</v>
      </c>
      <c r="D26" s="52">
        <v>45992.75</v>
      </c>
      <c r="E26" s="52">
        <v>45992.75</v>
      </c>
      <c r="F26" s="52">
        <v>45992.8125</v>
      </c>
      <c r="G26" s="53">
        <v>6.25E-2</v>
      </c>
      <c r="H26" s="1" t="s">
        <v>248</v>
      </c>
      <c r="J26" s="1" t="s">
        <v>249</v>
      </c>
      <c r="K26" s="1" t="s">
        <v>349</v>
      </c>
      <c r="L26" s="1" t="s">
        <v>672</v>
      </c>
      <c r="M26" s="1" t="s">
        <v>251</v>
      </c>
      <c r="N26" s="1" t="s">
        <v>330</v>
      </c>
      <c r="O26" s="1" t="s">
        <v>673</v>
      </c>
      <c r="P26" s="1" t="str">
        <f t="shared" si="0"/>
        <v>BC Camarao1.3215KTL-H3(MBUS-15)45992,7545992,7545992,8125</v>
      </c>
      <c r="Q26" s="1" t="str">
        <f t="shared" si="1"/>
        <v>DAURDE</v>
      </c>
    </row>
    <row r="27" spans="2:17" hidden="1">
      <c r="B27" s="1" t="s">
        <v>387</v>
      </c>
      <c r="C27" s="1" t="s">
        <v>247</v>
      </c>
      <c r="D27" s="52">
        <v>45992.75</v>
      </c>
      <c r="E27" s="52">
        <v>45992.75</v>
      </c>
      <c r="F27" s="52">
        <v>45992.8125</v>
      </c>
      <c r="G27" s="53">
        <v>6.25E-2</v>
      </c>
      <c r="H27" s="1" t="s">
        <v>248</v>
      </c>
      <c r="J27" s="1" t="s">
        <v>249</v>
      </c>
      <c r="K27" s="1" t="s">
        <v>349</v>
      </c>
      <c r="L27" s="1" t="s">
        <v>672</v>
      </c>
      <c r="M27" s="1" t="s">
        <v>251</v>
      </c>
      <c r="N27" s="1" t="s">
        <v>330</v>
      </c>
      <c r="O27" s="1" t="s">
        <v>673</v>
      </c>
      <c r="P27" s="1" t="str">
        <f t="shared" si="0"/>
        <v>BC Camarao1.3215KTL-H3(MBUS-12)45992,7545992,7545992,8125</v>
      </c>
      <c r="Q27" s="1" t="str">
        <f t="shared" si="1"/>
        <v>DAURDE</v>
      </c>
    </row>
    <row r="28" spans="2:17" hidden="1">
      <c r="B28" s="1" t="s">
        <v>387</v>
      </c>
      <c r="C28" s="1" t="s">
        <v>254</v>
      </c>
      <c r="D28" s="52">
        <v>45992.75</v>
      </c>
      <c r="E28" s="52">
        <v>45992.75</v>
      </c>
      <c r="F28" s="52">
        <v>45992.8125</v>
      </c>
      <c r="G28" s="53">
        <v>6.25E-2</v>
      </c>
      <c r="H28" s="1" t="s">
        <v>248</v>
      </c>
      <c r="J28" s="1" t="s">
        <v>249</v>
      </c>
      <c r="K28" s="1" t="s">
        <v>349</v>
      </c>
      <c r="L28" s="1" t="s">
        <v>672</v>
      </c>
      <c r="M28" s="1" t="s">
        <v>251</v>
      </c>
      <c r="N28" s="1" t="s">
        <v>330</v>
      </c>
      <c r="O28" s="1" t="s">
        <v>673</v>
      </c>
      <c r="P28" s="1" t="str">
        <f t="shared" si="0"/>
        <v>BC Camarao1.3215KTL-H3(MBUS-13)45992,7545992,7545992,8125</v>
      </c>
      <c r="Q28" s="1" t="str">
        <f t="shared" si="1"/>
        <v>DAURDE</v>
      </c>
    </row>
    <row r="29" spans="2:17" hidden="1">
      <c r="B29" s="1" t="s">
        <v>379</v>
      </c>
      <c r="C29" s="1" t="s">
        <v>674</v>
      </c>
      <c r="D29" s="52">
        <v>45992.75</v>
      </c>
      <c r="E29" s="52">
        <v>45992.75</v>
      </c>
      <c r="F29" s="52">
        <v>45992.8125</v>
      </c>
      <c r="G29" s="53">
        <v>6.25E-2</v>
      </c>
      <c r="H29" s="1" t="s">
        <v>248</v>
      </c>
      <c r="J29" s="1" t="s">
        <v>249</v>
      </c>
      <c r="K29" s="1" t="s">
        <v>349</v>
      </c>
      <c r="L29" s="1" t="s">
        <v>672</v>
      </c>
      <c r="M29" s="1" t="s">
        <v>251</v>
      </c>
      <c r="N29" s="1" t="s">
        <v>330</v>
      </c>
      <c r="O29" s="1" t="s">
        <v>673</v>
      </c>
      <c r="P29" s="1" t="str">
        <f t="shared" si="0"/>
        <v>BC Camarao1.4inv. 145992,7545992,7545992,8125</v>
      </c>
      <c r="Q29" s="1" t="str">
        <f t="shared" si="1"/>
        <v>DAURDE</v>
      </c>
    </row>
    <row r="30" spans="2:17" hidden="1">
      <c r="B30" s="1" t="s">
        <v>379</v>
      </c>
      <c r="C30" s="1" t="s">
        <v>255</v>
      </c>
      <c r="D30" s="52">
        <v>45992.75</v>
      </c>
      <c r="E30" s="52">
        <v>45992.75</v>
      </c>
      <c r="F30" s="52">
        <v>45992.8125</v>
      </c>
      <c r="G30" s="53">
        <v>6.25E-2</v>
      </c>
      <c r="H30" s="1" t="s">
        <v>248</v>
      </c>
      <c r="J30" s="1" t="s">
        <v>249</v>
      </c>
      <c r="K30" s="1" t="s">
        <v>349</v>
      </c>
      <c r="L30" s="1" t="s">
        <v>672</v>
      </c>
      <c r="M30" s="1" t="s">
        <v>251</v>
      </c>
      <c r="N30" s="1" t="s">
        <v>330</v>
      </c>
      <c r="O30" s="1" t="s">
        <v>673</v>
      </c>
      <c r="P30" s="1" t="str">
        <f t="shared" si="0"/>
        <v>BC Camarao1.4215KTL-H3(MBUS-14)45992,7545992,7545992,8125</v>
      </c>
      <c r="Q30" s="1" t="str">
        <f t="shared" si="1"/>
        <v>DAURDE</v>
      </c>
    </row>
    <row r="31" spans="2:17" hidden="1">
      <c r="B31" s="1" t="s">
        <v>379</v>
      </c>
      <c r="C31" s="1" t="s">
        <v>254</v>
      </c>
      <c r="D31" s="52">
        <v>45992.75</v>
      </c>
      <c r="E31" s="52">
        <v>45992.75</v>
      </c>
      <c r="F31" s="52">
        <v>45992.8125</v>
      </c>
      <c r="G31" s="53">
        <v>6.25E-2</v>
      </c>
      <c r="H31" s="1" t="s">
        <v>248</v>
      </c>
      <c r="J31" s="1" t="s">
        <v>249</v>
      </c>
      <c r="K31" s="1" t="s">
        <v>349</v>
      </c>
      <c r="L31" s="1" t="s">
        <v>672</v>
      </c>
      <c r="M31" s="1" t="s">
        <v>251</v>
      </c>
      <c r="N31" s="1" t="s">
        <v>330</v>
      </c>
      <c r="O31" s="1" t="s">
        <v>673</v>
      </c>
      <c r="P31" s="1" t="str">
        <f t="shared" si="0"/>
        <v>BC Camarao1.4215KTL-H3(MBUS-13)45992,7545992,7545992,8125</v>
      </c>
      <c r="Q31" s="1" t="str">
        <f t="shared" si="1"/>
        <v>DAURDE</v>
      </c>
    </row>
    <row r="32" spans="2:17" hidden="1">
      <c r="B32" s="1" t="s">
        <v>379</v>
      </c>
      <c r="C32" s="1" t="s">
        <v>257</v>
      </c>
      <c r="D32" s="52">
        <v>45992.75</v>
      </c>
      <c r="E32" s="52">
        <v>45992.75</v>
      </c>
      <c r="F32" s="52">
        <v>45992.8125</v>
      </c>
      <c r="G32" s="53">
        <v>6.25E-2</v>
      </c>
      <c r="H32" s="1" t="s">
        <v>248</v>
      </c>
      <c r="J32" s="1" t="s">
        <v>249</v>
      </c>
      <c r="K32" s="1" t="s">
        <v>349</v>
      </c>
      <c r="L32" s="1" t="s">
        <v>672</v>
      </c>
      <c r="M32" s="1" t="s">
        <v>251</v>
      </c>
      <c r="N32" s="1" t="s">
        <v>330</v>
      </c>
      <c r="O32" s="1" t="s">
        <v>673</v>
      </c>
      <c r="P32" s="1" t="str">
        <f t="shared" si="0"/>
        <v>BC Camarao1.4215KTL-H3(MBUS-16)45992,7545992,7545992,8125</v>
      </c>
      <c r="Q32" s="1" t="str">
        <f t="shared" si="1"/>
        <v>DAURDE</v>
      </c>
    </row>
    <row r="33" spans="2:17" hidden="1">
      <c r="B33" s="1" t="s">
        <v>379</v>
      </c>
      <c r="C33" s="1" t="s">
        <v>256</v>
      </c>
      <c r="D33" s="52">
        <v>45992.75</v>
      </c>
      <c r="E33" s="52">
        <v>45992.75</v>
      </c>
      <c r="F33" s="52">
        <v>45992.8125</v>
      </c>
      <c r="G33" s="53">
        <v>6.25E-2</v>
      </c>
      <c r="H33" s="1" t="s">
        <v>248</v>
      </c>
      <c r="J33" s="1" t="s">
        <v>249</v>
      </c>
      <c r="K33" s="1" t="s">
        <v>349</v>
      </c>
      <c r="L33" s="1" t="s">
        <v>672</v>
      </c>
      <c r="M33" s="1" t="s">
        <v>251</v>
      </c>
      <c r="N33" s="1" t="s">
        <v>330</v>
      </c>
      <c r="O33" s="1" t="s">
        <v>673</v>
      </c>
      <c r="P33" s="1" t="str">
        <f t="shared" si="0"/>
        <v>BC Camarao1.4215KTL-H3(MBUS-15)45992,7545992,7545992,8125</v>
      </c>
      <c r="Q33" s="1" t="str">
        <f t="shared" si="1"/>
        <v>DAURDE</v>
      </c>
    </row>
    <row r="34" spans="2:17" hidden="1">
      <c r="B34" s="1" t="s">
        <v>388</v>
      </c>
      <c r="C34" s="1" t="s">
        <v>256</v>
      </c>
      <c r="D34" s="52">
        <v>45992.75</v>
      </c>
      <c r="E34" s="52">
        <v>45992.75</v>
      </c>
      <c r="F34" s="52">
        <v>45992.8125</v>
      </c>
      <c r="G34" s="53">
        <v>6.25E-2</v>
      </c>
      <c r="H34" s="1" t="s">
        <v>248</v>
      </c>
      <c r="J34" s="1" t="s">
        <v>249</v>
      </c>
      <c r="K34" s="1" t="s">
        <v>349</v>
      </c>
      <c r="L34" s="1" t="s">
        <v>672</v>
      </c>
      <c r="M34" s="1" t="s">
        <v>251</v>
      </c>
      <c r="N34" s="1" t="s">
        <v>330</v>
      </c>
      <c r="O34" s="1" t="s">
        <v>673</v>
      </c>
      <c r="P34" s="1" t="str">
        <f t="shared" si="0"/>
        <v>BC Camarao1.5215KTL-H3(MBUS-15)45992,7545992,7545992,8125</v>
      </c>
      <c r="Q34" s="1" t="str">
        <f t="shared" si="1"/>
        <v>DAURDE</v>
      </c>
    </row>
    <row r="35" spans="2:17" hidden="1">
      <c r="B35" s="1" t="s">
        <v>388</v>
      </c>
      <c r="C35" s="1" t="s">
        <v>328</v>
      </c>
      <c r="D35" s="52">
        <v>45992.75</v>
      </c>
      <c r="E35" s="52">
        <v>45992.75</v>
      </c>
      <c r="F35" s="52">
        <v>45992.8125</v>
      </c>
      <c r="G35" s="53">
        <v>6.25E-2</v>
      </c>
      <c r="H35" s="1" t="s">
        <v>248</v>
      </c>
      <c r="J35" s="1" t="s">
        <v>249</v>
      </c>
      <c r="K35" s="1" t="s">
        <v>349</v>
      </c>
      <c r="L35" s="1" t="s">
        <v>672</v>
      </c>
      <c r="M35" s="1" t="s">
        <v>251</v>
      </c>
      <c r="N35" s="1" t="s">
        <v>330</v>
      </c>
      <c r="O35" s="1" t="s">
        <v>673</v>
      </c>
      <c r="P35" s="1" t="str">
        <f t="shared" si="0"/>
        <v>BC Camarao1.5Inverter(MBUS-1)45992,7545992,7545992,8125</v>
      </c>
      <c r="Q35" s="1" t="str">
        <f t="shared" si="1"/>
        <v>DAURDE</v>
      </c>
    </row>
    <row r="36" spans="2:17" hidden="1">
      <c r="B36" s="1" t="s">
        <v>388</v>
      </c>
      <c r="C36" s="1" t="s">
        <v>254</v>
      </c>
      <c r="D36" s="52">
        <v>45992.75</v>
      </c>
      <c r="E36" s="52">
        <v>45992.75</v>
      </c>
      <c r="F36" s="52">
        <v>45992.8125</v>
      </c>
      <c r="G36" s="53">
        <v>6.25E-2</v>
      </c>
      <c r="H36" s="1" t="s">
        <v>248</v>
      </c>
      <c r="J36" s="1" t="s">
        <v>249</v>
      </c>
      <c r="K36" s="1" t="s">
        <v>349</v>
      </c>
      <c r="L36" s="1" t="s">
        <v>672</v>
      </c>
      <c r="M36" s="1" t="s">
        <v>251</v>
      </c>
      <c r="N36" s="1" t="s">
        <v>330</v>
      </c>
      <c r="O36" s="1" t="s">
        <v>673</v>
      </c>
      <c r="P36" s="1" t="str">
        <f t="shared" si="0"/>
        <v>BC Camarao1.5215KTL-H3(MBUS-13)45992,7545992,7545992,8125</v>
      </c>
      <c r="Q36" s="1" t="str">
        <f t="shared" si="1"/>
        <v>DAURDE</v>
      </c>
    </row>
    <row r="37" spans="2:17" hidden="1">
      <c r="B37" s="1" t="s">
        <v>388</v>
      </c>
      <c r="C37" s="1" t="s">
        <v>247</v>
      </c>
      <c r="D37" s="52">
        <v>45992.75</v>
      </c>
      <c r="E37" s="52">
        <v>45992.75</v>
      </c>
      <c r="F37" s="52">
        <v>45992.8125</v>
      </c>
      <c r="G37" s="53">
        <v>6.25E-2</v>
      </c>
      <c r="H37" s="1" t="s">
        <v>248</v>
      </c>
      <c r="J37" s="1" t="s">
        <v>249</v>
      </c>
      <c r="K37" s="1" t="s">
        <v>349</v>
      </c>
      <c r="L37" s="1" t="s">
        <v>672</v>
      </c>
      <c r="M37" s="1" t="s">
        <v>251</v>
      </c>
      <c r="N37" s="1" t="s">
        <v>330</v>
      </c>
      <c r="O37" s="1" t="s">
        <v>673</v>
      </c>
      <c r="P37" s="1" t="str">
        <f t="shared" si="0"/>
        <v>BC Camarao1.5215KTL-H3(MBUS-12)45992,7545992,7545992,8125</v>
      </c>
      <c r="Q37" s="1" t="str">
        <f t="shared" si="1"/>
        <v>DAURDE</v>
      </c>
    </row>
    <row r="38" spans="2:17" hidden="1">
      <c r="B38" s="1" t="s">
        <v>388</v>
      </c>
      <c r="C38" s="1" t="s">
        <v>358</v>
      </c>
      <c r="D38" s="52">
        <v>45992.75</v>
      </c>
      <c r="E38" s="52">
        <v>45992.75</v>
      </c>
      <c r="F38" s="52">
        <v>45992.8125</v>
      </c>
      <c r="G38" s="53">
        <v>6.25E-2</v>
      </c>
      <c r="H38" s="1" t="s">
        <v>248</v>
      </c>
      <c r="J38" s="1" t="s">
        <v>249</v>
      </c>
      <c r="K38" s="1" t="s">
        <v>349</v>
      </c>
      <c r="L38" s="1" t="s">
        <v>672</v>
      </c>
      <c r="M38" s="1" t="s">
        <v>251</v>
      </c>
      <c r="N38" s="1" t="s">
        <v>330</v>
      </c>
      <c r="O38" s="1" t="s">
        <v>673</v>
      </c>
      <c r="P38" s="1" t="str">
        <f t="shared" si="0"/>
        <v>BC Camarao1.5Inverter(MBUS-14)45992,7545992,7545992,8125</v>
      </c>
      <c r="Q38" s="1" t="str">
        <f t="shared" si="1"/>
        <v>DAURDE</v>
      </c>
    </row>
    <row r="39" spans="2:17" hidden="1">
      <c r="B39" s="1" t="s">
        <v>423</v>
      </c>
      <c r="C39" s="1" t="s">
        <v>354</v>
      </c>
      <c r="D39" s="52">
        <v>45993.24722222222</v>
      </c>
      <c r="E39" s="52">
        <v>45993.24722222222</v>
      </c>
      <c r="F39" s="52">
        <v>45993.308333333334</v>
      </c>
      <c r="G39" s="53">
        <v>6.1111111111111109E-2</v>
      </c>
      <c r="H39" s="1" t="s">
        <v>248</v>
      </c>
      <c r="J39" s="1" t="s">
        <v>249</v>
      </c>
      <c r="K39" s="1" t="s">
        <v>349</v>
      </c>
      <c r="L39" s="1" t="s">
        <v>675</v>
      </c>
      <c r="M39" s="1" t="s">
        <v>251</v>
      </c>
      <c r="N39" s="1" t="s">
        <v>266</v>
      </c>
      <c r="O39" s="1" t="s">
        <v>676</v>
      </c>
      <c r="P39" s="1" t="str">
        <f t="shared" si="0"/>
        <v>BC Formoso2.1Inverter(MBUS-12)45993,247222222245993,247222222245993,3083333333</v>
      </c>
      <c r="Q39" s="1" t="str">
        <f t="shared" si="1"/>
        <v>DAURDE</v>
      </c>
    </row>
    <row r="40" spans="2:17" hidden="1">
      <c r="B40" s="1" t="s">
        <v>423</v>
      </c>
      <c r="C40" s="1" t="s">
        <v>358</v>
      </c>
      <c r="D40" s="52">
        <v>45993.24722222222</v>
      </c>
      <c r="E40" s="52">
        <v>45993.24722222222</v>
      </c>
      <c r="F40" s="52">
        <v>45993.308333333334</v>
      </c>
      <c r="G40" s="53">
        <v>6.1111111111111109E-2</v>
      </c>
      <c r="H40" s="1" t="s">
        <v>248</v>
      </c>
      <c r="J40" s="1" t="s">
        <v>249</v>
      </c>
      <c r="K40" s="1" t="s">
        <v>349</v>
      </c>
      <c r="L40" s="1" t="s">
        <v>675</v>
      </c>
      <c r="M40" s="1" t="s">
        <v>251</v>
      </c>
      <c r="N40" s="1" t="s">
        <v>266</v>
      </c>
      <c r="O40" s="1" t="s">
        <v>676</v>
      </c>
      <c r="P40" s="1" t="str">
        <f t="shared" si="0"/>
        <v>BC Formoso2.1Inverter(MBUS-14)45993,247222222245993,247222222245993,3083333333</v>
      </c>
      <c r="Q40" s="1" t="str">
        <f t="shared" si="1"/>
        <v>DAURDE</v>
      </c>
    </row>
    <row r="41" spans="2:17" hidden="1">
      <c r="B41" s="1" t="s">
        <v>423</v>
      </c>
      <c r="C41" s="1" t="s">
        <v>357</v>
      </c>
      <c r="D41" s="52">
        <v>45993.24722222222</v>
      </c>
      <c r="E41" s="52">
        <v>45993.24722222222</v>
      </c>
      <c r="F41" s="52">
        <v>45993.308333333334</v>
      </c>
      <c r="G41" s="53">
        <v>6.1111111111111109E-2</v>
      </c>
      <c r="H41" s="1" t="s">
        <v>248</v>
      </c>
      <c r="J41" s="1" t="s">
        <v>249</v>
      </c>
      <c r="K41" s="1" t="s">
        <v>349</v>
      </c>
      <c r="L41" s="1" t="s">
        <v>675</v>
      </c>
      <c r="M41" s="1" t="s">
        <v>251</v>
      </c>
      <c r="N41" s="1" t="s">
        <v>266</v>
      </c>
      <c r="O41" s="1" t="s">
        <v>676</v>
      </c>
      <c r="P41" s="1" t="str">
        <f t="shared" si="0"/>
        <v>BC Formoso2.1Inverter(MBUS-13)45993,247222222245993,247222222245993,3083333333</v>
      </c>
      <c r="Q41" s="1" t="str">
        <f t="shared" si="1"/>
        <v>DAURDE</v>
      </c>
    </row>
    <row r="42" spans="2:17" hidden="1">
      <c r="B42" s="1" t="s">
        <v>423</v>
      </c>
      <c r="C42" s="1" t="s">
        <v>328</v>
      </c>
      <c r="D42" s="52">
        <v>45993.24722222222</v>
      </c>
      <c r="E42" s="52">
        <v>45993.24722222222</v>
      </c>
      <c r="F42" s="52">
        <v>45993.308333333334</v>
      </c>
      <c r="G42" s="53">
        <v>6.1111111111111109E-2</v>
      </c>
      <c r="H42" s="1" t="s">
        <v>248</v>
      </c>
      <c r="J42" s="1" t="s">
        <v>249</v>
      </c>
      <c r="K42" s="1" t="s">
        <v>349</v>
      </c>
      <c r="L42" s="1" t="s">
        <v>675</v>
      </c>
      <c r="M42" s="1" t="s">
        <v>251</v>
      </c>
      <c r="N42" s="1" t="s">
        <v>266</v>
      </c>
      <c r="O42" s="1" t="s">
        <v>676</v>
      </c>
      <c r="P42" s="1" t="str">
        <f t="shared" si="0"/>
        <v>BC Formoso2.1Inverter(MBUS-1)45993,247222222245993,247222222245993,3083333333</v>
      </c>
      <c r="Q42" s="1" t="str">
        <f t="shared" si="1"/>
        <v>DAURDE</v>
      </c>
    </row>
    <row r="43" spans="2:17" hidden="1">
      <c r="B43" s="1" t="s">
        <v>424</v>
      </c>
      <c r="C43" s="1" t="s">
        <v>358</v>
      </c>
      <c r="D43" s="52">
        <v>45993.24722222222</v>
      </c>
      <c r="E43" s="52">
        <v>45993.24722222222</v>
      </c>
      <c r="F43" s="52">
        <v>45993.308333333334</v>
      </c>
      <c r="G43" s="53">
        <v>6.1111111111111109E-2</v>
      </c>
      <c r="H43" s="1" t="s">
        <v>248</v>
      </c>
      <c r="J43" s="1" t="s">
        <v>249</v>
      </c>
      <c r="K43" s="1" t="s">
        <v>349</v>
      </c>
      <c r="L43" s="1" t="s">
        <v>675</v>
      </c>
      <c r="M43" s="1" t="s">
        <v>251</v>
      </c>
      <c r="N43" s="1" t="s">
        <v>266</v>
      </c>
      <c r="O43" s="1" t="s">
        <v>676</v>
      </c>
      <c r="P43" s="1" t="str">
        <f t="shared" si="0"/>
        <v>BC Formoso2.2Inverter(MBUS-14)45993,247222222245993,247222222245993,3083333333</v>
      </c>
      <c r="Q43" s="1" t="str">
        <f t="shared" si="1"/>
        <v>DAURDE</v>
      </c>
    </row>
    <row r="44" spans="2:17" hidden="1">
      <c r="B44" s="1" t="s">
        <v>424</v>
      </c>
      <c r="C44" s="1" t="s">
        <v>357</v>
      </c>
      <c r="D44" s="52">
        <v>45993.24722222222</v>
      </c>
      <c r="E44" s="52">
        <v>45993.24722222222</v>
      </c>
      <c r="F44" s="52">
        <v>45993.308333333334</v>
      </c>
      <c r="G44" s="53">
        <v>6.1111111111111109E-2</v>
      </c>
      <c r="H44" s="1" t="s">
        <v>248</v>
      </c>
      <c r="J44" s="1" t="s">
        <v>249</v>
      </c>
      <c r="K44" s="1" t="s">
        <v>349</v>
      </c>
      <c r="L44" s="1" t="s">
        <v>675</v>
      </c>
      <c r="M44" s="1" t="s">
        <v>251</v>
      </c>
      <c r="N44" s="1" t="s">
        <v>266</v>
      </c>
      <c r="O44" s="1" t="s">
        <v>676</v>
      </c>
      <c r="P44" s="1" t="str">
        <f t="shared" si="0"/>
        <v>BC Formoso2.2Inverter(MBUS-13)45993,247222222245993,247222222245993,3083333333</v>
      </c>
      <c r="Q44" s="1" t="str">
        <f t="shared" si="1"/>
        <v>DAURDE</v>
      </c>
    </row>
    <row r="45" spans="2:17" hidden="1">
      <c r="B45" s="1" t="s">
        <v>424</v>
      </c>
      <c r="C45" s="1" t="s">
        <v>354</v>
      </c>
      <c r="D45" s="52">
        <v>45993.24722222222</v>
      </c>
      <c r="E45" s="52">
        <v>45993.24722222222</v>
      </c>
      <c r="F45" s="52">
        <v>45993.308333333334</v>
      </c>
      <c r="G45" s="53">
        <v>6.1111111111111109E-2</v>
      </c>
      <c r="H45" s="1" t="s">
        <v>248</v>
      </c>
      <c r="J45" s="1" t="s">
        <v>249</v>
      </c>
      <c r="K45" s="1" t="s">
        <v>349</v>
      </c>
      <c r="L45" s="1" t="s">
        <v>675</v>
      </c>
      <c r="M45" s="1" t="s">
        <v>251</v>
      </c>
      <c r="N45" s="1" t="s">
        <v>266</v>
      </c>
      <c r="O45" s="1" t="s">
        <v>676</v>
      </c>
      <c r="P45" s="1" t="str">
        <f t="shared" si="0"/>
        <v>BC Formoso2.2Inverter(MBUS-12)45993,247222222245993,247222222245993,3083333333</v>
      </c>
      <c r="Q45" s="1" t="str">
        <f t="shared" si="1"/>
        <v>DAURDE</v>
      </c>
    </row>
    <row r="46" spans="2:17" hidden="1">
      <c r="B46" s="1" t="s">
        <v>424</v>
      </c>
      <c r="C46" s="1" t="s">
        <v>328</v>
      </c>
      <c r="D46" s="52">
        <v>45993.24722222222</v>
      </c>
      <c r="E46" s="52">
        <v>45993.24722222222</v>
      </c>
      <c r="F46" s="52">
        <v>45993.308333333334</v>
      </c>
      <c r="G46" s="53">
        <v>6.1111111111111109E-2</v>
      </c>
      <c r="H46" s="1" t="s">
        <v>248</v>
      </c>
      <c r="J46" s="1" t="s">
        <v>249</v>
      </c>
      <c r="K46" s="1" t="s">
        <v>349</v>
      </c>
      <c r="L46" s="1" t="s">
        <v>675</v>
      </c>
      <c r="M46" s="1" t="s">
        <v>251</v>
      </c>
      <c r="N46" s="1" t="s">
        <v>266</v>
      </c>
      <c r="O46" s="1" t="s">
        <v>676</v>
      </c>
      <c r="P46" s="1" t="str">
        <f t="shared" si="0"/>
        <v>BC Formoso2.2Inverter(MBUS-1)45993,247222222245993,247222222245993,3083333333</v>
      </c>
      <c r="Q46" s="1" t="str">
        <f t="shared" si="1"/>
        <v>DAURDE</v>
      </c>
    </row>
    <row r="47" spans="2:17" hidden="1">
      <c r="B47" s="1" t="s">
        <v>425</v>
      </c>
      <c r="C47" s="1" t="s">
        <v>357</v>
      </c>
      <c r="D47" s="52">
        <v>45993.24722222222</v>
      </c>
      <c r="E47" s="52">
        <v>45993.24722222222</v>
      </c>
      <c r="F47" s="52">
        <v>45993.308333333334</v>
      </c>
      <c r="G47" s="53">
        <v>6.1111111111111109E-2</v>
      </c>
      <c r="H47" s="1" t="s">
        <v>248</v>
      </c>
      <c r="J47" s="1" t="s">
        <v>249</v>
      </c>
      <c r="K47" s="1" t="s">
        <v>349</v>
      </c>
      <c r="L47" s="1" t="s">
        <v>675</v>
      </c>
      <c r="M47" s="1" t="s">
        <v>251</v>
      </c>
      <c r="N47" s="1" t="s">
        <v>266</v>
      </c>
      <c r="O47" s="1" t="s">
        <v>676</v>
      </c>
      <c r="P47" s="1" t="str">
        <f t="shared" si="0"/>
        <v>BC Formoso2.3Inverter(MBUS-13)45993,247222222245993,247222222245993,3083333333</v>
      </c>
      <c r="Q47" s="1" t="str">
        <f t="shared" si="1"/>
        <v>DAURDE</v>
      </c>
    </row>
    <row r="48" spans="2:17" hidden="1">
      <c r="B48" s="1" t="s">
        <v>425</v>
      </c>
      <c r="C48" s="1" t="s">
        <v>354</v>
      </c>
      <c r="D48" s="52">
        <v>45993.24722222222</v>
      </c>
      <c r="E48" s="52">
        <v>45993.24722222222</v>
      </c>
      <c r="F48" s="52">
        <v>45993.308333333334</v>
      </c>
      <c r="G48" s="53">
        <v>6.1111111111111109E-2</v>
      </c>
      <c r="H48" s="1" t="s">
        <v>248</v>
      </c>
      <c r="J48" s="1" t="s">
        <v>249</v>
      </c>
      <c r="K48" s="1" t="s">
        <v>349</v>
      </c>
      <c r="L48" s="1" t="s">
        <v>675</v>
      </c>
      <c r="M48" s="1" t="s">
        <v>251</v>
      </c>
      <c r="N48" s="1" t="s">
        <v>266</v>
      </c>
      <c r="O48" s="1" t="s">
        <v>676</v>
      </c>
      <c r="P48" s="1" t="str">
        <f t="shared" si="0"/>
        <v>BC Formoso2.3Inverter(MBUS-12)45993,247222222245993,247222222245993,3083333333</v>
      </c>
      <c r="Q48" s="1" t="str">
        <f t="shared" si="1"/>
        <v>DAURDE</v>
      </c>
    </row>
    <row r="49" spans="2:17" hidden="1">
      <c r="B49" s="1" t="s">
        <v>429</v>
      </c>
      <c r="C49" s="1" t="s">
        <v>357</v>
      </c>
      <c r="D49" s="52">
        <v>45993.24722222222</v>
      </c>
      <c r="E49" s="52">
        <v>45993.24722222222</v>
      </c>
      <c r="F49" s="52">
        <v>45993.308333333334</v>
      </c>
      <c r="G49" s="53">
        <v>6.1111111111111109E-2</v>
      </c>
      <c r="H49" s="1" t="s">
        <v>248</v>
      </c>
      <c r="J49" s="1" t="s">
        <v>249</v>
      </c>
      <c r="K49" s="1" t="s">
        <v>349</v>
      </c>
      <c r="L49" s="1" t="s">
        <v>675</v>
      </c>
      <c r="M49" s="1" t="s">
        <v>251</v>
      </c>
      <c r="N49" s="1" t="s">
        <v>266</v>
      </c>
      <c r="O49" s="1" t="s">
        <v>676</v>
      </c>
      <c r="P49" s="1" t="str">
        <f t="shared" si="0"/>
        <v>BC Formoso1.1Inverter(MBUS-13)45993,247222222245993,247222222245993,3083333333</v>
      </c>
      <c r="Q49" s="1" t="str">
        <f t="shared" si="1"/>
        <v>DAURDE</v>
      </c>
    </row>
    <row r="50" spans="2:17" hidden="1">
      <c r="B50" s="1" t="s">
        <v>429</v>
      </c>
      <c r="C50" s="1" t="s">
        <v>354</v>
      </c>
      <c r="D50" s="52">
        <v>45993.24722222222</v>
      </c>
      <c r="E50" s="52">
        <v>45993.24722222222</v>
      </c>
      <c r="F50" s="52">
        <v>45993.308333333334</v>
      </c>
      <c r="G50" s="53">
        <v>6.1111111111111109E-2</v>
      </c>
      <c r="H50" s="1" t="s">
        <v>248</v>
      </c>
      <c r="J50" s="1" t="s">
        <v>249</v>
      </c>
      <c r="K50" s="1" t="s">
        <v>349</v>
      </c>
      <c r="L50" s="1" t="s">
        <v>675</v>
      </c>
      <c r="M50" s="1" t="s">
        <v>251</v>
      </c>
      <c r="N50" s="1" t="s">
        <v>266</v>
      </c>
      <c r="O50" s="1" t="s">
        <v>676</v>
      </c>
      <c r="P50" s="1" t="str">
        <f t="shared" si="0"/>
        <v>BC Formoso1.1Inverter(MBUS-12)45993,247222222245993,247222222245993,3083333333</v>
      </c>
      <c r="Q50" s="1" t="str">
        <f t="shared" si="1"/>
        <v>DAURDE</v>
      </c>
    </row>
    <row r="51" spans="2:17" hidden="1">
      <c r="B51" s="1" t="s">
        <v>429</v>
      </c>
      <c r="C51" s="1" t="s">
        <v>359</v>
      </c>
      <c r="D51" s="52">
        <v>45993.24722222222</v>
      </c>
      <c r="E51" s="52">
        <v>45993.24722222222</v>
      </c>
      <c r="F51" s="52">
        <v>45993.308333333334</v>
      </c>
      <c r="G51" s="53">
        <v>6.1111111111111109E-2</v>
      </c>
      <c r="H51" s="1" t="s">
        <v>248</v>
      </c>
      <c r="J51" s="1" t="s">
        <v>249</v>
      </c>
      <c r="K51" s="1" t="s">
        <v>349</v>
      </c>
      <c r="L51" s="1" t="s">
        <v>675</v>
      </c>
      <c r="M51" s="1" t="s">
        <v>251</v>
      </c>
      <c r="N51" s="1" t="s">
        <v>266</v>
      </c>
      <c r="O51" s="1" t="s">
        <v>676</v>
      </c>
      <c r="P51" s="1" t="str">
        <f t="shared" si="0"/>
        <v>BC Formoso1.1Inverter(MBUS-15)45993,247222222245993,247222222245993,3083333333</v>
      </c>
      <c r="Q51" s="1" t="str">
        <f t="shared" si="1"/>
        <v>DAURDE</v>
      </c>
    </row>
    <row r="52" spans="2:17" hidden="1">
      <c r="B52" s="1" t="s">
        <v>429</v>
      </c>
      <c r="C52" s="1" t="s">
        <v>358</v>
      </c>
      <c r="D52" s="52">
        <v>45993.24722222222</v>
      </c>
      <c r="E52" s="52">
        <v>45993.24722222222</v>
      </c>
      <c r="F52" s="52">
        <v>45993.308333333334</v>
      </c>
      <c r="G52" s="53">
        <v>6.1111111111111109E-2</v>
      </c>
      <c r="H52" s="1" t="s">
        <v>248</v>
      </c>
      <c r="J52" s="1" t="s">
        <v>249</v>
      </c>
      <c r="K52" s="1" t="s">
        <v>349</v>
      </c>
      <c r="L52" s="1" t="s">
        <v>675</v>
      </c>
      <c r="M52" s="1" t="s">
        <v>251</v>
      </c>
      <c r="N52" s="1" t="s">
        <v>266</v>
      </c>
      <c r="O52" s="1" t="s">
        <v>676</v>
      </c>
      <c r="P52" s="1" t="str">
        <f t="shared" si="0"/>
        <v>BC Formoso1.1Inverter(MBUS-14)45993,247222222245993,247222222245993,3083333333</v>
      </c>
      <c r="Q52" s="1" t="str">
        <f t="shared" si="1"/>
        <v>DAURDE</v>
      </c>
    </row>
    <row r="53" spans="2:17" hidden="1">
      <c r="B53" s="1" t="s">
        <v>421</v>
      </c>
      <c r="C53" s="1" t="s">
        <v>357</v>
      </c>
      <c r="D53" s="52">
        <v>45993.24722222222</v>
      </c>
      <c r="E53" s="52">
        <v>45993.24722222222</v>
      </c>
      <c r="F53" s="52">
        <v>45993.308333333334</v>
      </c>
      <c r="G53" s="53">
        <v>6.1111111111111109E-2</v>
      </c>
      <c r="H53" s="1" t="s">
        <v>248</v>
      </c>
      <c r="J53" s="1" t="s">
        <v>249</v>
      </c>
      <c r="K53" s="1" t="s">
        <v>349</v>
      </c>
      <c r="L53" s="1" t="s">
        <v>675</v>
      </c>
      <c r="M53" s="1" t="s">
        <v>251</v>
      </c>
      <c r="N53" s="1" t="s">
        <v>266</v>
      </c>
      <c r="O53" s="1" t="s">
        <v>676</v>
      </c>
      <c r="P53" s="1" t="str">
        <f t="shared" si="0"/>
        <v>BC Formoso1.2Inverter(MBUS-13)45993,247222222245993,247222222245993,3083333333</v>
      </c>
      <c r="Q53" s="1" t="str">
        <f t="shared" si="1"/>
        <v>DAURDE</v>
      </c>
    </row>
    <row r="54" spans="2:17" hidden="1">
      <c r="B54" s="1" t="s">
        <v>421</v>
      </c>
      <c r="C54" s="1" t="s">
        <v>354</v>
      </c>
      <c r="D54" s="52">
        <v>45993.24722222222</v>
      </c>
      <c r="E54" s="52">
        <v>45993.24722222222</v>
      </c>
      <c r="F54" s="52">
        <v>45993.308333333334</v>
      </c>
      <c r="G54" s="53">
        <v>6.1111111111111109E-2</v>
      </c>
      <c r="H54" s="1" t="s">
        <v>248</v>
      </c>
      <c r="J54" s="1" t="s">
        <v>249</v>
      </c>
      <c r="K54" s="1" t="s">
        <v>349</v>
      </c>
      <c r="L54" s="1" t="s">
        <v>675</v>
      </c>
      <c r="M54" s="1" t="s">
        <v>251</v>
      </c>
      <c r="N54" s="1" t="s">
        <v>266</v>
      </c>
      <c r="O54" s="1" t="s">
        <v>676</v>
      </c>
      <c r="P54" s="1" t="str">
        <f t="shared" si="0"/>
        <v>BC Formoso1.2Inverter(MBUS-12)45993,247222222245993,247222222245993,3083333333</v>
      </c>
      <c r="Q54" s="1" t="str">
        <f t="shared" si="1"/>
        <v>DAURDE</v>
      </c>
    </row>
    <row r="55" spans="2:17" hidden="1">
      <c r="B55" s="1" t="s">
        <v>421</v>
      </c>
      <c r="C55" s="1" t="s">
        <v>359</v>
      </c>
      <c r="D55" s="52">
        <v>45993.24722222222</v>
      </c>
      <c r="E55" s="52">
        <v>45993.24722222222</v>
      </c>
      <c r="F55" s="52">
        <v>45993.308333333334</v>
      </c>
      <c r="G55" s="53">
        <v>6.1111111111111109E-2</v>
      </c>
      <c r="H55" s="1" t="s">
        <v>248</v>
      </c>
      <c r="J55" s="1" t="s">
        <v>249</v>
      </c>
      <c r="K55" s="1" t="s">
        <v>349</v>
      </c>
      <c r="L55" s="1" t="s">
        <v>675</v>
      </c>
      <c r="M55" s="1" t="s">
        <v>251</v>
      </c>
      <c r="N55" s="1" t="s">
        <v>266</v>
      </c>
      <c r="O55" s="1" t="s">
        <v>676</v>
      </c>
      <c r="P55" s="1" t="str">
        <f t="shared" si="0"/>
        <v>BC Formoso1.2Inverter(MBUS-15)45993,247222222245993,247222222245993,3083333333</v>
      </c>
      <c r="Q55" s="1" t="str">
        <f t="shared" si="1"/>
        <v>DAURDE</v>
      </c>
    </row>
    <row r="56" spans="2:17" hidden="1">
      <c r="B56" s="1" t="s">
        <v>421</v>
      </c>
      <c r="C56" s="1" t="s">
        <v>358</v>
      </c>
      <c r="D56" s="52">
        <v>45993.24722222222</v>
      </c>
      <c r="E56" s="52">
        <v>45993.24722222222</v>
      </c>
      <c r="F56" s="52">
        <v>45993.308333333334</v>
      </c>
      <c r="G56" s="53">
        <v>6.1111111111111109E-2</v>
      </c>
      <c r="H56" s="1" t="s">
        <v>248</v>
      </c>
      <c r="J56" s="1" t="s">
        <v>249</v>
      </c>
      <c r="K56" s="1" t="s">
        <v>349</v>
      </c>
      <c r="L56" s="1" t="s">
        <v>675</v>
      </c>
      <c r="M56" s="1" t="s">
        <v>251</v>
      </c>
      <c r="N56" s="1" t="s">
        <v>266</v>
      </c>
      <c r="O56" s="1" t="s">
        <v>676</v>
      </c>
      <c r="P56" s="1" t="str">
        <f t="shared" si="0"/>
        <v>BC Formoso1.2Inverter(MBUS-14)45993,247222222245993,247222222245993,3083333333</v>
      </c>
      <c r="Q56" s="1" t="str">
        <f t="shared" si="1"/>
        <v>DAURDE</v>
      </c>
    </row>
    <row r="57" spans="2:17" hidden="1">
      <c r="B57" s="1" t="s">
        <v>430</v>
      </c>
      <c r="C57" s="1" t="s">
        <v>357</v>
      </c>
      <c r="D57" s="52">
        <v>45993.24722222222</v>
      </c>
      <c r="E57" s="52">
        <v>45993.24722222222</v>
      </c>
      <c r="F57" s="52">
        <v>45993.308333333334</v>
      </c>
      <c r="G57" s="53">
        <v>6.1111111111111109E-2</v>
      </c>
      <c r="H57" s="1" t="s">
        <v>248</v>
      </c>
      <c r="J57" s="1" t="s">
        <v>249</v>
      </c>
      <c r="K57" s="1" t="s">
        <v>349</v>
      </c>
      <c r="L57" s="1" t="s">
        <v>675</v>
      </c>
      <c r="M57" s="1" t="s">
        <v>251</v>
      </c>
      <c r="N57" s="1" t="s">
        <v>266</v>
      </c>
      <c r="O57" s="1" t="s">
        <v>676</v>
      </c>
      <c r="P57" s="1" t="str">
        <f t="shared" si="0"/>
        <v>BC Formoso1.3Inverter(MBUS-13)45993,247222222245993,247222222245993,3083333333</v>
      </c>
      <c r="Q57" s="1" t="str">
        <f t="shared" si="1"/>
        <v>DAURDE</v>
      </c>
    </row>
    <row r="58" spans="2:17" hidden="1">
      <c r="B58" s="1" t="s">
        <v>430</v>
      </c>
      <c r="C58" s="1" t="s">
        <v>354</v>
      </c>
      <c r="D58" s="52">
        <v>45993.24722222222</v>
      </c>
      <c r="E58" s="52">
        <v>45993.24722222222</v>
      </c>
      <c r="F58" s="52">
        <v>45993.308333333334</v>
      </c>
      <c r="G58" s="53">
        <v>6.1111111111111109E-2</v>
      </c>
      <c r="H58" s="1" t="s">
        <v>248</v>
      </c>
      <c r="J58" s="1" t="s">
        <v>249</v>
      </c>
      <c r="K58" s="1" t="s">
        <v>349</v>
      </c>
      <c r="L58" s="1" t="s">
        <v>675</v>
      </c>
      <c r="M58" s="1" t="s">
        <v>251</v>
      </c>
      <c r="N58" s="1" t="s">
        <v>266</v>
      </c>
      <c r="O58" s="1" t="s">
        <v>676</v>
      </c>
      <c r="P58" s="1" t="str">
        <f t="shared" si="0"/>
        <v>BC Formoso1.3Inverter(MBUS-12)45993,247222222245993,247222222245993,3083333333</v>
      </c>
      <c r="Q58" s="1" t="str">
        <f t="shared" si="1"/>
        <v>DAURDE</v>
      </c>
    </row>
    <row r="59" spans="2:17" hidden="1">
      <c r="B59" s="1" t="s">
        <v>246</v>
      </c>
      <c r="C59" s="1" t="s">
        <v>247</v>
      </c>
      <c r="D59" s="52">
        <v>45993.28402777778</v>
      </c>
      <c r="E59" s="52">
        <v>45993.28402777778</v>
      </c>
      <c r="F59" s="52">
        <v>45993.335416666669</v>
      </c>
      <c r="G59" s="53">
        <f>F59-E59</f>
        <v>5.1388888889050577E-2</v>
      </c>
      <c r="H59" s="1" t="s">
        <v>248</v>
      </c>
      <c r="J59" s="1" t="s">
        <v>249</v>
      </c>
      <c r="K59" s="1" t="str">
        <f>_xlfn.XLOOKUP(J59,REF!$D$2:$D$12,REF!$E$2:$E$12)</f>
        <v>Rede</v>
      </c>
      <c r="L59" s="1" t="s">
        <v>677</v>
      </c>
      <c r="M59" s="1" t="s">
        <v>251</v>
      </c>
      <c r="N59" s="1" t="s">
        <v>252</v>
      </c>
      <c r="O59" s="1" t="s">
        <v>331</v>
      </c>
      <c r="P59" s="1" t="str">
        <f t="shared" si="0"/>
        <v>BC Caiaponia2.1215KTL-H3(MBUS-12)45993,284027777845993,284027777845993,3354166667</v>
      </c>
      <c r="Q59" s="1" t="str">
        <f t="shared" si="1"/>
        <v>DAURDE</v>
      </c>
    </row>
    <row r="60" spans="2:17" hidden="1">
      <c r="B60" s="1" t="s">
        <v>246</v>
      </c>
      <c r="C60" s="1" t="s">
        <v>254</v>
      </c>
      <c r="D60" s="52">
        <v>45993.28402777778</v>
      </c>
      <c r="E60" s="52">
        <v>45993.28402777778</v>
      </c>
      <c r="F60" s="52">
        <v>45993.335416666669</v>
      </c>
      <c r="G60" s="53">
        <f t="shared" ref="G60:G123" si="2">F60-E60</f>
        <v>5.1388888889050577E-2</v>
      </c>
      <c r="H60" s="1" t="s">
        <v>248</v>
      </c>
      <c r="J60" s="1" t="s">
        <v>249</v>
      </c>
      <c r="K60" s="1" t="str">
        <f>_xlfn.XLOOKUP(J60,REF!$D$2:$D$12,REF!$E$2:$E$12)</f>
        <v>Rede</v>
      </c>
      <c r="L60" s="1" t="s">
        <v>677</v>
      </c>
      <c r="M60" s="1" t="s">
        <v>251</v>
      </c>
      <c r="N60" s="1" t="s">
        <v>252</v>
      </c>
      <c r="O60" s="1" t="s">
        <v>331</v>
      </c>
      <c r="P60" s="1" t="str">
        <f t="shared" si="0"/>
        <v>BC Caiaponia2.1215KTL-H3(MBUS-13)45993,284027777845993,284027777845993,3354166667</v>
      </c>
      <c r="Q60" s="1" t="str">
        <f t="shared" si="1"/>
        <v>DAURDE</v>
      </c>
    </row>
    <row r="61" spans="2:17" hidden="1">
      <c r="B61" s="1" t="s">
        <v>246</v>
      </c>
      <c r="C61" s="1" t="s">
        <v>255</v>
      </c>
      <c r="D61" s="52">
        <v>45993.28402777778</v>
      </c>
      <c r="E61" s="52">
        <v>45993.28402777778</v>
      </c>
      <c r="F61" s="52">
        <v>45993.335416666669</v>
      </c>
      <c r="G61" s="53">
        <f t="shared" si="2"/>
        <v>5.1388888889050577E-2</v>
      </c>
      <c r="H61" s="1" t="s">
        <v>248</v>
      </c>
      <c r="J61" s="1" t="s">
        <v>249</v>
      </c>
      <c r="K61" s="1" t="str">
        <f>_xlfn.XLOOKUP(J61,REF!$D$2:$D$12,REF!$E$2:$E$12)</f>
        <v>Rede</v>
      </c>
      <c r="L61" s="1" t="s">
        <v>677</v>
      </c>
      <c r="M61" s="1" t="s">
        <v>251</v>
      </c>
      <c r="N61" s="1" t="s">
        <v>252</v>
      </c>
      <c r="O61" s="1" t="s">
        <v>331</v>
      </c>
      <c r="P61" s="1" t="str">
        <f t="shared" si="0"/>
        <v>BC Caiaponia2.1215KTL-H3(MBUS-14)45993,284027777845993,284027777845993,3354166667</v>
      </c>
      <c r="Q61" s="1" t="str">
        <f t="shared" si="1"/>
        <v>DAURDE</v>
      </c>
    </row>
    <row r="62" spans="2:17" hidden="1">
      <c r="B62" s="1" t="s">
        <v>246</v>
      </c>
      <c r="C62" s="1" t="s">
        <v>256</v>
      </c>
      <c r="D62" s="52">
        <v>45993.28402777778</v>
      </c>
      <c r="E62" s="52">
        <v>45993.28402777778</v>
      </c>
      <c r="F62" s="52">
        <v>45993.335416666669</v>
      </c>
      <c r="G62" s="53">
        <f t="shared" si="2"/>
        <v>5.1388888889050577E-2</v>
      </c>
      <c r="H62" s="1" t="s">
        <v>248</v>
      </c>
      <c r="J62" s="1" t="s">
        <v>249</v>
      </c>
      <c r="K62" s="1" t="str">
        <f>_xlfn.XLOOKUP(J62,REF!$D$2:$D$12,REF!$E$2:$E$12)</f>
        <v>Rede</v>
      </c>
      <c r="L62" s="1" t="s">
        <v>677</v>
      </c>
      <c r="M62" s="1" t="s">
        <v>251</v>
      </c>
      <c r="N62" s="1" t="s">
        <v>252</v>
      </c>
      <c r="O62" s="1" t="s">
        <v>331</v>
      </c>
      <c r="P62" s="1" t="str">
        <f t="shared" si="0"/>
        <v>BC Caiaponia2.1215KTL-H3(MBUS-15)45993,284027777845993,284027777845993,3354166667</v>
      </c>
      <c r="Q62" s="1" t="str">
        <f t="shared" si="1"/>
        <v>DAURDE</v>
      </c>
    </row>
    <row r="63" spans="2:17" hidden="1">
      <c r="B63" s="1" t="s">
        <v>246</v>
      </c>
      <c r="C63" s="1" t="s">
        <v>257</v>
      </c>
      <c r="D63" s="52">
        <v>45993.28402777778</v>
      </c>
      <c r="E63" s="52">
        <v>45993.28402777778</v>
      </c>
      <c r="F63" s="52">
        <v>45993.335416666669</v>
      </c>
      <c r="G63" s="53">
        <f t="shared" si="2"/>
        <v>5.1388888889050577E-2</v>
      </c>
      <c r="H63" s="1" t="s">
        <v>248</v>
      </c>
      <c r="J63" s="1" t="s">
        <v>249</v>
      </c>
      <c r="K63" s="1" t="str">
        <f>_xlfn.XLOOKUP(J63,REF!$D$2:$D$12,REF!$E$2:$E$12)</f>
        <v>Rede</v>
      </c>
      <c r="L63" s="1" t="s">
        <v>677</v>
      </c>
      <c r="M63" s="1" t="s">
        <v>251</v>
      </c>
      <c r="N63" s="1" t="s">
        <v>252</v>
      </c>
      <c r="O63" s="1" t="s">
        <v>331</v>
      </c>
      <c r="P63" s="1" t="str">
        <f t="shared" si="0"/>
        <v>BC Caiaponia2.1215KTL-H3(MBUS-16)45993,284027777845993,284027777845993,3354166667</v>
      </c>
      <c r="Q63" s="1" t="str">
        <f t="shared" si="1"/>
        <v>DAURDE</v>
      </c>
    </row>
    <row r="64" spans="2:17" hidden="1">
      <c r="B64" s="1" t="s">
        <v>258</v>
      </c>
      <c r="C64" s="1" t="s">
        <v>247</v>
      </c>
      <c r="D64" s="52">
        <v>45993.28402777778</v>
      </c>
      <c r="E64" s="52">
        <v>45993.28402777778</v>
      </c>
      <c r="F64" s="52">
        <v>45993.335416666669</v>
      </c>
      <c r="G64" s="53">
        <f t="shared" si="2"/>
        <v>5.1388888889050577E-2</v>
      </c>
      <c r="H64" s="1" t="s">
        <v>248</v>
      </c>
      <c r="J64" s="1" t="s">
        <v>249</v>
      </c>
      <c r="K64" s="1" t="str">
        <f>_xlfn.XLOOKUP(J64,REF!$D$2:$D$12,REF!$E$2:$E$12)</f>
        <v>Rede</v>
      </c>
      <c r="L64" s="1" t="s">
        <v>677</v>
      </c>
      <c r="M64" s="1" t="s">
        <v>251</v>
      </c>
      <c r="N64" s="1" t="s">
        <v>252</v>
      </c>
      <c r="O64" s="1" t="s">
        <v>331</v>
      </c>
      <c r="P64" s="1" t="str">
        <f t="shared" si="0"/>
        <v>BC Caiaponia2.2215KTL-H3(MBUS-12)45993,284027777845993,284027777845993,3354166667</v>
      </c>
      <c r="Q64" s="1" t="str">
        <f t="shared" si="1"/>
        <v>DAURDE</v>
      </c>
    </row>
    <row r="65" spans="2:17" hidden="1">
      <c r="B65" s="1" t="s">
        <v>258</v>
      </c>
      <c r="C65" s="1" t="s">
        <v>254</v>
      </c>
      <c r="D65" s="52">
        <v>45993.28402777778</v>
      </c>
      <c r="E65" s="52">
        <v>45993.28402777778</v>
      </c>
      <c r="F65" s="52">
        <v>45993.335416666669</v>
      </c>
      <c r="G65" s="53">
        <f t="shared" si="2"/>
        <v>5.1388888889050577E-2</v>
      </c>
      <c r="H65" s="1" t="s">
        <v>248</v>
      </c>
      <c r="J65" s="1" t="s">
        <v>249</v>
      </c>
      <c r="K65" s="1" t="str">
        <f>_xlfn.XLOOKUP(J65,REF!$D$2:$D$12,REF!$E$2:$E$12)</f>
        <v>Rede</v>
      </c>
      <c r="L65" s="1" t="s">
        <v>677</v>
      </c>
      <c r="M65" s="1" t="s">
        <v>251</v>
      </c>
      <c r="N65" s="1" t="s">
        <v>252</v>
      </c>
      <c r="O65" s="1" t="s">
        <v>331</v>
      </c>
      <c r="P65" s="1" t="str">
        <f t="shared" si="0"/>
        <v>BC Caiaponia2.2215KTL-H3(MBUS-13)45993,284027777845993,284027777845993,3354166667</v>
      </c>
      <c r="Q65" s="1" t="str">
        <f t="shared" si="1"/>
        <v>DAURDE</v>
      </c>
    </row>
    <row r="66" spans="2:17" hidden="1">
      <c r="B66" s="1" t="s">
        <v>258</v>
      </c>
      <c r="C66" s="1" t="s">
        <v>255</v>
      </c>
      <c r="D66" s="52">
        <v>45993.28402777778</v>
      </c>
      <c r="E66" s="52">
        <v>45993.28402777778</v>
      </c>
      <c r="F66" s="52">
        <v>45993.335416666669</v>
      </c>
      <c r="G66" s="53">
        <f t="shared" si="2"/>
        <v>5.1388888889050577E-2</v>
      </c>
      <c r="H66" s="1" t="s">
        <v>248</v>
      </c>
      <c r="J66" s="1" t="s">
        <v>249</v>
      </c>
      <c r="K66" s="1" t="str">
        <f>_xlfn.XLOOKUP(J66,REF!$D$2:$D$12,REF!$E$2:$E$12)</f>
        <v>Rede</v>
      </c>
      <c r="L66" s="1" t="s">
        <v>677</v>
      </c>
      <c r="M66" s="1" t="s">
        <v>251</v>
      </c>
      <c r="N66" s="1" t="s">
        <v>252</v>
      </c>
      <c r="O66" s="1" t="s">
        <v>331</v>
      </c>
      <c r="P66" s="1" t="str">
        <f t="shared" si="0"/>
        <v>BC Caiaponia2.2215KTL-H3(MBUS-14)45993,284027777845993,284027777845993,3354166667</v>
      </c>
      <c r="Q66" s="1" t="str">
        <f t="shared" si="1"/>
        <v>DAURDE</v>
      </c>
    </row>
    <row r="67" spans="2:17" hidden="1">
      <c r="B67" s="1" t="s">
        <v>258</v>
      </c>
      <c r="C67" s="1" t="s">
        <v>256</v>
      </c>
      <c r="D67" s="52">
        <v>45993.28402777778</v>
      </c>
      <c r="E67" s="52">
        <v>45993.28402777778</v>
      </c>
      <c r="F67" s="52">
        <v>45993.335416666669</v>
      </c>
      <c r="G67" s="53">
        <f t="shared" si="2"/>
        <v>5.1388888889050577E-2</v>
      </c>
      <c r="H67" s="1" t="s">
        <v>248</v>
      </c>
      <c r="J67" s="1" t="s">
        <v>249</v>
      </c>
      <c r="K67" s="1" t="str">
        <f>_xlfn.XLOOKUP(J67,REF!$D$2:$D$12,REF!$E$2:$E$12)</f>
        <v>Rede</v>
      </c>
      <c r="L67" s="1" t="s">
        <v>677</v>
      </c>
      <c r="M67" s="1" t="s">
        <v>251</v>
      </c>
      <c r="N67" s="1" t="s">
        <v>252</v>
      </c>
      <c r="O67" s="1" t="s">
        <v>331</v>
      </c>
      <c r="P67" s="1" t="str">
        <f t="shared" ref="P67:P130" si="3">_xlfn.CONCAT(B67,C67,D67,E67,F67)</f>
        <v>BC Caiaponia2.2215KTL-H3(MBUS-15)45993,284027777845993,284027777845993,3354166667</v>
      </c>
      <c r="Q67" s="1" t="str">
        <f t="shared" ref="Q67:Q130" si="4">_xlfn.CONCAT(H67,I67,J67)</f>
        <v>DAURDE</v>
      </c>
    </row>
    <row r="68" spans="2:17" hidden="1">
      <c r="B68" s="1" t="s">
        <v>258</v>
      </c>
      <c r="C68" s="1" t="s">
        <v>257</v>
      </c>
      <c r="D68" s="52">
        <v>45993.28402777778</v>
      </c>
      <c r="E68" s="52">
        <v>45993.28402777778</v>
      </c>
      <c r="F68" s="52">
        <v>45993.335416666669</v>
      </c>
      <c r="G68" s="53">
        <f t="shared" si="2"/>
        <v>5.1388888889050577E-2</v>
      </c>
      <c r="H68" s="1" t="s">
        <v>248</v>
      </c>
      <c r="J68" s="1" t="s">
        <v>249</v>
      </c>
      <c r="K68" s="1" t="str">
        <f>_xlfn.XLOOKUP(J68,REF!$D$2:$D$12,REF!$E$2:$E$12)</f>
        <v>Rede</v>
      </c>
      <c r="L68" s="1" t="s">
        <v>677</v>
      </c>
      <c r="M68" s="1" t="s">
        <v>251</v>
      </c>
      <c r="N68" s="1" t="s">
        <v>252</v>
      </c>
      <c r="O68" s="1" t="s">
        <v>331</v>
      </c>
      <c r="P68" s="1" t="str">
        <f t="shared" si="3"/>
        <v>BC Caiaponia2.2215KTL-H3(MBUS-16)45993,284027777845993,284027777845993,3354166667</v>
      </c>
      <c r="Q68" s="1" t="str">
        <f t="shared" si="4"/>
        <v>DAURDE</v>
      </c>
    </row>
    <row r="69" spans="2:17" hidden="1">
      <c r="B69" s="1" t="s">
        <v>259</v>
      </c>
      <c r="C69" s="1" t="s">
        <v>247</v>
      </c>
      <c r="D69" s="52">
        <v>45993.28402777778</v>
      </c>
      <c r="E69" s="52">
        <v>45993.28402777778</v>
      </c>
      <c r="F69" s="52">
        <v>45993.335416666669</v>
      </c>
      <c r="G69" s="53">
        <f t="shared" si="2"/>
        <v>5.1388888889050577E-2</v>
      </c>
      <c r="H69" s="1" t="s">
        <v>248</v>
      </c>
      <c r="J69" s="1" t="s">
        <v>249</v>
      </c>
      <c r="K69" s="1" t="str">
        <f>_xlfn.XLOOKUP(J69,REF!$D$2:$D$12,REF!$E$2:$E$12)</f>
        <v>Rede</v>
      </c>
      <c r="L69" s="1" t="s">
        <v>677</v>
      </c>
      <c r="M69" s="1" t="s">
        <v>251</v>
      </c>
      <c r="N69" s="1" t="s">
        <v>252</v>
      </c>
      <c r="O69" s="1" t="s">
        <v>331</v>
      </c>
      <c r="P69" s="1" t="str">
        <f t="shared" si="3"/>
        <v>BC Caiaponia2.3215KTL-H3(MBUS-12)45993,284027777845993,284027777845993,3354166667</v>
      </c>
      <c r="Q69" s="1" t="str">
        <f t="shared" si="4"/>
        <v>DAURDE</v>
      </c>
    </row>
    <row r="70" spans="2:17" hidden="1">
      <c r="B70" s="1" t="s">
        <v>259</v>
      </c>
      <c r="C70" s="1" t="s">
        <v>254</v>
      </c>
      <c r="D70" s="52">
        <v>45993.28402777778</v>
      </c>
      <c r="E70" s="52">
        <v>45993.28402777778</v>
      </c>
      <c r="F70" s="52">
        <v>45993.335416666669</v>
      </c>
      <c r="G70" s="53">
        <f t="shared" si="2"/>
        <v>5.1388888889050577E-2</v>
      </c>
      <c r="H70" s="1" t="s">
        <v>248</v>
      </c>
      <c r="J70" s="1" t="s">
        <v>249</v>
      </c>
      <c r="K70" s="1" t="str">
        <f>_xlfn.XLOOKUP(J70,REF!$D$2:$D$12,REF!$E$2:$E$12)</f>
        <v>Rede</v>
      </c>
      <c r="L70" s="1" t="s">
        <v>677</v>
      </c>
      <c r="M70" s="1" t="s">
        <v>251</v>
      </c>
      <c r="N70" s="1" t="s">
        <v>252</v>
      </c>
      <c r="O70" s="1" t="s">
        <v>331</v>
      </c>
      <c r="P70" s="1" t="str">
        <f t="shared" si="3"/>
        <v>BC Caiaponia2.3215KTL-H3(MBUS-13)45993,284027777845993,284027777845993,3354166667</v>
      </c>
      <c r="Q70" s="1" t="str">
        <f t="shared" si="4"/>
        <v>DAURDE</v>
      </c>
    </row>
    <row r="71" spans="2:17" hidden="1">
      <c r="B71" s="1" t="s">
        <v>259</v>
      </c>
      <c r="C71" s="1" t="s">
        <v>255</v>
      </c>
      <c r="D71" s="52">
        <v>45993.28402777778</v>
      </c>
      <c r="E71" s="52">
        <v>45993.28402777778</v>
      </c>
      <c r="F71" s="52">
        <v>45993.335416666669</v>
      </c>
      <c r="G71" s="53">
        <f t="shared" si="2"/>
        <v>5.1388888889050577E-2</v>
      </c>
      <c r="H71" s="1" t="s">
        <v>248</v>
      </c>
      <c r="J71" s="1" t="s">
        <v>249</v>
      </c>
      <c r="K71" s="1" t="str">
        <f>_xlfn.XLOOKUP(J71,REF!$D$2:$D$12,REF!$E$2:$E$12)</f>
        <v>Rede</v>
      </c>
      <c r="L71" s="1" t="s">
        <v>677</v>
      </c>
      <c r="M71" s="1" t="s">
        <v>251</v>
      </c>
      <c r="N71" s="1" t="s">
        <v>252</v>
      </c>
      <c r="O71" s="1" t="s">
        <v>331</v>
      </c>
      <c r="P71" s="1" t="str">
        <f t="shared" si="3"/>
        <v>BC Caiaponia2.3215KTL-H3(MBUS-14)45993,284027777845993,284027777845993,3354166667</v>
      </c>
      <c r="Q71" s="1" t="str">
        <f t="shared" si="4"/>
        <v>DAURDE</v>
      </c>
    </row>
    <row r="72" spans="2:17" hidden="1">
      <c r="B72" s="1" t="s">
        <v>259</v>
      </c>
      <c r="C72" s="1" t="s">
        <v>256</v>
      </c>
      <c r="D72" s="52">
        <v>45993.28402777778</v>
      </c>
      <c r="E72" s="52">
        <v>45993.28402777778</v>
      </c>
      <c r="F72" s="52">
        <v>45993.335416666669</v>
      </c>
      <c r="G72" s="53">
        <f t="shared" si="2"/>
        <v>5.1388888889050577E-2</v>
      </c>
      <c r="H72" s="1" t="s">
        <v>248</v>
      </c>
      <c r="J72" s="1" t="s">
        <v>249</v>
      </c>
      <c r="K72" s="1" t="str">
        <f>_xlfn.XLOOKUP(J72,REF!$D$2:$D$12,REF!$E$2:$E$12)</f>
        <v>Rede</v>
      </c>
      <c r="L72" s="1" t="s">
        <v>677</v>
      </c>
      <c r="M72" s="1" t="s">
        <v>251</v>
      </c>
      <c r="N72" s="1" t="s">
        <v>252</v>
      </c>
      <c r="O72" s="1" t="s">
        <v>331</v>
      </c>
      <c r="P72" s="1" t="str">
        <f t="shared" si="3"/>
        <v>BC Caiaponia2.3215KTL-H3(MBUS-15)45993,284027777845993,284027777845993,3354166667</v>
      </c>
      <c r="Q72" s="1" t="str">
        <f t="shared" si="4"/>
        <v>DAURDE</v>
      </c>
    </row>
    <row r="73" spans="2:17" hidden="1">
      <c r="B73" s="1" t="s">
        <v>259</v>
      </c>
      <c r="C73" s="1" t="s">
        <v>257</v>
      </c>
      <c r="D73" s="52">
        <v>45993.28402777778</v>
      </c>
      <c r="E73" s="52">
        <v>45993.28402777778</v>
      </c>
      <c r="F73" s="52">
        <v>45993.335416666669</v>
      </c>
      <c r="G73" s="53">
        <f t="shared" si="2"/>
        <v>5.1388888889050577E-2</v>
      </c>
      <c r="H73" s="1" t="s">
        <v>248</v>
      </c>
      <c r="J73" s="1" t="s">
        <v>249</v>
      </c>
      <c r="K73" s="1" t="str">
        <f>_xlfn.XLOOKUP(J73,REF!$D$2:$D$12,REF!$E$2:$E$12)</f>
        <v>Rede</v>
      </c>
      <c r="L73" s="1" t="s">
        <v>677</v>
      </c>
      <c r="M73" s="1" t="s">
        <v>251</v>
      </c>
      <c r="N73" s="1" t="s">
        <v>252</v>
      </c>
      <c r="O73" s="1" t="s">
        <v>331</v>
      </c>
      <c r="P73" s="1" t="str">
        <f t="shared" si="3"/>
        <v>BC Caiaponia2.3215KTL-H3(MBUS-16)45993,284027777845993,284027777845993,3354166667</v>
      </c>
      <c r="Q73" s="1" t="str">
        <f t="shared" si="4"/>
        <v>DAURDE</v>
      </c>
    </row>
    <row r="74" spans="2:17" hidden="1">
      <c r="B74" s="1" t="s">
        <v>678</v>
      </c>
      <c r="C74" s="1" t="s">
        <v>679</v>
      </c>
      <c r="D74" s="52">
        <v>45993.3125</v>
      </c>
      <c r="E74" s="52">
        <v>45993.3125</v>
      </c>
      <c r="F74" s="52">
        <v>45993.756944444445</v>
      </c>
      <c r="G74" s="53">
        <f t="shared" si="2"/>
        <v>0.44444444444525288</v>
      </c>
      <c r="H74" s="1" t="s">
        <v>343</v>
      </c>
      <c r="J74" s="1" t="s">
        <v>337</v>
      </c>
      <c r="K74" s="1" t="str">
        <f>_xlfn.XLOOKUP(J74,REF!$D$2:$D$12,REF!$E$2:$E$12)</f>
        <v>Transformador</v>
      </c>
      <c r="L74" s="1" t="s">
        <v>680</v>
      </c>
      <c r="M74" s="1" t="s">
        <v>302</v>
      </c>
      <c r="N74" s="1" t="s">
        <v>345</v>
      </c>
      <c r="O74" s="1" t="s">
        <v>681</v>
      </c>
      <c r="P74" s="1" t="str">
        <f t="shared" si="3"/>
        <v>BC Vazante1.1Inverter0145993,312545993,312545993,7569444444</v>
      </c>
      <c r="Q74" s="1" t="str">
        <f t="shared" si="4"/>
        <v>DPRTRF</v>
      </c>
    </row>
    <row r="75" spans="2:17" hidden="1">
      <c r="B75" s="1" t="s">
        <v>678</v>
      </c>
      <c r="C75" s="1" t="s">
        <v>682</v>
      </c>
      <c r="D75" s="52">
        <v>45993.3125</v>
      </c>
      <c r="E75" s="52">
        <v>45993.3125</v>
      </c>
      <c r="F75" s="52">
        <v>45993.756944444445</v>
      </c>
      <c r="G75" s="53">
        <f t="shared" si="2"/>
        <v>0.44444444444525288</v>
      </c>
      <c r="H75" s="1" t="s">
        <v>343</v>
      </c>
      <c r="J75" s="1" t="s">
        <v>337</v>
      </c>
      <c r="K75" s="1" t="str">
        <f>_xlfn.XLOOKUP(J75,REF!$D$2:$D$12,REF!$E$2:$E$12)</f>
        <v>Transformador</v>
      </c>
      <c r="L75" s="1" t="s">
        <v>680</v>
      </c>
      <c r="M75" s="1" t="s">
        <v>302</v>
      </c>
      <c r="N75" s="1" t="s">
        <v>345</v>
      </c>
      <c r="O75" s="1" t="s">
        <v>681</v>
      </c>
      <c r="P75" s="1" t="str">
        <f t="shared" si="3"/>
        <v>BC Vazante1.1Inverter0245993,312545993,312545993,7569444444</v>
      </c>
      <c r="Q75" s="1" t="str">
        <f t="shared" si="4"/>
        <v>DPRTRF</v>
      </c>
    </row>
    <row r="76" spans="2:17" hidden="1">
      <c r="B76" s="1" t="s">
        <v>678</v>
      </c>
      <c r="C76" s="1" t="s">
        <v>683</v>
      </c>
      <c r="D76" s="52">
        <v>45993.3125</v>
      </c>
      <c r="E76" s="52">
        <v>45993.3125</v>
      </c>
      <c r="F76" s="52">
        <v>45993.756944444445</v>
      </c>
      <c r="G76" s="53">
        <f t="shared" si="2"/>
        <v>0.44444444444525288</v>
      </c>
      <c r="H76" s="1" t="s">
        <v>343</v>
      </c>
      <c r="J76" s="1" t="s">
        <v>337</v>
      </c>
      <c r="K76" s="1" t="str">
        <f>_xlfn.XLOOKUP(J76,REF!$D$2:$D$12,REF!$E$2:$E$12)</f>
        <v>Transformador</v>
      </c>
      <c r="L76" s="1" t="s">
        <v>680</v>
      </c>
      <c r="M76" s="1" t="s">
        <v>302</v>
      </c>
      <c r="N76" s="1" t="s">
        <v>345</v>
      </c>
      <c r="O76" s="1" t="s">
        <v>681</v>
      </c>
      <c r="P76" s="1" t="str">
        <f t="shared" si="3"/>
        <v>BC Vazante1.1Inverter0345993,312545993,312545993,7569444444</v>
      </c>
      <c r="Q76" s="1" t="str">
        <f t="shared" si="4"/>
        <v>DPRTRF</v>
      </c>
    </row>
    <row r="77" spans="2:17" hidden="1">
      <c r="B77" s="1" t="s">
        <v>678</v>
      </c>
      <c r="C77" s="1" t="s">
        <v>684</v>
      </c>
      <c r="D77" s="52">
        <v>45993.3125</v>
      </c>
      <c r="E77" s="52">
        <v>45993.3125</v>
      </c>
      <c r="F77" s="52">
        <v>45993.756944444445</v>
      </c>
      <c r="G77" s="53">
        <f t="shared" si="2"/>
        <v>0.44444444444525288</v>
      </c>
      <c r="H77" s="1" t="s">
        <v>343</v>
      </c>
      <c r="J77" s="1" t="s">
        <v>337</v>
      </c>
      <c r="K77" s="1" t="str">
        <f>_xlfn.XLOOKUP(J77,REF!$D$2:$D$12,REF!$E$2:$E$12)</f>
        <v>Transformador</v>
      </c>
      <c r="L77" s="1" t="s">
        <v>680</v>
      </c>
      <c r="M77" s="1" t="s">
        <v>302</v>
      </c>
      <c r="N77" s="1" t="s">
        <v>345</v>
      </c>
      <c r="O77" s="1" t="s">
        <v>681</v>
      </c>
      <c r="P77" s="1" t="str">
        <f t="shared" si="3"/>
        <v>BC Vazante1.1Inverter0445993,312545993,312545993,7569444444</v>
      </c>
      <c r="Q77" s="1" t="str">
        <f t="shared" si="4"/>
        <v>DPRTRF</v>
      </c>
    </row>
    <row r="78" spans="2:17" hidden="1">
      <c r="B78" s="1" t="s">
        <v>678</v>
      </c>
      <c r="C78" s="1" t="s">
        <v>685</v>
      </c>
      <c r="D78" s="52">
        <v>45993.3125</v>
      </c>
      <c r="E78" s="52">
        <v>45993.3125</v>
      </c>
      <c r="F78" s="52">
        <v>45993.756944444445</v>
      </c>
      <c r="G78" s="53">
        <f t="shared" si="2"/>
        <v>0.44444444444525288</v>
      </c>
      <c r="H78" s="1" t="s">
        <v>343</v>
      </c>
      <c r="J78" s="1" t="s">
        <v>337</v>
      </c>
      <c r="K78" s="1" t="str">
        <f>_xlfn.XLOOKUP(J78,REF!$D$2:$D$12,REF!$E$2:$E$12)</f>
        <v>Transformador</v>
      </c>
      <c r="L78" s="1" t="s">
        <v>680</v>
      </c>
      <c r="M78" s="1" t="s">
        <v>302</v>
      </c>
      <c r="N78" s="1" t="s">
        <v>345</v>
      </c>
      <c r="O78" s="1" t="s">
        <v>681</v>
      </c>
      <c r="P78" s="1" t="str">
        <f t="shared" si="3"/>
        <v>BC Vazante1.1Inverter0545993,312545993,312545993,7569444444</v>
      </c>
      <c r="Q78" s="1" t="str">
        <f t="shared" si="4"/>
        <v>DPRTRF</v>
      </c>
    </row>
    <row r="79" spans="2:17" hidden="1">
      <c r="B79" s="1" t="s">
        <v>678</v>
      </c>
      <c r="C79" s="1" t="s">
        <v>686</v>
      </c>
      <c r="D79" s="52">
        <v>45993.3125</v>
      </c>
      <c r="E79" s="52">
        <v>45993.3125</v>
      </c>
      <c r="F79" s="52">
        <v>45993.756944444445</v>
      </c>
      <c r="G79" s="53">
        <f t="shared" si="2"/>
        <v>0.44444444444525288</v>
      </c>
      <c r="H79" s="1" t="s">
        <v>343</v>
      </c>
      <c r="J79" s="1" t="s">
        <v>337</v>
      </c>
      <c r="K79" s="1" t="str">
        <f>_xlfn.XLOOKUP(J79,REF!$D$2:$D$12,REF!$E$2:$E$12)</f>
        <v>Transformador</v>
      </c>
      <c r="L79" s="1" t="s">
        <v>680</v>
      </c>
      <c r="M79" s="1" t="s">
        <v>302</v>
      </c>
      <c r="N79" s="1" t="s">
        <v>345</v>
      </c>
      <c r="O79" s="1" t="s">
        <v>681</v>
      </c>
      <c r="P79" s="1" t="str">
        <f t="shared" si="3"/>
        <v>BC Vazante1.1Inverter0645993,312545993,312545993,7569444444</v>
      </c>
      <c r="Q79" s="1" t="str">
        <f t="shared" si="4"/>
        <v>DPRTRF</v>
      </c>
    </row>
    <row r="80" spans="2:17" hidden="1">
      <c r="B80" s="1" t="s">
        <v>678</v>
      </c>
      <c r="C80" s="1" t="s">
        <v>687</v>
      </c>
      <c r="D80" s="52">
        <v>45993.3125</v>
      </c>
      <c r="E80" s="52">
        <v>45993.3125</v>
      </c>
      <c r="F80" s="52">
        <v>45993.756944444445</v>
      </c>
      <c r="G80" s="53">
        <f t="shared" si="2"/>
        <v>0.44444444444525288</v>
      </c>
      <c r="H80" s="1" t="s">
        <v>343</v>
      </c>
      <c r="J80" s="1" t="s">
        <v>337</v>
      </c>
      <c r="K80" s="1" t="str">
        <f>_xlfn.XLOOKUP(J80,REF!$D$2:$D$12,REF!$E$2:$E$12)</f>
        <v>Transformador</v>
      </c>
      <c r="L80" s="1" t="s">
        <v>680</v>
      </c>
      <c r="M80" s="1" t="s">
        <v>302</v>
      </c>
      <c r="N80" s="1" t="s">
        <v>345</v>
      </c>
      <c r="O80" s="1" t="s">
        <v>681</v>
      </c>
      <c r="P80" s="1" t="str">
        <f t="shared" si="3"/>
        <v>BC Vazante1.1Inverter0745993,312545993,312545993,7569444444</v>
      </c>
      <c r="Q80" s="1" t="str">
        <f t="shared" si="4"/>
        <v>DPRTRF</v>
      </c>
    </row>
    <row r="81" spans="2:17" hidden="1">
      <c r="B81" s="1" t="s">
        <v>678</v>
      </c>
      <c r="C81" s="1" t="s">
        <v>688</v>
      </c>
      <c r="D81" s="52">
        <v>45993.3125</v>
      </c>
      <c r="E81" s="52">
        <v>45993.3125</v>
      </c>
      <c r="F81" s="52">
        <v>45993.756944444445</v>
      </c>
      <c r="G81" s="53">
        <f t="shared" si="2"/>
        <v>0.44444444444525288</v>
      </c>
      <c r="H81" s="1" t="s">
        <v>343</v>
      </c>
      <c r="J81" s="1" t="s">
        <v>337</v>
      </c>
      <c r="K81" s="1" t="str">
        <f>_xlfn.XLOOKUP(J81,REF!$D$2:$D$12,REF!$E$2:$E$12)</f>
        <v>Transformador</v>
      </c>
      <c r="L81" s="1" t="s">
        <v>680</v>
      </c>
      <c r="M81" s="1" t="s">
        <v>302</v>
      </c>
      <c r="N81" s="1" t="s">
        <v>345</v>
      </c>
      <c r="O81" s="1" t="s">
        <v>681</v>
      </c>
      <c r="P81" s="1" t="str">
        <f t="shared" si="3"/>
        <v>BC Vazante1.1Inverter0845993,312545993,312545993,7569444444</v>
      </c>
      <c r="Q81" s="1" t="str">
        <f t="shared" si="4"/>
        <v>DPRTRF</v>
      </c>
    </row>
    <row r="82" spans="2:17" hidden="1">
      <c r="B82" s="1" t="s">
        <v>678</v>
      </c>
      <c r="C82" s="1" t="s">
        <v>689</v>
      </c>
      <c r="D82" s="52">
        <v>45993.3125</v>
      </c>
      <c r="E82" s="52">
        <v>45993.3125</v>
      </c>
      <c r="F82" s="52">
        <v>45993.756944444445</v>
      </c>
      <c r="G82" s="53">
        <f t="shared" si="2"/>
        <v>0.44444444444525288</v>
      </c>
      <c r="H82" s="1" t="s">
        <v>343</v>
      </c>
      <c r="J82" s="1" t="s">
        <v>337</v>
      </c>
      <c r="K82" s="1" t="str">
        <f>_xlfn.XLOOKUP(J82,REF!$D$2:$D$12,REF!$E$2:$E$12)</f>
        <v>Transformador</v>
      </c>
      <c r="L82" s="1" t="s">
        <v>680</v>
      </c>
      <c r="M82" s="1" t="s">
        <v>302</v>
      </c>
      <c r="N82" s="1" t="s">
        <v>345</v>
      </c>
      <c r="O82" s="1" t="s">
        <v>681</v>
      </c>
      <c r="P82" s="1" t="str">
        <f t="shared" si="3"/>
        <v>BC Vazante1.1Inverter0945993,312545993,312545993,7569444444</v>
      </c>
      <c r="Q82" s="1" t="str">
        <f t="shared" si="4"/>
        <v>DPRTRF</v>
      </c>
    </row>
    <row r="83" spans="2:17" hidden="1">
      <c r="B83" s="1" t="s">
        <v>678</v>
      </c>
      <c r="C83" s="1" t="s">
        <v>690</v>
      </c>
      <c r="D83" s="52">
        <v>45993.3125</v>
      </c>
      <c r="E83" s="52">
        <v>45993.3125</v>
      </c>
      <c r="F83" s="52">
        <v>45993.756944444445</v>
      </c>
      <c r="G83" s="53">
        <f t="shared" si="2"/>
        <v>0.44444444444525288</v>
      </c>
      <c r="H83" s="1" t="s">
        <v>343</v>
      </c>
      <c r="J83" s="1" t="s">
        <v>337</v>
      </c>
      <c r="K83" s="1" t="str">
        <f>_xlfn.XLOOKUP(J83,REF!$D$2:$D$12,REF!$E$2:$E$12)</f>
        <v>Transformador</v>
      </c>
      <c r="L83" s="1" t="s">
        <v>680</v>
      </c>
      <c r="M83" s="1" t="s">
        <v>302</v>
      </c>
      <c r="N83" s="1" t="s">
        <v>345</v>
      </c>
      <c r="O83" s="1" t="s">
        <v>681</v>
      </c>
      <c r="P83" s="1" t="str">
        <f t="shared" si="3"/>
        <v>BC Vazante1.1Inverter1045993,312545993,312545993,7569444444</v>
      </c>
      <c r="Q83" s="1" t="str">
        <f t="shared" si="4"/>
        <v>DPRTRF</v>
      </c>
    </row>
    <row r="84" spans="2:17" hidden="1">
      <c r="B84" s="1" t="s">
        <v>678</v>
      </c>
      <c r="C84" s="1" t="s">
        <v>691</v>
      </c>
      <c r="D84" s="52">
        <v>45993.3125</v>
      </c>
      <c r="E84" s="52">
        <v>45993.3125</v>
      </c>
      <c r="F84" s="52">
        <v>45993.756944444445</v>
      </c>
      <c r="G84" s="53">
        <f t="shared" si="2"/>
        <v>0.44444444444525288</v>
      </c>
      <c r="H84" s="1" t="s">
        <v>343</v>
      </c>
      <c r="J84" s="1" t="s">
        <v>337</v>
      </c>
      <c r="K84" s="1" t="str">
        <f>_xlfn.XLOOKUP(J84,REF!$D$2:$D$12,REF!$E$2:$E$12)</f>
        <v>Transformador</v>
      </c>
      <c r="L84" s="1" t="s">
        <v>680</v>
      </c>
      <c r="M84" s="1" t="s">
        <v>302</v>
      </c>
      <c r="N84" s="1" t="s">
        <v>345</v>
      </c>
      <c r="O84" s="1" t="s">
        <v>681</v>
      </c>
      <c r="P84" s="1" t="str">
        <f t="shared" si="3"/>
        <v>BC Vazante1.1Inverter1145993,312545993,312545993,7569444444</v>
      </c>
      <c r="Q84" s="1" t="str">
        <f t="shared" si="4"/>
        <v>DPRTRF</v>
      </c>
    </row>
    <row r="85" spans="2:17" hidden="1">
      <c r="B85" s="1" t="s">
        <v>678</v>
      </c>
      <c r="C85" s="1" t="s">
        <v>654</v>
      </c>
      <c r="D85" s="52">
        <v>45993.3125</v>
      </c>
      <c r="E85" s="52">
        <v>45993.3125</v>
      </c>
      <c r="F85" s="52">
        <v>45993.756944444445</v>
      </c>
      <c r="G85" s="53">
        <f t="shared" si="2"/>
        <v>0.44444444444525288</v>
      </c>
      <c r="H85" s="1" t="s">
        <v>343</v>
      </c>
      <c r="J85" s="1" t="s">
        <v>337</v>
      </c>
      <c r="K85" s="1" t="str">
        <f>_xlfn.XLOOKUP(J85,REF!$D$2:$D$12,REF!$E$2:$E$12)</f>
        <v>Transformador</v>
      </c>
      <c r="L85" s="1" t="s">
        <v>680</v>
      </c>
      <c r="M85" s="1" t="s">
        <v>302</v>
      </c>
      <c r="N85" s="1" t="s">
        <v>345</v>
      </c>
      <c r="O85" s="1" t="s">
        <v>681</v>
      </c>
      <c r="P85" s="1" t="str">
        <f t="shared" si="3"/>
        <v>BC Vazante1.1Inverter1245993,312545993,312545993,7569444444</v>
      </c>
      <c r="Q85" s="1" t="str">
        <f t="shared" si="4"/>
        <v>DPRTRF</v>
      </c>
    </row>
    <row r="86" spans="2:17" hidden="1">
      <c r="B86" s="1" t="s">
        <v>678</v>
      </c>
      <c r="C86" s="1" t="s">
        <v>557</v>
      </c>
      <c r="D86" s="52">
        <v>45993.3125</v>
      </c>
      <c r="E86" s="52">
        <v>45993.3125</v>
      </c>
      <c r="F86" s="52">
        <v>45993.756944444445</v>
      </c>
      <c r="G86" s="53">
        <f t="shared" si="2"/>
        <v>0.44444444444525288</v>
      </c>
      <c r="H86" s="1" t="s">
        <v>343</v>
      </c>
      <c r="J86" s="1" t="s">
        <v>337</v>
      </c>
      <c r="K86" s="1" t="str">
        <f>_xlfn.XLOOKUP(J86,REF!$D$2:$D$12,REF!$E$2:$E$12)</f>
        <v>Transformador</v>
      </c>
      <c r="L86" s="1" t="s">
        <v>680</v>
      </c>
      <c r="M86" s="1" t="s">
        <v>302</v>
      </c>
      <c r="N86" s="1" t="s">
        <v>345</v>
      </c>
      <c r="O86" s="1" t="s">
        <v>681</v>
      </c>
      <c r="P86" s="1" t="str">
        <f t="shared" si="3"/>
        <v>BC Vazante1.1Inverter1345993,312545993,312545993,7569444444</v>
      </c>
      <c r="Q86" s="1" t="str">
        <f t="shared" si="4"/>
        <v>DPRTRF</v>
      </c>
    </row>
    <row r="87" spans="2:17" hidden="1">
      <c r="B87" s="1" t="s">
        <v>678</v>
      </c>
      <c r="C87" s="1" t="s">
        <v>692</v>
      </c>
      <c r="D87" s="52">
        <v>45993.3125</v>
      </c>
      <c r="E87" s="52">
        <v>45993.3125</v>
      </c>
      <c r="F87" s="52">
        <v>45993.756944444445</v>
      </c>
      <c r="G87" s="53">
        <f t="shared" si="2"/>
        <v>0.44444444444525288</v>
      </c>
      <c r="H87" s="1" t="s">
        <v>343</v>
      </c>
      <c r="J87" s="1" t="s">
        <v>337</v>
      </c>
      <c r="K87" s="1" t="str">
        <f>_xlfn.XLOOKUP(J87,REF!$D$2:$D$12,REF!$E$2:$E$12)</f>
        <v>Transformador</v>
      </c>
      <c r="L87" s="1" t="s">
        <v>680</v>
      </c>
      <c r="M87" s="1" t="s">
        <v>302</v>
      </c>
      <c r="N87" s="1" t="s">
        <v>345</v>
      </c>
      <c r="O87" s="1" t="s">
        <v>681</v>
      </c>
      <c r="P87" s="1" t="str">
        <f t="shared" si="3"/>
        <v>BC Vazante1.1Inverter1445993,312545993,312545993,7569444444</v>
      </c>
      <c r="Q87" s="1" t="str">
        <f t="shared" si="4"/>
        <v>DPRTRF</v>
      </c>
    </row>
    <row r="88" spans="2:17" hidden="1">
      <c r="B88" s="1" t="s">
        <v>678</v>
      </c>
      <c r="C88" s="1" t="s">
        <v>693</v>
      </c>
      <c r="D88" s="52">
        <v>45993.3125</v>
      </c>
      <c r="E88" s="52">
        <v>45993.3125</v>
      </c>
      <c r="F88" s="52">
        <v>45993.756944444445</v>
      </c>
      <c r="G88" s="53">
        <f t="shared" si="2"/>
        <v>0.44444444444525288</v>
      </c>
      <c r="H88" s="1" t="s">
        <v>343</v>
      </c>
      <c r="J88" s="1" t="s">
        <v>337</v>
      </c>
      <c r="K88" s="1" t="str">
        <f>_xlfn.XLOOKUP(J88,REF!$D$2:$D$12,REF!$E$2:$E$12)</f>
        <v>Transformador</v>
      </c>
      <c r="L88" s="1" t="s">
        <v>680</v>
      </c>
      <c r="M88" s="1" t="s">
        <v>302</v>
      </c>
      <c r="N88" s="1" t="s">
        <v>345</v>
      </c>
      <c r="O88" s="1" t="s">
        <v>681</v>
      </c>
      <c r="P88" s="1" t="str">
        <f t="shared" si="3"/>
        <v>BC Vazante1.1Inverter1545993,312545993,312545993,7569444444</v>
      </c>
      <c r="Q88" s="1" t="str">
        <f t="shared" si="4"/>
        <v>DPRTRF</v>
      </c>
    </row>
    <row r="89" spans="2:17" hidden="1">
      <c r="B89" s="1" t="s">
        <v>678</v>
      </c>
      <c r="C89" s="1" t="s">
        <v>694</v>
      </c>
      <c r="D89" s="52">
        <v>45993.3125</v>
      </c>
      <c r="E89" s="52">
        <v>45993.3125</v>
      </c>
      <c r="F89" s="52">
        <v>45993.756944444445</v>
      </c>
      <c r="G89" s="53">
        <f t="shared" si="2"/>
        <v>0.44444444444525288</v>
      </c>
      <c r="H89" s="1" t="s">
        <v>343</v>
      </c>
      <c r="J89" s="1" t="s">
        <v>337</v>
      </c>
      <c r="K89" s="1" t="str">
        <f>_xlfn.XLOOKUP(J89,REF!$D$2:$D$12,REF!$E$2:$E$12)</f>
        <v>Transformador</v>
      </c>
      <c r="L89" s="1" t="s">
        <v>680</v>
      </c>
      <c r="M89" s="1" t="s">
        <v>302</v>
      </c>
      <c r="N89" s="1" t="s">
        <v>345</v>
      </c>
      <c r="O89" s="1" t="s">
        <v>681</v>
      </c>
      <c r="P89" s="1" t="str">
        <f t="shared" si="3"/>
        <v>BC Vazante1.1Inverter1645993,312545993,312545993,7569444444</v>
      </c>
      <c r="Q89" s="1" t="str">
        <f t="shared" si="4"/>
        <v>DPRTRF</v>
      </c>
    </row>
    <row r="90" spans="2:17" hidden="1">
      <c r="B90" s="1" t="s">
        <v>678</v>
      </c>
      <c r="C90" s="1" t="s">
        <v>695</v>
      </c>
      <c r="D90" s="52">
        <v>45993.3125</v>
      </c>
      <c r="E90" s="52">
        <v>45993.3125</v>
      </c>
      <c r="F90" s="52">
        <v>45993.756944444445</v>
      </c>
      <c r="G90" s="53">
        <f t="shared" si="2"/>
        <v>0.44444444444525288</v>
      </c>
      <c r="H90" s="1" t="s">
        <v>343</v>
      </c>
      <c r="J90" s="1" t="s">
        <v>337</v>
      </c>
      <c r="K90" s="1" t="str">
        <f>_xlfn.XLOOKUP(J90,REF!$D$2:$D$12,REF!$E$2:$E$12)</f>
        <v>Transformador</v>
      </c>
      <c r="L90" s="1" t="s">
        <v>680</v>
      </c>
      <c r="M90" s="1" t="s">
        <v>302</v>
      </c>
      <c r="N90" s="1" t="s">
        <v>345</v>
      </c>
      <c r="O90" s="1" t="s">
        <v>681</v>
      </c>
      <c r="P90" s="1" t="str">
        <f t="shared" si="3"/>
        <v>BC Vazante1.1Inverter1745993,312545993,312545993,7569444444</v>
      </c>
      <c r="Q90" s="1" t="str">
        <f t="shared" si="4"/>
        <v>DPRTRF</v>
      </c>
    </row>
    <row r="91" spans="2:17" hidden="1">
      <c r="B91" s="1" t="s">
        <v>696</v>
      </c>
      <c r="C91" s="1" t="s">
        <v>328</v>
      </c>
      <c r="D91" s="52">
        <v>45993.590277777781</v>
      </c>
      <c r="E91" s="52">
        <v>45993.590277777781</v>
      </c>
      <c r="F91" s="52">
        <v>45993.709027777775</v>
      </c>
      <c r="G91" s="53">
        <f t="shared" si="2"/>
        <v>0.11874999999417923</v>
      </c>
      <c r="H91" s="1" t="s">
        <v>343</v>
      </c>
      <c r="J91" s="1" t="s">
        <v>230</v>
      </c>
      <c r="K91" s="1" t="str">
        <f>_xlfn.XLOOKUP(J91,REF!$D$2:$D$12,REF!$E$2:$E$12)</f>
        <v>UFV</v>
      </c>
      <c r="L91" s="1" t="s">
        <v>697</v>
      </c>
      <c r="M91" s="1" t="s">
        <v>302</v>
      </c>
      <c r="N91" s="1" t="s">
        <v>345</v>
      </c>
      <c r="O91" s="1" t="s">
        <v>698</v>
      </c>
      <c r="P91" s="1" t="str">
        <f t="shared" si="3"/>
        <v>BC Vazante2.1Inverter(MBUS-1)45993,590277777845993,590277777845993,7090277778</v>
      </c>
      <c r="Q91" s="1" t="str">
        <f t="shared" si="4"/>
        <v>DPRUFV</v>
      </c>
    </row>
    <row r="92" spans="2:17" hidden="1">
      <c r="B92" s="1" t="s">
        <v>696</v>
      </c>
      <c r="C92" s="1" t="s">
        <v>699</v>
      </c>
      <c r="D92" s="52">
        <v>45993.590277777781</v>
      </c>
      <c r="E92" s="52">
        <v>45993.590277777781</v>
      </c>
      <c r="F92" s="52">
        <v>45993.709027777775</v>
      </c>
      <c r="G92" s="53">
        <f t="shared" si="2"/>
        <v>0.11874999999417923</v>
      </c>
      <c r="H92" s="1" t="s">
        <v>343</v>
      </c>
      <c r="J92" s="1" t="s">
        <v>230</v>
      </c>
      <c r="K92" s="1" t="str">
        <f>_xlfn.XLOOKUP(J92,REF!$D$2:$D$12,REF!$E$2:$E$12)</f>
        <v>UFV</v>
      </c>
      <c r="L92" s="1" t="s">
        <v>697</v>
      </c>
      <c r="M92" s="1" t="s">
        <v>302</v>
      </c>
      <c r="N92" s="1" t="s">
        <v>345</v>
      </c>
      <c r="O92" s="1" t="s">
        <v>698</v>
      </c>
      <c r="P92" s="1" t="str">
        <f t="shared" si="3"/>
        <v>BC Vazante2.1Inverter(MBUS-2)45993,590277777845993,590277777845993,7090277778</v>
      </c>
      <c r="Q92" s="1" t="str">
        <f t="shared" si="4"/>
        <v>DPRUFV</v>
      </c>
    </row>
    <row r="93" spans="2:17" hidden="1">
      <c r="B93" s="1" t="s">
        <v>696</v>
      </c>
      <c r="C93" s="1" t="s">
        <v>700</v>
      </c>
      <c r="D93" s="52">
        <v>45993.590277777781</v>
      </c>
      <c r="E93" s="52">
        <v>45993.590277777781</v>
      </c>
      <c r="F93" s="52">
        <v>45993.709027777775</v>
      </c>
      <c r="G93" s="53">
        <f t="shared" si="2"/>
        <v>0.11874999999417923</v>
      </c>
      <c r="H93" s="1" t="s">
        <v>343</v>
      </c>
      <c r="J93" s="1" t="s">
        <v>230</v>
      </c>
      <c r="K93" s="1" t="str">
        <f>_xlfn.XLOOKUP(J93,REF!$D$2:$D$12,REF!$E$2:$E$12)</f>
        <v>UFV</v>
      </c>
      <c r="L93" s="1" t="s">
        <v>697</v>
      </c>
      <c r="M93" s="1" t="s">
        <v>302</v>
      </c>
      <c r="N93" s="1" t="s">
        <v>345</v>
      </c>
      <c r="O93" s="1" t="s">
        <v>698</v>
      </c>
      <c r="P93" s="1" t="str">
        <f t="shared" si="3"/>
        <v>BC Vazante2.1Inverter(MBUS-4)45993,590277777845993,590277777845993,7090277778</v>
      </c>
      <c r="Q93" s="1" t="str">
        <f t="shared" si="4"/>
        <v>DPRUFV</v>
      </c>
    </row>
    <row r="94" spans="2:17" hidden="1">
      <c r="B94" s="1" t="s">
        <v>696</v>
      </c>
      <c r="C94" s="1" t="s">
        <v>701</v>
      </c>
      <c r="D94" s="52">
        <v>45993.590277777781</v>
      </c>
      <c r="E94" s="52">
        <v>45993.590277777781</v>
      </c>
      <c r="F94" s="52">
        <v>45993.709027777775</v>
      </c>
      <c r="G94" s="53">
        <f t="shared" si="2"/>
        <v>0.11874999999417923</v>
      </c>
      <c r="H94" s="1" t="s">
        <v>343</v>
      </c>
      <c r="J94" s="1" t="s">
        <v>230</v>
      </c>
      <c r="K94" s="1" t="str">
        <f>_xlfn.XLOOKUP(J94,REF!$D$2:$D$12,REF!$E$2:$E$12)</f>
        <v>UFV</v>
      </c>
      <c r="L94" s="1" t="s">
        <v>697</v>
      </c>
      <c r="M94" s="1" t="s">
        <v>302</v>
      </c>
      <c r="N94" s="1" t="s">
        <v>345</v>
      </c>
      <c r="O94" s="1" t="s">
        <v>698</v>
      </c>
      <c r="P94" s="1" t="str">
        <f t="shared" si="3"/>
        <v>BC Vazante2.1Inverter(MBUS-5)45993,590277777845993,590277777845993,7090277778</v>
      </c>
      <c r="Q94" s="1" t="str">
        <f t="shared" si="4"/>
        <v>DPRUFV</v>
      </c>
    </row>
    <row r="95" spans="2:17" hidden="1">
      <c r="B95" s="1" t="s">
        <v>696</v>
      </c>
      <c r="C95" s="1" t="s">
        <v>354</v>
      </c>
      <c r="D95" s="52">
        <v>45993.590277777781</v>
      </c>
      <c r="E95" s="52">
        <v>45993.590277777781</v>
      </c>
      <c r="F95" s="52">
        <v>45993.709027777775</v>
      </c>
      <c r="G95" s="53">
        <f t="shared" si="2"/>
        <v>0.11874999999417923</v>
      </c>
      <c r="H95" s="1" t="s">
        <v>343</v>
      </c>
      <c r="J95" s="1" t="s">
        <v>230</v>
      </c>
      <c r="K95" s="1" t="str">
        <f>_xlfn.XLOOKUP(J95,REF!$D$2:$D$12,REF!$E$2:$E$12)</f>
        <v>UFV</v>
      </c>
      <c r="L95" s="1" t="s">
        <v>697</v>
      </c>
      <c r="M95" s="1" t="s">
        <v>302</v>
      </c>
      <c r="N95" s="1" t="s">
        <v>345</v>
      </c>
      <c r="O95" s="1" t="s">
        <v>698</v>
      </c>
      <c r="P95" s="1" t="str">
        <f t="shared" si="3"/>
        <v>BC Vazante2.1Inverter(MBUS-12)45993,590277777845993,590277777845993,7090277778</v>
      </c>
      <c r="Q95" s="1" t="str">
        <f t="shared" si="4"/>
        <v>DPRUFV</v>
      </c>
    </row>
    <row r="96" spans="2:17" hidden="1">
      <c r="B96" s="1" t="s">
        <v>702</v>
      </c>
      <c r="C96" s="1" t="s">
        <v>354</v>
      </c>
      <c r="D96" s="52">
        <v>45993.604166666664</v>
      </c>
      <c r="E96" s="52">
        <v>45993.604166666664</v>
      </c>
      <c r="F96" s="52">
        <v>45993.694444444445</v>
      </c>
      <c r="G96" s="53">
        <f t="shared" si="2"/>
        <v>9.0277777781011537E-2</v>
      </c>
      <c r="H96" s="1" t="s">
        <v>343</v>
      </c>
      <c r="J96" s="1" t="s">
        <v>230</v>
      </c>
      <c r="K96" s="1" t="str">
        <f>_xlfn.XLOOKUP(J96,REF!$D$2:$D$12,REF!$E$2:$E$12)</f>
        <v>UFV</v>
      </c>
      <c r="L96" s="1" t="s">
        <v>703</v>
      </c>
      <c r="M96" s="1" t="s">
        <v>302</v>
      </c>
      <c r="N96" s="1" t="s">
        <v>345</v>
      </c>
      <c r="O96" s="1" t="s">
        <v>704</v>
      </c>
      <c r="P96" s="1" t="str">
        <f t="shared" si="3"/>
        <v>BC Clareira1.1Inverter(MBUS-12)45993,604166666745993,604166666745993,6944444444</v>
      </c>
      <c r="Q96" s="1" t="str">
        <f t="shared" si="4"/>
        <v>DPRUFV</v>
      </c>
    </row>
    <row r="97" spans="2:17" hidden="1">
      <c r="B97" s="1" t="s">
        <v>702</v>
      </c>
      <c r="C97" s="1" t="s">
        <v>357</v>
      </c>
      <c r="D97" s="52">
        <v>45993.604166666664</v>
      </c>
      <c r="E97" s="52">
        <v>45993.604166666664</v>
      </c>
      <c r="F97" s="52">
        <v>45993.694444444445</v>
      </c>
      <c r="G97" s="53">
        <f t="shared" si="2"/>
        <v>9.0277777781011537E-2</v>
      </c>
      <c r="H97" s="1" t="s">
        <v>343</v>
      </c>
      <c r="J97" s="1" t="s">
        <v>230</v>
      </c>
      <c r="K97" s="1" t="str">
        <f>_xlfn.XLOOKUP(J97,REF!$D$2:$D$12,REF!$E$2:$E$12)</f>
        <v>UFV</v>
      </c>
      <c r="L97" s="1" t="s">
        <v>703</v>
      </c>
      <c r="M97" s="1" t="s">
        <v>302</v>
      </c>
      <c r="N97" s="1" t="s">
        <v>345</v>
      </c>
      <c r="O97" s="1" t="s">
        <v>704</v>
      </c>
      <c r="P97" s="1" t="str">
        <f t="shared" si="3"/>
        <v>BC Clareira1.1Inverter(MBUS-13)45993,604166666745993,604166666745993,6944444444</v>
      </c>
      <c r="Q97" s="1" t="str">
        <f t="shared" si="4"/>
        <v>DPRUFV</v>
      </c>
    </row>
    <row r="98" spans="2:17" hidden="1">
      <c r="B98" s="1" t="s">
        <v>702</v>
      </c>
      <c r="C98" s="1" t="s">
        <v>705</v>
      </c>
      <c r="D98" s="52">
        <v>45993.604166666664</v>
      </c>
      <c r="E98" s="52">
        <v>45993.604166666664</v>
      </c>
      <c r="F98" s="52">
        <v>45993.694444444445</v>
      </c>
      <c r="G98" s="53">
        <f t="shared" si="2"/>
        <v>9.0277777781011537E-2</v>
      </c>
      <c r="H98" s="1" t="s">
        <v>343</v>
      </c>
      <c r="J98" s="1" t="s">
        <v>230</v>
      </c>
      <c r="K98" s="1" t="str">
        <f>_xlfn.XLOOKUP(J98,REF!$D$2:$D$12,REF!$E$2:$E$12)</f>
        <v>UFV</v>
      </c>
      <c r="L98" s="1" t="s">
        <v>703</v>
      </c>
      <c r="M98" s="1" t="s">
        <v>302</v>
      </c>
      <c r="N98" s="1" t="s">
        <v>345</v>
      </c>
      <c r="O98" s="1" t="s">
        <v>704</v>
      </c>
      <c r="P98" s="1" t="str">
        <f t="shared" si="3"/>
        <v>BC Clareira1.1	Inverter(MBUS-14)45993,604166666745993,604166666745993,6944444444</v>
      </c>
      <c r="Q98" s="1" t="str">
        <f t="shared" si="4"/>
        <v>DPRUFV</v>
      </c>
    </row>
    <row r="99" spans="2:17" hidden="1">
      <c r="B99" s="1" t="s">
        <v>702</v>
      </c>
      <c r="C99" s="1" t="s">
        <v>706</v>
      </c>
      <c r="D99" s="52">
        <v>45993.604166666664</v>
      </c>
      <c r="E99" s="52">
        <v>45993.604166666664</v>
      </c>
      <c r="F99" s="52">
        <v>45993.694444444445</v>
      </c>
      <c r="G99" s="53">
        <f t="shared" si="2"/>
        <v>9.0277777781011537E-2</v>
      </c>
      <c r="H99" s="1" t="s">
        <v>343</v>
      </c>
      <c r="J99" s="1" t="s">
        <v>230</v>
      </c>
      <c r="K99" s="1" t="str">
        <f>_xlfn.XLOOKUP(J99,REF!$D$2:$D$12,REF!$E$2:$E$12)</f>
        <v>UFV</v>
      </c>
      <c r="L99" s="1" t="s">
        <v>703</v>
      </c>
      <c r="M99" s="1" t="s">
        <v>302</v>
      </c>
      <c r="N99" s="1" t="s">
        <v>345</v>
      </c>
      <c r="O99" s="1" t="s">
        <v>704</v>
      </c>
      <c r="P99" s="1" t="str">
        <f t="shared" si="3"/>
        <v>BC Clareira1.1	Inverter(MBUS-15)45993,604166666745993,604166666745993,6944444444</v>
      </c>
      <c r="Q99" s="1" t="str">
        <f t="shared" si="4"/>
        <v>DPRUFV</v>
      </c>
    </row>
    <row r="100" spans="2:17" hidden="1">
      <c r="B100" s="1" t="s">
        <v>702</v>
      </c>
      <c r="C100" s="1" t="s">
        <v>386</v>
      </c>
      <c r="D100" s="52">
        <v>45993.604166666664</v>
      </c>
      <c r="E100" s="52">
        <v>45993.604166666664</v>
      </c>
      <c r="F100" s="52">
        <v>45993.694444444445</v>
      </c>
      <c r="G100" s="53">
        <f t="shared" si="2"/>
        <v>9.0277777781011537E-2</v>
      </c>
      <c r="H100" s="1" t="s">
        <v>343</v>
      </c>
      <c r="J100" s="1" t="s">
        <v>230</v>
      </c>
      <c r="K100" s="1" t="str">
        <f>_xlfn.XLOOKUP(J100,REF!$D$2:$D$12,REF!$E$2:$E$12)</f>
        <v>UFV</v>
      </c>
      <c r="L100" s="1" t="s">
        <v>703</v>
      </c>
      <c r="M100" s="1" t="s">
        <v>302</v>
      </c>
      <c r="N100" s="1" t="s">
        <v>345</v>
      </c>
      <c r="O100" s="1" t="s">
        <v>704</v>
      </c>
      <c r="P100" s="1" t="str">
        <f t="shared" si="3"/>
        <v>BC Clareira1.1Inverter(MBUS-16)45993,604166666745993,604166666745993,6944444444</v>
      </c>
      <c r="Q100" s="1" t="str">
        <f t="shared" si="4"/>
        <v>DPRUFV</v>
      </c>
    </row>
    <row r="101" spans="2:17" hidden="1">
      <c r="B101" s="1" t="s">
        <v>707</v>
      </c>
      <c r="C101" s="1" t="s">
        <v>708</v>
      </c>
      <c r="D101" s="52">
        <v>45993.604166666664</v>
      </c>
      <c r="E101" s="52">
        <v>45993.604166666664</v>
      </c>
      <c r="F101" s="52">
        <v>45993.694444444445</v>
      </c>
      <c r="G101" s="53">
        <f t="shared" si="2"/>
        <v>9.0277777781011537E-2</v>
      </c>
      <c r="H101" s="1" t="s">
        <v>343</v>
      </c>
      <c r="J101" s="1" t="s">
        <v>230</v>
      </c>
      <c r="K101" s="1" t="str">
        <f>_xlfn.XLOOKUP(J101,REF!$D$2:$D$12,REF!$E$2:$E$12)</f>
        <v>UFV</v>
      </c>
      <c r="L101" s="1" t="s">
        <v>703</v>
      </c>
      <c r="M101" s="1" t="s">
        <v>302</v>
      </c>
      <c r="N101" s="1" t="s">
        <v>345</v>
      </c>
      <c r="O101" s="1" t="s">
        <v>704</v>
      </c>
      <c r="P101" s="1" t="str">
        <f t="shared" si="3"/>
        <v>BC Clareira1.2	215KTL-H3(MBUS-12)45993,604166666745993,604166666745993,6944444444</v>
      </c>
      <c r="Q101" s="1" t="str">
        <f t="shared" si="4"/>
        <v>DPRUFV</v>
      </c>
    </row>
    <row r="102" spans="2:17" hidden="1">
      <c r="B102" s="1" t="s">
        <v>707</v>
      </c>
      <c r="C102" s="1" t="s">
        <v>709</v>
      </c>
      <c r="D102" s="52">
        <v>45993.604166666664</v>
      </c>
      <c r="E102" s="52">
        <v>45993.604166666664</v>
      </c>
      <c r="F102" s="52">
        <v>45993.694444444445</v>
      </c>
      <c r="G102" s="53">
        <f t="shared" si="2"/>
        <v>9.0277777781011537E-2</v>
      </c>
      <c r="H102" s="1" t="s">
        <v>343</v>
      </c>
      <c r="J102" s="1" t="s">
        <v>230</v>
      </c>
      <c r="K102" s="1" t="str">
        <f>_xlfn.XLOOKUP(J102,REF!$D$2:$D$12,REF!$E$2:$E$12)</f>
        <v>UFV</v>
      </c>
      <c r="L102" s="1" t="s">
        <v>703</v>
      </c>
      <c r="M102" s="1" t="s">
        <v>302</v>
      </c>
      <c r="N102" s="1" t="s">
        <v>345</v>
      </c>
      <c r="O102" s="1" t="s">
        <v>704</v>
      </c>
      <c r="P102" s="1" t="str">
        <f t="shared" si="3"/>
        <v>BC Clareira1.2	215KTL-H3(MBUS-13)45993,604166666745993,604166666745993,6944444444</v>
      </c>
      <c r="Q102" s="1" t="str">
        <f t="shared" si="4"/>
        <v>DPRUFV</v>
      </c>
    </row>
    <row r="103" spans="2:17" hidden="1">
      <c r="B103" s="1" t="s">
        <v>707</v>
      </c>
      <c r="C103" s="1" t="s">
        <v>710</v>
      </c>
      <c r="D103" s="52">
        <v>45993.604166666664</v>
      </c>
      <c r="E103" s="52">
        <v>45993.604166666664</v>
      </c>
      <c r="F103" s="52">
        <v>45993.694444444445</v>
      </c>
      <c r="G103" s="53">
        <f t="shared" si="2"/>
        <v>9.0277777781011537E-2</v>
      </c>
      <c r="H103" s="1" t="s">
        <v>343</v>
      </c>
      <c r="J103" s="1" t="s">
        <v>230</v>
      </c>
      <c r="K103" s="1" t="str">
        <f>_xlfn.XLOOKUP(J103,REF!$D$2:$D$12,REF!$E$2:$E$12)</f>
        <v>UFV</v>
      </c>
      <c r="L103" s="1" t="s">
        <v>703</v>
      </c>
      <c r="M103" s="1" t="s">
        <v>302</v>
      </c>
      <c r="N103" s="1" t="s">
        <v>345</v>
      </c>
      <c r="O103" s="1" t="s">
        <v>704</v>
      </c>
      <c r="P103" s="1" t="str">
        <f t="shared" si="3"/>
        <v>BC Clareira1.2100KTL-H1(MBUS-14)45993,604166666745993,604166666745993,6944444444</v>
      </c>
      <c r="Q103" s="1" t="str">
        <f t="shared" si="4"/>
        <v>DPRUFV</v>
      </c>
    </row>
    <row r="104" spans="2:17" hidden="1">
      <c r="B104" s="1" t="s">
        <v>477</v>
      </c>
      <c r="C104" s="1" t="s">
        <v>489</v>
      </c>
      <c r="D104" s="52">
        <v>45994.270833333336</v>
      </c>
      <c r="E104" s="52">
        <v>45994.270833333336</v>
      </c>
      <c r="F104" s="52">
        <v>45994.277777777781</v>
      </c>
      <c r="G104" s="53">
        <f t="shared" si="2"/>
        <v>6.9444444452528842E-3</v>
      </c>
      <c r="H104" s="1" t="s">
        <v>248</v>
      </c>
      <c r="J104" s="1" t="s">
        <v>249</v>
      </c>
      <c r="K104" s="1" t="str">
        <f>_xlfn.XLOOKUP(J104,REF!$D$2:$D$12,REF!$E$2:$E$12)</f>
        <v>Rede</v>
      </c>
      <c r="L104" s="1" t="s">
        <v>711</v>
      </c>
      <c r="M104" s="1" t="s">
        <v>251</v>
      </c>
      <c r="N104" s="1" t="s">
        <v>252</v>
      </c>
      <c r="O104" s="1" t="s">
        <v>712</v>
      </c>
      <c r="P104" s="1" t="str">
        <f t="shared" si="3"/>
        <v>BC Rio Monte1Inverter4145994,270833333345994,270833333345994,2777777778</v>
      </c>
      <c r="Q104" s="1" t="str">
        <f t="shared" si="4"/>
        <v>DAURDE</v>
      </c>
    </row>
    <row r="105" spans="2:17" hidden="1">
      <c r="B105" s="1" t="s">
        <v>477</v>
      </c>
      <c r="C105" s="1" t="s">
        <v>713</v>
      </c>
      <c r="D105" s="52">
        <v>45994.270833333336</v>
      </c>
      <c r="E105" s="52">
        <v>45994.270833333336</v>
      </c>
      <c r="F105" s="52">
        <v>45994.277777777781</v>
      </c>
      <c r="G105" s="53">
        <f t="shared" si="2"/>
        <v>6.9444444452528842E-3</v>
      </c>
      <c r="H105" s="1" t="s">
        <v>248</v>
      </c>
      <c r="J105" s="1" t="s">
        <v>249</v>
      </c>
      <c r="K105" s="1" t="str">
        <f>_xlfn.XLOOKUP(J105,REF!$D$2:$D$12,REF!$E$2:$E$12)</f>
        <v>Rede</v>
      </c>
      <c r="L105" s="1" t="s">
        <v>711</v>
      </c>
      <c r="M105" s="1" t="s">
        <v>251</v>
      </c>
      <c r="N105" s="1" t="s">
        <v>252</v>
      </c>
      <c r="O105" s="1" t="s">
        <v>712</v>
      </c>
      <c r="P105" s="1" t="str">
        <f t="shared" si="3"/>
        <v>BC Rio Monte1Inverter4745994,270833333345994,270833333345994,2777777778</v>
      </c>
      <c r="Q105" s="1" t="str">
        <f t="shared" si="4"/>
        <v>DAURDE</v>
      </c>
    </row>
    <row r="106" spans="2:17" hidden="1">
      <c r="B106" s="1" t="s">
        <v>477</v>
      </c>
      <c r="C106" s="1" t="s">
        <v>486</v>
      </c>
      <c r="D106" s="52">
        <v>45994.270833333336</v>
      </c>
      <c r="E106" s="52">
        <v>45994.270833333336</v>
      </c>
      <c r="F106" s="52">
        <v>45994.277777777781</v>
      </c>
      <c r="G106" s="53">
        <f t="shared" si="2"/>
        <v>6.9444444452528842E-3</v>
      </c>
      <c r="H106" s="1" t="s">
        <v>248</v>
      </c>
      <c r="J106" s="1" t="s">
        <v>249</v>
      </c>
      <c r="K106" s="1" t="str">
        <f>_xlfn.XLOOKUP(J106,REF!$D$2:$D$12,REF!$E$2:$E$12)</f>
        <v>Rede</v>
      </c>
      <c r="L106" s="1" t="s">
        <v>711</v>
      </c>
      <c r="M106" s="1" t="s">
        <v>251</v>
      </c>
      <c r="N106" s="1" t="s">
        <v>252</v>
      </c>
      <c r="O106" s="1" t="s">
        <v>712</v>
      </c>
      <c r="P106" s="1" t="str">
        <f t="shared" si="3"/>
        <v>BC Rio Monte1Inverter3545994,270833333345994,270833333345994,2777777778</v>
      </c>
      <c r="Q106" s="1" t="str">
        <f t="shared" si="4"/>
        <v>DAURDE</v>
      </c>
    </row>
    <row r="107" spans="2:17" hidden="1">
      <c r="B107" s="1" t="s">
        <v>477</v>
      </c>
      <c r="C107" s="1" t="s">
        <v>478</v>
      </c>
      <c r="D107" s="52">
        <v>45994.270833333336</v>
      </c>
      <c r="E107" s="52">
        <v>45994.270833333336</v>
      </c>
      <c r="F107" s="52">
        <v>45994.277777777781</v>
      </c>
      <c r="G107" s="53">
        <f t="shared" si="2"/>
        <v>6.9444444452528842E-3</v>
      </c>
      <c r="H107" s="1" t="s">
        <v>248</v>
      </c>
      <c r="J107" s="1" t="s">
        <v>249</v>
      </c>
      <c r="K107" s="1" t="str">
        <f>_xlfn.XLOOKUP(J107,REF!$D$2:$D$12,REF!$E$2:$E$12)</f>
        <v>Rede</v>
      </c>
      <c r="L107" s="1" t="s">
        <v>711</v>
      </c>
      <c r="M107" s="1" t="s">
        <v>251</v>
      </c>
      <c r="N107" s="1" t="s">
        <v>252</v>
      </c>
      <c r="O107" s="1" t="s">
        <v>712</v>
      </c>
      <c r="P107" s="1" t="str">
        <f t="shared" si="3"/>
        <v>BC Rio Monte1Inverter3645994,270833333345994,270833333345994,2777777778</v>
      </c>
      <c r="Q107" s="1" t="str">
        <f t="shared" si="4"/>
        <v>DAURDE</v>
      </c>
    </row>
    <row r="108" spans="2:17" hidden="1">
      <c r="B108" s="1" t="s">
        <v>477</v>
      </c>
      <c r="C108" s="1" t="s">
        <v>632</v>
      </c>
      <c r="D108" s="52">
        <v>45994.270833333336</v>
      </c>
      <c r="E108" s="52">
        <v>45994.270833333336</v>
      </c>
      <c r="F108" s="52">
        <v>45994.277777777781</v>
      </c>
      <c r="G108" s="53">
        <f t="shared" si="2"/>
        <v>6.9444444452528842E-3</v>
      </c>
      <c r="H108" s="1" t="s">
        <v>248</v>
      </c>
      <c r="J108" s="1" t="s">
        <v>249</v>
      </c>
      <c r="K108" s="1" t="str">
        <f>_xlfn.XLOOKUP(J108,REF!$D$2:$D$12,REF!$E$2:$E$12)</f>
        <v>Rede</v>
      </c>
      <c r="L108" s="1" t="s">
        <v>711</v>
      </c>
      <c r="M108" s="1" t="s">
        <v>251</v>
      </c>
      <c r="N108" s="1" t="s">
        <v>252</v>
      </c>
      <c r="O108" s="1" t="s">
        <v>712</v>
      </c>
      <c r="P108" s="1" t="str">
        <f t="shared" si="3"/>
        <v>BC Rio Monte1Inverter3145994,270833333345994,270833333345994,2777777778</v>
      </c>
      <c r="Q108" s="1" t="str">
        <f t="shared" si="4"/>
        <v>DAURDE</v>
      </c>
    </row>
    <row r="109" spans="2:17" hidden="1">
      <c r="B109" s="1" t="s">
        <v>477</v>
      </c>
      <c r="C109" s="1" t="s">
        <v>629</v>
      </c>
      <c r="D109" s="52">
        <v>45994.270833333336</v>
      </c>
      <c r="E109" s="52">
        <v>45994.270833333336</v>
      </c>
      <c r="F109" s="52">
        <v>45994.277777777781</v>
      </c>
      <c r="G109" s="53">
        <f t="shared" si="2"/>
        <v>6.9444444452528842E-3</v>
      </c>
      <c r="H109" s="1" t="s">
        <v>248</v>
      </c>
      <c r="J109" s="1" t="s">
        <v>249</v>
      </c>
      <c r="K109" s="1" t="str">
        <f>_xlfn.XLOOKUP(J109,REF!$D$2:$D$12,REF!$E$2:$E$12)</f>
        <v>Rede</v>
      </c>
      <c r="L109" s="1" t="s">
        <v>711</v>
      </c>
      <c r="M109" s="1" t="s">
        <v>251</v>
      </c>
      <c r="N109" s="1" t="s">
        <v>252</v>
      </c>
      <c r="O109" s="1" t="s">
        <v>712</v>
      </c>
      <c r="P109" s="1" t="str">
        <f t="shared" si="3"/>
        <v>BC Rio Monte1Inverter3345994,270833333345994,270833333345994,2777777778</v>
      </c>
      <c r="Q109" s="1" t="str">
        <f t="shared" si="4"/>
        <v>DAURDE</v>
      </c>
    </row>
    <row r="110" spans="2:17" hidden="1">
      <c r="B110" s="1" t="s">
        <v>477</v>
      </c>
      <c r="C110" s="1" t="s">
        <v>631</v>
      </c>
      <c r="D110" s="52">
        <v>45994.270833333336</v>
      </c>
      <c r="E110" s="52">
        <v>45994.270833333336</v>
      </c>
      <c r="F110" s="52">
        <v>45994.277777777781</v>
      </c>
      <c r="G110" s="53">
        <f t="shared" si="2"/>
        <v>6.9444444452528842E-3</v>
      </c>
      <c r="H110" s="1" t="s">
        <v>248</v>
      </c>
      <c r="J110" s="1" t="s">
        <v>249</v>
      </c>
      <c r="K110" s="1" t="str">
        <f>_xlfn.XLOOKUP(J110,REF!$D$2:$D$12,REF!$E$2:$E$12)</f>
        <v>Rede</v>
      </c>
      <c r="L110" s="1" t="s">
        <v>711</v>
      </c>
      <c r="M110" s="1" t="s">
        <v>251</v>
      </c>
      <c r="N110" s="1" t="s">
        <v>252</v>
      </c>
      <c r="O110" s="1" t="s">
        <v>712</v>
      </c>
      <c r="P110" s="1" t="str">
        <f t="shared" si="3"/>
        <v>BC Rio Monte1Inverter3945994,270833333345994,270833333345994,2777777778</v>
      </c>
      <c r="Q110" s="1" t="str">
        <f t="shared" si="4"/>
        <v>DAURDE</v>
      </c>
    </row>
    <row r="111" spans="2:17" hidden="1">
      <c r="B111" s="1" t="s">
        <v>477</v>
      </c>
      <c r="C111" s="1" t="s">
        <v>635</v>
      </c>
      <c r="D111" s="52">
        <v>45994.270833333336</v>
      </c>
      <c r="E111" s="52">
        <v>45994.270833333336</v>
      </c>
      <c r="F111" s="52">
        <v>45994.277777777781</v>
      </c>
      <c r="G111" s="53">
        <f t="shared" si="2"/>
        <v>6.9444444452528842E-3</v>
      </c>
      <c r="H111" s="1" t="s">
        <v>248</v>
      </c>
      <c r="J111" s="1" t="s">
        <v>249</v>
      </c>
      <c r="K111" s="1" t="str">
        <f>_xlfn.XLOOKUP(J111,REF!$D$2:$D$12,REF!$E$2:$E$12)</f>
        <v>Rede</v>
      </c>
      <c r="L111" s="1" t="s">
        <v>711</v>
      </c>
      <c r="M111" s="1" t="s">
        <v>251</v>
      </c>
      <c r="N111" s="1" t="s">
        <v>252</v>
      </c>
      <c r="O111" s="1" t="s">
        <v>712</v>
      </c>
      <c r="P111" s="1" t="str">
        <f t="shared" si="3"/>
        <v>BC Rio Monte1Inverter3245994,270833333345994,270833333345994,2777777778</v>
      </c>
      <c r="Q111" s="1" t="str">
        <f t="shared" si="4"/>
        <v>DAURDE</v>
      </c>
    </row>
    <row r="112" spans="2:17" hidden="1">
      <c r="B112" s="1" t="s">
        <v>477</v>
      </c>
      <c r="C112" s="1" t="s">
        <v>487</v>
      </c>
      <c r="D112" s="52">
        <v>45994.270833333336</v>
      </c>
      <c r="E112" s="52">
        <v>45994.270833333336</v>
      </c>
      <c r="F112" s="52">
        <v>45994.277777777781</v>
      </c>
      <c r="G112" s="53">
        <f t="shared" si="2"/>
        <v>6.9444444452528842E-3</v>
      </c>
      <c r="H112" s="1" t="s">
        <v>248</v>
      </c>
      <c r="J112" s="1" t="s">
        <v>249</v>
      </c>
      <c r="K112" s="1" t="str">
        <f>_xlfn.XLOOKUP(J112,REF!$D$2:$D$12,REF!$E$2:$E$12)</f>
        <v>Rede</v>
      </c>
      <c r="L112" s="1" t="s">
        <v>711</v>
      </c>
      <c r="M112" s="1" t="s">
        <v>251</v>
      </c>
      <c r="N112" s="1" t="s">
        <v>252</v>
      </c>
      <c r="O112" s="1" t="s">
        <v>712</v>
      </c>
      <c r="P112" s="1" t="str">
        <f t="shared" si="3"/>
        <v>BC Rio Monte1Inverter4045994,270833333345994,270833333345994,2777777778</v>
      </c>
      <c r="Q112" s="1" t="str">
        <f t="shared" si="4"/>
        <v>DAURDE</v>
      </c>
    </row>
    <row r="113" spans="2:17" hidden="1">
      <c r="B113" s="1" t="s">
        <v>477</v>
      </c>
      <c r="C113" s="1" t="s">
        <v>627</v>
      </c>
      <c r="D113" s="52">
        <v>45994.270833333336</v>
      </c>
      <c r="E113" s="52">
        <v>45994.270833333336</v>
      </c>
      <c r="F113" s="52">
        <v>45994.277777777781</v>
      </c>
      <c r="G113" s="53">
        <f t="shared" si="2"/>
        <v>6.9444444452528842E-3</v>
      </c>
      <c r="H113" s="1" t="s">
        <v>248</v>
      </c>
      <c r="J113" s="1" t="s">
        <v>249</v>
      </c>
      <c r="K113" s="1" t="str">
        <f>_xlfn.XLOOKUP(J113,REF!$D$2:$D$12,REF!$E$2:$E$12)</f>
        <v>Rede</v>
      </c>
      <c r="L113" s="1" t="s">
        <v>711</v>
      </c>
      <c r="M113" s="1" t="s">
        <v>251</v>
      </c>
      <c r="N113" s="1" t="s">
        <v>252</v>
      </c>
      <c r="O113" s="1" t="s">
        <v>712</v>
      </c>
      <c r="P113" s="1" t="str">
        <f t="shared" si="3"/>
        <v>BC Rio Monte1Inverter3445994,270833333345994,270833333345994,2777777778</v>
      </c>
      <c r="Q113" s="1" t="str">
        <f t="shared" si="4"/>
        <v>DAURDE</v>
      </c>
    </row>
    <row r="114" spans="2:17" hidden="1">
      <c r="B114" s="1" t="s">
        <v>444</v>
      </c>
      <c r="C114" s="1" t="s">
        <v>354</v>
      </c>
      <c r="D114" s="52">
        <v>45994.298611111109</v>
      </c>
      <c r="E114" s="52">
        <v>45994.298611111109</v>
      </c>
      <c r="F114" s="52">
        <v>45994.3125</v>
      </c>
      <c r="G114" s="53">
        <f t="shared" si="2"/>
        <v>1.3888888890505768E-2</v>
      </c>
      <c r="H114" s="1" t="s">
        <v>248</v>
      </c>
      <c r="J114" s="1" t="s">
        <v>249</v>
      </c>
      <c r="K114" s="1" t="str">
        <f>_xlfn.XLOOKUP(J114,REF!$D$2:$D$12,REF!$E$2:$E$12)</f>
        <v>Rede</v>
      </c>
      <c r="L114" s="1" t="s">
        <v>714</v>
      </c>
      <c r="M114" s="1" t="s">
        <v>251</v>
      </c>
      <c r="N114" s="1" t="s">
        <v>266</v>
      </c>
      <c r="O114" s="1" t="s">
        <v>676</v>
      </c>
      <c r="P114" s="1" t="str">
        <f t="shared" si="3"/>
        <v>BC Lencois PaulistaInverter(MBUS-12)45994,298611111145994,298611111145994,3125</v>
      </c>
      <c r="Q114" s="1" t="str">
        <f t="shared" si="4"/>
        <v>DAURDE</v>
      </c>
    </row>
    <row r="115" spans="2:17" hidden="1">
      <c r="B115" s="1" t="s">
        <v>444</v>
      </c>
      <c r="C115" s="1" t="s">
        <v>357</v>
      </c>
      <c r="D115" s="52">
        <v>45994.298611111109</v>
      </c>
      <c r="E115" s="52">
        <v>45994.298611111109</v>
      </c>
      <c r="F115" s="52">
        <v>45994.3125</v>
      </c>
      <c r="G115" s="53">
        <f t="shared" si="2"/>
        <v>1.3888888890505768E-2</v>
      </c>
      <c r="H115" s="1" t="s">
        <v>248</v>
      </c>
      <c r="J115" s="1" t="s">
        <v>249</v>
      </c>
      <c r="K115" s="1" t="str">
        <f>_xlfn.XLOOKUP(J115,REF!$D$2:$D$12,REF!$E$2:$E$12)</f>
        <v>Rede</v>
      </c>
      <c r="L115" s="1" t="s">
        <v>714</v>
      </c>
      <c r="M115" s="1" t="s">
        <v>251</v>
      </c>
      <c r="N115" s="1" t="s">
        <v>266</v>
      </c>
      <c r="O115" s="1" t="s">
        <v>676</v>
      </c>
      <c r="P115" s="1" t="str">
        <f t="shared" si="3"/>
        <v>BC Lencois PaulistaInverter(MBUS-13)45994,298611111145994,298611111145994,3125</v>
      </c>
      <c r="Q115" s="1" t="str">
        <f t="shared" si="4"/>
        <v>DAURDE</v>
      </c>
    </row>
    <row r="116" spans="2:17" hidden="1">
      <c r="B116" s="1" t="s">
        <v>444</v>
      </c>
      <c r="C116" s="1" t="s">
        <v>358</v>
      </c>
      <c r="D116" s="52">
        <v>45994.298611111109</v>
      </c>
      <c r="E116" s="52">
        <v>45994.298611111109</v>
      </c>
      <c r="F116" s="52">
        <v>45994.3125</v>
      </c>
      <c r="G116" s="53">
        <f t="shared" si="2"/>
        <v>1.3888888890505768E-2</v>
      </c>
      <c r="H116" s="1" t="s">
        <v>248</v>
      </c>
      <c r="J116" s="1" t="s">
        <v>249</v>
      </c>
      <c r="K116" s="1" t="str">
        <f>_xlfn.XLOOKUP(J116,REF!$D$2:$D$12,REF!$E$2:$E$12)</f>
        <v>Rede</v>
      </c>
      <c r="L116" s="1" t="s">
        <v>714</v>
      </c>
      <c r="M116" s="1" t="s">
        <v>251</v>
      </c>
      <c r="N116" s="1" t="s">
        <v>266</v>
      </c>
      <c r="O116" s="1" t="s">
        <v>676</v>
      </c>
      <c r="P116" s="1" t="str">
        <f t="shared" si="3"/>
        <v>BC Lencois PaulistaInverter(MBUS-14)45994,298611111145994,298611111145994,3125</v>
      </c>
      <c r="Q116" s="1" t="str">
        <f t="shared" si="4"/>
        <v>DAURDE</v>
      </c>
    </row>
    <row r="117" spans="2:17" hidden="1">
      <c r="B117" s="1" t="s">
        <v>444</v>
      </c>
      <c r="C117" s="1" t="s">
        <v>359</v>
      </c>
      <c r="D117" s="52">
        <v>45994.298611111109</v>
      </c>
      <c r="E117" s="52">
        <v>45994.298611111109</v>
      </c>
      <c r="F117" s="52">
        <v>45994.3125</v>
      </c>
      <c r="G117" s="53">
        <f t="shared" si="2"/>
        <v>1.3888888890505768E-2</v>
      </c>
      <c r="H117" s="1" t="s">
        <v>248</v>
      </c>
      <c r="J117" s="1" t="s">
        <v>249</v>
      </c>
      <c r="K117" s="1" t="str">
        <f>_xlfn.XLOOKUP(J117,REF!$D$2:$D$12,REF!$E$2:$E$12)</f>
        <v>Rede</v>
      </c>
      <c r="L117" s="1" t="s">
        <v>714</v>
      </c>
      <c r="M117" s="1" t="s">
        <v>251</v>
      </c>
      <c r="N117" s="1" t="s">
        <v>266</v>
      </c>
      <c r="O117" s="1" t="s">
        <v>676</v>
      </c>
      <c r="P117" s="1" t="str">
        <f t="shared" si="3"/>
        <v>BC Lencois PaulistaInverter(MBUS-15)45994,298611111145994,298611111145994,3125</v>
      </c>
      <c r="Q117" s="1" t="str">
        <f t="shared" si="4"/>
        <v>DAURDE</v>
      </c>
    </row>
    <row r="118" spans="2:17" hidden="1">
      <c r="B118" s="1" t="s">
        <v>448</v>
      </c>
      <c r="C118" s="1" t="s">
        <v>449</v>
      </c>
      <c r="D118" s="52">
        <v>45994.302083333336</v>
      </c>
      <c r="E118" s="52">
        <v>45994.302083333336</v>
      </c>
      <c r="F118" s="52">
        <v>45994.481249999997</v>
      </c>
      <c r="G118" s="53">
        <f t="shared" si="2"/>
        <v>0.17916666666133096</v>
      </c>
      <c r="H118" s="1" t="s">
        <v>343</v>
      </c>
      <c r="J118" s="1" t="s">
        <v>337</v>
      </c>
      <c r="K118" s="1" t="str">
        <f>_xlfn.XLOOKUP(J118,REF!$D$2:$D$12,REF!$E$2:$E$12)</f>
        <v>Transformador</v>
      </c>
      <c r="L118" s="1" t="s">
        <v>680</v>
      </c>
      <c r="M118" s="1" t="s">
        <v>302</v>
      </c>
      <c r="N118" s="1" t="s">
        <v>345</v>
      </c>
      <c r="O118" s="1" t="s">
        <v>681</v>
      </c>
      <c r="P118" s="1" t="str">
        <f t="shared" si="3"/>
        <v>BC Vazante1.3Inversor 145994,302083333345994,302083333345994,48125</v>
      </c>
      <c r="Q118" s="1" t="str">
        <f t="shared" si="4"/>
        <v>DPRTRF</v>
      </c>
    </row>
    <row r="119" spans="2:17" hidden="1">
      <c r="B119" s="1" t="s">
        <v>448</v>
      </c>
      <c r="C119" s="1" t="s">
        <v>451</v>
      </c>
      <c r="D119" s="52">
        <v>45994.302083333336</v>
      </c>
      <c r="E119" s="52">
        <v>45994.302083333336</v>
      </c>
      <c r="F119" s="52">
        <v>45994.481249999997</v>
      </c>
      <c r="G119" s="53">
        <f t="shared" si="2"/>
        <v>0.17916666666133096</v>
      </c>
      <c r="H119" s="1" t="s">
        <v>343</v>
      </c>
      <c r="J119" s="1" t="s">
        <v>337</v>
      </c>
      <c r="K119" s="1" t="str">
        <f>_xlfn.XLOOKUP(J119,REF!$D$2:$D$12,REF!$E$2:$E$12)</f>
        <v>Transformador</v>
      </c>
      <c r="L119" s="1" t="s">
        <v>680</v>
      </c>
      <c r="M119" s="1" t="s">
        <v>302</v>
      </c>
      <c r="N119" s="1" t="s">
        <v>345</v>
      </c>
      <c r="O119" s="1" t="s">
        <v>681</v>
      </c>
      <c r="P119" s="1" t="str">
        <f t="shared" si="3"/>
        <v>BC Vazante1.3Inversor 245994,302083333345994,302083333345994,48125</v>
      </c>
      <c r="Q119" s="1" t="str">
        <f t="shared" si="4"/>
        <v>DPRTRF</v>
      </c>
    </row>
    <row r="120" spans="2:17" hidden="1">
      <c r="B120" s="1" t="s">
        <v>448</v>
      </c>
      <c r="C120" s="1" t="s">
        <v>452</v>
      </c>
      <c r="D120" s="52">
        <v>45994.302083333336</v>
      </c>
      <c r="E120" s="52">
        <v>45994.302083333336</v>
      </c>
      <c r="F120" s="52">
        <v>45994.481249999997</v>
      </c>
      <c r="G120" s="53">
        <f t="shared" si="2"/>
        <v>0.17916666666133096</v>
      </c>
      <c r="H120" s="1" t="s">
        <v>343</v>
      </c>
      <c r="J120" s="1" t="s">
        <v>337</v>
      </c>
      <c r="K120" s="1" t="str">
        <f>_xlfn.XLOOKUP(J120,REF!$D$2:$D$12,REF!$E$2:$E$12)</f>
        <v>Transformador</v>
      </c>
      <c r="L120" s="1" t="s">
        <v>680</v>
      </c>
      <c r="M120" s="1" t="s">
        <v>302</v>
      </c>
      <c r="N120" s="1" t="s">
        <v>345</v>
      </c>
      <c r="O120" s="1" t="s">
        <v>681</v>
      </c>
      <c r="P120" s="1" t="str">
        <f t="shared" si="3"/>
        <v>BC Vazante1.3Inversor 345994,302083333345994,302083333345994,48125</v>
      </c>
      <c r="Q120" s="1" t="str">
        <f t="shared" si="4"/>
        <v>DPRTRF</v>
      </c>
    </row>
    <row r="121" spans="2:17" hidden="1">
      <c r="B121" s="1" t="s">
        <v>448</v>
      </c>
      <c r="C121" s="1" t="s">
        <v>453</v>
      </c>
      <c r="D121" s="52">
        <v>45994.302083333336</v>
      </c>
      <c r="E121" s="52">
        <v>45994.302083333336</v>
      </c>
      <c r="F121" s="52">
        <v>45994.481249999997</v>
      </c>
      <c r="G121" s="53">
        <f t="shared" si="2"/>
        <v>0.17916666666133096</v>
      </c>
      <c r="H121" s="1" t="s">
        <v>343</v>
      </c>
      <c r="J121" s="1" t="s">
        <v>337</v>
      </c>
      <c r="K121" s="1" t="str">
        <f>_xlfn.XLOOKUP(J121,REF!$D$2:$D$12,REF!$E$2:$E$12)</f>
        <v>Transformador</v>
      </c>
      <c r="L121" s="1" t="s">
        <v>680</v>
      </c>
      <c r="M121" s="1" t="s">
        <v>302</v>
      </c>
      <c r="N121" s="1" t="s">
        <v>345</v>
      </c>
      <c r="O121" s="1" t="s">
        <v>681</v>
      </c>
      <c r="P121" s="1" t="str">
        <f t="shared" si="3"/>
        <v>BC Vazante1.3Inversor 445994,302083333345994,302083333345994,48125</v>
      </c>
      <c r="Q121" s="1" t="str">
        <f t="shared" si="4"/>
        <v>DPRTRF</v>
      </c>
    </row>
    <row r="122" spans="2:17" hidden="1">
      <c r="B122" s="1" t="s">
        <v>448</v>
      </c>
      <c r="C122" s="1" t="s">
        <v>454</v>
      </c>
      <c r="D122" s="52">
        <v>45994.302083333336</v>
      </c>
      <c r="E122" s="52">
        <v>45994.302083333336</v>
      </c>
      <c r="F122" s="52">
        <v>45994.481249999997</v>
      </c>
      <c r="G122" s="53">
        <f t="shared" si="2"/>
        <v>0.17916666666133096</v>
      </c>
      <c r="H122" s="1" t="s">
        <v>343</v>
      </c>
      <c r="J122" s="1" t="s">
        <v>337</v>
      </c>
      <c r="K122" s="1" t="str">
        <f>_xlfn.XLOOKUP(J122,REF!$D$2:$D$12,REF!$E$2:$E$12)</f>
        <v>Transformador</v>
      </c>
      <c r="L122" s="1" t="s">
        <v>680</v>
      </c>
      <c r="M122" s="1" t="s">
        <v>302</v>
      </c>
      <c r="N122" s="1" t="s">
        <v>345</v>
      </c>
      <c r="O122" s="1" t="s">
        <v>681</v>
      </c>
      <c r="P122" s="1" t="str">
        <f t="shared" si="3"/>
        <v>BC Vazante1.3Inversor 545994,302083333345994,302083333345994,48125</v>
      </c>
      <c r="Q122" s="1" t="str">
        <f t="shared" si="4"/>
        <v>DPRTRF</v>
      </c>
    </row>
    <row r="123" spans="2:17" hidden="1">
      <c r="B123" s="1" t="s">
        <v>448</v>
      </c>
      <c r="C123" s="1" t="s">
        <v>455</v>
      </c>
      <c r="D123" s="52">
        <v>45994.302083333336</v>
      </c>
      <c r="E123" s="52">
        <v>45994.302083333336</v>
      </c>
      <c r="F123" s="52">
        <v>45994.481249999997</v>
      </c>
      <c r="G123" s="53">
        <f t="shared" si="2"/>
        <v>0.17916666666133096</v>
      </c>
      <c r="H123" s="1" t="s">
        <v>343</v>
      </c>
      <c r="J123" s="1" t="s">
        <v>337</v>
      </c>
      <c r="K123" s="1" t="str">
        <f>_xlfn.XLOOKUP(J123,REF!$D$2:$D$12,REF!$E$2:$E$12)</f>
        <v>Transformador</v>
      </c>
      <c r="L123" s="1" t="s">
        <v>680</v>
      </c>
      <c r="M123" s="1" t="s">
        <v>302</v>
      </c>
      <c r="N123" s="1" t="s">
        <v>345</v>
      </c>
      <c r="O123" s="1" t="s">
        <v>681</v>
      </c>
      <c r="P123" s="1" t="str">
        <f t="shared" si="3"/>
        <v>BC Vazante1.3Inversor 645994,302083333345994,302083333345994,48125</v>
      </c>
      <c r="Q123" s="1" t="str">
        <f t="shared" si="4"/>
        <v>DPRTRF</v>
      </c>
    </row>
    <row r="124" spans="2:17" hidden="1">
      <c r="B124" s="1" t="s">
        <v>448</v>
      </c>
      <c r="C124" s="1" t="s">
        <v>456</v>
      </c>
      <c r="D124" s="52">
        <v>45994.302083333336</v>
      </c>
      <c r="E124" s="52">
        <v>45994.302083333336</v>
      </c>
      <c r="F124" s="52">
        <v>45994.481249999997</v>
      </c>
      <c r="G124" s="53">
        <f t="shared" ref="G124:G187" si="5">F124-E124</f>
        <v>0.17916666666133096</v>
      </c>
      <c r="H124" s="1" t="s">
        <v>343</v>
      </c>
      <c r="J124" s="1" t="s">
        <v>337</v>
      </c>
      <c r="K124" s="1" t="str">
        <f>_xlfn.XLOOKUP(J124,REF!$D$2:$D$12,REF!$E$2:$E$12)</f>
        <v>Transformador</v>
      </c>
      <c r="L124" s="1" t="s">
        <v>680</v>
      </c>
      <c r="M124" s="1" t="s">
        <v>302</v>
      </c>
      <c r="N124" s="1" t="s">
        <v>345</v>
      </c>
      <c r="O124" s="1" t="s">
        <v>681</v>
      </c>
      <c r="P124" s="1" t="str">
        <f t="shared" si="3"/>
        <v>BC Vazante1.3Inversor 745994,302083333345994,302083333345994,48125</v>
      </c>
      <c r="Q124" s="1" t="str">
        <f t="shared" si="4"/>
        <v>DPRTRF</v>
      </c>
    </row>
    <row r="125" spans="2:17" hidden="1">
      <c r="B125" s="1" t="s">
        <v>448</v>
      </c>
      <c r="C125" s="1" t="s">
        <v>457</v>
      </c>
      <c r="D125" s="52">
        <v>45994.302083333336</v>
      </c>
      <c r="E125" s="52">
        <v>45994.302083333336</v>
      </c>
      <c r="F125" s="52">
        <v>45994.481249999997</v>
      </c>
      <c r="G125" s="53">
        <f t="shared" si="5"/>
        <v>0.17916666666133096</v>
      </c>
      <c r="H125" s="1" t="s">
        <v>343</v>
      </c>
      <c r="J125" s="1" t="s">
        <v>337</v>
      </c>
      <c r="K125" s="1" t="str">
        <f>_xlfn.XLOOKUP(J125,REF!$D$2:$D$12,REF!$E$2:$E$12)</f>
        <v>Transformador</v>
      </c>
      <c r="L125" s="1" t="s">
        <v>680</v>
      </c>
      <c r="M125" s="1" t="s">
        <v>302</v>
      </c>
      <c r="N125" s="1" t="s">
        <v>345</v>
      </c>
      <c r="O125" s="1" t="s">
        <v>681</v>
      </c>
      <c r="P125" s="1" t="str">
        <f t="shared" si="3"/>
        <v>BC Vazante1.3Inversor 845994,302083333345994,302083333345994,48125</v>
      </c>
      <c r="Q125" s="1" t="str">
        <f t="shared" si="4"/>
        <v>DPRTRF</v>
      </c>
    </row>
    <row r="126" spans="2:17" hidden="1">
      <c r="B126" s="1" t="s">
        <v>448</v>
      </c>
      <c r="C126" s="1" t="s">
        <v>458</v>
      </c>
      <c r="D126" s="52">
        <v>45994.302083333336</v>
      </c>
      <c r="E126" s="52">
        <v>45994.302083333336</v>
      </c>
      <c r="F126" s="52">
        <v>45994.481249999997</v>
      </c>
      <c r="G126" s="53">
        <f t="shared" si="5"/>
        <v>0.17916666666133096</v>
      </c>
      <c r="H126" s="1" t="s">
        <v>343</v>
      </c>
      <c r="J126" s="1" t="s">
        <v>337</v>
      </c>
      <c r="K126" s="1" t="str">
        <f>_xlfn.XLOOKUP(J126,REF!$D$2:$D$12,REF!$E$2:$E$12)</f>
        <v>Transformador</v>
      </c>
      <c r="L126" s="1" t="s">
        <v>680</v>
      </c>
      <c r="M126" s="1" t="s">
        <v>302</v>
      </c>
      <c r="N126" s="1" t="s">
        <v>345</v>
      </c>
      <c r="O126" s="1" t="s">
        <v>681</v>
      </c>
      <c r="P126" s="1" t="str">
        <f t="shared" si="3"/>
        <v>BC Vazante1.3Inversor 945994,302083333345994,302083333345994,48125</v>
      </c>
      <c r="Q126" s="1" t="str">
        <f t="shared" si="4"/>
        <v>DPRTRF</v>
      </c>
    </row>
    <row r="127" spans="2:17" hidden="1">
      <c r="B127" s="28" t="s">
        <v>363</v>
      </c>
      <c r="C127" s="28" t="s">
        <v>357</v>
      </c>
      <c r="D127" s="55">
        <v>46012.583333333336</v>
      </c>
      <c r="E127" s="55">
        <v>46012.583333333336</v>
      </c>
      <c r="F127" s="55">
        <v>46012.659722222219</v>
      </c>
      <c r="G127" s="56">
        <f t="shared" si="5"/>
        <v>7.6388888883229811E-2</v>
      </c>
      <c r="H127" s="28" t="s">
        <v>248</v>
      </c>
      <c r="I127" s="28"/>
      <c r="J127" s="28" t="s">
        <v>249</v>
      </c>
      <c r="K127" s="28" t="s">
        <v>349</v>
      </c>
      <c r="L127" s="28" t="s">
        <v>715</v>
      </c>
      <c r="M127" s="28" t="s">
        <v>251</v>
      </c>
      <c r="N127" s="28" t="s">
        <v>330</v>
      </c>
      <c r="O127" s="29" t="s">
        <v>676</v>
      </c>
      <c r="P127" s="57" t="str">
        <f t="shared" si="3"/>
        <v>ARAGUATINS 2.1Inverter(MBUS-13)46012,583333333346012,583333333346012,6597222222</v>
      </c>
      <c r="Q127" s="57" t="str">
        <f t="shared" si="4"/>
        <v>DAURDE</v>
      </c>
    </row>
    <row r="128" spans="2:17" hidden="1">
      <c r="B128" s="28" t="s">
        <v>363</v>
      </c>
      <c r="C128" s="28" t="s">
        <v>354</v>
      </c>
      <c r="D128" s="55">
        <v>46012.583333333336</v>
      </c>
      <c r="E128" s="55">
        <v>46012.583333333336</v>
      </c>
      <c r="F128" s="55">
        <v>46012.659722222219</v>
      </c>
      <c r="G128" s="56">
        <f t="shared" si="5"/>
        <v>7.6388888883229811E-2</v>
      </c>
      <c r="H128" s="28" t="s">
        <v>248</v>
      </c>
      <c r="I128" s="28"/>
      <c r="J128" s="28" t="s">
        <v>249</v>
      </c>
      <c r="K128" s="28" t="s">
        <v>349</v>
      </c>
      <c r="L128" s="28" t="s">
        <v>715</v>
      </c>
      <c r="M128" s="28" t="s">
        <v>251</v>
      </c>
      <c r="N128" s="28" t="s">
        <v>330</v>
      </c>
      <c r="O128" s="29" t="s">
        <v>676</v>
      </c>
      <c r="P128" s="57" t="str">
        <f t="shared" si="3"/>
        <v>ARAGUATINS 2.1Inverter(MBUS-12)46012,583333333346012,583333333346012,6597222222</v>
      </c>
      <c r="Q128" s="57" t="str">
        <f t="shared" si="4"/>
        <v>DAURDE</v>
      </c>
    </row>
    <row r="129" spans="2:17" hidden="1">
      <c r="B129" s="28" t="s">
        <v>363</v>
      </c>
      <c r="C129" s="28" t="s">
        <v>359</v>
      </c>
      <c r="D129" s="55">
        <v>46012.583333333336</v>
      </c>
      <c r="E129" s="55">
        <v>46012.583333333336</v>
      </c>
      <c r="F129" s="55">
        <v>46012.659722222219</v>
      </c>
      <c r="G129" s="56">
        <f t="shared" si="5"/>
        <v>7.6388888883229811E-2</v>
      </c>
      <c r="H129" s="28" t="s">
        <v>248</v>
      </c>
      <c r="I129" s="28"/>
      <c r="J129" s="28" t="s">
        <v>249</v>
      </c>
      <c r="K129" s="28" t="s">
        <v>349</v>
      </c>
      <c r="L129" s="28" t="s">
        <v>715</v>
      </c>
      <c r="M129" s="28" t="s">
        <v>251</v>
      </c>
      <c r="N129" s="28" t="s">
        <v>330</v>
      </c>
      <c r="O129" s="29" t="s">
        <v>676</v>
      </c>
      <c r="P129" s="57" t="str">
        <f t="shared" si="3"/>
        <v>ARAGUATINS 2.1Inverter(MBUS-15)46012,583333333346012,583333333346012,6597222222</v>
      </c>
      <c r="Q129" s="57" t="str">
        <f t="shared" si="4"/>
        <v>DAURDE</v>
      </c>
    </row>
    <row r="130" spans="2:17" hidden="1">
      <c r="B130" s="28" t="s">
        <v>363</v>
      </c>
      <c r="C130" s="28" t="s">
        <v>358</v>
      </c>
      <c r="D130" s="55">
        <v>46012.583333333336</v>
      </c>
      <c r="E130" s="55">
        <v>46012.583333333336</v>
      </c>
      <c r="F130" s="55">
        <v>46012.659722222219</v>
      </c>
      <c r="G130" s="56">
        <f t="shared" si="5"/>
        <v>7.6388888883229811E-2</v>
      </c>
      <c r="H130" s="28" t="s">
        <v>248</v>
      </c>
      <c r="I130" s="28"/>
      <c r="J130" s="28" t="s">
        <v>249</v>
      </c>
      <c r="K130" s="28" t="s">
        <v>349</v>
      </c>
      <c r="L130" s="28" t="s">
        <v>715</v>
      </c>
      <c r="M130" s="28" t="s">
        <v>251</v>
      </c>
      <c r="N130" s="28" t="s">
        <v>330</v>
      </c>
      <c r="O130" s="29" t="s">
        <v>676</v>
      </c>
      <c r="P130" s="57" t="str">
        <f t="shared" si="3"/>
        <v>ARAGUATINS 2.1Inverter(MBUS-14)46012,583333333346012,583333333346012,6597222222</v>
      </c>
      <c r="Q130" s="57" t="str">
        <f t="shared" si="4"/>
        <v>DAURDE</v>
      </c>
    </row>
    <row r="131" spans="2:17" hidden="1">
      <c r="B131" s="28" t="s">
        <v>268</v>
      </c>
      <c r="C131" s="28" t="s">
        <v>269</v>
      </c>
      <c r="D131" s="55">
        <v>46012.520833333336</v>
      </c>
      <c r="E131" s="55">
        <v>46012.520833333336</v>
      </c>
      <c r="F131" s="55">
        <v>46012.584027777775</v>
      </c>
      <c r="G131" s="56">
        <f t="shared" si="5"/>
        <v>6.3194444439432118E-2</v>
      </c>
      <c r="H131" s="28" t="s">
        <v>248</v>
      </c>
      <c r="I131" s="28"/>
      <c r="J131" s="28" t="s">
        <v>249</v>
      </c>
      <c r="K131" s="28" t="s">
        <v>349</v>
      </c>
      <c r="L131" s="28" t="s">
        <v>677</v>
      </c>
      <c r="M131" s="28" t="s">
        <v>251</v>
      </c>
      <c r="N131" s="28" t="s">
        <v>330</v>
      </c>
      <c r="O131" s="28" t="s">
        <v>331</v>
      </c>
      <c r="P131" s="57" t="str">
        <f t="shared" ref="P131:P194" si="6">_xlfn.CONCAT(B131,C131,D131,E131,F131)</f>
        <v>BC Caiaponia1SG60KTL(COM1-001)_001_00746012,520833333346012,520833333346012,5840277778</v>
      </c>
      <c r="Q131" s="57" t="str">
        <f t="shared" ref="Q131:Q194" si="7">_xlfn.CONCAT(H131,I131,J131)</f>
        <v>DAURDE</v>
      </c>
    </row>
    <row r="132" spans="2:17" hidden="1">
      <c r="B132" s="28" t="s">
        <v>268</v>
      </c>
      <c r="C132" s="28" t="s">
        <v>270</v>
      </c>
      <c r="D132" s="55">
        <v>46012.520833333336</v>
      </c>
      <c r="E132" s="55">
        <v>46012.520833333336</v>
      </c>
      <c r="F132" s="55">
        <v>46012.584027777775</v>
      </c>
      <c r="G132" s="56">
        <f t="shared" si="5"/>
        <v>6.3194444439432118E-2</v>
      </c>
      <c r="H132" s="28" t="s">
        <v>248</v>
      </c>
      <c r="I132" s="28"/>
      <c r="J132" s="28" t="s">
        <v>249</v>
      </c>
      <c r="K132" s="28" t="s">
        <v>349</v>
      </c>
      <c r="L132" s="28" t="s">
        <v>677</v>
      </c>
      <c r="M132" s="28" t="s">
        <v>251</v>
      </c>
      <c r="N132" s="28" t="s">
        <v>330</v>
      </c>
      <c r="O132" s="28" t="s">
        <v>331</v>
      </c>
      <c r="P132" s="57" t="str">
        <f t="shared" si="6"/>
        <v>BC Caiaponia1SG60KTL(COM1-002)_001_01046012,520833333346012,520833333346012,5840277778</v>
      </c>
      <c r="Q132" s="57" t="str">
        <f t="shared" si="7"/>
        <v>DAURDE</v>
      </c>
    </row>
    <row r="133" spans="2:17" hidden="1">
      <c r="B133" s="28" t="s">
        <v>268</v>
      </c>
      <c r="C133" s="28" t="s">
        <v>271</v>
      </c>
      <c r="D133" s="55">
        <v>46012.520833333336</v>
      </c>
      <c r="E133" s="55">
        <v>46012.520833333336</v>
      </c>
      <c r="F133" s="55">
        <v>46012.584027777775</v>
      </c>
      <c r="G133" s="56">
        <f t="shared" si="5"/>
        <v>6.3194444439432118E-2</v>
      </c>
      <c r="H133" s="28" t="s">
        <v>248</v>
      </c>
      <c r="I133" s="28"/>
      <c r="J133" s="28" t="s">
        <v>249</v>
      </c>
      <c r="K133" s="28" t="s">
        <v>349</v>
      </c>
      <c r="L133" s="28" t="s">
        <v>677</v>
      </c>
      <c r="M133" s="28" t="s">
        <v>251</v>
      </c>
      <c r="N133" s="28" t="s">
        <v>330</v>
      </c>
      <c r="O133" s="28" t="s">
        <v>331</v>
      </c>
      <c r="P133" s="57" t="str">
        <f t="shared" si="6"/>
        <v>BC Caiaponia1SG60KTL(COM1-003)_001_01146012,520833333346012,520833333346012,5840277778</v>
      </c>
      <c r="Q133" s="57" t="str">
        <f t="shared" si="7"/>
        <v>DAURDE</v>
      </c>
    </row>
    <row r="134" spans="2:17" hidden="1">
      <c r="B134" s="28" t="s">
        <v>268</v>
      </c>
      <c r="C134" s="28" t="s">
        <v>272</v>
      </c>
      <c r="D134" s="55">
        <v>46012.520833333336</v>
      </c>
      <c r="E134" s="55">
        <v>46012.520833333336</v>
      </c>
      <c r="F134" s="55">
        <v>46012.584027777775</v>
      </c>
      <c r="G134" s="56">
        <f t="shared" si="5"/>
        <v>6.3194444439432118E-2</v>
      </c>
      <c r="H134" s="28" t="s">
        <v>248</v>
      </c>
      <c r="I134" s="28"/>
      <c r="J134" s="28" t="s">
        <v>249</v>
      </c>
      <c r="K134" s="28" t="s">
        <v>349</v>
      </c>
      <c r="L134" s="28" t="s">
        <v>677</v>
      </c>
      <c r="M134" s="28" t="s">
        <v>251</v>
      </c>
      <c r="N134" s="28" t="s">
        <v>330</v>
      </c>
      <c r="O134" s="28" t="s">
        <v>331</v>
      </c>
      <c r="P134" s="57" t="str">
        <f t="shared" si="6"/>
        <v>BC Caiaponia1SG60KTL(COM1-004)_001_01446012,520833333346012,520833333346012,5840277778</v>
      </c>
      <c r="Q134" s="57" t="str">
        <f t="shared" si="7"/>
        <v>DAURDE</v>
      </c>
    </row>
    <row r="135" spans="2:17" hidden="1">
      <c r="B135" s="28" t="s">
        <v>268</v>
      </c>
      <c r="C135" s="28" t="s">
        <v>273</v>
      </c>
      <c r="D135" s="55">
        <v>46012.520833333336</v>
      </c>
      <c r="E135" s="55">
        <v>46012.520833333336</v>
      </c>
      <c r="F135" s="55">
        <v>46012.584027777775</v>
      </c>
      <c r="G135" s="56">
        <f t="shared" si="5"/>
        <v>6.3194444439432118E-2</v>
      </c>
      <c r="H135" s="28" t="s">
        <v>248</v>
      </c>
      <c r="I135" s="28"/>
      <c r="J135" s="28" t="s">
        <v>249</v>
      </c>
      <c r="K135" s="28" t="s">
        <v>349</v>
      </c>
      <c r="L135" s="28" t="s">
        <v>677</v>
      </c>
      <c r="M135" s="28" t="s">
        <v>251</v>
      </c>
      <c r="N135" s="28" t="s">
        <v>330</v>
      </c>
      <c r="O135" s="28" t="s">
        <v>331</v>
      </c>
      <c r="P135" s="57" t="str">
        <f t="shared" si="6"/>
        <v>BC Caiaponia1SG60KTL(COM1-005)_001_01746012,520833333346012,520833333346012,5840277778</v>
      </c>
      <c r="Q135" s="57" t="str">
        <f t="shared" si="7"/>
        <v>DAURDE</v>
      </c>
    </row>
    <row r="136" spans="2:17" hidden="1">
      <c r="B136" s="28" t="s">
        <v>268</v>
      </c>
      <c r="C136" s="28" t="s">
        <v>274</v>
      </c>
      <c r="D136" s="55">
        <v>46012.520833333336</v>
      </c>
      <c r="E136" s="55">
        <v>46012.520833333336</v>
      </c>
      <c r="F136" s="55">
        <v>46012.584027777775</v>
      </c>
      <c r="G136" s="56">
        <f t="shared" si="5"/>
        <v>6.3194444439432118E-2</v>
      </c>
      <c r="H136" s="28" t="s">
        <v>248</v>
      </c>
      <c r="I136" s="28"/>
      <c r="J136" s="28" t="s">
        <v>249</v>
      </c>
      <c r="K136" s="28" t="s">
        <v>349</v>
      </c>
      <c r="L136" s="28" t="s">
        <v>677</v>
      </c>
      <c r="M136" s="28" t="s">
        <v>251</v>
      </c>
      <c r="N136" s="28" t="s">
        <v>330</v>
      </c>
      <c r="O136" s="28" t="s">
        <v>331</v>
      </c>
      <c r="P136" s="57" t="str">
        <f t="shared" si="6"/>
        <v>BC Caiaponia1SG60KTL(COM1-006)_001_01646012,520833333346012,520833333346012,5840277778</v>
      </c>
      <c r="Q136" s="57" t="str">
        <f t="shared" si="7"/>
        <v>DAURDE</v>
      </c>
    </row>
    <row r="137" spans="2:17" hidden="1">
      <c r="B137" s="28" t="s">
        <v>268</v>
      </c>
      <c r="C137" s="28" t="s">
        <v>275</v>
      </c>
      <c r="D137" s="55">
        <v>46012.520833333336</v>
      </c>
      <c r="E137" s="55">
        <v>46012.520833333336</v>
      </c>
      <c r="F137" s="55">
        <v>46012.584027777775</v>
      </c>
      <c r="G137" s="56">
        <f t="shared" si="5"/>
        <v>6.3194444439432118E-2</v>
      </c>
      <c r="H137" s="28" t="s">
        <v>248</v>
      </c>
      <c r="I137" s="28"/>
      <c r="J137" s="28" t="s">
        <v>249</v>
      </c>
      <c r="K137" s="28" t="s">
        <v>349</v>
      </c>
      <c r="L137" s="28" t="s">
        <v>677</v>
      </c>
      <c r="M137" s="28" t="s">
        <v>251</v>
      </c>
      <c r="N137" s="28" t="s">
        <v>330</v>
      </c>
      <c r="O137" s="28" t="s">
        <v>331</v>
      </c>
      <c r="P137" s="57" t="str">
        <f t="shared" si="6"/>
        <v>BC Caiaponia1SG60KTL(COM1-007)_001_01346012,520833333346012,520833333346012,5840277778</v>
      </c>
      <c r="Q137" s="57" t="str">
        <f t="shared" si="7"/>
        <v>DAURDE</v>
      </c>
    </row>
    <row r="138" spans="2:17" hidden="1">
      <c r="B138" s="28" t="s">
        <v>268</v>
      </c>
      <c r="C138" s="28" t="s">
        <v>276</v>
      </c>
      <c r="D138" s="55">
        <v>46012.520833333336</v>
      </c>
      <c r="E138" s="55">
        <v>46012.520833333336</v>
      </c>
      <c r="F138" s="55">
        <v>46012.584027777775</v>
      </c>
      <c r="G138" s="56">
        <f t="shared" si="5"/>
        <v>6.3194444439432118E-2</v>
      </c>
      <c r="H138" s="28" t="s">
        <v>248</v>
      </c>
      <c r="I138" s="28"/>
      <c r="J138" s="28" t="s">
        <v>249</v>
      </c>
      <c r="K138" s="28" t="s">
        <v>349</v>
      </c>
      <c r="L138" s="28" t="s">
        <v>677</v>
      </c>
      <c r="M138" s="28" t="s">
        <v>251</v>
      </c>
      <c r="N138" s="28" t="s">
        <v>330</v>
      </c>
      <c r="O138" s="28" t="s">
        <v>331</v>
      </c>
      <c r="P138" s="57" t="str">
        <f t="shared" si="6"/>
        <v>BC Caiaponia1SG60KTL(COM1-008)_001_00146012,520833333346012,520833333346012,5840277778</v>
      </c>
      <c r="Q138" s="57" t="str">
        <f t="shared" si="7"/>
        <v>DAURDE</v>
      </c>
    </row>
    <row r="139" spans="2:17" hidden="1">
      <c r="B139" s="28" t="s">
        <v>268</v>
      </c>
      <c r="C139" s="28" t="s">
        <v>277</v>
      </c>
      <c r="D139" s="55">
        <v>46012.520833333336</v>
      </c>
      <c r="E139" s="55">
        <v>46012.520833333336</v>
      </c>
      <c r="F139" s="55">
        <v>46012.584027777775</v>
      </c>
      <c r="G139" s="56">
        <f t="shared" si="5"/>
        <v>6.3194444439432118E-2</v>
      </c>
      <c r="H139" s="28" t="s">
        <v>248</v>
      </c>
      <c r="I139" s="28"/>
      <c r="J139" s="28" t="s">
        <v>249</v>
      </c>
      <c r="K139" s="28" t="s">
        <v>349</v>
      </c>
      <c r="L139" s="28" t="s">
        <v>677</v>
      </c>
      <c r="M139" s="28" t="s">
        <v>251</v>
      </c>
      <c r="N139" s="28" t="s">
        <v>330</v>
      </c>
      <c r="O139" s="28" t="s">
        <v>331</v>
      </c>
      <c r="P139" s="57" t="str">
        <f t="shared" si="6"/>
        <v>BC Caiaponia1SG60KTL(COM1-009)46012,520833333346012,520833333346012,5840277778</v>
      </c>
      <c r="Q139" s="57" t="str">
        <f t="shared" si="7"/>
        <v>DAURDE</v>
      </c>
    </row>
    <row r="140" spans="2:17" hidden="1">
      <c r="B140" s="28" t="s">
        <v>268</v>
      </c>
      <c r="C140" s="28" t="s">
        <v>278</v>
      </c>
      <c r="D140" s="55">
        <v>46012.520833333336</v>
      </c>
      <c r="E140" s="55">
        <v>46012.520833333336</v>
      </c>
      <c r="F140" s="55">
        <v>46012.584027777775</v>
      </c>
      <c r="G140" s="56">
        <f t="shared" si="5"/>
        <v>6.3194444439432118E-2</v>
      </c>
      <c r="H140" s="28" t="s">
        <v>248</v>
      </c>
      <c r="I140" s="28"/>
      <c r="J140" s="28" t="s">
        <v>249</v>
      </c>
      <c r="K140" s="28" t="s">
        <v>349</v>
      </c>
      <c r="L140" s="28" t="s">
        <v>677</v>
      </c>
      <c r="M140" s="28" t="s">
        <v>251</v>
      </c>
      <c r="N140" s="28" t="s">
        <v>330</v>
      </c>
      <c r="O140" s="28" t="s">
        <v>331</v>
      </c>
      <c r="P140" s="57" t="str">
        <f t="shared" si="6"/>
        <v>BC Caiaponia1SG60KTL(COM1-010)46012,520833333346012,520833333346012,5840277778</v>
      </c>
      <c r="Q140" s="57" t="str">
        <f t="shared" si="7"/>
        <v>DAURDE</v>
      </c>
    </row>
    <row r="141" spans="2:17" hidden="1">
      <c r="B141" s="28" t="s">
        <v>268</v>
      </c>
      <c r="C141" s="28" t="s">
        <v>279</v>
      </c>
      <c r="D141" s="55">
        <v>46012.520833333336</v>
      </c>
      <c r="E141" s="55">
        <v>46012.520833333336</v>
      </c>
      <c r="F141" s="55">
        <v>46012.584027777775</v>
      </c>
      <c r="G141" s="56">
        <f t="shared" si="5"/>
        <v>6.3194444439432118E-2</v>
      </c>
      <c r="H141" s="28" t="s">
        <v>248</v>
      </c>
      <c r="I141" s="28"/>
      <c r="J141" s="28" t="s">
        <v>249</v>
      </c>
      <c r="K141" s="28" t="s">
        <v>349</v>
      </c>
      <c r="L141" s="28" t="s">
        <v>677</v>
      </c>
      <c r="M141" s="28" t="s">
        <v>251</v>
      </c>
      <c r="N141" s="28" t="s">
        <v>330</v>
      </c>
      <c r="O141" s="28" t="s">
        <v>331</v>
      </c>
      <c r="P141" s="57" t="str">
        <f t="shared" si="6"/>
        <v>BC Caiaponia1SG60KTL(COM1-011)46012,520833333346012,520833333346012,5840277778</v>
      </c>
      <c r="Q141" s="57" t="str">
        <f t="shared" si="7"/>
        <v>DAURDE</v>
      </c>
    </row>
    <row r="142" spans="2:17" hidden="1">
      <c r="B142" s="28" t="s">
        <v>268</v>
      </c>
      <c r="C142" s="28" t="s">
        <v>280</v>
      </c>
      <c r="D142" s="55">
        <v>46012.520833333336</v>
      </c>
      <c r="E142" s="55">
        <v>46012.520833333336</v>
      </c>
      <c r="F142" s="55">
        <v>46012.584027777775</v>
      </c>
      <c r="G142" s="56">
        <f t="shared" si="5"/>
        <v>6.3194444439432118E-2</v>
      </c>
      <c r="H142" s="28" t="s">
        <v>248</v>
      </c>
      <c r="I142" s="28"/>
      <c r="J142" s="28" t="s">
        <v>249</v>
      </c>
      <c r="K142" s="28" t="s">
        <v>349</v>
      </c>
      <c r="L142" s="28" t="s">
        <v>677</v>
      </c>
      <c r="M142" s="28" t="s">
        <v>251</v>
      </c>
      <c r="N142" s="28" t="s">
        <v>330</v>
      </c>
      <c r="O142" s="28" t="s">
        <v>331</v>
      </c>
      <c r="P142" s="57" t="str">
        <f t="shared" si="6"/>
        <v>BC Caiaponia1SG60KTL(COM1-012)46012,520833333346012,520833333346012,5840277778</v>
      </c>
      <c r="Q142" s="57" t="str">
        <f t="shared" si="7"/>
        <v>DAURDE</v>
      </c>
    </row>
    <row r="143" spans="2:17" hidden="1">
      <c r="B143" s="28" t="s">
        <v>268</v>
      </c>
      <c r="C143" s="28" t="s">
        <v>281</v>
      </c>
      <c r="D143" s="55">
        <v>46012.520833333336</v>
      </c>
      <c r="E143" s="55">
        <v>46012.520833333336</v>
      </c>
      <c r="F143" s="55">
        <v>46012.584027777775</v>
      </c>
      <c r="G143" s="56">
        <f t="shared" si="5"/>
        <v>6.3194444439432118E-2</v>
      </c>
      <c r="H143" s="28" t="s">
        <v>248</v>
      </c>
      <c r="I143" s="28"/>
      <c r="J143" s="28" t="s">
        <v>249</v>
      </c>
      <c r="K143" s="28" t="s">
        <v>349</v>
      </c>
      <c r="L143" s="28" t="s">
        <v>677</v>
      </c>
      <c r="M143" s="28" t="s">
        <v>251</v>
      </c>
      <c r="N143" s="28" t="s">
        <v>330</v>
      </c>
      <c r="O143" s="28" t="s">
        <v>331</v>
      </c>
      <c r="P143" s="57" t="str">
        <f t="shared" si="6"/>
        <v>BC Caiaponia1SG60KTL(COM1-013)46012,520833333346012,520833333346012,5840277778</v>
      </c>
      <c r="Q143" s="57" t="str">
        <f t="shared" si="7"/>
        <v>DAURDE</v>
      </c>
    </row>
    <row r="144" spans="2:17" hidden="1">
      <c r="B144" s="28" t="s">
        <v>268</v>
      </c>
      <c r="C144" s="28" t="s">
        <v>282</v>
      </c>
      <c r="D144" s="55">
        <v>46012.520833333336</v>
      </c>
      <c r="E144" s="55">
        <v>46012.520833333336</v>
      </c>
      <c r="F144" s="55">
        <v>46012.584027777775</v>
      </c>
      <c r="G144" s="56">
        <f t="shared" si="5"/>
        <v>6.3194444439432118E-2</v>
      </c>
      <c r="H144" s="28" t="s">
        <v>248</v>
      </c>
      <c r="I144" s="28"/>
      <c r="J144" s="28" t="s">
        <v>249</v>
      </c>
      <c r="K144" s="28" t="s">
        <v>349</v>
      </c>
      <c r="L144" s="28" t="s">
        <v>677</v>
      </c>
      <c r="M144" s="28" t="s">
        <v>251</v>
      </c>
      <c r="N144" s="28" t="s">
        <v>330</v>
      </c>
      <c r="O144" s="28" t="s">
        <v>331</v>
      </c>
      <c r="P144" s="57" t="str">
        <f t="shared" si="6"/>
        <v>BC Caiaponia1SG60KTL(COM1-014)46012,520833333346012,520833333346012,5840277778</v>
      </c>
      <c r="Q144" s="57" t="str">
        <f t="shared" si="7"/>
        <v>DAURDE</v>
      </c>
    </row>
    <row r="145" spans="2:17" hidden="1">
      <c r="B145" s="28" t="s">
        <v>268</v>
      </c>
      <c r="C145" s="28" t="s">
        <v>283</v>
      </c>
      <c r="D145" s="55">
        <v>46012.520833333336</v>
      </c>
      <c r="E145" s="55">
        <v>46012.520833333336</v>
      </c>
      <c r="F145" s="55">
        <v>46012.584027777775</v>
      </c>
      <c r="G145" s="56">
        <f t="shared" si="5"/>
        <v>6.3194444439432118E-2</v>
      </c>
      <c r="H145" s="28" t="s">
        <v>248</v>
      </c>
      <c r="I145" s="28"/>
      <c r="J145" s="28" t="s">
        <v>249</v>
      </c>
      <c r="K145" s="28" t="s">
        <v>349</v>
      </c>
      <c r="L145" s="28" t="s">
        <v>677</v>
      </c>
      <c r="M145" s="28" t="s">
        <v>251</v>
      </c>
      <c r="N145" s="28" t="s">
        <v>330</v>
      </c>
      <c r="O145" s="28" t="s">
        <v>331</v>
      </c>
      <c r="P145" s="57" t="str">
        <f t="shared" si="6"/>
        <v>BC Caiaponia1SG60KTL(COM1-015)46012,520833333346012,520833333346012,5840277778</v>
      </c>
      <c r="Q145" s="57" t="str">
        <f t="shared" si="7"/>
        <v>DAURDE</v>
      </c>
    </row>
    <row r="146" spans="2:17" hidden="1">
      <c r="B146" s="28" t="s">
        <v>268</v>
      </c>
      <c r="C146" s="28" t="s">
        <v>284</v>
      </c>
      <c r="D146" s="55">
        <v>46012.520833333336</v>
      </c>
      <c r="E146" s="55">
        <v>46012.520833333336</v>
      </c>
      <c r="F146" s="55">
        <v>46012.584027777775</v>
      </c>
      <c r="G146" s="56">
        <f t="shared" si="5"/>
        <v>6.3194444439432118E-2</v>
      </c>
      <c r="H146" s="28" t="s">
        <v>248</v>
      </c>
      <c r="I146" s="28"/>
      <c r="J146" s="28" t="s">
        <v>249</v>
      </c>
      <c r="K146" s="28" t="s">
        <v>349</v>
      </c>
      <c r="L146" s="28" t="s">
        <v>677</v>
      </c>
      <c r="M146" s="28" t="s">
        <v>251</v>
      </c>
      <c r="N146" s="28" t="s">
        <v>330</v>
      </c>
      <c r="O146" s="28" t="s">
        <v>331</v>
      </c>
      <c r="P146" s="57" t="str">
        <f t="shared" si="6"/>
        <v>BC Caiaponia1SG60KTL(COM3-016)_001_00946012,520833333346012,520833333346012,5840277778</v>
      </c>
      <c r="Q146" s="57" t="str">
        <f t="shared" si="7"/>
        <v>DAURDE</v>
      </c>
    </row>
    <row r="147" spans="2:17" hidden="1">
      <c r="B147" s="28" t="s">
        <v>268</v>
      </c>
      <c r="C147" s="28" t="s">
        <v>285</v>
      </c>
      <c r="D147" s="55">
        <v>46012.520833333336</v>
      </c>
      <c r="E147" s="55">
        <v>46012.520833333336</v>
      </c>
      <c r="F147" s="55">
        <v>46012.584027777775</v>
      </c>
      <c r="G147" s="56">
        <f t="shared" si="5"/>
        <v>6.3194444439432118E-2</v>
      </c>
      <c r="H147" s="28" t="s">
        <v>248</v>
      </c>
      <c r="I147" s="28"/>
      <c r="J147" s="28" t="s">
        <v>249</v>
      </c>
      <c r="K147" s="28" t="s">
        <v>349</v>
      </c>
      <c r="L147" s="28" t="s">
        <v>677</v>
      </c>
      <c r="M147" s="28" t="s">
        <v>251</v>
      </c>
      <c r="N147" s="28" t="s">
        <v>330</v>
      </c>
      <c r="O147" s="28" t="s">
        <v>331</v>
      </c>
      <c r="P147" s="57" t="str">
        <f t="shared" si="6"/>
        <v>BC Caiaponia1SG60KTL(COM3-017)_001_01246012,520833333346012,520833333346012,5840277778</v>
      </c>
      <c r="Q147" s="57" t="str">
        <f t="shared" si="7"/>
        <v>DAURDE</v>
      </c>
    </row>
    <row r="148" spans="2:17" hidden="1">
      <c r="B148" s="28" t="s">
        <v>268</v>
      </c>
      <c r="C148" s="28" t="s">
        <v>286</v>
      </c>
      <c r="D148" s="55">
        <v>46012.520833333336</v>
      </c>
      <c r="E148" s="55">
        <v>46012.520833333336</v>
      </c>
      <c r="F148" s="55">
        <v>46012.584027777775</v>
      </c>
      <c r="G148" s="56">
        <f t="shared" si="5"/>
        <v>6.3194444439432118E-2</v>
      </c>
      <c r="H148" s="28" t="s">
        <v>248</v>
      </c>
      <c r="I148" s="28"/>
      <c r="J148" s="28" t="s">
        <v>249</v>
      </c>
      <c r="K148" s="28" t="s">
        <v>349</v>
      </c>
      <c r="L148" s="28" t="s">
        <v>677</v>
      </c>
      <c r="M148" s="28" t="s">
        <v>251</v>
      </c>
      <c r="N148" s="28" t="s">
        <v>330</v>
      </c>
      <c r="O148" s="28" t="s">
        <v>331</v>
      </c>
      <c r="P148" s="57" t="str">
        <f t="shared" si="6"/>
        <v>BC Caiaponia1SG60KTL(COM3-018)_001_00846012,520833333346012,520833333346012,5840277778</v>
      </c>
      <c r="Q148" s="57" t="str">
        <f t="shared" si="7"/>
        <v>DAURDE</v>
      </c>
    </row>
    <row r="149" spans="2:17" hidden="1">
      <c r="B149" s="28" t="s">
        <v>268</v>
      </c>
      <c r="C149" s="28" t="s">
        <v>287</v>
      </c>
      <c r="D149" s="55">
        <v>46012.520833333336</v>
      </c>
      <c r="E149" s="55">
        <v>46012.520833333336</v>
      </c>
      <c r="F149" s="55">
        <v>46012.584027777775</v>
      </c>
      <c r="G149" s="56">
        <f t="shared" si="5"/>
        <v>6.3194444439432118E-2</v>
      </c>
      <c r="H149" s="28" t="s">
        <v>248</v>
      </c>
      <c r="I149" s="28"/>
      <c r="J149" s="28" t="s">
        <v>249</v>
      </c>
      <c r="K149" s="28" t="s">
        <v>349</v>
      </c>
      <c r="L149" s="28" t="s">
        <v>677</v>
      </c>
      <c r="M149" s="28" t="s">
        <v>251</v>
      </c>
      <c r="N149" s="28" t="s">
        <v>330</v>
      </c>
      <c r="O149" s="28" t="s">
        <v>331</v>
      </c>
      <c r="P149" s="57" t="str">
        <f t="shared" si="6"/>
        <v>BC Caiaponia1SG60KTL(COM3-019)_001_01946012,520833333346012,520833333346012,5840277778</v>
      </c>
      <c r="Q149" s="57" t="str">
        <f t="shared" si="7"/>
        <v>DAURDE</v>
      </c>
    </row>
    <row r="150" spans="2:17" hidden="1">
      <c r="B150" s="28" t="s">
        <v>268</v>
      </c>
      <c r="C150" s="28" t="s">
        <v>288</v>
      </c>
      <c r="D150" s="55">
        <v>46012.520833333336</v>
      </c>
      <c r="E150" s="55">
        <v>46012.520833333336</v>
      </c>
      <c r="F150" s="55">
        <v>46012.584027777775</v>
      </c>
      <c r="G150" s="56">
        <f t="shared" si="5"/>
        <v>6.3194444439432118E-2</v>
      </c>
      <c r="H150" s="28" t="s">
        <v>248</v>
      </c>
      <c r="I150" s="28"/>
      <c r="J150" s="28" t="s">
        <v>249</v>
      </c>
      <c r="K150" s="28" t="s">
        <v>349</v>
      </c>
      <c r="L150" s="28" t="s">
        <v>677</v>
      </c>
      <c r="M150" s="28" t="s">
        <v>251</v>
      </c>
      <c r="N150" s="28" t="s">
        <v>330</v>
      </c>
      <c r="O150" s="28" t="s">
        <v>331</v>
      </c>
      <c r="P150" s="57" t="str">
        <f t="shared" si="6"/>
        <v>BC Caiaponia1SG60KTL(COM3-020)_001_02046012,520833333346012,520833333346012,5840277778</v>
      </c>
      <c r="Q150" s="57" t="str">
        <f t="shared" si="7"/>
        <v>DAURDE</v>
      </c>
    </row>
    <row r="151" spans="2:17" hidden="1">
      <c r="B151" s="28" t="s">
        <v>268</v>
      </c>
      <c r="C151" s="28" t="s">
        <v>289</v>
      </c>
      <c r="D151" s="55">
        <v>46012.520833333336</v>
      </c>
      <c r="E151" s="55">
        <v>46012.520833333336</v>
      </c>
      <c r="F151" s="55">
        <v>46012.584027777775</v>
      </c>
      <c r="G151" s="56">
        <f t="shared" si="5"/>
        <v>6.3194444439432118E-2</v>
      </c>
      <c r="H151" s="28" t="s">
        <v>248</v>
      </c>
      <c r="I151" s="28"/>
      <c r="J151" s="28" t="s">
        <v>249</v>
      </c>
      <c r="K151" s="28" t="s">
        <v>349</v>
      </c>
      <c r="L151" s="28" t="s">
        <v>677</v>
      </c>
      <c r="M151" s="28" t="s">
        <v>251</v>
      </c>
      <c r="N151" s="28" t="s">
        <v>330</v>
      </c>
      <c r="O151" s="28" t="s">
        <v>331</v>
      </c>
      <c r="P151" s="57" t="str">
        <f t="shared" si="6"/>
        <v>BC Caiaponia1SG60KTL(COM2-026)46012,520833333346012,520833333346012,5840277778</v>
      </c>
      <c r="Q151" s="57" t="str">
        <f t="shared" si="7"/>
        <v>DAURDE</v>
      </c>
    </row>
    <row r="152" spans="2:17" hidden="1">
      <c r="B152" s="28" t="s">
        <v>268</v>
      </c>
      <c r="C152" s="28" t="s">
        <v>290</v>
      </c>
      <c r="D152" s="55">
        <v>46012.520833333336</v>
      </c>
      <c r="E152" s="55">
        <v>46012.520833333336</v>
      </c>
      <c r="F152" s="55">
        <v>46012.584027777775</v>
      </c>
      <c r="G152" s="56">
        <f t="shared" si="5"/>
        <v>6.3194444439432118E-2</v>
      </c>
      <c r="H152" s="28" t="s">
        <v>248</v>
      </c>
      <c r="I152" s="28"/>
      <c r="J152" s="28" t="s">
        <v>249</v>
      </c>
      <c r="K152" s="28" t="s">
        <v>349</v>
      </c>
      <c r="L152" s="28" t="s">
        <v>677</v>
      </c>
      <c r="M152" s="28" t="s">
        <v>251</v>
      </c>
      <c r="N152" s="28" t="s">
        <v>330</v>
      </c>
      <c r="O152" s="28" t="s">
        <v>331</v>
      </c>
      <c r="P152" s="57" t="str">
        <f t="shared" si="6"/>
        <v>BC Caiaponia1SG60KTL(COM2-027)46012,520833333346012,520833333346012,5840277778</v>
      </c>
      <c r="Q152" s="57" t="str">
        <f t="shared" si="7"/>
        <v>DAURDE</v>
      </c>
    </row>
    <row r="153" spans="2:17" hidden="1">
      <c r="B153" s="28" t="s">
        <v>268</v>
      </c>
      <c r="C153" s="28" t="s">
        <v>291</v>
      </c>
      <c r="D153" s="55">
        <v>46012.520833333336</v>
      </c>
      <c r="E153" s="55">
        <v>46012.520833333336</v>
      </c>
      <c r="F153" s="55">
        <v>46012.584027777775</v>
      </c>
      <c r="G153" s="56">
        <f t="shared" si="5"/>
        <v>6.3194444439432118E-2</v>
      </c>
      <c r="H153" s="28" t="s">
        <v>248</v>
      </c>
      <c r="I153" s="28"/>
      <c r="J153" s="28" t="s">
        <v>249</v>
      </c>
      <c r="K153" s="28" t="s">
        <v>349</v>
      </c>
      <c r="L153" s="28" t="s">
        <v>677</v>
      </c>
      <c r="M153" s="28" t="s">
        <v>251</v>
      </c>
      <c r="N153" s="28" t="s">
        <v>330</v>
      </c>
      <c r="O153" s="28" t="s">
        <v>331</v>
      </c>
      <c r="P153" s="57" t="str">
        <f t="shared" si="6"/>
        <v>BC Caiaponia1SG60KTL(COM2-028)46012,520833333346012,520833333346012,5840277778</v>
      </c>
      <c r="Q153" s="57" t="str">
        <f t="shared" si="7"/>
        <v>DAURDE</v>
      </c>
    </row>
    <row r="154" spans="2:17" hidden="1">
      <c r="B154" s="28" t="s">
        <v>268</v>
      </c>
      <c r="C154" s="28" t="s">
        <v>292</v>
      </c>
      <c r="D154" s="55">
        <v>46012.520833333336</v>
      </c>
      <c r="E154" s="55">
        <v>46012.520833333336</v>
      </c>
      <c r="F154" s="55">
        <v>46012.584027777775</v>
      </c>
      <c r="G154" s="56">
        <f t="shared" si="5"/>
        <v>6.3194444439432118E-2</v>
      </c>
      <c r="H154" s="28" t="s">
        <v>248</v>
      </c>
      <c r="I154" s="28"/>
      <c r="J154" s="28" t="s">
        <v>249</v>
      </c>
      <c r="K154" s="28" t="s">
        <v>349</v>
      </c>
      <c r="L154" s="28" t="s">
        <v>677</v>
      </c>
      <c r="M154" s="28" t="s">
        <v>251</v>
      </c>
      <c r="N154" s="28" t="s">
        <v>330</v>
      </c>
      <c r="O154" s="28" t="s">
        <v>331</v>
      </c>
      <c r="P154" s="57" t="str">
        <f t="shared" si="6"/>
        <v>BC Caiaponia1SG60KTL(COM2-029)46012,520833333346012,520833333346012,5840277778</v>
      </c>
      <c r="Q154" s="57" t="str">
        <f t="shared" si="7"/>
        <v>DAURDE</v>
      </c>
    </row>
    <row r="155" spans="2:17" hidden="1">
      <c r="B155" s="28" t="s">
        <v>268</v>
      </c>
      <c r="C155" s="28" t="s">
        <v>293</v>
      </c>
      <c r="D155" s="55">
        <v>46012.520833333336</v>
      </c>
      <c r="E155" s="55">
        <v>46012.520833333336</v>
      </c>
      <c r="F155" s="55">
        <v>46012.584027777775</v>
      </c>
      <c r="G155" s="56">
        <f t="shared" si="5"/>
        <v>6.3194444439432118E-2</v>
      </c>
      <c r="H155" s="28" t="s">
        <v>248</v>
      </c>
      <c r="I155" s="28"/>
      <c r="J155" s="28" t="s">
        <v>249</v>
      </c>
      <c r="K155" s="28" t="s">
        <v>349</v>
      </c>
      <c r="L155" s="28" t="s">
        <v>677</v>
      </c>
      <c r="M155" s="28" t="s">
        <v>251</v>
      </c>
      <c r="N155" s="28" t="s">
        <v>330</v>
      </c>
      <c r="O155" s="28" t="s">
        <v>331</v>
      </c>
      <c r="P155" s="57" t="str">
        <f t="shared" si="6"/>
        <v>BC Caiaponia1SG50CX(COM1-021)46012,520833333346012,520833333346012,5840277778</v>
      </c>
      <c r="Q155" s="57" t="str">
        <f t="shared" si="7"/>
        <v>DAURDE</v>
      </c>
    </row>
    <row r="156" spans="2:17" hidden="1">
      <c r="B156" s="28" t="s">
        <v>268</v>
      </c>
      <c r="C156" s="28" t="s">
        <v>294</v>
      </c>
      <c r="D156" s="55">
        <v>46012.520833333336</v>
      </c>
      <c r="E156" s="55">
        <v>46012.520833333336</v>
      </c>
      <c r="F156" s="55">
        <v>46012.584027777775</v>
      </c>
      <c r="G156" s="56">
        <f t="shared" si="5"/>
        <v>6.3194444439432118E-2</v>
      </c>
      <c r="H156" s="28" t="s">
        <v>248</v>
      </c>
      <c r="I156" s="28"/>
      <c r="J156" s="28" t="s">
        <v>249</v>
      </c>
      <c r="K156" s="28" t="s">
        <v>349</v>
      </c>
      <c r="L156" s="28" t="s">
        <v>677</v>
      </c>
      <c r="M156" s="28" t="s">
        <v>251</v>
      </c>
      <c r="N156" s="28" t="s">
        <v>330</v>
      </c>
      <c r="O156" s="28" t="s">
        <v>331</v>
      </c>
      <c r="P156" s="57" t="str">
        <f t="shared" si="6"/>
        <v>BC Caiaponia1SG50CX(COM1-022)46012,520833333346012,520833333346012,5840277778</v>
      </c>
      <c r="Q156" s="57" t="str">
        <f t="shared" si="7"/>
        <v>DAURDE</v>
      </c>
    </row>
    <row r="157" spans="2:17" hidden="1">
      <c r="B157" s="28" t="s">
        <v>268</v>
      </c>
      <c r="C157" s="28" t="s">
        <v>295</v>
      </c>
      <c r="D157" s="55">
        <v>46012.520833333336</v>
      </c>
      <c r="E157" s="55">
        <v>46012.520833333336</v>
      </c>
      <c r="F157" s="55">
        <v>46012.584027777775</v>
      </c>
      <c r="G157" s="56">
        <f t="shared" si="5"/>
        <v>6.3194444439432118E-2</v>
      </c>
      <c r="H157" s="28" t="s">
        <v>248</v>
      </c>
      <c r="I157" s="28"/>
      <c r="J157" s="28" t="s">
        <v>249</v>
      </c>
      <c r="K157" s="28" t="s">
        <v>349</v>
      </c>
      <c r="L157" s="28" t="s">
        <v>677</v>
      </c>
      <c r="M157" s="28" t="s">
        <v>251</v>
      </c>
      <c r="N157" s="28" t="s">
        <v>330</v>
      </c>
      <c r="O157" s="28" t="s">
        <v>331</v>
      </c>
      <c r="P157" s="57" t="str">
        <f t="shared" si="6"/>
        <v>BC Caiaponia1SG50CX(COM1-023)46012,520833333346012,520833333346012,5840277778</v>
      </c>
      <c r="Q157" s="57" t="str">
        <f t="shared" si="7"/>
        <v>DAURDE</v>
      </c>
    </row>
    <row r="158" spans="2:17" hidden="1">
      <c r="B158" s="28" t="s">
        <v>268</v>
      </c>
      <c r="C158" s="28" t="s">
        <v>296</v>
      </c>
      <c r="D158" s="55">
        <v>46012.520833333336</v>
      </c>
      <c r="E158" s="55">
        <v>46012.520833333336</v>
      </c>
      <c r="F158" s="55">
        <v>46012.584027777775</v>
      </c>
      <c r="G158" s="56">
        <f t="shared" si="5"/>
        <v>6.3194444439432118E-2</v>
      </c>
      <c r="H158" s="28" t="s">
        <v>248</v>
      </c>
      <c r="I158" s="28"/>
      <c r="J158" s="28" t="s">
        <v>249</v>
      </c>
      <c r="K158" s="28" t="s">
        <v>349</v>
      </c>
      <c r="L158" s="28" t="s">
        <v>677</v>
      </c>
      <c r="M158" s="28" t="s">
        <v>251</v>
      </c>
      <c r="N158" s="28" t="s">
        <v>330</v>
      </c>
      <c r="O158" s="28" t="s">
        <v>331</v>
      </c>
      <c r="P158" s="57" t="str">
        <f t="shared" si="6"/>
        <v>BC Caiaponia1SG50CX(COM1-024)46012,520833333346012,520833333346012,5840277778</v>
      </c>
      <c r="Q158" s="57" t="str">
        <f t="shared" si="7"/>
        <v>DAURDE</v>
      </c>
    </row>
    <row r="159" spans="2:17" hidden="1">
      <c r="B159" s="28" t="s">
        <v>268</v>
      </c>
      <c r="C159" s="28" t="s">
        <v>297</v>
      </c>
      <c r="D159" s="55">
        <v>46012.520833333336</v>
      </c>
      <c r="E159" s="55">
        <v>46012.520833333336</v>
      </c>
      <c r="F159" s="55">
        <v>46012.584027777775</v>
      </c>
      <c r="G159" s="56">
        <f t="shared" si="5"/>
        <v>6.3194444439432118E-2</v>
      </c>
      <c r="H159" s="28" t="s">
        <v>248</v>
      </c>
      <c r="I159" s="28"/>
      <c r="J159" s="28" t="s">
        <v>249</v>
      </c>
      <c r="K159" s="28" t="s">
        <v>349</v>
      </c>
      <c r="L159" s="28" t="s">
        <v>677</v>
      </c>
      <c r="M159" s="28" t="s">
        <v>251</v>
      </c>
      <c r="N159" s="28" t="s">
        <v>330</v>
      </c>
      <c r="O159" s="28" t="s">
        <v>331</v>
      </c>
      <c r="P159" s="57" t="str">
        <f t="shared" si="6"/>
        <v>BC Caiaponia1SG50CX(COM1-025)46012,520833333346012,520833333346012,5840277778</v>
      </c>
      <c r="Q159" s="57" t="str">
        <f t="shared" si="7"/>
        <v>DAURDE</v>
      </c>
    </row>
    <row r="160" spans="2:17" hidden="1">
      <c r="B160" s="28" t="s">
        <v>382</v>
      </c>
      <c r="C160" s="28" t="s">
        <v>328</v>
      </c>
      <c r="D160" s="55">
        <v>46011.166666666664</v>
      </c>
      <c r="E160" s="55">
        <v>46011.166666666664</v>
      </c>
      <c r="F160" s="55">
        <v>46011.350694444445</v>
      </c>
      <c r="G160" s="56">
        <f t="shared" si="5"/>
        <v>0.18402777778101154</v>
      </c>
      <c r="H160" s="28" t="s">
        <v>248</v>
      </c>
      <c r="I160" s="28"/>
      <c r="J160" s="28" t="s">
        <v>249</v>
      </c>
      <c r="K160" s="28" t="s">
        <v>349</v>
      </c>
      <c r="L160" s="28" t="s">
        <v>716</v>
      </c>
      <c r="M160" s="28" t="s">
        <v>251</v>
      </c>
      <c r="N160" s="28" t="s">
        <v>330</v>
      </c>
      <c r="O160" s="28" t="s">
        <v>331</v>
      </c>
      <c r="P160" s="57" t="str">
        <f t="shared" si="6"/>
        <v>BC Camarao1.1Inverter(MBUS-1)46011,166666666746011,166666666746011,3506944444</v>
      </c>
      <c r="Q160" s="57" t="str">
        <f t="shared" si="7"/>
        <v>DAURDE</v>
      </c>
    </row>
    <row r="161" spans="2:17" hidden="1">
      <c r="B161" s="28" t="s">
        <v>382</v>
      </c>
      <c r="C161" s="28" t="s">
        <v>247</v>
      </c>
      <c r="D161" s="55">
        <v>46011.166666666664</v>
      </c>
      <c r="E161" s="55">
        <v>46011.166666666664</v>
      </c>
      <c r="F161" s="55">
        <v>46011.350694444445</v>
      </c>
      <c r="G161" s="56">
        <f t="shared" si="5"/>
        <v>0.18402777778101154</v>
      </c>
      <c r="H161" s="28" t="s">
        <v>248</v>
      </c>
      <c r="I161" s="28"/>
      <c r="J161" s="28" t="s">
        <v>249</v>
      </c>
      <c r="K161" s="28" t="s">
        <v>349</v>
      </c>
      <c r="L161" s="28" t="s">
        <v>716</v>
      </c>
      <c r="M161" s="28" t="s">
        <v>251</v>
      </c>
      <c r="N161" s="28" t="s">
        <v>330</v>
      </c>
      <c r="O161" s="28" t="s">
        <v>331</v>
      </c>
      <c r="P161" s="57" t="str">
        <f t="shared" si="6"/>
        <v>BC Camarao1.1215KTL-H3(MBUS-12)46011,166666666746011,166666666746011,3506944444</v>
      </c>
      <c r="Q161" s="57" t="str">
        <f t="shared" si="7"/>
        <v>DAURDE</v>
      </c>
    </row>
    <row r="162" spans="2:17" hidden="1">
      <c r="B162" s="28" t="s">
        <v>382</v>
      </c>
      <c r="C162" s="28" t="s">
        <v>254</v>
      </c>
      <c r="D162" s="55">
        <v>46011.166666666664</v>
      </c>
      <c r="E162" s="55">
        <v>46011.166666666664</v>
      </c>
      <c r="F162" s="55">
        <v>46011.350694444445</v>
      </c>
      <c r="G162" s="56">
        <f t="shared" si="5"/>
        <v>0.18402777778101154</v>
      </c>
      <c r="H162" s="28" t="s">
        <v>248</v>
      </c>
      <c r="I162" s="28"/>
      <c r="J162" s="28" t="s">
        <v>249</v>
      </c>
      <c r="K162" s="28" t="s">
        <v>349</v>
      </c>
      <c r="L162" s="28" t="s">
        <v>716</v>
      </c>
      <c r="M162" s="28" t="s">
        <v>251</v>
      </c>
      <c r="N162" s="28" t="s">
        <v>330</v>
      </c>
      <c r="O162" s="28" t="s">
        <v>331</v>
      </c>
      <c r="P162" s="57" t="str">
        <f t="shared" si="6"/>
        <v>BC Camarao1.1215KTL-H3(MBUS-13)46011,166666666746011,166666666746011,3506944444</v>
      </c>
      <c r="Q162" s="57" t="str">
        <f t="shared" si="7"/>
        <v>DAURDE</v>
      </c>
    </row>
    <row r="163" spans="2:17" hidden="1">
      <c r="B163" s="28" t="s">
        <v>382</v>
      </c>
      <c r="C163" s="28" t="s">
        <v>257</v>
      </c>
      <c r="D163" s="55">
        <v>46011.166666666664</v>
      </c>
      <c r="E163" s="55">
        <v>46011.166666666664</v>
      </c>
      <c r="F163" s="55">
        <v>46011.350694444445</v>
      </c>
      <c r="G163" s="56">
        <f t="shared" si="5"/>
        <v>0.18402777778101154</v>
      </c>
      <c r="H163" s="28" t="s">
        <v>248</v>
      </c>
      <c r="I163" s="28"/>
      <c r="J163" s="28" t="s">
        <v>249</v>
      </c>
      <c r="K163" s="28" t="s">
        <v>349</v>
      </c>
      <c r="L163" s="28" t="s">
        <v>716</v>
      </c>
      <c r="M163" s="28" t="s">
        <v>251</v>
      </c>
      <c r="N163" s="28" t="s">
        <v>330</v>
      </c>
      <c r="O163" s="28" t="s">
        <v>331</v>
      </c>
      <c r="P163" s="57" t="str">
        <f t="shared" si="6"/>
        <v>BC Camarao1.1215KTL-H3(MBUS-16)46011,166666666746011,166666666746011,3506944444</v>
      </c>
      <c r="Q163" s="57" t="str">
        <f t="shared" si="7"/>
        <v>DAURDE</v>
      </c>
    </row>
    <row r="164" spans="2:17" hidden="1">
      <c r="B164" s="28" t="s">
        <v>382</v>
      </c>
      <c r="C164" s="28" t="s">
        <v>256</v>
      </c>
      <c r="D164" s="55">
        <v>46011.166666666664</v>
      </c>
      <c r="E164" s="55">
        <v>46011.166666666664</v>
      </c>
      <c r="F164" s="55">
        <v>46011.350694444445</v>
      </c>
      <c r="G164" s="56">
        <f t="shared" si="5"/>
        <v>0.18402777778101154</v>
      </c>
      <c r="H164" s="28" t="s">
        <v>248</v>
      </c>
      <c r="I164" s="28"/>
      <c r="J164" s="28" t="s">
        <v>249</v>
      </c>
      <c r="K164" s="28" t="s">
        <v>349</v>
      </c>
      <c r="L164" s="28" t="s">
        <v>716</v>
      </c>
      <c r="M164" s="28" t="s">
        <v>251</v>
      </c>
      <c r="N164" s="28" t="s">
        <v>330</v>
      </c>
      <c r="O164" s="28" t="s">
        <v>331</v>
      </c>
      <c r="P164" s="57" t="str">
        <f t="shared" si="6"/>
        <v>BC Camarao1.1215KTL-H3(MBUS-15)46011,166666666746011,166666666746011,3506944444</v>
      </c>
      <c r="Q164" s="57" t="str">
        <f t="shared" si="7"/>
        <v>DAURDE</v>
      </c>
    </row>
    <row r="165" spans="2:17" hidden="1">
      <c r="B165" s="1" t="s">
        <v>644</v>
      </c>
      <c r="C165" s="1" t="s">
        <v>328</v>
      </c>
      <c r="D165" s="52">
        <v>45994.333333333336</v>
      </c>
      <c r="E165" s="52">
        <v>45994.333333333336</v>
      </c>
      <c r="F165" s="52">
        <v>45994.402777777781</v>
      </c>
      <c r="G165" s="53">
        <f t="shared" si="5"/>
        <v>6.9444444445252884E-2</v>
      </c>
      <c r="H165" s="1" t="s">
        <v>343</v>
      </c>
      <c r="J165" s="1" t="s">
        <v>230</v>
      </c>
      <c r="K165" s="1" t="s">
        <v>230</v>
      </c>
      <c r="L165" s="1" t="s">
        <v>697</v>
      </c>
      <c r="M165" s="1" t="s">
        <v>302</v>
      </c>
      <c r="N165" s="1" t="s">
        <v>345</v>
      </c>
      <c r="O165" s="1" t="s">
        <v>698</v>
      </c>
      <c r="P165" s="1" t="str">
        <f t="shared" si="6"/>
        <v>BC Vazante2.2Inverter(MBUS-1)45994,333333333345994,333333333345994,4027777778</v>
      </c>
      <c r="Q165" s="1" t="str">
        <f t="shared" si="7"/>
        <v>DPRUFV</v>
      </c>
    </row>
    <row r="166" spans="2:17" hidden="1">
      <c r="B166" s="1" t="s">
        <v>644</v>
      </c>
      <c r="C166" s="1" t="s">
        <v>717</v>
      </c>
      <c r="D166" s="52">
        <v>45994.333333333336</v>
      </c>
      <c r="E166" s="52">
        <v>45994.333333333336</v>
      </c>
      <c r="F166" s="52">
        <v>45994.402777777781</v>
      </c>
      <c r="G166" s="53">
        <f t="shared" si="5"/>
        <v>6.9444444445252884E-2</v>
      </c>
      <c r="H166" s="1" t="s">
        <v>343</v>
      </c>
      <c r="J166" s="1" t="s">
        <v>230</v>
      </c>
      <c r="K166" s="1" t="s">
        <v>230</v>
      </c>
      <c r="L166" s="1" t="s">
        <v>697</v>
      </c>
      <c r="M166" s="1" t="s">
        <v>302</v>
      </c>
      <c r="N166" s="1" t="s">
        <v>345</v>
      </c>
      <c r="O166" s="1" t="s">
        <v>698</v>
      </c>
      <c r="P166" s="1" t="str">
        <f t="shared" si="6"/>
        <v>BC Vazante2.2Inverter(MBUS-6)45994,333333333345994,333333333345994,4027777778</v>
      </c>
      <c r="Q166" s="1" t="str">
        <f t="shared" si="7"/>
        <v>DPRUFV</v>
      </c>
    </row>
    <row r="167" spans="2:17" hidden="1">
      <c r="B167" s="1" t="s">
        <v>644</v>
      </c>
      <c r="C167" s="1" t="s">
        <v>718</v>
      </c>
      <c r="D167" s="52">
        <v>45994.333333333336</v>
      </c>
      <c r="E167" s="52">
        <v>45994.333333333336</v>
      </c>
      <c r="F167" s="52">
        <v>45994.402777777781</v>
      </c>
      <c r="G167" s="53">
        <f t="shared" si="5"/>
        <v>6.9444444445252884E-2</v>
      </c>
      <c r="H167" s="1" t="s">
        <v>343</v>
      </c>
      <c r="J167" s="1" t="s">
        <v>230</v>
      </c>
      <c r="K167" s="1" t="s">
        <v>230</v>
      </c>
      <c r="L167" s="1" t="s">
        <v>697</v>
      </c>
      <c r="M167" s="1" t="s">
        <v>302</v>
      </c>
      <c r="N167" s="1" t="s">
        <v>345</v>
      </c>
      <c r="O167" s="1" t="s">
        <v>698</v>
      </c>
      <c r="P167" s="1" t="str">
        <f t="shared" si="6"/>
        <v>BC Vazante2.2Inverter(MBUS-7)45994,333333333345994,333333333345994,4027777778</v>
      </c>
      <c r="Q167" s="1" t="str">
        <f t="shared" si="7"/>
        <v>DPRUFV</v>
      </c>
    </row>
    <row r="168" spans="2:17" hidden="1">
      <c r="B168" s="1" t="s">
        <v>644</v>
      </c>
      <c r="C168" s="1" t="s">
        <v>719</v>
      </c>
      <c r="D168" s="52">
        <v>45994.333333333336</v>
      </c>
      <c r="E168" s="52">
        <v>45994.333333333336</v>
      </c>
      <c r="F168" s="52">
        <v>45994.402777777781</v>
      </c>
      <c r="G168" s="53">
        <f t="shared" si="5"/>
        <v>6.9444444445252884E-2</v>
      </c>
      <c r="H168" s="1" t="s">
        <v>343</v>
      </c>
      <c r="J168" s="1" t="s">
        <v>230</v>
      </c>
      <c r="K168" s="1" t="s">
        <v>230</v>
      </c>
      <c r="L168" s="1" t="s">
        <v>697</v>
      </c>
      <c r="M168" s="1" t="s">
        <v>302</v>
      </c>
      <c r="N168" s="1" t="s">
        <v>345</v>
      </c>
      <c r="O168" s="1" t="s">
        <v>698</v>
      </c>
      <c r="P168" s="1" t="str">
        <f t="shared" si="6"/>
        <v>BC Vazante2.2Inverter(MBUS-8)45994,333333333345994,333333333345994,4027777778</v>
      </c>
      <c r="Q168" s="1" t="str">
        <f t="shared" si="7"/>
        <v>DPRUFV</v>
      </c>
    </row>
    <row r="169" spans="2:17" hidden="1">
      <c r="B169" s="1" t="s">
        <v>644</v>
      </c>
      <c r="C169" s="1" t="s">
        <v>720</v>
      </c>
      <c r="D169" s="52">
        <v>45994.333333333336</v>
      </c>
      <c r="E169" s="52">
        <v>45994.333333333336</v>
      </c>
      <c r="F169" s="52">
        <v>45994.402777777781</v>
      </c>
      <c r="G169" s="53">
        <f t="shared" si="5"/>
        <v>6.9444444445252884E-2</v>
      </c>
      <c r="H169" s="1" t="s">
        <v>343</v>
      </c>
      <c r="J169" s="1" t="s">
        <v>230</v>
      </c>
      <c r="K169" s="1" t="s">
        <v>230</v>
      </c>
      <c r="L169" s="1" t="s">
        <v>697</v>
      </c>
      <c r="M169" s="1" t="s">
        <v>302</v>
      </c>
      <c r="N169" s="1" t="s">
        <v>345</v>
      </c>
      <c r="O169" s="1" t="s">
        <v>698</v>
      </c>
      <c r="P169" s="1" t="str">
        <f t="shared" si="6"/>
        <v>BC Vazante2.2Inverter(MBUS-10)45994,333333333345994,333333333345994,4027777778</v>
      </c>
      <c r="Q169" s="1" t="str">
        <f t="shared" si="7"/>
        <v>DPRUFV</v>
      </c>
    </row>
    <row r="170" spans="2:17" hidden="1">
      <c r="B170" s="1" t="s">
        <v>696</v>
      </c>
      <c r="C170" s="1" t="s">
        <v>328</v>
      </c>
      <c r="D170" s="52">
        <v>45994.548611111109</v>
      </c>
      <c r="E170" s="52">
        <v>45994.548611111109</v>
      </c>
      <c r="F170" s="52">
        <v>45994.680555555555</v>
      </c>
      <c r="G170" s="53">
        <f t="shared" si="5"/>
        <v>0.13194444444525288</v>
      </c>
      <c r="H170" s="1" t="s">
        <v>343</v>
      </c>
      <c r="J170" s="1" t="s">
        <v>337</v>
      </c>
      <c r="K170" s="1" t="str">
        <f>_xlfn.XLOOKUP(J170,REF!$D$2:$D$12,REF!$E$2:$E$12)</f>
        <v>Transformador</v>
      </c>
      <c r="L170" s="1" t="s">
        <v>680</v>
      </c>
      <c r="M170" s="1" t="s">
        <v>302</v>
      </c>
      <c r="N170" s="1" t="s">
        <v>345</v>
      </c>
      <c r="O170" s="1" t="s">
        <v>681</v>
      </c>
      <c r="P170" s="1" t="str">
        <f t="shared" si="6"/>
        <v>BC Vazante2.1Inverter(MBUS-1)45994,548611111145994,548611111145994,6805555556</v>
      </c>
      <c r="Q170" s="1" t="str">
        <f t="shared" si="7"/>
        <v>DPRTRF</v>
      </c>
    </row>
    <row r="171" spans="2:17" hidden="1">
      <c r="B171" s="1" t="s">
        <v>696</v>
      </c>
      <c r="C171" s="1" t="s">
        <v>699</v>
      </c>
      <c r="D171" s="52">
        <v>45994.548611111109</v>
      </c>
      <c r="E171" s="52">
        <v>45994.548611111109</v>
      </c>
      <c r="F171" s="52">
        <v>45994.680555555555</v>
      </c>
      <c r="G171" s="53">
        <f t="shared" si="5"/>
        <v>0.13194444444525288</v>
      </c>
      <c r="H171" s="1" t="s">
        <v>343</v>
      </c>
      <c r="J171" s="1" t="s">
        <v>337</v>
      </c>
      <c r="K171" s="1" t="str">
        <f>_xlfn.XLOOKUP(J171,REF!$D$2:$D$12,REF!$E$2:$E$12)</f>
        <v>Transformador</v>
      </c>
      <c r="L171" s="1" t="s">
        <v>680</v>
      </c>
      <c r="M171" s="1" t="s">
        <v>302</v>
      </c>
      <c r="N171" s="1" t="s">
        <v>345</v>
      </c>
      <c r="O171" s="1" t="s">
        <v>681</v>
      </c>
      <c r="P171" s="1" t="str">
        <f t="shared" si="6"/>
        <v>BC Vazante2.1Inverter(MBUS-2)45994,548611111145994,548611111145994,6805555556</v>
      </c>
      <c r="Q171" s="1" t="str">
        <f t="shared" si="7"/>
        <v>DPRTRF</v>
      </c>
    </row>
    <row r="172" spans="2:17" hidden="1">
      <c r="B172" s="1" t="s">
        <v>696</v>
      </c>
      <c r="C172" s="1" t="s">
        <v>700</v>
      </c>
      <c r="D172" s="52">
        <v>45994.548611111109</v>
      </c>
      <c r="E172" s="52">
        <v>45994.548611111109</v>
      </c>
      <c r="F172" s="52">
        <v>45994.680555555555</v>
      </c>
      <c r="G172" s="53">
        <f t="shared" si="5"/>
        <v>0.13194444444525288</v>
      </c>
      <c r="H172" s="1" t="s">
        <v>343</v>
      </c>
      <c r="J172" s="1" t="s">
        <v>337</v>
      </c>
      <c r="K172" s="1" t="str">
        <f>_xlfn.XLOOKUP(J172,REF!$D$2:$D$12,REF!$E$2:$E$12)</f>
        <v>Transformador</v>
      </c>
      <c r="L172" s="1" t="s">
        <v>680</v>
      </c>
      <c r="M172" s="1" t="s">
        <v>302</v>
      </c>
      <c r="N172" s="1" t="s">
        <v>345</v>
      </c>
      <c r="O172" s="1" t="s">
        <v>681</v>
      </c>
      <c r="P172" s="1" t="str">
        <f t="shared" si="6"/>
        <v>BC Vazante2.1Inverter(MBUS-4)45994,548611111145994,548611111145994,6805555556</v>
      </c>
      <c r="Q172" s="1" t="str">
        <f t="shared" si="7"/>
        <v>DPRTRF</v>
      </c>
    </row>
    <row r="173" spans="2:17" hidden="1">
      <c r="B173" s="1" t="s">
        <v>696</v>
      </c>
      <c r="C173" s="1" t="s">
        <v>701</v>
      </c>
      <c r="D173" s="52">
        <v>45994.548611111109</v>
      </c>
      <c r="E173" s="52">
        <v>45994.548611111109</v>
      </c>
      <c r="F173" s="52">
        <v>45994.680555555555</v>
      </c>
      <c r="G173" s="53">
        <f t="shared" si="5"/>
        <v>0.13194444444525288</v>
      </c>
      <c r="H173" s="1" t="s">
        <v>343</v>
      </c>
      <c r="J173" s="1" t="s">
        <v>337</v>
      </c>
      <c r="K173" s="1" t="str">
        <f>_xlfn.XLOOKUP(J173,REF!$D$2:$D$12,REF!$E$2:$E$12)</f>
        <v>Transformador</v>
      </c>
      <c r="L173" s="1" t="s">
        <v>680</v>
      </c>
      <c r="M173" s="1" t="s">
        <v>302</v>
      </c>
      <c r="N173" s="1" t="s">
        <v>345</v>
      </c>
      <c r="O173" s="1" t="s">
        <v>681</v>
      </c>
      <c r="P173" s="1" t="str">
        <f t="shared" si="6"/>
        <v>BC Vazante2.1Inverter(MBUS-5)45994,548611111145994,548611111145994,6805555556</v>
      </c>
      <c r="Q173" s="1" t="str">
        <f t="shared" si="7"/>
        <v>DPRTRF</v>
      </c>
    </row>
    <row r="174" spans="2:17" hidden="1">
      <c r="B174" s="1" t="s">
        <v>696</v>
      </c>
      <c r="C174" s="1" t="s">
        <v>354</v>
      </c>
      <c r="D174" s="52">
        <v>45994.548611111109</v>
      </c>
      <c r="E174" s="52">
        <v>45994.548611111109</v>
      </c>
      <c r="F174" s="52">
        <v>45994.680555555555</v>
      </c>
      <c r="G174" s="53">
        <f t="shared" si="5"/>
        <v>0.13194444444525288</v>
      </c>
      <c r="H174" s="1" t="s">
        <v>343</v>
      </c>
      <c r="J174" s="1" t="s">
        <v>337</v>
      </c>
      <c r="K174" s="1" t="str">
        <f>_xlfn.XLOOKUP(J174,REF!$D$2:$D$12,REF!$E$2:$E$12)</f>
        <v>Transformador</v>
      </c>
      <c r="L174" s="1" t="s">
        <v>680</v>
      </c>
      <c r="M174" s="1" t="s">
        <v>302</v>
      </c>
      <c r="N174" s="1" t="s">
        <v>345</v>
      </c>
      <c r="O174" s="1" t="s">
        <v>681</v>
      </c>
      <c r="P174" s="1" t="str">
        <f t="shared" si="6"/>
        <v>BC Vazante2.1Inverter(MBUS-12)45994,548611111145994,548611111145994,6805555556</v>
      </c>
      <c r="Q174" s="1" t="str">
        <f t="shared" si="7"/>
        <v>DPRTRF</v>
      </c>
    </row>
    <row r="175" spans="2:17" hidden="1">
      <c r="B175" s="1" t="s">
        <v>259</v>
      </c>
      <c r="C175" s="1" t="s">
        <v>247</v>
      </c>
      <c r="D175" s="52">
        <v>45994.6875</v>
      </c>
      <c r="E175" s="52">
        <v>45994.6875</v>
      </c>
      <c r="F175" s="52">
        <v>45995.333333333336</v>
      </c>
      <c r="G175" s="53">
        <f t="shared" si="5"/>
        <v>0.64583333333575865</v>
      </c>
      <c r="H175" s="1" t="s">
        <v>343</v>
      </c>
      <c r="J175" s="1" t="s">
        <v>300</v>
      </c>
      <c r="K175" s="1" t="str">
        <f>_xlfn.XLOOKUP(J175,REF!$D$2:$D$12,REF!$E$2:$E$12)</f>
        <v>Inversor</v>
      </c>
      <c r="L175" s="1" t="s">
        <v>721</v>
      </c>
      <c r="M175" s="1" t="s">
        <v>375</v>
      </c>
      <c r="N175" s="1" t="s">
        <v>266</v>
      </c>
      <c r="O175" s="1" t="s">
        <v>722</v>
      </c>
      <c r="P175" s="1" t="str">
        <f t="shared" si="6"/>
        <v>BC Caiaponia2.3215KTL-H3(MBUS-12)45994,687545994,687545995,3333333333</v>
      </c>
      <c r="Q175" s="1" t="str">
        <f t="shared" si="7"/>
        <v>DPRINV</v>
      </c>
    </row>
    <row r="176" spans="2:17" hidden="1">
      <c r="B176" s="1" t="s">
        <v>259</v>
      </c>
      <c r="C176" s="1" t="s">
        <v>254</v>
      </c>
      <c r="D176" s="52">
        <v>45994.6875</v>
      </c>
      <c r="E176" s="52">
        <v>45994.6875</v>
      </c>
      <c r="F176" s="52">
        <v>45995.333333333336</v>
      </c>
      <c r="G176" s="53">
        <f t="shared" si="5"/>
        <v>0.64583333333575865</v>
      </c>
      <c r="H176" s="1" t="s">
        <v>343</v>
      </c>
      <c r="J176" s="1" t="s">
        <v>300</v>
      </c>
      <c r="K176" s="1" t="str">
        <f>_xlfn.XLOOKUP(J176,REF!$D$2:$D$12,REF!$E$2:$E$12)</f>
        <v>Inversor</v>
      </c>
      <c r="L176" s="1" t="s">
        <v>721</v>
      </c>
      <c r="M176" s="1" t="s">
        <v>375</v>
      </c>
      <c r="N176" s="1" t="s">
        <v>266</v>
      </c>
      <c r="O176" s="1" t="s">
        <v>722</v>
      </c>
      <c r="P176" s="1" t="str">
        <f t="shared" si="6"/>
        <v>BC Caiaponia2.3215KTL-H3(MBUS-13)45994,687545994,687545995,3333333333</v>
      </c>
      <c r="Q176" s="1" t="str">
        <f t="shared" si="7"/>
        <v>DPRINV</v>
      </c>
    </row>
    <row r="177" spans="2:17" hidden="1">
      <c r="B177" s="1" t="s">
        <v>259</v>
      </c>
      <c r="C177" s="1" t="s">
        <v>255</v>
      </c>
      <c r="D177" s="52">
        <v>45994.6875</v>
      </c>
      <c r="E177" s="52">
        <v>45994.6875</v>
      </c>
      <c r="F177" s="52">
        <v>45995.333333333336</v>
      </c>
      <c r="G177" s="53">
        <f t="shared" si="5"/>
        <v>0.64583333333575865</v>
      </c>
      <c r="H177" s="1" t="s">
        <v>343</v>
      </c>
      <c r="J177" s="1" t="s">
        <v>300</v>
      </c>
      <c r="K177" s="1" t="str">
        <f>_xlfn.XLOOKUP(J177,REF!$D$2:$D$12,REF!$E$2:$E$12)</f>
        <v>Inversor</v>
      </c>
      <c r="L177" s="1" t="s">
        <v>721</v>
      </c>
      <c r="M177" s="1" t="s">
        <v>375</v>
      </c>
      <c r="N177" s="1" t="s">
        <v>266</v>
      </c>
      <c r="O177" s="1" t="s">
        <v>722</v>
      </c>
      <c r="P177" s="1" t="str">
        <f t="shared" si="6"/>
        <v>BC Caiaponia2.3215KTL-H3(MBUS-14)45994,687545994,687545995,3333333333</v>
      </c>
      <c r="Q177" s="1" t="str">
        <f t="shared" si="7"/>
        <v>DPRINV</v>
      </c>
    </row>
    <row r="178" spans="2:17" hidden="1">
      <c r="B178" s="1" t="s">
        <v>259</v>
      </c>
      <c r="C178" s="1" t="s">
        <v>256</v>
      </c>
      <c r="D178" s="52">
        <v>45994.6875</v>
      </c>
      <c r="E178" s="52">
        <v>45994.6875</v>
      </c>
      <c r="F178" s="52">
        <v>45995.333333333336</v>
      </c>
      <c r="G178" s="53">
        <f t="shared" si="5"/>
        <v>0.64583333333575865</v>
      </c>
      <c r="H178" s="1" t="s">
        <v>343</v>
      </c>
      <c r="J178" s="1" t="s">
        <v>300</v>
      </c>
      <c r="K178" s="1" t="str">
        <f>_xlfn.XLOOKUP(J178,REF!$D$2:$D$12,REF!$E$2:$E$12)</f>
        <v>Inversor</v>
      </c>
      <c r="L178" s="1" t="s">
        <v>721</v>
      </c>
      <c r="M178" s="1" t="s">
        <v>375</v>
      </c>
      <c r="N178" s="1" t="s">
        <v>266</v>
      </c>
      <c r="O178" s="1" t="s">
        <v>722</v>
      </c>
      <c r="P178" s="1" t="str">
        <f t="shared" si="6"/>
        <v>BC Caiaponia2.3215KTL-H3(MBUS-15)45994,687545994,687545995,3333333333</v>
      </c>
      <c r="Q178" s="1" t="str">
        <f t="shared" si="7"/>
        <v>DPRINV</v>
      </c>
    </row>
    <row r="179" spans="2:17" hidden="1">
      <c r="B179" s="1" t="s">
        <v>259</v>
      </c>
      <c r="C179" s="1" t="s">
        <v>257</v>
      </c>
      <c r="D179" s="52">
        <v>45994.6875</v>
      </c>
      <c r="E179" s="52">
        <v>45994.6875</v>
      </c>
      <c r="F179" s="52">
        <v>45995.333333333336</v>
      </c>
      <c r="G179" s="53">
        <f t="shared" si="5"/>
        <v>0.64583333333575865</v>
      </c>
      <c r="H179" s="1" t="s">
        <v>343</v>
      </c>
      <c r="J179" s="1" t="s">
        <v>300</v>
      </c>
      <c r="K179" s="1" t="str">
        <f>_xlfn.XLOOKUP(J179,REF!$D$2:$D$12,REF!$E$2:$E$12)</f>
        <v>Inversor</v>
      </c>
      <c r="L179" s="1" t="s">
        <v>721</v>
      </c>
      <c r="M179" s="1" t="s">
        <v>375</v>
      </c>
      <c r="N179" s="1" t="s">
        <v>266</v>
      </c>
      <c r="O179" s="1" t="s">
        <v>722</v>
      </c>
      <c r="P179" s="1" t="str">
        <f t="shared" si="6"/>
        <v>BC Caiaponia2.3215KTL-H3(MBUS-16)45994,687545994,687545995,3333333333</v>
      </c>
      <c r="Q179" s="1" t="str">
        <f t="shared" si="7"/>
        <v>DPRINV</v>
      </c>
    </row>
    <row r="180" spans="2:17" hidden="1">
      <c r="B180" s="1" t="s">
        <v>394</v>
      </c>
      <c r="C180" s="1" t="s">
        <v>400</v>
      </c>
      <c r="D180" s="52">
        <v>45995.291666666664</v>
      </c>
      <c r="E180" s="52">
        <v>45995.291666666664</v>
      </c>
      <c r="F180" s="52">
        <v>45995.302083333336</v>
      </c>
      <c r="G180" s="53">
        <f t="shared" si="5"/>
        <v>1.0416666671517305E-2</v>
      </c>
      <c r="H180" s="1" t="s">
        <v>248</v>
      </c>
      <c r="J180" s="1" t="s">
        <v>249</v>
      </c>
      <c r="K180" s="1" t="s">
        <v>349</v>
      </c>
      <c r="L180" s="1" t="s">
        <v>672</v>
      </c>
      <c r="M180" s="1" t="s">
        <v>251</v>
      </c>
      <c r="N180" s="1" t="s">
        <v>252</v>
      </c>
      <c r="O180" s="1" t="s">
        <v>723</v>
      </c>
      <c r="P180" s="1" t="str">
        <f t="shared" si="6"/>
        <v>BC Corumba1.1U01.I0245995,291666666745995,291666666745995,3020833333</v>
      </c>
      <c r="Q180" s="1" t="str">
        <f t="shared" si="7"/>
        <v>DAURDE</v>
      </c>
    </row>
    <row r="181" spans="2:17" hidden="1">
      <c r="B181" s="1" t="s">
        <v>394</v>
      </c>
      <c r="C181" s="1" t="s">
        <v>401</v>
      </c>
      <c r="D181" s="52">
        <v>45995.291666666664</v>
      </c>
      <c r="E181" s="52">
        <v>45995.291666666664</v>
      </c>
      <c r="F181" s="52">
        <v>45995.302083333336</v>
      </c>
      <c r="G181" s="53">
        <f t="shared" si="5"/>
        <v>1.0416666671517305E-2</v>
      </c>
      <c r="H181" s="1" t="s">
        <v>248</v>
      </c>
      <c r="J181" s="1" t="s">
        <v>249</v>
      </c>
      <c r="K181" s="1" t="s">
        <v>349</v>
      </c>
      <c r="L181" s="1" t="s">
        <v>672</v>
      </c>
      <c r="M181" s="1" t="s">
        <v>251</v>
      </c>
      <c r="N181" s="1" t="s">
        <v>252</v>
      </c>
      <c r="O181" s="1" t="s">
        <v>723</v>
      </c>
      <c r="P181" s="1" t="str">
        <f t="shared" si="6"/>
        <v>BC Corumba1.1U01.I0345995,291666666745995,291666666745995,3020833333</v>
      </c>
      <c r="Q181" s="1" t="str">
        <f t="shared" si="7"/>
        <v>DAURDE</v>
      </c>
    </row>
    <row r="182" spans="2:17" hidden="1">
      <c r="B182" s="1" t="s">
        <v>394</v>
      </c>
      <c r="C182" s="1" t="s">
        <v>402</v>
      </c>
      <c r="D182" s="52">
        <v>45995.291666666664</v>
      </c>
      <c r="E182" s="52">
        <v>45995.291666666664</v>
      </c>
      <c r="F182" s="52">
        <v>45995.302083333336</v>
      </c>
      <c r="G182" s="53">
        <f t="shared" si="5"/>
        <v>1.0416666671517305E-2</v>
      </c>
      <c r="H182" s="1" t="s">
        <v>248</v>
      </c>
      <c r="J182" s="1" t="s">
        <v>249</v>
      </c>
      <c r="K182" s="1" t="s">
        <v>349</v>
      </c>
      <c r="L182" s="1" t="s">
        <v>672</v>
      </c>
      <c r="M182" s="1" t="s">
        <v>251</v>
      </c>
      <c r="N182" s="1" t="s">
        <v>252</v>
      </c>
      <c r="O182" s="1" t="s">
        <v>723</v>
      </c>
      <c r="P182" s="1" t="str">
        <f t="shared" si="6"/>
        <v>BC Corumba1.1U01.I0445995,291666666745995,291666666745995,3020833333</v>
      </c>
      <c r="Q182" s="1" t="str">
        <f t="shared" si="7"/>
        <v>DAURDE</v>
      </c>
    </row>
    <row r="183" spans="2:17" hidden="1">
      <c r="B183" s="1" t="s">
        <v>394</v>
      </c>
      <c r="C183" s="1" t="s">
        <v>403</v>
      </c>
      <c r="D183" s="52">
        <v>45995.291666666664</v>
      </c>
      <c r="E183" s="52">
        <v>45995.291666666664</v>
      </c>
      <c r="F183" s="52">
        <v>45995.302083333336</v>
      </c>
      <c r="G183" s="53">
        <f t="shared" si="5"/>
        <v>1.0416666671517305E-2</v>
      </c>
      <c r="H183" s="1" t="s">
        <v>248</v>
      </c>
      <c r="J183" s="1" t="s">
        <v>249</v>
      </c>
      <c r="K183" s="1" t="s">
        <v>349</v>
      </c>
      <c r="L183" s="1" t="s">
        <v>672</v>
      </c>
      <c r="M183" s="1" t="s">
        <v>251</v>
      </c>
      <c r="N183" s="1" t="s">
        <v>252</v>
      </c>
      <c r="O183" s="1" t="s">
        <v>723</v>
      </c>
      <c r="P183" s="1" t="str">
        <f t="shared" si="6"/>
        <v>BC Corumba1.1U01.I0545995,291666666745995,291666666745995,3020833333</v>
      </c>
      <c r="Q183" s="1" t="str">
        <f t="shared" si="7"/>
        <v>DAURDE</v>
      </c>
    </row>
    <row r="184" spans="2:17" hidden="1">
      <c r="B184" s="1" t="s">
        <v>406</v>
      </c>
      <c r="C184" s="1" t="s">
        <v>408</v>
      </c>
      <c r="D184" s="52">
        <v>45995.291666666664</v>
      </c>
      <c r="E184" s="52">
        <v>45995.291666666664</v>
      </c>
      <c r="F184" s="52">
        <v>45995.302083333336</v>
      </c>
      <c r="G184" s="53">
        <f t="shared" si="5"/>
        <v>1.0416666671517305E-2</v>
      </c>
      <c r="H184" s="1" t="s">
        <v>248</v>
      </c>
      <c r="J184" s="1" t="s">
        <v>249</v>
      </c>
      <c r="K184" s="1" t="s">
        <v>349</v>
      </c>
      <c r="L184" s="1" t="s">
        <v>672</v>
      </c>
      <c r="M184" s="1" t="s">
        <v>251</v>
      </c>
      <c r="N184" s="1" t="s">
        <v>252</v>
      </c>
      <c r="O184" s="1" t="s">
        <v>723</v>
      </c>
      <c r="P184" s="1" t="str">
        <f t="shared" si="6"/>
        <v>BC Corumba1.2U02.I0245995,291666666745995,291666666745995,3020833333</v>
      </c>
      <c r="Q184" s="1" t="str">
        <f t="shared" si="7"/>
        <v>DAURDE</v>
      </c>
    </row>
    <row r="185" spans="2:17" hidden="1">
      <c r="B185" s="1" t="s">
        <v>406</v>
      </c>
      <c r="C185" s="1" t="s">
        <v>407</v>
      </c>
      <c r="D185" s="52">
        <v>45995.291666666664</v>
      </c>
      <c r="E185" s="52">
        <v>45995.291666666664</v>
      </c>
      <c r="F185" s="52">
        <v>45995.302083333336</v>
      </c>
      <c r="G185" s="53">
        <f t="shared" si="5"/>
        <v>1.0416666671517305E-2</v>
      </c>
      <c r="H185" s="1" t="s">
        <v>248</v>
      </c>
      <c r="J185" s="1" t="s">
        <v>249</v>
      </c>
      <c r="K185" s="1" t="s">
        <v>349</v>
      </c>
      <c r="L185" s="1" t="s">
        <v>672</v>
      </c>
      <c r="M185" s="1" t="s">
        <v>251</v>
      </c>
      <c r="N185" s="1" t="s">
        <v>252</v>
      </c>
      <c r="O185" s="1" t="s">
        <v>723</v>
      </c>
      <c r="P185" s="1" t="str">
        <f t="shared" si="6"/>
        <v>BC Corumba1.2U02.I0145995,291666666745995,291666666745995,3020833333</v>
      </c>
      <c r="Q185" s="1" t="str">
        <f t="shared" si="7"/>
        <v>DAURDE</v>
      </c>
    </row>
    <row r="186" spans="2:17" hidden="1">
      <c r="B186" s="1" t="s">
        <v>406</v>
      </c>
      <c r="C186" s="1" t="s">
        <v>409</v>
      </c>
      <c r="D186" s="52">
        <v>45995.291666666664</v>
      </c>
      <c r="E186" s="52">
        <v>45995.291666666664</v>
      </c>
      <c r="F186" s="52">
        <v>45995.302083333336</v>
      </c>
      <c r="G186" s="53">
        <f t="shared" si="5"/>
        <v>1.0416666671517305E-2</v>
      </c>
      <c r="H186" s="1" t="s">
        <v>248</v>
      </c>
      <c r="J186" s="1" t="s">
        <v>249</v>
      </c>
      <c r="K186" s="1" t="s">
        <v>349</v>
      </c>
      <c r="L186" s="1" t="s">
        <v>672</v>
      </c>
      <c r="M186" s="1" t="s">
        <v>251</v>
      </c>
      <c r="N186" s="1" t="s">
        <v>252</v>
      </c>
      <c r="O186" s="1" t="s">
        <v>723</v>
      </c>
      <c r="P186" s="1" t="str">
        <f t="shared" si="6"/>
        <v>BC Corumba1.2U02.I0345995,291666666745995,291666666745995,3020833333</v>
      </c>
      <c r="Q186" s="1" t="str">
        <f t="shared" si="7"/>
        <v>DAURDE</v>
      </c>
    </row>
    <row r="187" spans="2:17" hidden="1">
      <c r="B187" s="1" t="s">
        <v>406</v>
      </c>
      <c r="C187" s="1" t="s">
        <v>411</v>
      </c>
      <c r="D187" s="52">
        <v>45995.291666666664</v>
      </c>
      <c r="E187" s="52">
        <v>45995.291666666664</v>
      </c>
      <c r="F187" s="52">
        <v>45995.302083333336</v>
      </c>
      <c r="G187" s="53">
        <f t="shared" si="5"/>
        <v>1.0416666671517305E-2</v>
      </c>
      <c r="H187" s="1" t="s">
        <v>248</v>
      </c>
      <c r="J187" s="1" t="s">
        <v>249</v>
      </c>
      <c r="K187" s="1" t="s">
        <v>349</v>
      </c>
      <c r="L187" s="1" t="s">
        <v>672</v>
      </c>
      <c r="M187" s="1" t="s">
        <v>251</v>
      </c>
      <c r="N187" s="1" t="s">
        <v>252</v>
      </c>
      <c r="O187" s="1" t="s">
        <v>723</v>
      </c>
      <c r="P187" s="1" t="str">
        <f t="shared" si="6"/>
        <v>BC Corumba1.2U02.I0545995,291666666745995,291666666745995,3020833333</v>
      </c>
      <c r="Q187" s="1" t="str">
        <f t="shared" si="7"/>
        <v>DAURDE</v>
      </c>
    </row>
    <row r="188" spans="2:17" hidden="1">
      <c r="B188" s="1" t="s">
        <v>406</v>
      </c>
      <c r="C188" s="1" t="s">
        <v>410</v>
      </c>
      <c r="D188" s="52">
        <v>45995.291666666664</v>
      </c>
      <c r="E188" s="52">
        <v>45995.291666666664</v>
      </c>
      <c r="F188" s="52">
        <v>45995.302083333336</v>
      </c>
      <c r="G188" s="53">
        <f t="shared" ref="G188:G251" si="8">F188-E188</f>
        <v>1.0416666671517305E-2</v>
      </c>
      <c r="H188" s="1" t="s">
        <v>248</v>
      </c>
      <c r="J188" s="1" t="s">
        <v>249</v>
      </c>
      <c r="K188" s="1" t="s">
        <v>349</v>
      </c>
      <c r="L188" s="1" t="s">
        <v>672</v>
      </c>
      <c r="M188" s="1" t="s">
        <v>251</v>
      </c>
      <c r="N188" s="1" t="s">
        <v>252</v>
      </c>
      <c r="O188" s="1" t="s">
        <v>723</v>
      </c>
      <c r="P188" s="1" t="str">
        <f t="shared" si="6"/>
        <v>BC Corumba1.2U02.I0445995,291666666745995,291666666745995,3020833333</v>
      </c>
      <c r="Q188" s="1" t="str">
        <f t="shared" si="7"/>
        <v>DAURDE</v>
      </c>
    </row>
    <row r="189" spans="2:17" hidden="1">
      <c r="B189" s="1" t="s">
        <v>412</v>
      </c>
      <c r="C189" s="1" t="s">
        <v>413</v>
      </c>
      <c r="D189" s="52">
        <v>45995.291666666664</v>
      </c>
      <c r="E189" s="52">
        <v>45995.291666666664</v>
      </c>
      <c r="F189" s="52">
        <v>45995.302083333336</v>
      </c>
      <c r="G189" s="53">
        <f t="shared" si="8"/>
        <v>1.0416666671517305E-2</v>
      </c>
      <c r="H189" s="1" t="s">
        <v>248</v>
      </c>
      <c r="J189" s="1" t="s">
        <v>249</v>
      </c>
      <c r="K189" s="1" t="s">
        <v>349</v>
      </c>
      <c r="L189" s="1" t="s">
        <v>672</v>
      </c>
      <c r="M189" s="1" t="s">
        <v>251</v>
      </c>
      <c r="N189" s="1" t="s">
        <v>252</v>
      </c>
      <c r="O189" s="1" t="s">
        <v>723</v>
      </c>
      <c r="P189" s="1" t="str">
        <f t="shared" si="6"/>
        <v>BC Corumba1.3U03.I0145995,291666666745995,291666666745995,3020833333</v>
      </c>
      <c r="Q189" s="1" t="str">
        <f t="shared" si="7"/>
        <v>DAURDE</v>
      </c>
    </row>
    <row r="190" spans="2:17" hidden="1">
      <c r="B190" s="1" t="s">
        <v>412</v>
      </c>
      <c r="C190" s="1" t="s">
        <v>415</v>
      </c>
      <c r="D190" s="52">
        <v>45995.291666666664</v>
      </c>
      <c r="E190" s="52">
        <v>45995.291666666664</v>
      </c>
      <c r="F190" s="52">
        <v>45995.302083333336</v>
      </c>
      <c r="G190" s="53">
        <f t="shared" si="8"/>
        <v>1.0416666671517305E-2</v>
      </c>
      <c r="H190" s="1" t="s">
        <v>248</v>
      </c>
      <c r="J190" s="1" t="s">
        <v>249</v>
      </c>
      <c r="K190" s="1" t="s">
        <v>349</v>
      </c>
      <c r="L190" s="1" t="s">
        <v>672</v>
      </c>
      <c r="M190" s="1" t="s">
        <v>251</v>
      </c>
      <c r="N190" s="1" t="s">
        <v>252</v>
      </c>
      <c r="O190" s="1" t="s">
        <v>723</v>
      </c>
      <c r="P190" s="1" t="str">
        <f t="shared" si="6"/>
        <v>BC Corumba1.3U03.I0345995,291666666745995,291666666745995,3020833333</v>
      </c>
      <c r="Q190" s="1" t="str">
        <f t="shared" si="7"/>
        <v>DAURDE</v>
      </c>
    </row>
    <row r="191" spans="2:17" hidden="1">
      <c r="B191" s="1" t="s">
        <v>412</v>
      </c>
      <c r="C191" s="1" t="s">
        <v>414</v>
      </c>
      <c r="D191" s="52">
        <v>45995.291666666664</v>
      </c>
      <c r="E191" s="52">
        <v>45995.291666666664</v>
      </c>
      <c r="F191" s="52">
        <v>45995.302083333336</v>
      </c>
      <c r="G191" s="53">
        <f t="shared" si="8"/>
        <v>1.0416666671517305E-2</v>
      </c>
      <c r="H191" s="1" t="s">
        <v>248</v>
      </c>
      <c r="J191" s="1" t="s">
        <v>249</v>
      </c>
      <c r="K191" s="1" t="s">
        <v>349</v>
      </c>
      <c r="L191" s="1" t="s">
        <v>672</v>
      </c>
      <c r="M191" s="1" t="s">
        <v>251</v>
      </c>
      <c r="N191" s="1" t="s">
        <v>252</v>
      </c>
      <c r="O191" s="1" t="s">
        <v>723</v>
      </c>
      <c r="P191" s="1" t="str">
        <f t="shared" si="6"/>
        <v>BC Corumba1.3U03.I0245995,291666666745995,291666666745995,3020833333</v>
      </c>
      <c r="Q191" s="1" t="str">
        <f t="shared" si="7"/>
        <v>DAURDE</v>
      </c>
    </row>
    <row r="192" spans="2:17" hidden="1">
      <c r="B192" s="1" t="s">
        <v>416</v>
      </c>
      <c r="C192" s="1" t="s">
        <v>358</v>
      </c>
      <c r="D192" s="52">
        <v>45995.291666666664</v>
      </c>
      <c r="E192" s="52">
        <v>45995.291666666664</v>
      </c>
      <c r="F192" s="52">
        <v>45995.302083333336</v>
      </c>
      <c r="G192" s="53">
        <f t="shared" si="8"/>
        <v>1.0416666671517305E-2</v>
      </c>
      <c r="H192" s="1" t="s">
        <v>248</v>
      </c>
      <c r="J192" s="1" t="s">
        <v>249</v>
      </c>
      <c r="K192" s="1" t="s">
        <v>349</v>
      </c>
      <c r="L192" s="1" t="s">
        <v>672</v>
      </c>
      <c r="M192" s="1" t="s">
        <v>251</v>
      </c>
      <c r="N192" s="1" t="s">
        <v>252</v>
      </c>
      <c r="O192" s="1" t="s">
        <v>723</v>
      </c>
      <c r="P192" s="1" t="str">
        <f t="shared" si="6"/>
        <v>BC Corumba2.1Inverter(MBUS-14)45995,291666666745995,291666666745995,3020833333</v>
      </c>
      <c r="Q192" s="1" t="str">
        <f t="shared" si="7"/>
        <v>DAURDE</v>
      </c>
    </row>
    <row r="193" spans="2:17" hidden="1">
      <c r="B193" s="1" t="s">
        <v>416</v>
      </c>
      <c r="C193" s="1" t="s">
        <v>359</v>
      </c>
      <c r="D193" s="52">
        <v>45995.291666666664</v>
      </c>
      <c r="E193" s="52">
        <v>45995.291666666664</v>
      </c>
      <c r="F193" s="52">
        <v>45995.302083333336</v>
      </c>
      <c r="G193" s="53">
        <f t="shared" si="8"/>
        <v>1.0416666671517305E-2</v>
      </c>
      <c r="H193" s="1" t="s">
        <v>248</v>
      </c>
      <c r="J193" s="1" t="s">
        <v>249</v>
      </c>
      <c r="K193" s="1" t="s">
        <v>349</v>
      </c>
      <c r="L193" s="1" t="s">
        <v>672</v>
      </c>
      <c r="M193" s="1" t="s">
        <v>251</v>
      </c>
      <c r="N193" s="1" t="s">
        <v>252</v>
      </c>
      <c r="O193" s="1" t="s">
        <v>723</v>
      </c>
      <c r="P193" s="1" t="str">
        <f t="shared" si="6"/>
        <v>BC Corumba2.1Inverter(MBUS-15)45995,291666666745995,291666666745995,3020833333</v>
      </c>
      <c r="Q193" s="1" t="str">
        <f t="shared" si="7"/>
        <v>DAURDE</v>
      </c>
    </row>
    <row r="194" spans="2:17" hidden="1">
      <c r="B194" s="1" t="s">
        <v>416</v>
      </c>
      <c r="C194" s="1" t="s">
        <v>386</v>
      </c>
      <c r="D194" s="52">
        <v>45995.291666666664</v>
      </c>
      <c r="E194" s="52">
        <v>45995.291666666664</v>
      </c>
      <c r="F194" s="52">
        <v>45995.302083333336</v>
      </c>
      <c r="G194" s="53">
        <f t="shared" si="8"/>
        <v>1.0416666671517305E-2</v>
      </c>
      <c r="H194" s="1" t="s">
        <v>248</v>
      </c>
      <c r="J194" s="1" t="s">
        <v>249</v>
      </c>
      <c r="K194" s="1" t="s">
        <v>349</v>
      </c>
      <c r="L194" s="1" t="s">
        <v>672</v>
      </c>
      <c r="M194" s="1" t="s">
        <v>251</v>
      </c>
      <c r="N194" s="1" t="s">
        <v>252</v>
      </c>
      <c r="O194" s="1" t="s">
        <v>723</v>
      </c>
      <c r="P194" s="1" t="str">
        <f t="shared" si="6"/>
        <v>BC Corumba2.1Inverter(MBUS-16)45995,291666666745995,291666666745995,3020833333</v>
      </c>
      <c r="Q194" s="1" t="str">
        <f t="shared" si="7"/>
        <v>DAURDE</v>
      </c>
    </row>
    <row r="195" spans="2:17" hidden="1">
      <c r="B195" s="1" t="s">
        <v>416</v>
      </c>
      <c r="C195" s="1" t="s">
        <v>417</v>
      </c>
      <c r="D195" s="52">
        <v>45995.291666666664</v>
      </c>
      <c r="E195" s="52">
        <v>45995.291666666664</v>
      </c>
      <c r="F195" s="52">
        <v>45995.302083333336</v>
      </c>
      <c r="G195" s="53">
        <f t="shared" si="8"/>
        <v>1.0416666671517305E-2</v>
      </c>
      <c r="H195" s="1" t="s">
        <v>248</v>
      </c>
      <c r="J195" s="1" t="s">
        <v>249</v>
      </c>
      <c r="K195" s="1" t="s">
        <v>349</v>
      </c>
      <c r="L195" s="1" t="s">
        <v>672</v>
      </c>
      <c r="M195" s="1" t="s">
        <v>251</v>
      </c>
      <c r="N195" s="1" t="s">
        <v>252</v>
      </c>
      <c r="O195" s="1" t="s">
        <v>723</v>
      </c>
      <c r="P195" s="1" t="str">
        <f t="shared" ref="P195:P258" si="9">_xlfn.CONCAT(B195,C195,D195,E195,F195)</f>
        <v>BC Corumba2.1U01. I0145995,291666666745995,291666666745995,3020833333</v>
      </c>
      <c r="Q195" s="1" t="str">
        <f t="shared" ref="Q195:Q258" si="10">_xlfn.CONCAT(H195,I195,J195)</f>
        <v>DAURDE</v>
      </c>
    </row>
    <row r="196" spans="2:17" hidden="1">
      <c r="B196" s="1" t="s">
        <v>416</v>
      </c>
      <c r="C196" s="1" t="s">
        <v>418</v>
      </c>
      <c r="D196" s="52">
        <v>45995.291666666664</v>
      </c>
      <c r="E196" s="52">
        <v>45995.291666666664</v>
      </c>
      <c r="F196" s="52">
        <v>45995.302083333336</v>
      </c>
      <c r="G196" s="53">
        <f t="shared" si="8"/>
        <v>1.0416666671517305E-2</v>
      </c>
      <c r="H196" s="1" t="s">
        <v>248</v>
      </c>
      <c r="J196" s="1" t="s">
        <v>249</v>
      </c>
      <c r="K196" s="1" t="s">
        <v>349</v>
      </c>
      <c r="L196" s="1" t="s">
        <v>672</v>
      </c>
      <c r="M196" s="1" t="s">
        <v>251</v>
      </c>
      <c r="N196" s="1" t="s">
        <v>252</v>
      </c>
      <c r="O196" s="1" t="s">
        <v>723</v>
      </c>
      <c r="P196" s="1" t="str">
        <f t="shared" si="9"/>
        <v>BC Corumba2.1U01. I0245995,291666666745995,291666666745995,3020833333</v>
      </c>
      <c r="Q196" s="1" t="str">
        <f t="shared" si="10"/>
        <v>DAURDE</v>
      </c>
    </row>
    <row r="197" spans="2:17" hidden="1">
      <c r="B197" s="1" t="s">
        <v>419</v>
      </c>
      <c r="C197" s="1" t="s">
        <v>407</v>
      </c>
      <c r="D197" s="52">
        <v>45995.291666666664</v>
      </c>
      <c r="E197" s="52">
        <v>45995.291666666664</v>
      </c>
      <c r="F197" s="52">
        <v>45995.302083333336</v>
      </c>
      <c r="G197" s="53">
        <f t="shared" si="8"/>
        <v>1.0416666671517305E-2</v>
      </c>
      <c r="H197" s="1" t="s">
        <v>248</v>
      </c>
      <c r="J197" s="1" t="s">
        <v>249</v>
      </c>
      <c r="K197" s="1" t="s">
        <v>349</v>
      </c>
      <c r="L197" s="1" t="s">
        <v>672</v>
      </c>
      <c r="M197" s="1" t="s">
        <v>251</v>
      </c>
      <c r="N197" s="1" t="s">
        <v>252</v>
      </c>
      <c r="O197" s="1" t="s">
        <v>723</v>
      </c>
      <c r="P197" s="1" t="str">
        <f t="shared" si="9"/>
        <v>BC Corumba2.2U02.I0145995,291666666745995,291666666745995,3020833333</v>
      </c>
      <c r="Q197" s="1" t="str">
        <f t="shared" si="10"/>
        <v>DAURDE</v>
      </c>
    </row>
    <row r="198" spans="2:17" hidden="1">
      <c r="B198" s="1" t="s">
        <v>419</v>
      </c>
      <c r="C198" s="1" t="s">
        <v>408</v>
      </c>
      <c r="D198" s="52">
        <v>45995.291666666664</v>
      </c>
      <c r="E198" s="52">
        <v>45995.291666666664</v>
      </c>
      <c r="F198" s="52">
        <v>45995.302083333336</v>
      </c>
      <c r="G198" s="53">
        <f t="shared" si="8"/>
        <v>1.0416666671517305E-2</v>
      </c>
      <c r="H198" s="1" t="s">
        <v>248</v>
      </c>
      <c r="J198" s="1" t="s">
        <v>249</v>
      </c>
      <c r="K198" s="1" t="s">
        <v>349</v>
      </c>
      <c r="L198" s="1" t="s">
        <v>672</v>
      </c>
      <c r="M198" s="1" t="s">
        <v>251</v>
      </c>
      <c r="N198" s="1" t="s">
        <v>252</v>
      </c>
      <c r="O198" s="1" t="s">
        <v>723</v>
      </c>
      <c r="P198" s="1" t="str">
        <f t="shared" si="9"/>
        <v>BC Corumba2.2U02.I0245995,291666666745995,291666666745995,3020833333</v>
      </c>
      <c r="Q198" s="1" t="str">
        <f t="shared" si="10"/>
        <v>DAURDE</v>
      </c>
    </row>
    <row r="199" spans="2:17" hidden="1">
      <c r="B199" s="1" t="s">
        <v>419</v>
      </c>
      <c r="C199" s="1" t="s">
        <v>409</v>
      </c>
      <c r="D199" s="52">
        <v>45995.291666666664</v>
      </c>
      <c r="E199" s="52">
        <v>45995.291666666664</v>
      </c>
      <c r="F199" s="52">
        <v>45995.302083333336</v>
      </c>
      <c r="G199" s="53">
        <f t="shared" si="8"/>
        <v>1.0416666671517305E-2</v>
      </c>
      <c r="H199" s="1" t="s">
        <v>248</v>
      </c>
      <c r="J199" s="1" t="s">
        <v>249</v>
      </c>
      <c r="K199" s="1" t="s">
        <v>349</v>
      </c>
      <c r="L199" s="1" t="s">
        <v>672</v>
      </c>
      <c r="M199" s="1" t="s">
        <v>251</v>
      </c>
      <c r="N199" s="1" t="s">
        <v>252</v>
      </c>
      <c r="O199" s="1" t="s">
        <v>723</v>
      </c>
      <c r="P199" s="1" t="str">
        <f t="shared" si="9"/>
        <v>BC Corumba2.2U02.I0345995,291666666745995,291666666745995,3020833333</v>
      </c>
      <c r="Q199" s="1" t="str">
        <f t="shared" si="10"/>
        <v>DAURDE</v>
      </c>
    </row>
    <row r="200" spans="2:17" hidden="1">
      <c r="B200" s="1" t="s">
        <v>419</v>
      </c>
      <c r="C200" s="1" t="s">
        <v>410</v>
      </c>
      <c r="D200" s="52">
        <v>45995.291666666664</v>
      </c>
      <c r="E200" s="52">
        <v>45995.291666666664</v>
      </c>
      <c r="F200" s="52">
        <v>45995.302083333336</v>
      </c>
      <c r="G200" s="53">
        <f t="shared" si="8"/>
        <v>1.0416666671517305E-2</v>
      </c>
      <c r="H200" s="1" t="s">
        <v>248</v>
      </c>
      <c r="J200" s="1" t="s">
        <v>249</v>
      </c>
      <c r="K200" s="1" t="s">
        <v>349</v>
      </c>
      <c r="L200" s="1" t="s">
        <v>672</v>
      </c>
      <c r="M200" s="1" t="s">
        <v>251</v>
      </c>
      <c r="N200" s="1" t="s">
        <v>252</v>
      </c>
      <c r="O200" s="1" t="s">
        <v>723</v>
      </c>
      <c r="P200" s="1" t="str">
        <f t="shared" si="9"/>
        <v>BC Corumba2.2U02.I0445995,291666666745995,291666666745995,3020833333</v>
      </c>
      <c r="Q200" s="1" t="str">
        <f t="shared" si="10"/>
        <v>DAURDE</v>
      </c>
    </row>
    <row r="201" spans="2:17" hidden="1">
      <c r="B201" s="1" t="s">
        <v>419</v>
      </c>
      <c r="C201" s="1" t="s">
        <v>411</v>
      </c>
      <c r="D201" s="52">
        <v>45995.291666666664</v>
      </c>
      <c r="E201" s="52">
        <v>45995.291666666664</v>
      </c>
      <c r="F201" s="52">
        <v>45995.302083333336</v>
      </c>
      <c r="G201" s="53">
        <f t="shared" si="8"/>
        <v>1.0416666671517305E-2</v>
      </c>
      <c r="H201" s="1" t="s">
        <v>248</v>
      </c>
      <c r="J201" s="1" t="s">
        <v>249</v>
      </c>
      <c r="K201" s="1" t="s">
        <v>349</v>
      </c>
      <c r="L201" s="1" t="s">
        <v>672</v>
      </c>
      <c r="M201" s="1" t="s">
        <v>251</v>
      </c>
      <c r="N201" s="1" t="s">
        <v>252</v>
      </c>
      <c r="O201" s="1" t="s">
        <v>723</v>
      </c>
      <c r="P201" s="1" t="str">
        <f t="shared" si="9"/>
        <v>BC Corumba2.2U02.I0545995,291666666745995,291666666745995,3020833333</v>
      </c>
      <c r="Q201" s="1" t="str">
        <f t="shared" si="10"/>
        <v>DAURDE</v>
      </c>
    </row>
    <row r="202" spans="2:17" hidden="1">
      <c r="B202" s="1" t="s">
        <v>420</v>
      </c>
      <c r="C202" s="1" t="s">
        <v>413</v>
      </c>
      <c r="D202" s="52">
        <v>45995.291666666664</v>
      </c>
      <c r="E202" s="52">
        <v>45995.291666666664</v>
      </c>
      <c r="F202" s="52">
        <v>45995.302083333336</v>
      </c>
      <c r="G202" s="53">
        <f t="shared" si="8"/>
        <v>1.0416666671517305E-2</v>
      </c>
      <c r="H202" s="1" t="s">
        <v>248</v>
      </c>
      <c r="J202" s="1" t="s">
        <v>249</v>
      </c>
      <c r="K202" s="1" t="s">
        <v>349</v>
      </c>
      <c r="L202" s="1" t="s">
        <v>672</v>
      </c>
      <c r="M202" s="1" t="s">
        <v>251</v>
      </c>
      <c r="N202" s="1" t="s">
        <v>252</v>
      </c>
      <c r="O202" s="1" t="s">
        <v>723</v>
      </c>
      <c r="P202" s="1" t="str">
        <f t="shared" si="9"/>
        <v>BC Corumba2.3U03.I0145995,291666666745995,291666666745995,3020833333</v>
      </c>
      <c r="Q202" s="1" t="str">
        <f t="shared" si="10"/>
        <v>DAURDE</v>
      </c>
    </row>
    <row r="203" spans="2:17" hidden="1">
      <c r="B203" s="1" t="s">
        <v>420</v>
      </c>
      <c r="C203" s="1" t="s">
        <v>414</v>
      </c>
      <c r="D203" s="52">
        <v>45995.291666666664</v>
      </c>
      <c r="E203" s="52">
        <v>45995.291666666664</v>
      </c>
      <c r="F203" s="52">
        <v>45995.302083333336</v>
      </c>
      <c r="G203" s="53">
        <f t="shared" si="8"/>
        <v>1.0416666671517305E-2</v>
      </c>
      <c r="H203" s="1" t="s">
        <v>248</v>
      </c>
      <c r="J203" s="1" t="s">
        <v>249</v>
      </c>
      <c r="K203" s="1" t="s">
        <v>349</v>
      </c>
      <c r="L203" s="1" t="s">
        <v>672</v>
      </c>
      <c r="M203" s="1" t="s">
        <v>251</v>
      </c>
      <c r="N203" s="1" t="s">
        <v>252</v>
      </c>
      <c r="O203" s="1" t="s">
        <v>723</v>
      </c>
      <c r="P203" s="1" t="str">
        <f t="shared" si="9"/>
        <v>BC Corumba2.3U03.I0245995,291666666745995,291666666745995,3020833333</v>
      </c>
      <c r="Q203" s="1" t="str">
        <f t="shared" si="10"/>
        <v>DAURDE</v>
      </c>
    </row>
    <row r="204" spans="2:17" hidden="1">
      <c r="B204" s="1" t="s">
        <v>420</v>
      </c>
      <c r="C204" s="1" t="s">
        <v>415</v>
      </c>
      <c r="D204" s="52">
        <v>45995.291666666664</v>
      </c>
      <c r="E204" s="52">
        <v>45995.291666666664</v>
      </c>
      <c r="F204" s="52">
        <v>45995.302083333336</v>
      </c>
      <c r="G204" s="53">
        <f t="shared" si="8"/>
        <v>1.0416666671517305E-2</v>
      </c>
      <c r="H204" s="1" t="s">
        <v>248</v>
      </c>
      <c r="J204" s="1" t="s">
        <v>249</v>
      </c>
      <c r="K204" s="1" t="s">
        <v>349</v>
      </c>
      <c r="L204" s="1" t="s">
        <v>672</v>
      </c>
      <c r="M204" s="1" t="s">
        <v>251</v>
      </c>
      <c r="N204" s="1" t="s">
        <v>252</v>
      </c>
      <c r="O204" s="1" t="s">
        <v>723</v>
      </c>
      <c r="P204" s="1" t="str">
        <f t="shared" si="9"/>
        <v>BC Corumba2.3U03.I0345995,291666666745995,291666666745995,3020833333</v>
      </c>
      <c r="Q204" s="1" t="str">
        <f t="shared" si="10"/>
        <v>DAURDE</v>
      </c>
    </row>
    <row r="205" spans="2:17" hidden="1">
      <c r="B205" s="1" t="s">
        <v>421</v>
      </c>
      <c r="C205" s="1" t="s">
        <v>357</v>
      </c>
      <c r="D205" s="52">
        <v>45995.393750000003</v>
      </c>
      <c r="E205" s="52">
        <v>45995.393750000003</v>
      </c>
      <c r="F205" s="52">
        <v>45995.413194444445</v>
      </c>
      <c r="G205" s="53">
        <f t="shared" si="8"/>
        <v>1.9444444442342501E-2</v>
      </c>
      <c r="H205" s="1" t="s">
        <v>248</v>
      </c>
      <c r="J205" s="1" t="s">
        <v>249</v>
      </c>
      <c r="K205" s="1" t="s">
        <v>349</v>
      </c>
      <c r="L205" s="1" t="s">
        <v>672</v>
      </c>
      <c r="M205" s="1" t="s">
        <v>251</v>
      </c>
      <c r="N205" s="1" t="s">
        <v>252</v>
      </c>
      <c r="O205" s="1" t="s">
        <v>723</v>
      </c>
      <c r="P205" s="1" t="str">
        <f t="shared" si="9"/>
        <v>BC Formoso1.2Inverter(MBUS-13)45995,3937545995,3937545995,4131944444</v>
      </c>
      <c r="Q205" s="1" t="str">
        <f t="shared" si="10"/>
        <v>DAURDE</v>
      </c>
    </row>
    <row r="206" spans="2:17" hidden="1">
      <c r="B206" s="1" t="s">
        <v>421</v>
      </c>
      <c r="C206" s="1" t="s">
        <v>354</v>
      </c>
      <c r="D206" s="52">
        <v>45995.393750000003</v>
      </c>
      <c r="E206" s="52">
        <v>45995.393750000003</v>
      </c>
      <c r="F206" s="52">
        <v>45995.413194444445</v>
      </c>
      <c r="G206" s="53">
        <f t="shared" si="8"/>
        <v>1.9444444442342501E-2</v>
      </c>
      <c r="H206" s="1" t="s">
        <v>248</v>
      </c>
      <c r="J206" s="1" t="s">
        <v>249</v>
      </c>
      <c r="K206" s="1" t="s">
        <v>349</v>
      </c>
      <c r="L206" s="1" t="s">
        <v>672</v>
      </c>
      <c r="M206" s="1" t="s">
        <v>251</v>
      </c>
      <c r="N206" s="1" t="s">
        <v>252</v>
      </c>
      <c r="O206" s="1" t="s">
        <v>723</v>
      </c>
      <c r="P206" s="1" t="str">
        <f t="shared" si="9"/>
        <v>BC Formoso1.2Inverter(MBUS-12)45995,3937545995,3937545995,4131944444</v>
      </c>
      <c r="Q206" s="1" t="str">
        <f t="shared" si="10"/>
        <v>DAURDE</v>
      </c>
    </row>
    <row r="207" spans="2:17" hidden="1">
      <c r="B207" s="1" t="s">
        <v>421</v>
      </c>
      <c r="C207" s="1" t="s">
        <v>359</v>
      </c>
      <c r="D207" s="52">
        <v>45995.393750000003</v>
      </c>
      <c r="E207" s="52">
        <v>45995.393750000003</v>
      </c>
      <c r="F207" s="52">
        <v>45995.413194444445</v>
      </c>
      <c r="G207" s="53">
        <f t="shared" si="8"/>
        <v>1.9444444442342501E-2</v>
      </c>
      <c r="H207" s="1" t="s">
        <v>248</v>
      </c>
      <c r="J207" s="1" t="s">
        <v>249</v>
      </c>
      <c r="K207" s="1" t="s">
        <v>349</v>
      </c>
      <c r="L207" s="1" t="s">
        <v>672</v>
      </c>
      <c r="M207" s="1" t="s">
        <v>251</v>
      </c>
      <c r="N207" s="1" t="s">
        <v>252</v>
      </c>
      <c r="O207" s="1" t="s">
        <v>723</v>
      </c>
      <c r="P207" s="1" t="str">
        <f t="shared" si="9"/>
        <v>BC Formoso1.2Inverter(MBUS-15)45995,3937545995,3937545995,4131944444</v>
      </c>
      <c r="Q207" s="1" t="str">
        <f t="shared" si="10"/>
        <v>DAURDE</v>
      </c>
    </row>
    <row r="208" spans="2:17" hidden="1">
      <c r="B208" s="1" t="s">
        <v>421</v>
      </c>
      <c r="C208" s="1" t="s">
        <v>358</v>
      </c>
      <c r="D208" s="52">
        <v>45995.393750000003</v>
      </c>
      <c r="E208" s="52">
        <v>45995.393750000003</v>
      </c>
      <c r="F208" s="52">
        <v>45995.413194444445</v>
      </c>
      <c r="G208" s="53">
        <f t="shared" si="8"/>
        <v>1.9444444442342501E-2</v>
      </c>
      <c r="H208" s="1" t="s">
        <v>248</v>
      </c>
      <c r="J208" s="1" t="s">
        <v>249</v>
      </c>
      <c r="K208" s="1" t="s">
        <v>349</v>
      </c>
      <c r="L208" s="1" t="s">
        <v>672</v>
      </c>
      <c r="M208" s="1" t="s">
        <v>251</v>
      </c>
      <c r="N208" s="1" t="s">
        <v>252</v>
      </c>
      <c r="O208" s="1" t="s">
        <v>723</v>
      </c>
      <c r="P208" s="1" t="str">
        <f t="shared" si="9"/>
        <v>BC Formoso1.2Inverter(MBUS-14)45995,3937545995,3937545995,4131944444</v>
      </c>
      <c r="Q208" s="1" t="str">
        <f t="shared" si="10"/>
        <v>DAURDE</v>
      </c>
    </row>
    <row r="209" spans="2:17" hidden="1">
      <c r="B209" s="1" t="s">
        <v>430</v>
      </c>
      <c r="C209" s="1" t="s">
        <v>357</v>
      </c>
      <c r="D209" s="52">
        <v>45995.393750000003</v>
      </c>
      <c r="E209" s="52">
        <v>45995.393750000003</v>
      </c>
      <c r="F209" s="52">
        <v>45995.413194444445</v>
      </c>
      <c r="G209" s="53">
        <f t="shared" si="8"/>
        <v>1.9444444442342501E-2</v>
      </c>
      <c r="H209" s="1" t="s">
        <v>248</v>
      </c>
      <c r="J209" s="1" t="s">
        <v>249</v>
      </c>
      <c r="K209" s="1" t="s">
        <v>349</v>
      </c>
      <c r="L209" s="1" t="s">
        <v>672</v>
      </c>
      <c r="M209" s="1" t="s">
        <v>251</v>
      </c>
      <c r="N209" s="1" t="s">
        <v>252</v>
      </c>
      <c r="O209" s="1" t="s">
        <v>723</v>
      </c>
      <c r="P209" s="1" t="str">
        <f t="shared" si="9"/>
        <v>BC Formoso1.3Inverter(MBUS-13)45995,3937545995,3937545995,4131944444</v>
      </c>
      <c r="Q209" s="1" t="str">
        <f t="shared" si="10"/>
        <v>DAURDE</v>
      </c>
    </row>
    <row r="210" spans="2:17" hidden="1">
      <c r="B210" s="1" t="s">
        <v>430</v>
      </c>
      <c r="C210" s="1" t="s">
        <v>354</v>
      </c>
      <c r="D210" s="52">
        <v>45995.393750000003</v>
      </c>
      <c r="E210" s="52">
        <v>45995.393750000003</v>
      </c>
      <c r="F210" s="52">
        <v>45995.413194444445</v>
      </c>
      <c r="G210" s="53">
        <f t="shared" si="8"/>
        <v>1.9444444442342501E-2</v>
      </c>
      <c r="H210" s="1" t="s">
        <v>248</v>
      </c>
      <c r="J210" s="1" t="s">
        <v>249</v>
      </c>
      <c r="K210" s="1" t="s">
        <v>349</v>
      </c>
      <c r="L210" s="1" t="s">
        <v>672</v>
      </c>
      <c r="M210" s="1" t="s">
        <v>251</v>
      </c>
      <c r="N210" s="1" t="s">
        <v>252</v>
      </c>
      <c r="O210" s="1" t="s">
        <v>723</v>
      </c>
      <c r="P210" s="1" t="str">
        <f t="shared" si="9"/>
        <v>BC Formoso1.3Inverter(MBUS-12)45995,3937545995,3937545995,4131944444</v>
      </c>
      <c r="Q210" s="1" t="str">
        <f t="shared" si="10"/>
        <v>DAURDE</v>
      </c>
    </row>
    <row r="211" spans="2:17" hidden="1">
      <c r="B211" s="1" t="s">
        <v>470</v>
      </c>
      <c r="C211" s="1" t="s">
        <v>471</v>
      </c>
      <c r="D211" s="52">
        <v>45995.40625</v>
      </c>
      <c r="E211" s="52">
        <v>45995.40625</v>
      </c>
      <c r="F211" s="52">
        <v>45995.486111111109</v>
      </c>
      <c r="G211" s="53">
        <f t="shared" si="8"/>
        <v>7.9861111109494232E-2</v>
      </c>
      <c r="H211" s="1" t="s">
        <v>343</v>
      </c>
      <c r="J211" s="1" t="s">
        <v>230</v>
      </c>
      <c r="K211" s="1" t="s">
        <v>230</v>
      </c>
      <c r="L211" s="1" t="s">
        <v>697</v>
      </c>
      <c r="M211" s="1" t="s">
        <v>302</v>
      </c>
      <c r="N211" s="1" t="s">
        <v>345</v>
      </c>
      <c r="O211" s="1" t="s">
        <v>724</v>
      </c>
      <c r="P211" s="1" t="str">
        <f t="shared" si="9"/>
        <v>BC Varjao1.1UFV 1 - INV 145995,4062545995,4062545995,4861111111</v>
      </c>
      <c r="Q211" s="1" t="str">
        <f t="shared" si="10"/>
        <v>DPRUFV</v>
      </c>
    </row>
    <row r="212" spans="2:17" hidden="1">
      <c r="B212" s="1" t="s">
        <v>470</v>
      </c>
      <c r="C212" s="1" t="s">
        <v>473</v>
      </c>
      <c r="D212" s="52">
        <v>45995.40625</v>
      </c>
      <c r="E212" s="52">
        <v>45995.40625</v>
      </c>
      <c r="F212" s="52">
        <v>45995.486111111109</v>
      </c>
      <c r="G212" s="53">
        <f t="shared" si="8"/>
        <v>7.9861111109494232E-2</v>
      </c>
      <c r="H212" s="1" t="s">
        <v>343</v>
      </c>
      <c r="J212" s="1" t="s">
        <v>230</v>
      </c>
      <c r="K212" s="1" t="s">
        <v>230</v>
      </c>
      <c r="L212" s="1" t="s">
        <v>697</v>
      </c>
      <c r="M212" s="1" t="s">
        <v>302</v>
      </c>
      <c r="N212" s="1" t="s">
        <v>345</v>
      </c>
      <c r="O212" s="1" t="s">
        <v>724</v>
      </c>
      <c r="P212" s="1" t="str">
        <f t="shared" si="9"/>
        <v>BC Varjao1.1UFV 1 - INV 545995,4062545995,4062545995,4861111111</v>
      </c>
      <c r="Q212" s="1" t="str">
        <f t="shared" si="10"/>
        <v>DPRUFV</v>
      </c>
    </row>
    <row r="213" spans="2:17" hidden="1">
      <c r="B213" s="1" t="s">
        <v>470</v>
      </c>
      <c r="C213" s="1" t="s">
        <v>474</v>
      </c>
      <c r="D213" s="52">
        <v>45995.40625</v>
      </c>
      <c r="E213" s="52">
        <v>45995.40625</v>
      </c>
      <c r="F213" s="52">
        <v>45995.486111111109</v>
      </c>
      <c r="G213" s="53">
        <f t="shared" si="8"/>
        <v>7.9861111109494232E-2</v>
      </c>
      <c r="H213" s="1" t="s">
        <v>343</v>
      </c>
      <c r="J213" s="1" t="s">
        <v>230</v>
      </c>
      <c r="K213" s="1" t="s">
        <v>230</v>
      </c>
      <c r="L213" s="1" t="s">
        <v>697</v>
      </c>
      <c r="M213" s="1" t="s">
        <v>302</v>
      </c>
      <c r="N213" s="1" t="s">
        <v>345</v>
      </c>
      <c r="O213" s="1" t="s">
        <v>724</v>
      </c>
      <c r="P213" s="1" t="str">
        <f t="shared" si="9"/>
        <v>BC Varjao1.1UFV 1 - INV 445995,4062545995,4062545995,4861111111</v>
      </c>
      <c r="Q213" s="1" t="str">
        <f t="shared" si="10"/>
        <v>DPRUFV</v>
      </c>
    </row>
    <row r="214" spans="2:17" hidden="1">
      <c r="B214" s="1" t="s">
        <v>470</v>
      </c>
      <c r="C214" s="1" t="s">
        <v>475</v>
      </c>
      <c r="D214" s="52">
        <v>45995.40625</v>
      </c>
      <c r="E214" s="52">
        <v>45995.40625</v>
      </c>
      <c r="F214" s="52">
        <v>45995.486111111109</v>
      </c>
      <c r="G214" s="53">
        <f t="shared" si="8"/>
        <v>7.9861111109494232E-2</v>
      </c>
      <c r="H214" s="1" t="s">
        <v>343</v>
      </c>
      <c r="J214" s="1" t="s">
        <v>230</v>
      </c>
      <c r="K214" s="1" t="s">
        <v>230</v>
      </c>
      <c r="L214" s="1" t="s">
        <v>697</v>
      </c>
      <c r="M214" s="1" t="s">
        <v>302</v>
      </c>
      <c r="N214" s="1" t="s">
        <v>345</v>
      </c>
      <c r="O214" s="1" t="s">
        <v>724</v>
      </c>
      <c r="P214" s="1" t="str">
        <f t="shared" si="9"/>
        <v>BC Varjao1.1UFV 1 - INV 345995,4062545995,4062545995,4861111111</v>
      </c>
      <c r="Q214" s="1" t="str">
        <f t="shared" si="10"/>
        <v>DPRUFV</v>
      </c>
    </row>
    <row r="215" spans="2:17" hidden="1">
      <c r="B215" s="1" t="s">
        <v>470</v>
      </c>
      <c r="C215" s="1" t="s">
        <v>476</v>
      </c>
      <c r="D215" s="52">
        <v>45995.40625</v>
      </c>
      <c r="E215" s="52">
        <v>45995.40625</v>
      </c>
      <c r="F215" s="52">
        <v>45995.486111111109</v>
      </c>
      <c r="G215" s="53">
        <f t="shared" si="8"/>
        <v>7.9861111109494232E-2</v>
      </c>
      <c r="H215" s="1" t="s">
        <v>343</v>
      </c>
      <c r="J215" s="1" t="s">
        <v>230</v>
      </c>
      <c r="K215" s="1" t="s">
        <v>230</v>
      </c>
      <c r="L215" s="1" t="s">
        <v>697</v>
      </c>
      <c r="M215" s="1" t="s">
        <v>302</v>
      </c>
      <c r="N215" s="1" t="s">
        <v>345</v>
      </c>
      <c r="O215" s="1" t="s">
        <v>724</v>
      </c>
      <c r="P215" s="1" t="str">
        <f t="shared" si="9"/>
        <v>BC Varjao1.1UFV 1 - INV 245995,4062545995,4062545995,4861111111</v>
      </c>
      <c r="Q215" s="1" t="str">
        <f t="shared" si="10"/>
        <v>DPRUFV</v>
      </c>
    </row>
    <row r="216" spans="2:17" hidden="1">
      <c r="B216" s="1" t="s">
        <v>382</v>
      </c>
      <c r="C216" s="1" t="s">
        <v>328</v>
      </c>
      <c r="D216" s="52">
        <v>45995.409722222219</v>
      </c>
      <c r="E216" s="52">
        <v>45995.409722222219</v>
      </c>
      <c r="F216" s="52">
        <v>45996.625</v>
      </c>
      <c r="G216" s="53">
        <f t="shared" si="8"/>
        <v>1.2152777777810115</v>
      </c>
      <c r="H216" s="1" t="s">
        <v>343</v>
      </c>
      <c r="J216" s="1" t="s">
        <v>230</v>
      </c>
      <c r="K216" s="1" t="str">
        <f>_xlfn.XLOOKUP(J216,REF!$D$2:$D$12,REF!$E$2:$E$12)</f>
        <v>UFV</v>
      </c>
      <c r="L216" s="1" t="s">
        <v>725</v>
      </c>
      <c r="M216" s="1" t="s">
        <v>302</v>
      </c>
      <c r="N216" s="1" t="s">
        <v>345</v>
      </c>
      <c r="O216" s="1" t="s">
        <v>726</v>
      </c>
      <c r="P216" s="1" t="str">
        <f t="shared" si="9"/>
        <v>BC Camarao1.1Inverter(MBUS-1)45995,409722222245995,409722222245996,625</v>
      </c>
      <c r="Q216" s="1" t="str">
        <f t="shared" si="10"/>
        <v>DPRUFV</v>
      </c>
    </row>
    <row r="217" spans="2:17" hidden="1">
      <c r="B217" s="1" t="s">
        <v>382</v>
      </c>
      <c r="C217" s="1" t="s">
        <v>247</v>
      </c>
      <c r="D217" s="52">
        <v>45995.409722222219</v>
      </c>
      <c r="E217" s="52">
        <v>45995.409722222219</v>
      </c>
      <c r="F217" s="52">
        <v>45996.625</v>
      </c>
      <c r="G217" s="53">
        <f t="shared" si="8"/>
        <v>1.2152777777810115</v>
      </c>
      <c r="H217" s="1" t="s">
        <v>343</v>
      </c>
      <c r="J217" s="1" t="s">
        <v>230</v>
      </c>
      <c r="K217" s="1" t="str">
        <f>_xlfn.XLOOKUP(J217,REF!$D$2:$D$12,REF!$E$2:$E$12)</f>
        <v>UFV</v>
      </c>
      <c r="L217" s="1" t="s">
        <v>725</v>
      </c>
      <c r="M217" s="1" t="s">
        <v>302</v>
      </c>
      <c r="N217" s="1" t="s">
        <v>345</v>
      </c>
      <c r="O217" s="1" t="s">
        <v>726</v>
      </c>
      <c r="P217" s="1" t="str">
        <f t="shared" si="9"/>
        <v>BC Camarao1.1215KTL-H3(MBUS-12)45995,409722222245995,409722222245996,625</v>
      </c>
      <c r="Q217" s="1" t="str">
        <f t="shared" si="10"/>
        <v>DPRUFV</v>
      </c>
    </row>
    <row r="218" spans="2:17" hidden="1">
      <c r="B218" s="1" t="s">
        <v>382</v>
      </c>
      <c r="C218" s="1" t="s">
        <v>254</v>
      </c>
      <c r="D218" s="52">
        <v>45995.409722222219</v>
      </c>
      <c r="E218" s="52">
        <v>45995.409722222219</v>
      </c>
      <c r="F218" s="52">
        <v>45996.625</v>
      </c>
      <c r="G218" s="53">
        <f t="shared" si="8"/>
        <v>1.2152777777810115</v>
      </c>
      <c r="H218" s="1" t="s">
        <v>343</v>
      </c>
      <c r="J218" s="1" t="s">
        <v>230</v>
      </c>
      <c r="K218" s="1" t="str">
        <f>_xlfn.XLOOKUP(J218,REF!$D$2:$D$12,REF!$E$2:$E$12)</f>
        <v>UFV</v>
      </c>
      <c r="L218" s="1" t="s">
        <v>725</v>
      </c>
      <c r="M218" s="1" t="s">
        <v>302</v>
      </c>
      <c r="N218" s="1" t="s">
        <v>345</v>
      </c>
      <c r="O218" s="1" t="s">
        <v>726</v>
      </c>
      <c r="P218" s="1" t="str">
        <f t="shared" si="9"/>
        <v>BC Camarao1.1215KTL-H3(MBUS-13)45995,409722222245995,409722222245996,625</v>
      </c>
      <c r="Q218" s="1" t="str">
        <f t="shared" si="10"/>
        <v>DPRUFV</v>
      </c>
    </row>
    <row r="219" spans="2:17" hidden="1">
      <c r="B219" s="1" t="s">
        <v>382</v>
      </c>
      <c r="C219" s="1" t="s">
        <v>257</v>
      </c>
      <c r="D219" s="52">
        <v>45995.409722222219</v>
      </c>
      <c r="E219" s="52">
        <v>45995.409722222219</v>
      </c>
      <c r="F219" s="52">
        <v>45996.625</v>
      </c>
      <c r="G219" s="53">
        <f t="shared" si="8"/>
        <v>1.2152777777810115</v>
      </c>
      <c r="H219" s="1" t="s">
        <v>343</v>
      </c>
      <c r="J219" s="1" t="s">
        <v>230</v>
      </c>
      <c r="K219" s="1" t="str">
        <f>_xlfn.XLOOKUP(J219,REF!$D$2:$D$12,REF!$E$2:$E$12)</f>
        <v>UFV</v>
      </c>
      <c r="L219" s="1" t="s">
        <v>725</v>
      </c>
      <c r="M219" s="1" t="s">
        <v>302</v>
      </c>
      <c r="N219" s="1" t="s">
        <v>345</v>
      </c>
      <c r="O219" s="1" t="s">
        <v>726</v>
      </c>
      <c r="P219" s="1" t="str">
        <f t="shared" si="9"/>
        <v>BC Camarao1.1215KTL-H3(MBUS-16)45995,409722222245995,409722222245996,625</v>
      </c>
      <c r="Q219" s="1" t="str">
        <f t="shared" si="10"/>
        <v>DPRUFV</v>
      </c>
    </row>
    <row r="220" spans="2:17" hidden="1">
      <c r="B220" s="1" t="s">
        <v>382</v>
      </c>
      <c r="C220" s="1" t="s">
        <v>256</v>
      </c>
      <c r="D220" s="52">
        <v>45995.409722222219</v>
      </c>
      <c r="E220" s="52">
        <v>45995.409722222219</v>
      </c>
      <c r="F220" s="52">
        <v>45996.625</v>
      </c>
      <c r="G220" s="53">
        <f t="shared" si="8"/>
        <v>1.2152777777810115</v>
      </c>
      <c r="H220" s="1" t="s">
        <v>343</v>
      </c>
      <c r="J220" s="1" t="s">
        <v>230</v>
      </c>
      <c r="K220" s="1" t="str">
        <f>_xlfn.XLOOKUP(J220,REF!$D$2:$D$12,REF!$E$2:$E$12)</f>
        <v>UFV</v>
      </c>
      <c r="L220" s="1" t="s">
        <v>725</v>
      </c>
      <c r="M220" s="1" t="s">
        <v>302</v>
      </c>
      <c r="N220" s="1" t="s">
        <v>345</v>
      </c>
      <c r="O220" s="1" t="s">
        <v>726</v>
      </c>
      <c r="P220" s="1" t="str">
        <f t="shared" si="9"/>
        <v>BC Camarao1.1215KTL-H3(MBUS-15)45995,409722222245995,409722222245996,625</v>
      </c>
      <c r="Q220" s="1" t="str">
        <f t="shared" si="10"/>
        <v>DPRUFV</v>
      </c>
    </row>
    <row r="221" spans="2:17" hidden="1">
      <c r="B221" s="1" t="s">
        <v>383</v>
      </c>
      <c r="C221" s="1" t="s">
        <v>385</v>
      </c>
      <c r="D221" s="52">
        <v>45995.409722222219</v>
      </c>
      <c r="E221" s="52">
        <v>45995.409722222219</v>
      </c>
      <c r="F221" s="52">
        <v>45996.625</v>
      </c>
      <c r="G221" s="53">
        <f t="shared" si="8"/>
        <v>1.2152777777810115</v>
      </c>
      <c r="H221" s="1" t="s">
        <v>343</v>
      </c>
      <c r="J221" s="1" t="s">
        <v>230</v>
      </c>
      <c r="K221" s="1" t="str">
        <f>_xlfn.XLOOKUP(J221,REF!$D$2:$D$12,REF!$E$2:$E$12)</f>
        <v>UFV</v>
      </c>
      <c r="L221" s="1" t="s">
        <v>725</v>
      </c>
      <c r="M221" s="1" t="s">
        <v>302</v>
      </c>
      <c r="N221" s="1" t="s">
        <v>345</v>
      </c>
      <c r="O221" s="1" t="s">
        <v>726</v>
      </c>
      <c r="P221" s="1" t="str">
        <f t="shared" si="9"/>
        <v>BC Camarao1.2Inv. 445995,409722222245995,409722222245996,625</v>
      </c>
      <c r="Q221" s="1" t="str">
        <f t="shared" si="10"/>
        <v>DPRUFV</v>
      </c>
    </row>
    <row r="222" spans="2:17" hidden="1">
      <c r="B222" s="1" t="s">
        <v>383</v>
      </c>
      <c r="C222" s="1" t="s">
        <v>386</v>
      </c>
      <c r="D222" s="52">
        <v>45995.409722222219</v>
      </c>
      <c r="E222" s="52">
        <v>45995.409722222219</v>
      </c>
      <c r="F222" s="52">
        <v>45996.625</v>
      </c>
      <c r="G222" s="53">
        <f t="shared" si="8"/>
        <v>1.2152777777810115</v>
      </c>
      <c r="H222" s="1" t="s">
        <v>343</v>
      </c>
      <c r="J222" s="1" t="s">
        <v>230</v>
      </c>
      <c r="K222" s="1" t="str">
        <f>_xlfn.XLOOKUP(J222,REF!$D$2:$D$12,REF!$E$2:$E$12)</f>
        <v>UFV</v>
      </c>
      <c r="L222" s="1" t="s">
        <v>725</v>
      </c>
      <c r="M222" s="1" t="s">
        <v>302</v>
      </c>
      <c r="N222" s="1" t="s">
        <v>345</v>
      </c>
      <c r="O222" s="1" t="s">
        <v>726</v>
      </c>
      <c r="P222" s="1" t="str">
        <f t="shared" si="9"/>
        <v>BC Camarao1.2Inverter(MBUS-16)45995,409722222245995,409722222245996,625</v>
      </c>
      <c r="Q222" s="1" t="str">
        <f t="shared" si="10"/>
        <v>DPRUFV</v>
      </c>
    </row>
    <row r="223" spans="2:17" hidden="1">
      <c r="B223" s="1" t="s">
        <v>383</v>
      </c>
      <c r="C223" s="1" t="s">
        <v>354</v>
      </c>
      <c r="D223" s="52">
        <v>45995.409722222219</v>
      </c>
      <c r="E223" s="52">
        <v>45995.409722222219</v>
      </c>
      <c r="F223" s="52">
        <v>45996.625</v>
      </c>
      <c r="G223" s="53">
        <f t="shared" si="8"/>
        <v>1.2152777777810115</v>
      </c>
      <c r="H223" s="1" t="s">
        <v>343</v>
      </c>
      <c r="J223" s="1" t="s">
        <v>230</v>
      </c>
      <c r="K223" s="1" t="str">
        <f>_xlfn.XLOOKUP(J223,REF!$D$2:$D$12,REF!$E$2:$E$12)</f>
        <v>UFV</v>
      </c>
      <c r="L223" s="1" t="s">
        <v>725</v>
      </c>
      <c r="M223" s="1" t="s">
        <v>302</v>
      </c>
      <c r="N223" s="1" t="s">
        <v>345</v>
      </c>
      <c r="O223" s="1" t="s">
        <v>726</v>
      </c>
      <c r="P223" s="1" t="str">
        <f t="shared" si="9"/>
        <v>BC Camarao1.2Inverter(MBUS-12)45995,409722222245995,409722222245996,625</v>
      </c>
      <c r="Q223" s="1" t="str">
        <f t="shared" si="10"/>
        <v>DPRUFV</v>
      </c>
    </row>
    <row r="224" spans="2:17" hidden="1">
      <c r="B224" s="1" t="s">
        <v>383</v>
      </c>
      <c r="C224" s="1" t="s">
        <v>384</v>
      </c>
      <c r="D224" s="52">
        <v>45995.409722222219</v>
      </c>
      <c r="E224" s="52">
        <v>45995.409722222219</v>
      </c>
      <c r="F224" s="52">
        <v>45996.625</v>
      </c>
      <c r="G224" s="53">
        <f t="shared" si="8"/>
        <v>1.2152777777810115</v>
      </c>
      <c r="H224" s="1" t="s">
        <v>343</v>
      </c>
      <c r="J224" s="1" t="s">
        <v>230</v>
      </c>
      <c r="K224" s="1" t="str">
        <f>_xlfn.XLOOKUP(J224,REF!$D$2:$D$12,REF!$E$2:$E$12)</f>
        <v>UFV</v>
      </c>
      <c r="L224" s="1" t="s">
        <v>725</v>
      </c>
      <c r="M224" s="1" t="s">
        <v>302</v>
      </c>
      <c r="N224" s="1" t="s">
        <v>345</v>
      </c>
      <c r="O224" s="1" t="s">
        <v>726</v>
      </c>
      <c r="P224" s="1" t="str">
        <f t="shared" si="9"/>
        <v>BC Camarao1.2Inv. 345995,409722222245995,409722222245996,625</v>
      </c>
      <c r="Q224" s="1" t="str">
        <f t="shared" si="10"/>
        <v>DPRUFV</v>
      </c>
    </row>
    <row r="225" spans="2:17" hidden="1">
      <c r="B225" s="1" t="s">
        <v>383</v>
      </c>
      <c r="C225" s="1" t="s">
        <v>328</v>
      </c>
      <c r="D225" s="52">
        <v>45995.409722222219</v>
      </c>
      <c r="E225" s="52">
        <v>45995.409722222219</v>
      </c>
      <c r="F225" s="52">
        <v>45996.625</v>
      </c>
      <c r="G225" s="53">
        <f t="shared" si="8"/>
        <v>1.2152777777810115</v>
      </c>
      <c r="H225" s="1" t="s">
        <v>343</v>
      </c>
      <c r="J225" s="1" t="s">
        <v>230</v>
      </c>
      <c r="K225" s="1" t="str">
        <f>_xlfn.XLOOKUP(J225,REF!$D$2:$D$12,REF!$E$2:$E$12)</f>
        <v>UFV</v>
      </c>
      <c r="L225" s="1" t="s">
        <v>725</v>
      </c>
      <c r="M225" s="1" t="s">
        <v>302</v>
      </c>
      <c r="N225" s="1" t="s">
        <v>345</v>
      </c>
      <c r="O225" s="1" t="s">
        <v>726</v>
      </c>
      <c r="P225" s="1" t="str">
        <f t="shared" si="9"/>
        <v>BC Camarao1.2Inverter(MBUS-1)45995,409722222245995,409722222245996,625</v>
      </c>
      <c r="Q225" s="1" t="str">
        <f t="shared" si="10"/>
        <v>DPRUFV</v>
      </c>
    </row>
    <row r="226" spans="2:17" hidden="1">
      <c r="B226" s="1" t="s">
        <v>387</v>
      </c>
      <c r="C226" s="1" t="s">
        <v>257</v>
      </c>
      <c r="D226" s="52">
        <v>45995.409722222219</v>
      </c>
      <c r="E226" s="52">
        <v>45995.409722222219</v>
      </c>
      <c r="F226" s="52">
        <v>45996.625</v>
      </c>
      <c r="G226" s="53">
        <f t="shared" si="8"/>
        <v>1.2152777777810115</v>
      </c>
      <c r="H226" s="1" t="s">
        <v>343</v>
      </c>
      <c r="J226" s="1" t="s">
        <v>230</v>
      </c>
      <c r="K226" s="1" t="str">
        <f>_xlfn.XLOOKUP(J226,REF!$D$2:$D$12,REF!$E$2:$E$12)</f>
        <v>UFV</v>
      </c>
      <c r="L226" s="1" t="s">
        <v>725</v>
      </c>
      <c r="M226" s="1" t="s">
        <v>302</v>
      </c>
      <c r="N226" s="1" t="s">
        <v>345</v>
      </c>
      <c r="O226" s="1" t="s">
        <v>726</v>
      </c>
      <c r="P226" s="1" t="str">
        <f t="shared" si="9"/>
        <v>BC Camarao1.3215KTL-H3(MBUS-16)45995,409722222245995,409722222245996,625</v>
      </c>
      <c r="Q226" s="1" t="str">
        <f t="shared" si="10"/>
        <v>DPRUFV</v>
      </c>
    </row>
    <row r="227" spans="2:17" hidden="1">
      <c r="B227" s="1" t="s">
        <v>387</v>
      </c>
      <c r="C227" s="1" t="s">
        <v>255</v>
      </c>
      <c r="D227" s="52">
        <v>45995.409722222219</v>
      </c>
      <c r="E227" s="52">
        <v>45995.409722222219</v>
      </c>
      <c r="F227" s="52">
        <v>45996.625</v>
      </c>
      <c r="G227" s="53">
        <f t="shared" si="8"/>
        <v>1.2152777777810115</v>
      </c>
      <c r="H227" s="1" t="s">
        <v>343</v>
      </c>
      <c r="J227" s="1" t="s">
        <v>230</v>
      </c>
      <c r="K227" s="1" t="str">
        <f>_xlfn.XLOOKUP(J227,REF!$D$2:$D$12,REF!$E$2:$E$12)</f>
        <v>UFV</v>
      </c>
      <c r="L227" s="1" t="s">
        <v>725</v>
      </c>
      <c r="M227" s="1" t="s">
        <v>302</v>
      </c>
      <c r="N227" s="1" t="s">
        <v>345</v>
      </c>
      <c r="O227" s="1" t="s">
        <v>726</v>
      </c>
      <c r="P227" s="1" t="str">
        <f t="shared" si="9"/>
        <v>BC Camarao1.3215KTL-H3(MBUS-14)45995,409722222245995,409722222245996,625</v>
      </c>
      <c r="Q227" s="1" t="str">
        <f t="shared" si="10"/>
        <v>DPRUFV</v>
      </c>
    </row>
    <row r="228" spans="2:17" hidden="1">
      <c r="B228" s="1" t="s">
        <v>387</v>
      </c>
      <c r="C228" s="1" t="s">
        <v>256</v>
      </c>
      <c r="D228" s="52">
        <v>45995.409722222219</v>
      </c>
      <c r="E228" s="52">
        <v>45995.409722222219</v>
      </c>
      <c r="F228" s="52">
        <v>45996.625</v>
      </c>
      <c r="G228" s="53">
        <f t="shared" si="8"/>
        <v>1.2152777777810115</v>
      </c>
      <c r="H228" s="1" t="s">
        <v>343</v>
      </c>
      <c r="J228" s="1" t="s">
        <v>230</v>
      </c>
      <c r="K228" s="1" t="str">
        <f>_xlfn.XLOOKUP(J228,REF!$D$2:$D$12,REF!$E$2:$E$12)</f>
        <v>UFV</v>
      </c>
      <c r="L228" s="1" t="s">
        <v>725</v>
      </c>
      <c r="M228" s="1" t="s">
        <v>302</v>
      </c>
      <c r="N228" s="1" t="s">
        <v>345</v>
      </c>
      <c r="O228" s="1" t="s">
        <v>726</v>
      </c>
      <c r="P228" s="1" t="str">
        <f t="shared" si="9"/>
        <v>BC Camarao1.3215KTL-H3(MBUS-15)45995,409722222245995,409722222245996,625</v>
      </c>
      <c r="Q228" s="1" t="str">
        <f t="shared" si="10"/>
        <v>DPRUFV</v>
      </c>
    </row>
    <row r="229" spans="2:17" hidden="1">
      <c r="B229" s="1" t="s">
        <v>387</v>
      </c>
      <c r="C229" s="1" t="s">
        <v>247</v>
      </c>
      <c r="D229" s="52">
        <v>45995.409722222219</v>
      </c>
      <c r="E229" s="52">
        <v>45995.409722222219</v>
      </c>
      <c r="F229" s="52">
        <v>45996.625</v>
      </c>
      <c r="G229" s="53">
        <f t="shared" si="8"/>
        <v>1.2152777777810115</v>
      </c>
      <c r="H229" s="1" t="s">
        <v>343</v>
      </c>
      <c r="J229" s="1" t="s">
        <v>230</v>
      </c>
      <c r="K229" s="1" t="str">
        <f>_xlfn.XLOOKUP(J229,REF!$D$2:$D$12,REF!$E$2:$E$12)</f>
        <v>UFV</v>
      </c>
      <c r="L229" s="1" t="s">
        <v>725</v>
      </c>
      <c r="M229" s="1" t="s">
        <v>302</v>
      </c>
      <c r="N229" s="1" t="s">
        <v>345</v>
      </c>
      <c r="O229" s="1" t="s">
        <v>726</v>
      </c>
      <c r="P229" s="1" t="str">
        <f t="shared" si="9"/>
        <v>BC Camarao1.3215KTL-H3(MBUS-12)45995,409722222245995,409722222245996,625</v>
      </c>
      <c r="Q229" s="1" t="str">
        <f t="shared" si="10"/>
        <v>DPRUFV</v>
      </c>
    </row>
    <row r="230" spans="2:17" hidden="1">
      <c r="B230" s="1" t="s">
        <v>387</v>
      </c>
      <c r="C230" s="1" t="s">
        <v>254</v>
      </c>
      <c r="D230" s="52">
        <v>45995.409722222219</v>
      </c>
      <c r="E230" s="52">
        <v>45995.409722222219</v>
      </c>
      <c r="F230" s="52">
        <v>45996.625</v>
      </c>
      <c r="G230" s="53">
        <f t="shared" si="8"/>
        <v>1.2152777777810115</v>
      </c>
      <c r="H230" s="1" t="s">
        <v>343</v>
      </c>
      <c r="J230" s="1" t="s">
        <v>230</v>
      </c>
      <c r="K230" s="1" t="str">
        <f>_xlfn.XLOOKUP(J230,REF!$D$2:$D$12,REF!$E$2:$E$12)</f>
        <v>UFV</v>
      </c>
      <c r="L230" s="1" t="s">
        <v>725</v>
      </c>
      <c r="M230" s="1" t="s">
        <v>302</v>
      </c>
      <c r="N230" s="1" t="s">
        <v>345</v>
      </c>
      <c r="O230" s="1" t="s">
        <v>726</v>
      </c>
      <c r="P230" s="1" t="str">
        <f t="shared" si="9"/>
        <v>BC Camarao1.3215KTL-H3(MBUS-13)45995,409722222245995,409722222245996,625</v>
      </c>
      <c r="Q230" s="1" t="str">
        <f t="shared" si="10"/>
        <v>DPRUFV</v>
      </c>
    </row>
    <row r="231" spans="2:17" hidden="1">
      <c r="B231" s="1" t="s">
        <v>379</v>
      </c>
      <c r="C231" s="1" t="s">
        <v>674</v>
      </c>
      <c r="D231" s="52">
        <v>45995.409722222219</v>
      </c>
      <c r="E231" s="52">
        <v>45995.409722222219</v>
      </c>
      <c r="F231" s="52">
        <v>45996.625</v>
      </c>
      <c r="G231" s="53">
        <f t="shared" si="8"/>
        <v>1.2152777777810115</v>
      </c>
      <c r="H231" s="1" t="s">
        <v>343</v>
      </c>
      <c r="J231" s="1" t="s">
        <v>230</v>
      </c>
      <c r="K231" s="1" t="str">
        <f>_xlfn.XLOOKUP(J231,REF!$D$2:$D$12,REF!$E$2:$E$12)</f>
        <v>UFV</v>
      </c>
      <c r="L231" s="1" t="s">
        <v>725</v>
      </c>
      <c r="M231" s="1" t="s">
        <v>302</v>
      </c>
      <c r="N231" s="1" t="s">
        <v>345</v>
      </c>
      <c r="O231" s="1" t="s">
        <v>726</v>
      </c>
      <c r="P231" s="1" t="str">
        <f t="shared" si="9"/>
        <v>BC Camarao1.4inv. 145995,409722222245995,409722222245996,625</v>
      </c>
      <c r="Q231" s="1" t="str">
        <f t="shared" si="10"/>
        <v>DPRUFV</v>
      </c>
    </row>
    <row r="232" spans="2:17" hidden="1">
      <c r="B232" s="1" t="s">
        <v>379</v>
      </c>
      <c r="C232" s="1" t="s">
        <v>255</v>
      </c>
      <c r="D232" s="52">
        <v>45995.409722222219</v>
      </c>
      <c r="E232" s="52">
        <v>45995.409722222219</v>
      </c>
      <c r="F232" s="52">
        <v>45996.625</v>
      </c>
      <c r="G232" s="53">
        <f t="shared" si="8"/>
        <v>1.2152777777810115</v>
      </c>
      <c r="H232" s="1" t="s">
        <v>343</v>
      </c>
      <c r="J232" s="1" t="s">
        <v>230</v>
      </c>
      <c r="K232" s="1" t="str">
        <f>_xlfn.XLOOKUP(J232,REF!$D$2:$D$12,REF!$E$2:$E$12)</f>
        <v>UFV</v>
      </c>
      <c r="L232" s="1" t="s">
        <v>725</v>
      </c>
      <c r="M232" s="1" t="s">
        <v>302</v>
      </c>
      <c r="N232" s="1" t="s">
        <v>345</v>
      </c>
      <c r="O232" s="1" t="s">
        <v>726</v>
      </c>
      <c r="P232" s="1" t="str">
        <f t="shared" si="9"/>
        <v>BC Camarao1.4215KTL-H3(MBUS-14)45995,409722222245995,409722222245996,625</v>
      </c>
      <c r="Q232" s="1" t="str">
        <f t="shared" si="10"/>
        <v>DPRUFV</v>
      </c>
    </row>
    <row r="233" spans="2:17" hidden="1">
      <c r="B233" s="1" t="s">
        <v>379</v>
      </c>
      <c r="C233" s="1" t="s">
        <v>254</v>
      </c>
      <c r="D233" s="52">
        <v>45995.409722222219</v>
      </c>
      <c r="E233" s="52">
        <v>45995.409722222219</v>
      </c>
      <c r="F233" s="52">
        <v>45996.625</v>
      </c>
      <c r="G233" s="53">
        <f t="shared" si="8"/>
        <v>1.2152777777810115</v>
      </c>
      <c r="H233" s="1" t="s">
        <v>343</v>
      </c>
      <c r="J233" s="1" t="s">
        <v>230</v>
      </c>
      <c r="K233" s="1" t="str">
        <f>_xlfn.XLOOKUP(J233,REF!$D$2:$D$12,REF!$E$2:$E$12)</f>
        <v>UFV</v>
      </c>
      <c r="L233" s="1" t="s">
        <v>725</v>
      </c>
      <c r="M233" s="1" t="s">
        <v>302</v>
      </c>
      <c r="N233" s="1" t="s">
        <v>345</v>
      </c>
      <c r="O233" s="1" t="s">
        <v>726</v>
      </c>
      <c r="P233" s="1" t="str">
        <f t="shared" si="9"/>
        <v>BC Camarao1.4215KTL-H3(MBUS-13)45995,409722222245995,409722222245996,625</v>
      </c>
      <c r="Q233" s="1" t="str">
        <f t="shared" si="10"/>
        <v>DPRUFV</v>
      </c>
    </row>
    <row r="234" spans="2:17" hidden="1">
      <c r="B234" s="1" t="s">
        <v>379</v>
      </c>
      <c r="C234" s="1" t="s">
        <v>257</v>
      </c>
      <c r="D234" s="52">
        <v>45995.409722222219</v>
      </c>
      <c r="E234" s="52">
        <v>45995.409722222219</v>
      </c>
      <c r="F234" s="52">
        <v>45996.625</v>
      </c>
      <c r="G234" s="53">
        <f t="shared" si="8"/>
        <v>1.2152777777810115</v>
      </c>
      <c r="H234" s="1" t="s">
        <v>343</v>
      </c>
      <c r="J234" s="1" t="s">
        <v>230</v>
      </c>
      <c r="K234" s="1" t="str">
        <f>_xlfn.XLOOKUP(J234,REF!$D$2:$D$12,REF!$E$2:$E$12)</f>
        <v>UFV</v>
      </c>
      <c r="L234" s="1" t="s">
        <v>725</v>
      </c>
      <c r="M234" s="1" t="s">
        <v>302</v>
      </c>
      <c r="N234" s="1" t="s">
        <v>345</v>
      </c>
      <c r="O234" s="1" t="s">
        <v>726</v>
      </c>
      <c r="P234" s="1" t="str">
        <f t="shared" si="9"/>
        <v>BC Camarao1.4215KTL-H3(MBUS-16)45995,409722222245995,409722222245996,625</v>
      </c>
      <c r="Q234" s="1" t="str">
        <f t="shared" si="10"/>
        <v>DPRUFV</v>
      </c>
    </row>
    <row r="235" spans="2:17" hidden="1">
      <c r="B235" s="1" t="s">
        <v>379</v>
      </c>
      <c r="C235" s="1" t="s">
        <v>256</v>
      </c>
      <c r="D235" s="52">
        <v>45995.409722222219</v>
      </c>
      <c r="E235" s="52">
        <v>45995.409722222219</v>
      </c>
      <c r="F235" s="52">
        <v>45996.625</v>
      </c>
      <c r="G235" s="53">
        <f t="shared" si="8"/>
        <v>1.2152777777810115</v>
      </c>
      <c r="H235" s="1" t="s">
        <v>343</v>
      </c>
      <c r="J235" s="1" t="s">
        <v>230</v>
      </c>
      <c r="K235" s="1" t="str">
        <f>_xlfn.XLOOKUP(J235,REF!$D$2:$D$12,REF!$E$2:$E$12)</f>
        <v>UFV</v>
      </c>
      <c r="L235" s="1" t="s">
        <v>725</v>
      </c>
      <c r="M235" s="1" t="s">
        <v>302</v>
      </c>
      <c r="N235" s="1" t="s">
        <v>345</v>
      </c>
      <c r="O235" s="1" t="s">
        <v>726</v>
      </c>
      <c r="P235" s="1" t="str">
        <f t="shared" si="9"/>
        <v>BC Camarao1.4215KTL-H3(MBUS-15)45995,409722222245995,409722222245996,625</v>
      </c>
      <c r="Q235" s="1" t="str">
        <f t="shared" si="10"/>
        <v>DPRUFV</v>
      </c>
    </row>
    <row r="236" spans="2:17" hidden="1">
      <c r="B236" s="1" t="s">
        <v>388</v>
      </c>
      <c r="C236" s="1" t="s">
        <v>256</v>
      </c>
      <c r="D236" s="52">
        <v>45995.409722222219</v>
      </c>
      <c r="E236" s="52">
        <v>45995.409722222219</v>
      </c>
      <c r="F236" s="52">
        <v>45996.625</v>
      </c>
      <c r="G236" s="53">
        <f t="shared" si="8"/>
        <v>1.2152777777810115</v>
      </c>
      <c r="H236" s="1" t="s">
        <v>343</v>
      </c>
      <c r="J236" s="1" t="s">
        <v>230</v>
      </c>
      <c r="K236" s="1" t="str">
        <f>_xlfn.XLOOKUP(J236,REF!$D$2:$D$12,REF!$E$2:$E$12)</f>
        <v>UFV</v>
      </c>
      <c r="L236" s="1" t="s">
        <v>725</v>
      </c>
      <c r="M236" s="1" t="s">
        <v>302</v>
      </c>
      <c r="N236" s="1" t="s">
        <v>345</v>
      </c>
      <c r="O236" s="1" t="s">
        <v>726</v>
      </c>
      <c r="P236" s="1" t="str">
        <f t="shared" si="9"/>
        <v>BC Camarao1.5215KTL-H3(MBUS-15)45995,409722222245995,409722222245996,625</v>
      </c>
      <c r="Q236" s="1" t="str">
        <f t="shared" si="10"/>
        <v>DPRUFV</v>
      </c>
    </row>
    <row r="237" spans="2:17" hidden="1">
      <c r="B237" s="1" t="s">
        <v>388</v>
      </c>
      <c r="C237" s="1" t="s">
        <v>328</v>
      </c>
      <c r="D237" s="52">
        <v>45995.409722222219</v>
      </c>
      <c r="E237" s="52">
        <v>45995.409722222219</v>
      </c>
      <c r="F237" s="52">
        <v>45996.625</v>
      </c>
      <c r="G237" s="53">
        <f t="shared" si="8"/>
        <v>1.2152777777810115</v>
      </c>
      <c r="H237" s="1" t="s">
        <v>343</v>
      </c>
      <c r="J237" s="1" t="s">
        <v>230</v>
      </c>
      <c r="K237" s="1" t="str">
        <f>_xlfn.XLOOKUP(J237,REF!$D$2:$D$12,REF!$E$2:$E$12)</f>
        <v>UFV</v>
      </c>
      <c r="L237" s="1" t="s">
        <v>725</v>
      </c>
      <c r="M237" s="1" t="s">
        <v>302</v>
      </c>
      <c r="N237" s="1" t="s">
        <v>345</v>
      </c>
      <c r="O237" s="1" t="s">
        <v>726</v>
      </c>
      <c r="P237" s="1" t="str">
        <f t="shared" si="9"/>
        <v>BC Camarao1.5Inverter(MBUS-1)45995,409722222245995,409722222245996,625</v>
      </c>
      <c r="Q237" s="1" t="str">
        <f t="shared" si="10"/>
        <v>DPRUFV</v>
      </c>
    </row>
    <row r="238" spans="2:17" hidden="1">
      <c r="B238" s="1" t="s">
        <v>388</v>
      </c>
      <c r="C238" s="1" t="s">
        <v>254</v>
      </c>
      <c r="D238" s="52">
        <v>45995.409722222219</v>
      </c>
      <c r="E238" s="52">
        <v>45995.409722222219</v>
      </c>
      <c r="F238" s="52">
        <v>45996.625</v>
      </c>
      <c r="G238" s="53">
        <f t="shared" si="8"/>
        <v>1.2152777777810115</v>
      </c>
      <c r="H238" s="1" t="s">
        <v>343</v>
      </c>
      <c r="J238" s="1" t="s">
        <v>230</v>
      </c>
      <c r="K238" s="1" t="str">
        <f>_xlfn.XLOOKUP(J238,REF!$D$2:$D$12,REF!$E$2:$E$12)</f>
        <v>UFV</v>
      </c>
      <c r="L238" s="1" t="s">
        <v>725</v>
      </c>
      <c r="M238" s="1" t="s">
        <v>302</v>
      </c>
      <c r="N238" s="1" t="s">
        <v>345</v>
      </c>
      <c r="O238" s="1" t="s">
        <v>726</v>
      </c>
      <c r="P238" s="1" t="str">
        <f t="shared" si="9"/>
        <v>BC Camarao1.5215KTL-H3(MBUS-13)45995,409722222245995,409722222245996,625</v>
      </c>
      <c r="Q238" s="1" t="str">
        <f t="shared" si="10"/>
        <v>DPRUFV</v>
      </c>
    </row>
    <row r="239" spans="2:17" hidden="1">
      <c r="B239" s="1" t="s">
        <v>388</v>
      </c>
      <c r="C239" s="1" t="s">
        <v>247</v>
      </c>
      <c r="D239" s="52">
        <v>45995.409722222219</v>
      </c>
      <c r="E239" s="52">
        <v>45995.409722222219</v>
      </c>
      <c r="F239" s="52">
        <v>45996.625</v>
      </c>
      <c r="G239" s="53">
        <f t="shared" si="8"/>
        <v>1.2152777777810115</v>
      </c>
      <c r="H239" s="1" t="s">
        <v>343</v>
      </c>
      <c r="J239" s="1" t="s">
        <v>230</v>
      </c>
      <c r="K239" s="1" t="str">
        <f>_xlfn.XLOOKUP(J239,REF!$D$2:$D$12,REF!$E$2:$E$12)</f>
        <v>UFV</v>
      </c>
      <c r="L239" s="1" t="s">
        <v>725</v>
      </c>
      <c r="M239" s="1" t="s">
        <v>302</v>
      </c>
      <c r="N239" s="1" t="s">
        <v>345</v>
      </c>
      <c r="O239" s="1" t="s">
        <v>726</v>
      </c>
      <c r="P239" s="1" t="str">
        <f t="shared" si="9"/>
        <v>BC Camarao1.5215KTL-H3(MBUS-12)45995,409722222245995,409722222245996,625</v>
      </c>
      <c r="Q239" s="1" t="str">
        <f t="shared" si="10"/>
        <v>DPRUFV</v>
      </c>
    </row>
    <row r="240" spans="2:17" hidden="1">
      <c r="B240" s="1" t="s">
        <v>388</v>
      </c>
      <c r="C240" s="1" t="s">
        <v>358</v>
      </c>
      <c r="D240" s="52">
        <v>45995.409722222219</v>
      </c>
      <c r="E240" s="52">
        <v>45995.409722222219</v>
      </c>
      <c r="F240" s="52">
        <v>45996.625</v>
      </c>
      <c r="G240" s="53">
        <f t="shared" si="8"/>
        <v>1.2152777777810115</v>
      </c>
      <c r="H240" s="1" t="s">
        <v>343</v>
      </c>
      <c r="J240" s="1" t="s">
        <v>230</v>
      </c>
      <c r="K240" s="1" t="str">
        <f>_xlfn.XLOOKUP(J240,REF!$D$2:$D$12,REF!$E$2:$E$12)</f>
        <v>UFV</v>
      </c>
      <c r="L240" s="1" t="s">
        <v>725</v>
      </c>
      <c r="M240" s="1" t="s">
        <v>302</v>
      </c>
      <c r="N240" s="1" t="s">
        <v>345</v>
      </c>
      <c r="O240" s="1" t="s">
        <v>726</v>
      </c>
      <c r="P240" s="1" t="str">
        <f t="shared" si="9"/>
        <v>BC Camarao1.5Inverter(MBUS-14)45995,409722222245995,409722222245996,625</v>
      </c>
      <c r="Q240" s="1" t="str">
        <f t="shared" si="10"/>
        <v>DPRUFV</v>
      </c>
    </row>
    <row r="241" spans="2:17" hidden="1">
      <c r="B241" s="1" t="s">
        <v>644</v>
      </c>
      <c r="C241" s="1" t="s">
        <v>328</v>
      </c>
      <c r="D241" s="52">
        <v>45995.527777777781</v>
      </c>
      <c r="E241" s="52">
        <v>45995.527777777781</v>
      </c>
      <c r="F241" s="52">
        <v>45995.666666666664</v>
      </c>
      <c r="G241" s="53">
        <f t="shared" si="8"/>
        <v>0.13888888888322981</v>
      </c>
      <c r="H241" s="1" t="s">
        <v>343</v>
      </c>
      <c r="J241" s="1" t="s">
        <v>337</v>
      </c>
      <c r="K241" s="1" t="str">
        <f>_xlfn.XLOOKUP(J241,REF!$D$2:$D$12,REF!$E$2:$E$12)</f>
        <v>Transformador</v>
      </c>
      <c r="L241" s="1" t="s">
        <v>680</v>
      </c>
      <c r="M241" s="1" t="s">
        <v>302</v>
      </c>
      <c r="N241" s="1" t="s">
        <v>345</v>
      </c>
      <c r="O241" s="1" t="s">
        <v>681</v>
      </c>
      <c r="P241" s="1" t="str">
        <f t="shared" si="9"/>
        <v>BC Vazante2.2Inverter(MBUS-1)45995,527777777845995,527777777845995,6666666667</v>
      </c>
      <c r="Q241" s="1" t="str">
        <f t="shared" si="10"/>
        <v>DPRTRF</v>
      </c>
    </row>
    <row r="242" spans="2:17" hidden="1">
      <c r="B242" s="1" t="s">
        <v>644</v>
      </c>
      <c r="C242" s="1" t="s">
        <v>717</v>
      </c>
      <c r="D242" s="52">
        <v>45995.527777777781</v>
      </c>
      <c r="E242" s="52">
        <v>45995.527777777781</v>
      </c>
      <c r="F242" s="52">
        <v>45995.666666666664</v>
      </c>
      <c r="G242" s="53">
        <f t="shared" ref="G242:G245" si="11">F242-E242</f>
        <v>0.13888888888322981</v>
      </c>
      <c r="H242" s="1" t="s">
        <v>343</v>
      </c>
      <c r="J242" s="1" t="s">
        <v>337</v>
      </c>
      <c r="K242" s="1" t="str">
        <f>_xlfn.XLOOKUP(J242,REF!$D$2:$D$12,REF!$E$2:$E$12)</f>
        <v>Transformador</v>
      </c>
      <c r="L242" s="1" t="s">
        <v>680</v>
      </c>
      <c r="M242" s="1" t="s">
        <v>302</v>
      </c>
      <c r="N242" s="1" t="s">
        <v>345</v>
      </c>
      <c r="O242" s="1" t="s">
        <v>681</v>
      </c>
      <c r="P242" s="1" t="str">
        <f t="shared" si="9"/>
        <v>BC Vazante2.2Inverter(MBUS-6)45995,527777777845995,527777777845995,6666666667</v>
      </c>
      <c r="Q242" s="1" t="str">
        <f t="shared" si="10"/>
        <v>DPRTRF</v>
      </c>
    </row>
    <row r="243" spans="2:17" hidden="1">
      <c r="B243" s="1" t="s">
        <v>644</v>
      </c>
      <c r="C243" s="1" t="s">
        <v>718</v>
      </c>
      <c r="D243" s="52">
        <v>45995.527777777781</v>
      </c>
      <c r="E243" s="52">
        <v>45995.527777777781</v>
      </c>
      <c r="F243" s="52">
        <v>45995.666666666664</v>
      </c>
      <c r="G243" s="53">
        <f t="shared" si="11"/>
        <v>0.13888888888322981</v>
      </c>
      <c r="H243" s="1" t="s">
        <v>343</v>
      </c>
      <c r="J243" s="1" t="s">
        <v>337</v>
      </c>
      <c r="K243" s="1" t="str">
        <f>_xlfn.XLOOKUP(J243,REF!$D$2:$D$12,REF!$E$2:$E$12)</f>
        <v>Transformador</v>
      </c>
      <c r="L243" s="1" t="s">
        <v>680</v>
      </c>
      <c r="M243" s="1" t="s">
        <v>302</v>
      </c>
      <c r="N243" s="1" t="s">
        <v>345</v>
      </c>
      <c r="O243" s="1" t="s">
        <v>681</v>
      </c>
      <c r="P243" s="1" t="str">
        <f t="shared" si="9"/>
        <v>BC Vazante2.2Inverter(MBUS-7)45995,527777777845995,527777777845995,6666666667</v>
      </c>
      <c r="Q243" s="1" t="str">
        <f t="shared" si="10"/>
        <v>DPRTRF</v>
      </c>
    </row>
    <row r="244" spans="2:17" hidden="1">
      <c r="B244" s="1" t="s">
        <v>644</v>
      </c>
      <c r="C244" s="1" t="s">
        <v>719</v>
      </c>
      <c r="D244" s="52">
        <v>45995.527777777781</v>
      </c>
      <c r="E244" s="52">
        <v>45995.527777777781</v>
      </c>
      <c r="F244" s="52">
        <v>45995.666666666664</v>
      </c>
      <c r="G244" s="53">
        <f t="shared" si="11"/>
        <v>0.13888888888322981</v>
      </c>
      <c r="H244" s="1" t="s">
        <v>343</v>
      </c>
      <c r="J244" s="1" t="s">
        <v>337</v>
      </c>
      <c r="K244" s="1" t="str">
        <f>_xlfn.XLOOKUP(J244,REF!$D$2:$D$12,REF!$E$2:$E$12)</f>
        <v>Transformador</v>
      </c>
      <c r="L244" s="1" t="s">
        <v>680</v>
      </c>
      <c r="M244" s="1" t="s">
        <v>302</v>
      </c>
      <c r="N244" s="1" t="s">
        <v>345</v>
      </c>
      <c r="O244" s="1" t="s">
        <v>681</v>
      </c>
      <c r="P244" s="1" t="str">
        <f t="shared" si="9"/>
        <v>BC Vazante2.2Inverter(MBUS-8)45995,527777777845995,527777777845995,6666666667</v>
      </c>
      <c r="Q244" s="1" t="str">
        <f t="shared" si="10"/>
        <v>DPRTRF</v>
      </c>
    </row>
    <row r="245" spans="2:17" hidden="1">
      <c r="B245" s="1" t="s">
        <v>644</v>
      </c>
      <c r="C245" s="1" t="s">
        <v>720</v>
      </c>
      <c r="D245" s="52">
        <v>45995.527777777781</v>
      </c>
      <c r="E245" s="52">
        <v>45995.527777777781</v>
      </c>
      <c r="F245" s="52">
        <v>45995.666666666664</v>
      </c>
      <c r="G245" s="53">
        <f t="shared" si="11"/>
        <v>0.13888888888322981</v>
      </c>
      <c r="H245" s="1" t="s">
        <v>343</v>
      </c>
      <c r="J245" s="1" t="s">
        <v>337</v>
      </c>
      <c r="K245" s="1" t="str">
        <f>_xlfn.XLOOKUP(J245,REF!$D$2:$D$12,REF!$E$2:$E$12)</f>
        <v>Transformador</v>
      </c>
      <c r="L245" s="1" t="s">
        <v>680</v>
      </c>
      <c r="M245" s="1" t="s">
        <v>302</v>
      </c>
      <c r="N245" s="1" t="s">
        <v>345</v>
      </c>
      <c r="O245" s="1" t="s">
        <v>681</v>
      </c>
      <c r="P245" s="1" t="str">
        <f t="shared" si="9"/>
        <v>BC Vazante2.2Inverter(MBUS-10)45995,527777777845995,527777777845995,6666666667</v>
      </c>
      <c r="Q245" s="1" t="str">
        <f t="shared" si="10"/>
        <v>DPRTRF</v>
      </c>
    </row>
    <row r="246" spans="2:17" hidden="1">
      <c r="B246" s="1" t="s">
        <v>553</v>
      </c>
      <c r="C246" s="1" t="s">
        <v>460</v>
      </c>
      <c r="D246" s="52">
        <v>45995.545138888891</v>
      </c>
      <c r="E246" s="52">
        <v>45995.545138888891</v>
      </c>
      <c r="F246" s="52">
        <v>45995.604166666664</v>
      </c>
      <c r="G246" s="53">
        <f t="shared" si="8"/>
        <v>5.9027777773735579E-2</v>
      </c>
      <c r="H246" s="1" t="s">
        <v>343</v>
      </c>
      <c r="J246" s="1" t="s">
        <v>230</v>
      </c>
      <c r="K246" s="1" t="str">
        <f>_xlfn.XLOOKUP(J246,REF!$D$2:$D$12,REF!$E$2:$E$12)</f>
        <v>UFV</v>
      </c>
      <c r="L246" s="1" t="s">
        <v>697</v>
      </c>
      <c r="M246" s="1" t="s">
        <v>302</v>
      </c>
      <c r="N246" s="1" t="s">
        <v>345</v>
      </c>
      <c r="O246" s="1" t="s">
        <v>724</v>
      </c>
      <c r="P246" s="1" t="str">
        <f t="shared" si="9"/>
        <v>BC Varjao1.2215KTL-H0(MBUS-12)45995,545138888945995,545138888945995,6041666667</v>
      </c>
      <c r="Q246" s="1" t="str">
        <f t="shared" si="10"/>
        <v>DPRUFV</v>
      </c>
    </row>
    <row r="247" spans="2:17" hidden="1">
      <c r="B247" s="1" t="s">
        <v>553</v>
      </c>
      <c r="C247" s="1" t="s">
        <v>463</v>
      </c>
      <c r="D247" s="52">
        <v>45995.545138888891</v>
      </c>
      <c r="E247" s="52">
        <v>45995.545138888891</v>
      </c>
      <c r="F247" s="52">
        <v>45995.604166666664</v>
      </c>
      <c r="G247" s="53">
        <f t="shared" si="8"/>
        <v>5.9027777773735579E-2</v>
      </c>
      <c r="H247" s="1" t="s">
        <v>343</v>
      </c>
      <c r="J247" s="1" t="s">
        <v>230</v>
      </c>
      <c r="K247" s="1" t="str">
        <f>_xlfn.XLOOKUP(J247,REF!$D$2:$D$12,REF!$E$2:$E$12)</f>
        <v>UFV</v>
      </c>
      <c r="L247" s="1" t="s">
        <v>697</v>
      </c>
      <c r="M247" s="1" t="s">
        <v>302</v>
      </c>
      <c r="N247" s="1" t="s">
        <v>345</v>
      </c>
      <c r="O247" s="1" t="s">
        <v>724</v>
      </c>
      <c r="P247" s="1" t="str">
        <f t="shared" si="9"/>
        <v>BC Varjao1.2215KTL-H0(MBUS-13)45995,545138888945995,545138888945995,6041666667</v>
      </c>
      <c r="Q247" s="1" t="str">
        <f t="shared" si="10"/>
        <v>DPRUFV</v>
      </c>
    </row>
    <row r="248" spans="2:17" hidden="1">
      <c r="B248" s="1" t="s">
        <v>553</v>
      </c>
      <c r="C248" s="1" t="s">
        <v>464</v>
      </c>
      <c r="D248" s="52">
        <v>45995.545138888891</v>
      </c>
      <c r="E248" s="52">
        <v>45995.545138888891</v>
      </c>
      <c r="F248" s="52">
        <v>45995.604166666664</v>
      </c>
      <c r="G248" s="53">
        <f t="shared" si="8"/>
        <v>5.9027777773735579E-2</v>
      </c>
      <c r="H248" s="1" t="s">
        <v>343</v>
      </c>
      <c r="J248" s="1" t="s">
        <v>230</v>
      </c>
      <c r="K248" s="1" t="str">
        <f>_xlfn.XLOOKUP(J248,REF!$D$2:$D$12,REF!$E$2:$E$12)</f>
        <v>UFV</v>
      </c>
      <c r="L248" s="1" t="s">
        <v>697</v>
      </c>
      <c r="M248" s="1" t="s">
        <v>302</v>
      </c>
      <c r="N248" s="1" t="s">
        <v>345</v>
      </c>
      <c r="O248" s="1" t="s">
        <v>724</v>
      </c>
      <c r="P248" s="1" t="str">
        <f t="shared" si="9"/>
        <v>BC Varjao1.2215KTL-H0(MBUS-14)45995,545138888945995,545138888945995,6041666667</v>
      </c>
      <c r="Q248" s="1" t="str">
        <f t="shared" si="10"/>
        <v>DPRUFV</v>
      </c>
    </row>
    <row r="249" spans="2:17" hidden="1">
      <c r="B249" s="1" t="s">
        <v>553</v>
      </c>
      <c r="C249" s="1" t="s">
        <v>465</v>
      </c>
      <c r="D249" s="52">
        <v>45995.545138888891</v>
      </c>
      <c r="E249" s="52">
        <v>45995.545138888891</v>
      </c>
      <c r="F249" s="52">
        <v>45995.604166666664</v>
      </c>
      <c r="G249" s="53">
        <f t="shared" si="8"/>
        <v>5.9027777773735579E-2</v>
      </c>
      <c r="H249" s="1" t="s">
        <v>343</v>
      </c>
      <c r="J249" s="1" t="s">
        <v>230</v>
      </c>
      <c r="K249" s="1" t="str">
        <f>_xlfn.XLOOKUP(J249,REF!$D$2:$D$12,REF!$E$2:$E$12)</f>
        <v>UFV</v>
      </c>
      <c r="L249" s="1" t="s">
        <v>697</v>
      </c>
      <c r="M249" s="1" t="s">
        <v>302</v>
      </c>
      <c r="N249" s="1" t="s">
        <v>345</v>
      </c>
      <c r="O249" s="1" t="s">
        <v>724</v>
      </c>
      <c r="P249" s="1" t="str">
        <f t="shared" si="9"/>
        <v>BC Varjao1.2215KTL-H0(MBUS-15)45995,545138888945995,545138888945995,6041666667</v>
      </c>
      <c r="Q249" s="1" t="str">
        <f t="shared" si="10"/>
        <v>DPRUFV</v>
      </c>
    </row>
    <row r="250" spans="2:17" hidden="1">
      <c r="B250" s="1" t="s">
        <v>553</v>
      </c>
      <c r="C250" s="1" t="s">
        <v>466</v>
      </c>
      <c r="D250" s="52">
        <v>45995.545138888891</v>
      </c>
      <c r="E250" s="52">
        <v>45995.545138888891</v>
      </c>
      <c r="F250" s="52">
        <v>45995.604166666664</v>
      </c>
      <c r="G250" s="53">
        <f t="shared" si="8"/>
        <v>5.9027777773735579E-2</v>
      </c>
      <c r="H250" s="1" t="s">
        <v>343</v>
      </c>
      <c r="J250" s="1" t="s">
        <v>230</v>
      </c>
      <c r="K250" s="1" t="str">
        <f>_xlfn.XLOOKUP(J250,REF!$D$2:$D$12,REF!$E$2:$E$12)</f>
        <v>UFV</v>
      </c>
      <c r="L250" s="1" t="s">
        <v>697</v>
      </c>
      <c r="M250" s="1" t="s">
        <v>302</v>
      </c>
      <c r="N250" s="1" t="s">
        <v>345</v>
      </c>
      <c r="O250" s="1" t="s">
        <v>724</v>
      </c>
      <c r="P250" s="1" t="str">
        <f t="shared" si="9"/>
        <v>BC Varjao1.2215KTL-H0(MBUS-16)45995,545138888945995,545138888945995,6041666667</v>
      </c>
      <c r="Q250" s="1" t="str">
        <f t="shared" si="10"/>
        <v>DPRUFV</v>
      </c>
    </row>
    <row r="251" spans="2:17" hidden="1">
      <c r="B251" s="1" t="s">
        <v>727</v>
      </c>
      <c r="C251" s="1" t="s">
        <v>728</v>
      </c>
      <c r="D251" s="52">
        <v>45995.605555555558</v>
      </c>
      <c r="E251" s="52">
        <v>45995.605555555558</v>
      </c>
      <c r="F251" s="52">
        <v>45995.65625</v>
      </c>
      <c r="G251" s="53">
        <f t="shared" si="8"/>
        <v>5.0694444442342501E-2</v>
      </c>
      <c r="H251" s="1" t="s">
        <v>343</v>
      </c>
      <c r="J251" s="1" t="s">
        <v>230</v>
      </c>
      <c r="K251" s="1" t="str">
        <f>_xlfn.XLOOKUP(J251,REF!$D$2:$D$12,REF!$E$2:$E$12)</f>
        <v>UFV</v>
      </c>
      <c r="L251" s="1" t="s">
        <v>697</v>
      </c>
      <c r="M251" s="1" t="s">
        <v>302</v>
      </c>
      <c r="N251" s="1" t="s">
        <v>345</v>
      </c>
      <c r="O251" s="1" t="s">
        <v>724</v>
      </c>
      <c r="P251" s="1" t="str">
        <f t="shared" si="9"/>
        <v>BC Varjao1.3100KTL-H1(MBUS-13)45995,605555555645995,605555555645995,65625</v>
      </c>
      <c r="Q251" s="1" t="str">
        <f t="shared" si="10"/>
        <v>DPRUFV</v>
      </c>
    </row>
    <row r="252" spans="2:17" hidden="1">
      <c r="B252" s="1" t="s">
        <v>727</v>
      </c>
      <c r="C252" s="1" t="s">
        <v>729</v>
      </c>
      <c r="D252" s="52">
        <v>45995.605555555558</v>
      </c>
      <c r="E252" s="52">
        <v>45995.605555555558</v>
      </c>
      <c r="F252" s="52">
        <v>45995.65625</v>
      </c>
      <c r="G252" s="53">
        <f t="shared" ref="G252:G304" si="12">F252-E252</f>
        <v>5.0694444442342501E-2</v>
      </c>
      <c r="H252" s="1" t="s">
        <v>343</v>
      </c>
      <c r="J252" s="1" t="s">
        <v>230</v>
      </c>
      <c r="K252" s="1" t="str">
        <f>_xlfn.XLOOKUP(J252,REF!$D$2:$D$12,REF!$E$2:$E$12)</f>
        <v>UFV</v>
      </c>
      <c r="L252" s="1" t="s">
        <v>697</v>
      </c>
      <c r="M252" s="1" t="s">
        <v>302</v>
      </c>
      <c r="N252" s="1" t="s">
        <v>345</v>
      </c>
      <c r="O252" s="1" t="s">
        <v>724</v>
      </c>
      <c r="P252" s="1" t="str">
        <f t="shared" si="9"/>
        <v>BC Varjao1.3UF3Inv245995,605555555645995,605555555645995,65625</v>
      </c>
      <c r="Q252" s="1" t="str">
        <f t="shared" si="10"/>
        <v>DPRUFV</v>
      </c>
    </row>
    <row r="253" spans="2:17" hidden="1">
      <c r="B253" s="1" t="s">
        <v>727</v>
      </c>
      <c r="C253" s="1" t="s">
        <v>464</v>
      </c>
      <c r="D253" s="52">
        <v>45995.605555555558</v>
      </c>
      <c r="E253" s="52">
        <v>45995.605555555558</v>
      </c>
      <c r="F253" s="52">
        <v>45995.65625</v>
      </c>
      <c r="G253" s="53">
        <f t="shared" si="12"/>
        <v>5.0694444442342501E-2</v>
      </c>
      <c r="H253" s="1" t="s">
        <v>343</v>
      </c>
      <c r="J253" s="1" t="s">
        <v>230</v>
      </c>
      <c r="K253" s="1" t="str">
        <f>_xlfn.XLOOKUP(J253,REF!$D$2:$D$12,REF!$E$2:$E$12)</f>
        <v>UFV</v>
      </c>
      <c r="L253" s="1" t="s">
        <v>697</v>
      </c>
      <c r="M253" s="1" t="s">
        <v>302</v>
      </c>
      <c r="N253" s="1" t="s">
        <v>345</v>
      </c>
      <c r="O253" s="1" t="s">
        <v>724</v>
      </c>
      <c r="P253" s="1" t="str">
        <f t="shared" si="9"/>
        <v>BC Varjao1.3215KTL-H0(MBUS-14)45995,605555555645995,605555555645995,65625</v>
      </c>
      <c r="Q253" s="1" t="str">
        <f t="shared" si="10"/>
        <v>DPRUFV</v>
      </c>
    </row>
    <row r="254" spans="2:17" hidden="1">
      <c r="B254" s="1" t="s">
        <v>421</v>
      </c>
      <c r="C254" s="1" t="s">
        <v>357</v>
      </c>
      <c r="D254" s="52">
        <v>45995.923611111109</v>
      </c>
      <c r="E254" s="52">
        <v>45995.923611111109</v>
      </c>
      <c r="F254" s="52">
        <v>45996.302083333336</v>
      </c>
      <c r="G254" s="53">
        <f t="shared" si="12"/>
        <v>0.37847222222626442</v>
      </c>
      <c r="H254" s="1" t="s">
        <v>248</v>
      </c>
      <c r="J254" s="1" t="s">
        <v>249</v>
      </c>
      <c r="K254" s="1" t="str">
        <f>_xlfn.XLOOKUP(J254,REF!$D$2:$D$12,REF!$E$2:$E$12)</f>
        <v>Rede</v>
      </c>
      <c r="L254" s="1" t="s">
        <v>730</v>
      </c>
      <c r="M254" s="1" t="s">
        <v>251</v>
      </c>
      <c r="N254" s="1" t="s">
        <v>252</v>
      </c>
      <c r="O254" s="1" t="s">
        <v>331</v>
      </c>
      <c r="P254" s="1" t="str">
        <f t="shared" si="9"/>
        <v>BC Formoso1.2Inverter(MBUS-13)45995,923611111145995,923611111145996,3020833333</v>
      </c>
      <c r="Q254" s="1" t="str">
        <f t="shared" si="10"/>
        <v>DAURDE</v>
      </c>
    </row>
    <row r="255" spans="2:17" hidden="1">
      <c r="B255" s="1" t="s">
        <v>421</v>
      </c>
      <c r="C255" s="1" t="s">
        <v>354</v>
      </c>
      <c r="D255" s="52">
        <v>45995.923611111109</v>
      </c>
      <c r="E255" s="52">
        <v>45995.923611111109</v>
      </c>
      <c r="F255" s="52">
        <v>45996.302083333336</v>
      </c>
      <c r="G255" s="53">
        <f t="shared" si="12"/>
        <v>0.37847222222626442</v>
      </c>
      <c r="H255" s="1" t="s">
        <v>248</v>
      </c>
      <c r="J255" s="1" t="s">
        <v>249</v>
      </c>
      <c r="K255" s="1" t="str">
        <f>_xlfn.XLOOKUP(J255,REF!$D$2:$D$12,REF!$E$2:$E$12)</f>
        <v>Rede</v>
      </c>
      <c r="L255" s="1" t="s">
        <v>730</v>
      </c>
      <c r="M255" s="1" t="s">
        <v>251</v>
      </c>
      <c r="N255" s="1" t="s">
        <v>252</v>
      </c>
      <c r="O255" s="1" t="s">
        <v>331</v>
      </c>
      <c r="P255" s="1" t="str">
        <f t="shared" si="9"/>
        <v>BC Formoso1.2Inverter(MBUS-12)45995,923611111145995,923611111145996,3020833333</v>
      </c>
      <c r="Q255" s="1" t="str">
        <f t="shared" si="10"/>
        <v>DAURDE</v>
      </c>
    </row>
    <row r="256" spans="2:17" hidden="1">
      <c r="B256" s="1" t="s">
        <v>421</v>
      </c>
      <c r="C256" s="1" t="s">
        <v>359</v>
      </c>
      <c r="D256" s="52">
        <v>45995.923611111109</v>
      </c>
      <c r="E256" s="52">
        <v>45995.923611111109</v>
      </c>
      <c r="F256" s="52">
        <v>45996.302083333336</v>
      </c>
      <c r="G256" s="53">
        <f t="shared" si="12"/>
        <v>0.37847222222626442</v>
      </c>
      <c r="H256" s="1" t="s">
        <v>248</v>
      </c>
      <c r="J256" s="1" t="s">
        <v>249</v>
      </c>
      <c r="K256" s="1" t="str">
        <f>_xlfn.XLOOKUP(J256,REF!$D$2:$D$12,REF!$E$2:$E$12)</f>
        <v>Rede</v>
      </c>
      <c r="L256" s="1" t="s">
        <v>730</v>
      </c>
      <c r="M256" s="1" t="s">
        <v>251</v>
      </c>
      <c r="N256" s="1" t="s">
        <v>252</v>
      </c>
      <c r="O256" s="1" t="s">
        <v>331</v>
      </c>
      <c r="P256" s="1" t="str">
        <f t="shared" si="9"/>
        <v>BC Formoso1.2Inverter(MBUS-15)45995,923611111145995,923611111145996,3020833333</v>
      </c>
      <c r="Q256" s="1" t="str">
        <f t="shared" si="10"/>
        <v>DAURDE</v>
      </c>
    </row>
    <row r="257" spans="2:17" hidden="1">
      <c r="B257" s="1" t="s">
        <v>421</v>
      </c>
      <c r="C257" s="1" t="s">
        <v>358</v>
      </c>
      <c r="D257" s="52">
        <v>45995.923611111109</v>
      </c>
      <c r="E257" s="52">
        <v>45995.923611111109</v>
      </c>
      <c r="F257" s="52">
        <v>45996.302083333336</v>
      </c>
      <c r="G257" s="53">
        <f t="shared" si="12"/>
        <v>0.37847222222626442</v>
      </c>
      <c r="H257" s="1" t="s">
        <v>248</v>
      </c>
      <c r="J257" s="1" t="s">
        <v>249</v>
      </c>
      <c r="K257" s="1" t="str">
        <f>_xlfn.XLOOKUP(J257,REF!$D$2:$D$12,REF!$E$2:$E$12)</f>
        <v>Rede</v>
      </c>
      <c r="L257" s="1" t="s">
        <v>730</v>
      </c>
      <c r="M257" s="1" t="s">
        <v>251</v>
      </c>
      <c r="N257" s="1" t="s">
        <v>252</v>
      </c>
      <c r="O257" s="1" t="s">
        <v>331</v>
      </c>
      <c r="P257" s="1" t="str">
        <f t="shared" si="9"/>
        <v>BC Formoso1.2Inverter(MBUS-14)45995,923611111145995,923611111145996,3020833333</v>
      </c>
      <c r="Q257" s="1" t="str">
        <f t="shared" si="10"/>
        <v>DAURDE</v>
      </c>
    </row>
    <row r="258" spans="2:17" hidden="1">
      <c r="B258" s="1" t="s">
        <v>430</v>
      </c>
      <c r="C258" s="1" t="s">
        <v>357</v>
      </c>
      <c r="D258" s="52">
        <v>45995.923611111109</v>
      </c>
      <c r="E258" s="52">
        <v>45995.923611111109</v>
      </c>
      <c r="F258" s="52">
        <v>45996.302083333336</v>
      </c>
      <c r="G258" s="53">
        <f t="shared" si="12"/>
        <v>0.37847222222626442</v>
      </c>
      <c r="H258" s="1" t="s">
        <v>248</v>
      </c>
      <c r="J258" s="1" t="s">
        <v>249</v>
      </c>
      <c r="K258" s="1" t="str">
        <f>_xlfn.XLOOKUP(J258,REF!$D$2:$D$12,REF!$E$2:$E$12)</f>
        <v>Rede</v>
      </c>
      <c r="L258" s="1" t="s">
        <v>730</v>
      </c>
      <c r="M258" s="1" t="s">
        <v>251</v>
      </c>
      <c r="N258" s="1" t="s">
        <v>252</v>
      </c>
      <c r="O258" s="1" t="s">
        <v>331</v>
      </c>
      <c r="P258" s="1" t="str">
        <f t="shared" si="9"/>
        <v>BC Formoso1.3Inverter(MBUS-13)45995,923611111145995,923611111145996,3020833333</v>
      </c>
      <c r="Q258" s="1" t="str">
        <f t="shared" si="10"/>
        <v>DAURDE</v>
      </c>
    </row>
    <row r="259" spans="2:17" hidden="1">
      <c r="B259" s="1" t="s">
        <v>430</v>
      </c>
      <c r="C259" s="1" t="s">
        <v>354</v>
      </c>
      <c r="D259" s="52">
        <v>45995.923611111109</v>
      </c>
      <c r="E259" s="52">
        <v>45995.923611111109</v>
      </c>
      <c r="F259" s="52">
        <v>45996.302083333336</v>
      </c>
      <c r="G259" s="53">
        <f t="shared" si="12"/>
        <v>0.37847222222626442</v>
      </c>
      <c r="H259" s="1" t="s">
        <v>248</v>
      </c>
      <c r="J259" s="1" t="s">
        <v>249</v>
      </c>
      <c r="K259" s="1" t="str">
        <f>_xlfn.XLOOKUP(J259,REF!$D$2:$D$12,REF!$E$2:$E$12)</f>
        <v>Rede</v>
      </c>
      <c r="L259" s="1" t="s">
        <v>730</v>
      </c>
      <c r="M259" s="1" t="s">
        <v>251</v>
      </c>
      <c r="N259" s="1" t="s">
        <v>252</v>
      </c>
      <c r="O259" s="1" t="s">
        <v>331</v>
      </c>
      <c r="P259" s="1" t="str">
        <f t="shared" ref="P259:P322" si="13">_xlfn.CONCAT(B259,C259,D259,E259,F259)</f>
        <v>BC Formoso1.3Inverter(MBUS-12)45995,923611111145995,923611111145996,3020833333</v>
      </c>
      <c r="Q259" s="1" t="str">
        <f t="shared" ref="Q259:Q322" si="14">_xlfn.CONCAT(H259,I259,J259)</f>
        <v>DAURDE</v>
      </c>
    </row>
    <row r="260" spans="2:17" hidden="1">
      <c r="B260" s="1" t="s">
        <v>430</v>
      </c>
      <c r="C260" s="1" t="s">
        <v>357</v>
      </c>
      <c r="D260" s="52">
        <v>45995.700694444444</v>
      </c>
      <c r="E260" s="52">
        <v>45995.700694444444</v>
      </c>
      <c r="F260" s="52">
        <v>45996.477777777778</v>
      </c>
      <c r="G260" s="53">
        <f t="shared" si="12"/>
        <v>0.77708333333430346</v>
      </c>
      <c r="H260" s="1" t="s">
        <v>343</v>
      </c>
      <c r="J260" s="1" t="s">
        <v>230</v>
      </c>
      <c r="K260" s="1" t="str">
        <f>_xlfn.XLOOKUP(J260,REF!$D$2:$D$12,REF!$E$2:$E$12)</f>
        <v>UFV</v>
      </c>
      <c r="L260" s="1" t="s">
        <v>731</v>
      </c>
      <c r="M260" s="1" t="s">
        <v>732</v>
      </c>
      <c r="N260" s="1" t="s">
        <v>266</v>
      </c>
      <c r="O260" s="1" t="s">
        <v>733</v>
      </c>
      <c r="P260" s="1" t="str">
        <f t="shared" si="13"/>
        <v>BC Formoso1.3Inverter(MBUS-13)45995,700694444445995,700694444445996,4777777778</v>
      </c>
      <c r="Q260" s="1" t="str">
        <f t="shared" si="14"/>
        <v>DPRUFV</v>
      </c>
    </row>
    <row r="261" spans="2:17" hidden="1">
      <c r="B261" s="1" t="s">
        <v>430</v>
      </c>
      <c r="C261" s="1" t="s">
        <v>354</v>
      </c>
      <c r="D261" s="52">
        <v>45995.700694444444</v>
      </c>
      <c r="E261" s="52">
        <v>45995.700694444444</v>
      </c>
      <c r="F261" s="52">
        <v>45996.477777777778</v>
      </c>
      <c r="G261" s="53">
        <f t="shared" si="12"/>
        <v>0.77708333333430346</v>
      </c>
      <c r="H261" s="1" t="s">
        <v>343</v>
      </c>
      <c r="J261" s="1" t="s">
        <v>230</v>
      </c>
      <c r="K261" s="1" t="str">
        <f>_xlfn.XLOOKUP(J261,REF!$D$2:$D$12,REF!$E$2:$E$12)</f>
        <v>UFV</v>
      </c>
      <c r="L261" s="1" t="s">
        <v>731</v>
      </c>
      <c r="M261" s="1" t="s">
        <v>732</v>
      </c>
      <c r="N261" s="1" t="s">
        <v>266</v>
      </c>
      <c r="O261" s="1" t="s">
        <v>733</v>
      </c>
      <c r="P261" s="1" t="str">
        <f t="shared" si="13"/>
        <v>BC Formoso1.3Inverter(MBUS-12)45995,700694444445995,700694444445996,4777777778</v>
      </c>
      <c r="Q261" s="1" t="str">
        <f t="shared" si="14"/>
        <v>DPRUFV</v>
      </c>
    </row>
    <row r="262" spans="2:17">
      <c r="B262" s="1" t="s">
        <v>644</v>
      </c>
      <c r="C262" s="1" t="s">
        <v>328</v>
      </c>
      <c r="D262" s="52">
        <v>45996.267361111109</v>
      </c>
      <c r="E262" s="52">
        <v>45996.267361111109</v>
      </c>
      <c r="F262" s="52">
        <v>45996.3125</v>
      </c>
      <c r="G262" s="53">
        <f t="shared" si="12"/>
        <v>4.5138888890505768E-2</v>
      </c>
      <c r="H262" s="1" t="s">
        <v>260</v>
      </c>
      <c r="I262" s="1" t="s">
        <v>261</v>
      </c>
      <c r="J262" s="1" t="s">
        <v>262</v>
      </c>
      <c r="K262" s="1" t="str">
        <f>_xlfn.XLOOKUP(J262,REF!$D$2:$D$12,REF!$E$2:$E$12)</f>
        <v>Comunicação</v>
      </c>
      <c r="L262" s="1" t="s">
        <v>734</v>
      </c>
      <c r="M262" s="1" t="s">
        <v>265</v>
      </c>
      <c r="N262" s="1" t="s">
        <v>266</v>
      </c>
      <c r="O262" s="1" t="s">
        <v>405</v>
      </c>
      <c r="P262" s="1" t="str">
        <f t="shared" si="13"/>
        <v>BC Vazante2.2Inverter(MBUS-1)45996,267361111145996,267361111145996,3125</v>
      </c>
      <c r="Q262" s="1" t="str">
        <f t="shared" si="14"/>
        <v>LIGRFOCOM</v>
      </c>
    </row>
    <row r="263" spans="2:17">
      <c r="B263" s="1" t="s">
        <v>644</v>
      </c>
      <c r="C263" s="1" t="s">
        <v>717</v>
      </c>
      <c r="D263" s="52">
        <v>45996.267361111109</v>
      </c>
      <c r="E263" s="52">
        <v>45996.267361111109</v>
      </c>
      <c r="F263" s="52">
        <v>45996.3125</v>
      </c>
      <c r="G263" s="53">
        <f t="shared" si="12"/>
        <v>4.5138888890505768E-2</v>
      </c>
      <c r="H263" s="1" t="s">
        <v>260</v>
      </c>
      <c r="I263" s="1" t="s">
        <v>261</v>
      </c>
      <c r="J263" s="1" t="s">
        <v>262</v>
      </c>
      <c r="K263" s="1" t="str">
        <f>_xlfn.XLOOKUP(J263,REF!$D$2:$D$12,REF!$E$2:$E$12)</f>
        <v>Comunicação</v>
      </c>
      <c r="L263" s="1" t="s">
        <v>734</v>
      </c>
      <c r="M263" s="1" t="s">
        <v>265</v>
      </c>
      <c r="N263" s="1" t="s">
        <v>266</v>
      </c>
      <c r="O263" s="1" t="s">
        <v>405</v>
      </c>
      <c r="P263" s="1" t="str">
        <f t="shared" si="13"/>
        <v>BC Vazante2.2Inverter(MBUS-6)45996,267361111145996,267361111145996,3125</v>
      </c>
      <c r="Q263" s="1" t="str">
        <f t="shared" si="14"/>
        <v>LIGRFOCOM</v>
      </c>
    </row>
    <row r="264" spans="2:17">
      <c r="B264" s="1" t="s">
        <v>644</v>
      </c>
      <c r="C264" s="1" t="s">
        <v>718</v>
      </c>
      <c r="D264" s="52">
        <v>45996.267361111109</v>
      </c>
      <c r="E264" s="52">
        <v>45996.267361111109</v>
      </c>
      <c r="F264" s="52">
        <v>45996.3125</v>
      </c>
      <c r="G264" s="53">
        <f t="shared" si="12"/>
        <v>4.5138888890505768E-2</v>
      </c>
      <c r="H264" s="1" t="s">
        <v>260</v>
      </c>
      <c r="I264" s="1" t="s">
        <v>261</v>
      </c>
      <c r="J264" s="1" t="s">
        <v>262</v>
      </c>
      <c r="K264" s="1" t="str">
        <f>_xlfn.XLOOKUP(J264,REF!$D$2:$D$12,REF!$E$2:$E$12)</f>
        <v>Comunicação</v>
      </c>
      <c r="L264" s="1" t="s">
        <v>734</v>
      </c>
      <c r="M264" s="1" t="s">
        <v>265</v>
      </c>
      <c r="N264" s="1" t="s">
        <v>266</v>
      </c>
      <c r="O264" s="1" t="s">
        <v>405</v>
      </c>
      <c r="P264" s="1" t="str">
        <f t="shared" si="13"/>
        <v>BC Vazante2.2Inverter(MBUS-7)45996,267361111145996,267361111145996,3125</v>
      </c>
      <c r="Q264" s="1" t="str">
        <f t="shared" si="14"/>
        <v>LIGRFOCOM</v>
      </c>
    </row>
    <row r="265" spans="2:17">
      <c r="B265" s="1" t="s">
        <v>644</v>
      </c>
      <c r="C265" s="1" t="s">
        <v>719</v>
      </c>
      <c r="D265" s="52">
        <v>45996.267361111109</v>
      </c>
      <c r="E265" s="52">
        <v>45996.267361111109</v>
      </c>
      <c r="F265" s="52">
        <v>45996.3125</v>
      </c>
      <c r="G265" s="53">
        <f t="shared" si="12"/>
        <v>4.5138888890505768E-2</v>
      </c>
      <c r="H265" s="1" t="s">
        <v>260</v>
      </c>
      <c r="I265" s="1" t="s">
        <v>261</v>
      </c>
      <c r="J265" s="1" t="s">
        <v>262</v>
      </c>
      <c r="K265" s="1" t="str">
        <f>_xlfn.XLOOKUP(J265,REF!$D$2:$D$12,REF!$E$2:$E$12)</f>
        <v>Comunicação</v>
      </c>
      <c r="L265" s="1" t="s">
        <v>734</v>
      </c>
      <c r="M265" s="1" t="s">
        <v>265</v>
      </c>
      <c r="N265" s="1" t="s">
        <v>266</v>
      </c>
      <c r="O265" s="1" t="s">
        <v>405</v>
      </c>
      <c r="P265" s="1" t="str">
        <f t="shared" si="13"/>
        <v>BC Vazante2.2Inverter(MBUS-8)45996,267361111145996,267361111145996,3125</v>
      </c>
      <c r="Q265" s="1" t="str">
        <f t="shared" si="14"/>
        <v>LIGRFOCOM</v>
      </c>
    </row>
    <row r="266" spans="2:17">
      <c r="B266" s="1" t="s">
        <v>644</v>
      </c>
      <c r="C266" s="1" t="s">
        <v>720</v>
      </c>
      <c r="D266" s="52">
        <v>45996.267361111109</v>
      </c>
      <c r="E266" s="52">
        <v>45996.267361111109</v>
      </c>
      <c r="F266" s="52">
        <v>45996.3125</v>
      </c>
      <c r="G266" s="53">
        <f t="shared" si="12"/>
        <v>4.5138888890505768E-2</v>
      </c>
      <c r="H266" s="1" t="s">
        <v>260</v>
      </c>
      <c r="I266" s="1" t="s">
        <v>261</v>
      </c>
      <c r="J266" s="1" t="s">
        <v>262</v>
      </c>
      <c r="K266" s="1" t="str">
        <f>_xlfn.XLOOKUP(J266,REF!$D$2:$D$12,REF!$E$2:$E$12)</f>
        <v>Comunicação</v>
      </c>
      <c r="L266" s="1" t="s">
        <v>734</v>
      </c>
      <c r="M266" s="1" t="s">
        <v>265</v>
      </c>
      <c r="N266" s="1" t="s">
        <v>266</v>
      </c>
      <c r="O266" s="1" t="s">
        <v>405</v>
      </c>
      <c r="P266" s="1" t="str">
        <f t="shared" si="13"/>
        <v>BC Vazante2.2Inverter(MBUS-10)45996,267361111145996,267361111145996,3125</v>
      </c>
      <c r="Q266" s="1" t="str">
        <f t="shared" si="14"/>
        <v>LIGRFOCOM</v>
      </c>
    </row>
    <row r="267" spans="2:17" hidden="1">
      <c r="B267" s="1" t="s">
        <v>459</v>
      </c>
      <c r="C267" s="1" t="s">
        <v>460</v>
      </c>
      <c r="D267" s="52">
        <v>45996.313888888886</v>
      </c>
      <c r="E267" s="52">
        <v>45996.313888888886</v>
      </c>
      <c r="F267" s="52">
        <v>45996.364583333336</v>
      </c>
      <c r="G267" s="53">
        <f t="shared" si="12"/>
        <v>5.0694444449618459E-2</v>
      </c>
      <c r="H267" s="1" t="s">
        <v>343</v>
      </c>
      <c r="J267" s="1" t="s">
        <v>230</v>
      </c>
      <c r="K267" s="1" t="str">
        <f>_xlfn.XLOOKUP(J267,REF!$D$2:$D$12,REF!$E$2:$E$12)</f>
        <v>UFV</v>
      </c>
      <c r="L267" s="1" t="s">
        <v>697</v>
      </c>
      <c r="M267" s="1" t="s">
        <v>302</v>
      </c>
      <c r="N267" s="1" t="s">
        <v>345</v>
      </c>
      <c r="O267" s="1" t="s">
        <v>724</v>
      </c>
      <c r="P267" s="1" t="str">
        <f t="shared" si="13"/>
        <v>BC Varjao2.1215KTL-H0(MBUS-12)45996,313888888945996,313888888945996,3645833333</v>
      </c>
      <c r="Q267" s="1" t="str">
        <f t="shared" si="14"/>
        <v>DPRUFV</v>
      </c>
    </row>
    <row r="268" spans="2:17" hidden="1">
      <c r="B268" s="1" t="s">
        <v>459</v>
      </c>
      <c r="C268" s="1" t="s">
        <v>463</v>
      </c>
      <c r="D268" s="52">
        <v>45996.313888888886</v>
      </c>
      <c r="E268" s="52">
        <v>45996.313888888886</v>
      </c>
      <c r="F268" s="52">
        <v>45996.364583333336</v>
      </c>
      <c r="G268" s="53">
        <f t="shared" si="12"/>
        <v>5.0694444449618459E-2</v>
      </c>
      <c r="H268" s="1" t="s">
        <v>343</v>
      </c>
      <c r="J268" s="1" t="s">
        <v>230</v>
      </c>
      <c r="K268" s="1" t="str">
        <f>_xlfn.XLOOKUP(J268,REF!$D$2:$D$12,REF!$E$2:$E$12)</f>
        <v>UFV</v>
      </c>
      <c r="L268" s="1" t="s">
        <v>697</v>
      </c>
      <c r="M268" s="1" t="s">
        <v>302</v>
      </c>
      <c r="N268" s="1" t="s">
        <v>345</v>
      </c>
      <c r="O268" s="1" t="s">
        <v>724</v>
      </c>
      <c r="P268" s="1" t="str">
        <f t="shared" si="13"/>
        <v>BC Varjao2.1215KTL-H0(MBUS-13)45996,313888888945996,313888888945996,3645833333</v>
      </c>
      <c r="Q268" s="1" t="str">
        <f t="shared" si="14"/>
        <v>DPRUFV</v>
      </c>
    </row>
    <row r="269" spans="2:17" hidden="1">
      <c r="B269" s="1" t="s">
        <v>459</v>
      </c>
      <c r="C269" s="1" t="s">
        <v>464</v>
      </c>
      <c r="D269" s="52">
        <v>45996.313888888886</v>
      </c>
      <c r="E269" s="52">
        <v>45996.313888888886</v>
      </c>
      <c r="F269" s="52">
        <v>45996.364583333336</v>
      </c>
      <c r="G269" s="53">
        <f t="shared" si="12"/>
        <v>5.0694444449618459E-2</v>
      </c>
      <c r="H269" s="1" t="s">
        <v>343</v>
      </c>
      <c r="J269" s="1" t="s">
        <v>230</v>
      </c>
      <c r="K269" s="1" t="str">
        <f>_xlfn.XLOOKUP(J269,REF!$D$2:$D$12,REF!$E$2:$E$12)</f>
        <v>UFV</v>
      </c>
      <c r="L269" s="1" t="s">
        <v>697</v>
      </c>
      <c r="M269" s="1" t="s">
        <v>302</v>
      </c>
      <c r="N269" s="1" t="s">
        <v>345</v>
      </c>
      <c r="O269" s="1" t="s">
        <v>724</v>
      </c>
      <c r="P269" s="1" t="str">
        <f t="shared" si="13"/>
        <v>BC Varjao2.1215KTL-H0(MBUS-14)45996,313888888945996,313888888945996,3645833333</v>
      </c>
      <c r="Q269" s="1" t="str">
        <f t="shared" si="14"/>
        <v>DPRUFV</v>
      </c>
    </row>
    <row r="270" spans="2:17" hidden="1">
      <c r="B270" s="1" t="s">
        <v>459</v>
      </c>
      <c r="C270" s="1" t="s">
        <v>465</v>
      </c>
      <c r="D270" s="52">
        <v>45996.313888888886</v>
      </c>
      <c r="E270" s="52">
        <v>45996.313888888886</v>
      </c>
      <c r="F270" s="52">
        <v>45996.364583333336</v>
      </c>
      <c r="G270" s="53">
        <f t="shared" si="12"/>
        <v>5.0694444449618459E-2</v>
      </c>
      <c r="H270" s="1" t="s">
        <v>343</v>
      </c>
      <c r="J270" s="1" t="s">
        <v>230</v>
      </c>
      <c r="K270" s="1" t="str">
        <f>_xlfn.XLOOKUP(J270,REF!$D$2:$D$12,REF!$E$2:$E$12)</f>
        <v>UFV</v>
      </c>
      <c r="L270" s="1" t="s">
        <v>697</v>
      </c>
      <c r="M270" s="1" t="s">
        <v>302</v>
      </c>
      <c r="N270" s="1" t="s">
        <v>345</v>
      </c>
      <c r="O270" s="1" t="s">
        <v>724</v>
      </c>
      <c r="P270" s="1" t="str">
        <f t="shared" si="13"/>
        <v>BC Varjao2.1215KTL-H0(MBUS-15)45996,313888888945996,313888888945996,3645833333</v>
      </c>
      <c r="Q270" s="1" t="str">
        <f t="shared" si="14"/>
        <v>DPRUFV</v>
      </c>
    </row>
    <row r="271" spans="2:17" hidden="1">
      <c r="B271" s="1" t="s">
        <v>459</v>
      </c>
      <c r="C271" s="1" t="s">
        <v>466</v>
      </c>
      <c r="D271" s="52">
        <v>45996.313888888886</v>
      </c>
      <c r="E271" s="52">
        <v>45996.313888888886</v>
      </c>
      <c r="F271" s="52">
        <v>45996.364583333336</v>
      </c>
      <c r="G271" s="53">
        <f t="shared" si="12"/>
        <v>5.0694444449618459E-2</v>
      </c>
      <c r="H271" s="1" t="s">
        <v>343</v>
      </c>
      <c r="J271" s="1" t="s">
        <v>230</v>
      </c>
      <c r="K271" s="1" t="str">
        <f>_xlfn.XLOOKUP(J271,REF!$D$2:$D$12,REF!$E$2:$E$12)</f>
        <v>UFV</v>
      </c>
      <c r="L271" s="1" t="s">
        <v>697</v>
      </c>
      <c r="M271" s="1" t="s">
        <v>302</v>
      </c>
      <c r="N271" s="1" t="s">
        <v>345</v>
      </c>
      <c r="O271" s="1" t="s">
        <v>724</v>
      </c>
      <c r="P271" s="1" t="str">
        <f t="shared" si="13"/>
        <v>BC Varjao2.1215KTL-H0(MBUS-16)45996,313888888945996,313888888945996,3645833333</v>
      </c>
      <c r="Q271" s="1" t="str">
        <f t="shared" si="14"/>
        <v>DPRUFV</v>
      </c>
    </row>
    <row r="272" spans="2:17" hidden="1">
      <c r="B272" s="1" t="s">
        <v>468</v>
      </c>
      <c r="C272" s="1" t="s">
        <v>469</v>
      </c>
      <c r="D272" s="52">
        <v>45996.365277777775</v>
      </c>
      <c r="E272" s="52">
        <v>45996.365277777775</v>
      </c>
      <c r="F272" s="52">
        <v>45996.406944444447</v>
      </c>
      <c r="G272" s="53">
        <f t="shared" si="12"/>
        <v>4.1666666671517305E-2</v>
      </c>
      <c r="H272" s="1" t="s">
        <v>343</v>
      </c>
      <c r="J272" s="1" t="s">
        <v>230</v>
      </c>
      <c r="K272" s="1" t="str">
        <f>_xlfn.XLOOKUP(J272,REF!$D$2:$D$12,REF!$E$2:$E$12)</f>
        <v>UFV</v>
      </c>
      <c r="L272" s="1" t="s">
        <v>697</v>
      </c>
      <c r="M272" s="1" t="s">
        <v>302</v>
      </c>
      <c r="N272" s="1" t="s">
        <v>345</v>
      </c>
      <c r="O272" s="1" t="s">
        <v>724</v>
      </c>
      <c r="P272" s="1" t="str">
        <f t="shared" si="13"/>
        <v>BC Varjao2.3100KTL-H1(MBUS-1)45996,365277777845996,365277777845996,4069444444</v>
      </c>
      <c r="Q272" s="1" t="str">
        <f t="shared" si="14"/>
        <v>DPRUFV</v>
      </c>
    </row>
    <row r="273" spans="2:17" hidden="1">
      <c r="B273" s="1" t="s">
        <v>468</v>
      </c>
      <c r="C273" s="1" t="s">
        <v>463</v>
      </c>
      <c r="D273" s="52">
        <v>45996.365277777775</v>
      </c>
      <c r="E273" s="52">
        <v>45996.365277777775</v>
      </c>
      <c r="F273" s="52">
        <v>45996.406944444447</v>
      </c>
      <c r="G273" s="53">
        <f t="shared" si="12"/>
        <v>4.1666666671517305E-2</v>
      </c>
      <c r="H273" s="1" t="s">
        <v>343</v>
      </c>
      <c r="J273" s="1" t="s">
        <v>230</v>
      </c>
      <c r="K273" s="1" t="str">
        <f>_xlfn.XLOOKUP(J273,REF!$D$2:$D$12,REF!$E$2:$E$12)</f>
        <v>UFV</v>
      </c>
      <c r="L273" s="1" t="s">
        <v>697</v>
      </c>
      <c r="M273" s="1" t="s">
        <v>302</v>
      </c>
      <c r="N273" s="1" t="s">
        <v>345</v>
      </c>
      <c r="O273" s="1" t="s">
        <v>724</v>
      </c>
      <c r="P273" s="1" t="str">
        <f t="shared" si="13"/>
        <v>BC Varjao2.3215KTL-H0(MBUS-13)45996,365277777845996,365277777845996,4069444444</v>
      </c>
      <c r="Q273" s="1" t="str">
        <f t="shared" si="14"/>
        <v>DPRUFV</v>
      </c>
    </row>
    <row r="274" spans="2:17" hidden="1">
      <c r="B274" s="1" t="s">
        <v>468</v>
      </c>
      <c r="C274" s="1" t="s">
        <v>460</v>
      </c>
      <c r="D274" s="52">
        <v>45996.365277777775</v>
      </c>
      <c r="E274" s="52">
        <v>45996.365277777775</v>
      </c>
      <c r="F274" s="52">
        <v>45996.406944444447</v>
      </c>
      <c r="G274" s="53">
        <f t="shared" si="12"/>
        <v>4.1666666671517305E-2</v>
      </c>
      <c r="H274" s="1" t="s">
        <v>343</v>
      </c>
      <c r="J274" s="1" t="s">
        <v>230</v>
      </c>
      <c r="K274" s="1" t="str">
        <f>_xlfn.XLOOKUP(J274,REF!$D$2:$D$12,REF!$E$2:$E$12)</f>
        <v>UFV</v>
      </c>
      <c r="L274" s="1" t="s">
        <v>697</v>
      </c>
      <c r="M274" s="1" t="s">
        <v>302</v>
      </c>
      <c r="N274" s="1" t="s">
        <v>345</v>
      </c>
      <c r="O274" s="1" t="s">
        <v>724</v>
      </c>
      <c r="P274" s="1" t="str">
        <f t="shared" si="13"/>
        <v>BC Varjao2.3215KTL-H0(MBUS-12)45996,365277777845996,365277777845996,4069444444</v>
      </c>
      <c r="Q274" s="1" t="str">
        <f t="shared" si="14"/>
        <v>DPRUFV</v>
      </c>
    </row>
    <row r="275" spans="2:17" hidden="1">
      <c r="B275" s="1" t="s">
        <v>467</v>
      </c>
      <c r="C275" s="1" t="s">
        <v>463</v>
      </c>
      <c r="D275" s="52">
        <v>45996.409722222219</v>
      </c>
      <c r="E275" s="52">
        <v>45996.409722222219</v>
      </c>
      <c r="F275" s="52">
        <v>45996.409722222219</v>
      </c>
      <c r="G275" s="53">
        <f t="shared" si="12"/>
        <v>0</v>
      </c>
      <c r="H275" s="1" t="s">
        <v>343</v>
      </c>
      <c r="J275" s="1" t="s">
        <v>230</v>
      </c>
      <c r="K275" s="1" t="str">
        <f>_xlfn.XLOOKUP(J275,REF!$D$2:$D$12,REF!$E$2:$E$12)</f>
        <v>UFV</v>
      </c>
      <c r="L275" s="1" t="s">
        <v>697</v>
      </c>
      <c r="M275" s="1" t="s">
        <v>302</v>
      </c>
      <c r="N275" s="1" t="s">
        <v>345</v>
      </c>
      <c r="O275" s="1" t="s">
        <v>724</v>
      </c>
      <c r="P275" s="1" t="str">
        <f t="shared" si="13"/>
        <v>BC Varjao2.2215KTL-H0(MBUS-13)45996,409722222245996,409722222245996,4097222222</v>
      </c>
      <c r="Q275" s="1" t="str">
        <f t="shared" si="14"/>
        <v>DPRUFV</v>
      </c>
    </row>
    <row r="276" spans="2:17" hidden="1">
      <c r="B276" s="1" t="s">
        <v>467</v>
      </c>
      <c r="C276" s="1" t="s">
        <v>464</v>
      </c>
      <c r="D276" s="52">
        <v>45996.409722222219</v>
      </c>
      <c r="E276" s="52">
        <v>45996.409722222219</v>
      </c>
      <c r="F276" s="52">
        <v>45996.409722222219</v>
      </c>
      <c r="G276" s="53">
        <f t="shared" si="12"/>
        <v>0</v>
      </c>
      <c r="H276" s="1" t="s">
        <v>343</v>
      </c>
      <c r="J276" s="1" t="s">
        <v>230</v>
      </c>
      <c r="K276" s="1" t="str">
        <f>_xlfn.XLOOKUP(J276,REF!$D$2:$D$12,REF!$E$2:$E$12)</f>
        <v>UFV</v>
      </c>
      <c r="L276" s="1" t="s">
        <v>697</v>
      </c>
      <c r="M276" s="1" t="s">
        <v>302</v>
      </c>
      <c r="N276" s="1" t="s">
        <v>345</v>
      </c>
      <c r="O276" s="1" t="s">
        <v>724</v>
      </c>
      <c r="P276" s="1" t="str">
        <f t="shared" si="13"/>
        <v>BC Varjao2.2215KTL-H0(MBUS-14)45996,409722222245996,409722222245996,4097222222</v>
      </c>
      <c r="Q276" s="1" t="str">
        <f t="shared" si="14"/>
        <v>DPRUFV</v>
      </c>
    </row>
    <row r="277" spans="2:17" hidden="1">
      <c r="B277" s="1" t="s">
        <v>467</v>
      </c>
      <c r="C277" s="1" t="s">
        <v>465</v>
      </c>
      <c r="D277" s="52">
        <v>45996.409722222219</v>
      </c>
      <c r="E277" s="52">
        <v>45996.409722222219</v>
      </c>
      <c r="F277" s="52">
        <v>45996.409722222219</v>
      </c>
      <c r="G277" s="53">
        <f t="shared" si="12"/>
        <v>0</v>
      </c>
      <c r="H277" s="1" t="s">
        <v>343</v>
      </c>
      <c r="J277" s="1" t="s">
        <v>230</v>
      </c>
      <c r="K277" s="1" t="str">
        <f>_xlfn.XLOOKUP(J277,REF!$D$2:$D$12,REF!$E$2:$E$12)</f>
        <v>UFV</v>
      </c>
      <c r="L277" s="1" t="s">
        <v>697</v>
      </c>
      <c r="M277" s="1" t="s">
        <v>302</v>
      </c>
      <c r="N277" s="1" t="s">
        <v>345</v>
      </c>
      <c r="O277" s="1" t="s">
        <v>724</v>
      </c>
      <c r="P277" s="1" t="str">
        <f t="shared" si="13"/>
        <v>BC Varjao2.2215KTL-H0(MBUS-15)45996,409722222245996,409722222245996,4097222222</v>
      </c>
      <c r="Q277" s="1" t="str">
        <f t="shared" si="14"/>
        <v>DPRUFV</v>
      </c>
    </row>
    <row r="278" spans="2:17" hidden="1">
      <c r="B278" s="1" t="s">
        <v>467</v>
      </c>
      <c r="C278" s="1" t="s">
        <v>466</v>
      </c>
      <c r="D278" s="52">
        <v>45996.409722222219</v>
      </c>
      <c r="E278" s="52">
        <v>45996.409722222219</v>
      </c>
      <c r="F278" s="52">
        <v>45996.409722222219</v>
      </c>
      <c r="G278" s="53">
        <f t="shared" si="12"/>
        <v>0</v>
      </c>
      <c r="H278" s="1" t="s">
        <v>343</v>
      </c>
      <c r="J278" s="1" t="s">
        <v>230</v>
      </c>
      <c r="K278" s="1" t="str">
        <f>_xlfn.XLOOKUP(J278,REF!$D$2:$D$12,REF!$E$2:$E$12)</f>
        <v>UFV</v>
      </c>
      <c r="L278" s="1" t="s">
        <v>697</v>
      </c>
      <c r="M278" s="1" t="s">
        <v>302</v>
      </c>
      <c r="N278" s="1" t="s">
        <v>345</v>
      </c>
      <c r="O278" s="1" t="s">
        <v>724</v>
      </c>
      <c r="P278" s="1" t="str">
        <f t="shared" si="13"/>
        <v>BC Varjao2.2215KTL-H0(MBUS-16)45996,409722222245996,409722222245996,4097222222</v>
      </c>
      <c r="Q278" s="1" t="str">
        <f t="shared" si="14"/>
        <v>DPRUFV</v>
      </c>
    </row>
    <row r="279" spans="2:17" hidden="1">
      <c r="B279" s="1" t="s">
        <v>467</v>
      </c>
      <c r="C279" s="1" t="s">
        <v>460</v>
      </c>
      <c r="D279" s="52">
        <v>45996.409722222219</v>
      </c>
      <c r="E279" s="52">
        <v>45996.409722222219</v>
      </c>
      <c r="F279" s="52">
        <v>45996.409722222219</v>
      </c>
      <c r="G279" s="53">
        <f t="shared" si="12"/>
        <v>0</v>
      </c>
      <c r="H279" s="1" t="s">
        <v>343</v>
      </c>
      <c r="J279" s="1" t="s">
        <v>230</v>
      </c>
      <c r="K279" s="1" t="str">
        <f>_xlfn.XLOOKUP(J279,REF!$D$2:$D$12,REF!$E$2:$E$12)</f>
        <v>UFV</v>
      </c>
      <c r="L279" s="1" t="s">
        <v>697</v>
      </c>
      <c r="M279" s="1" t="s">
        <v>302</v>
      </c>
      <c r="N279" s="1" t="s">
        <v>345</v>
      </c>
      <c r="O279" s="1" t="s">
        <v>724</v>
      </c>
      <c r="P279" s="1" t="str">
        <f t="shared" si="13"/>
        <v>BC Varjao2.2215KTL-H0(MBUS-12)45996,409722222245996,409722222245996,4097222222</v>
      </c>
      <c r="Q279" s="1" t="str">
        <f t="shared" si="14"/>
        <v>DPRUFV</v>
      </c>
    </row>
    <row r="280" spans="2:17" hidden="1">
      <c r="B280" s="1" t="s">
        <v>477</v>
      </c>
      <c r="C280" s="1" t="s">
        <v>489</v>
      </c>
      <c r="D280" s="52">
        <v>45996.47152777778</v>
      </c>
      <c r="E280" s="52">
        <v>45996.47152777778</v>
      </c>
      <c r="F280" s="52">
        <v>45996.540972222225</v>
      </c>
      <c r="G280" s="53">
        <f t="shared" si="12"/>
        <v>6.9444444445252884E-2</v>
      </c>
      <c r="H280" s="1" t="s">
        <v>248</v>
      </c>
      <c r="J280" s="1" t="s">
        <v>249</v>
      </c>
      <c r="K280" s="1" t="str">
        <f>_xlfn.XLOOKUP(J280,REF!$D$2:$D$12,REF!$E$2:$E$12)</f>
        <v>Rede</v>
      </c>
      <c r="L280" s="1" t="s">
        <v>735</v>
      </c>
      <c r="M280" s="1" t="s">
        <v>736</v>
      </c>
      <c r="N280" s="1" t="s">
        <v>330</v>
      </c>
      <c r="O280" s="1" t="s">
        <v>712</v>
      </c>
      <c r="P280" s="1" t="str">
        <f t="shared" si="13"/>
        <v>BC Rio Monte1Inverter4145996,471527777845996,471527777845996,5409722222</v>
      </c>
      <c r="Q280" s="1" t="str">
        <f t="shared" si="14"/>
        <v>DAURDE</v>
      </c>
    </row>
    <row r="281" spans="2:17" hidden="1">
      <c r="B281" s="1" t="s">
        <v>477</v>
      </c>
      <c r="C281" s="1" t="s">
        <v>713</v>
      </c>
      <c r="D281" s="52">
        <v>45996.47152777778</v>
      </c>
      <c r="E281" s="52">
        <v>45996.47152777778</v>
      </c>
      <c r="F281" s="52">
        <v>45996.540972222225</v>
      </c>
      <c r="G281" s="53">
        <f t="shared" si="12"/>
        <v>6.9444444445252884E-2</v>
      </c>
      <c r="H281" s="1" t="s">
        <v>248</v>
      </c>
      <c r="J281" s="1" t="s">
        <v>249</v>
      </c>
      <c r="K281" s="1" t="str">
        <f>_xlfn.XLOOKUP(J281,REF!$D$2:$D$12,REF!$E$2:$E$12)</f>
        <v>Rede</v>
      </c>
      <c r="L281" s="1" t="s">
        <v>735</v>
      </c>
      <c r="M281" s="1" t="s">
        <v>736</v>
      </c>
      <c r="N281" s="1" t="s">
        <v>330</v>
      </c>
      <c r="O281" s="1" t="s">
        <v>712</v>
      </c>
      <c r="P281" s="1" t="str">
        <f t="shared" si="13"/>
        <v>BC Rio Monte1Inverter4745996,471527777845996,471527777845996,5409722222</v>
      </c>
      <c r="Q281" s="1" t="str">
        <f t="shared" si="14"/>
        <v>DAURDE</v>
      </c>
    </row>
    <row r="282" spans="2:17" hidden="1">
      <c r="B282" s="1" t="s">
        <v>477</v>
      </c>
      <c r="C282" s="1" t="s">
        <v>486</v>
      </c>
      <c r="D282" s="52">
        <v>45996.47152777778</v>
      </c>
      <c r="E282" s="52">
        <v>45996.47152777778</v>
      </c>
      <c r="F282" s="52">
        <v>45996.540972222225</v>
      </c>
      <c r="G282" s="53">
        <f t="shared" si="12"/>
        <v>6.9444444445252884E-2</v>
      </c>
      <c r="H282" s="1" t="s">
        <v>248</v>
      </c>
      <c r="J282" s="1" t="s">
        <v>249</v>
      </c>
      <c r="K282" s="1" t="str">
        <f>_xlfn.XLOOKUP(J282,REF!$D$2:$D$12,REF!$E$2:$E$12)</f>
        <v>Rede</v>
      </c>
      <c r="L282" s="1" t="s">
        <v>735</v>
      </c>
      <c r="M282" s="1" t="s">
        <v>736</v>
      </c>
      <c r="N282" s="1" t="s">
        <v>330</v>
      </c>
      <c r="O282" s="1" t="s">
        <v>712</v>
      </c>
      <c r="P282" s="1" t="str">
        <f t="shared" si="13"/>
        <v>BC Rio Monte1Inverter3545996,471527777845996,471527777845996,5409722222</v>
      </c>
      <c r="Q282" s="1" t="str">
        <f t="shared" si="14"/>
        <v>DAURDE</v>
      </c>
    </row>
    <row r="283" spans="2:17" hidden="1">
      <c r="B283" s="1" t="s">
        <v>477</v>
      </c>
      <c r="C283" s="1" t="s">
        <v>478</v>
      </c>
      <c r="D283" s="52">
        <v>45996.47152777778</v>
      </c>
      <c r="E283" s="52">
        <v>45996.47152777778</v>
      </c>
      <c r="F283" s="52">
        <v>45996.540972222225</v>
      </c>
      <c r="G283" s="53">
        <f t="shared" si="12"/>
        <v>6.9444444445252884E-2</v>
      </c>
      <c r="H283" s="1" t="s">
        <v>248</v>
      </c>
      <c r="J283" s="1" t="s">
        <v>249</v>
      </c>
      <c r="K283" s="1" t="str">
        <f>_xlfn.XLOOKUP(J283,REF!$D$2:$D$12,REF!$E$2:$E$12)</f>
        <v>Rede</v>
      </c>
      <c r="L283" s="1" t="s">
        <v>735</v>
      </c>
      <c r="M283" s="1" t="s">
        <v>736</v>
      </c>
      <c r="N283" s="1" t="s">
        <v>330</v>
      </c>
      <c r="O283" s="1" t="s">
        <v>712</v>
      </c>
      <c r="P283" s="1" t="str">
        <f t="shared" si="13"/>
        <v>BC Rio Monte1Inverter3645996,471527777845996,471527777845996,5409722222</v>
      </c>
      <c r="Q283" s="1" t="str">
        <f t="shared" si="14"/>
        <v>DAURDE</v>
      </c>
    </row>
    <row r="284" spans="2:17" hidden="1">
      <c r="B284" s="1" t="s">
        <v>477</v>
      </c>
      <c r="C284" s="1" t="s">
        <v>632</v>
      </c>
      <c r="D284" s="52">
        <v>45996.47152777778</v>
      </c>
      <c r="E284" s="52">
        <v>45996.47152777778</v>
      </c>
      <c r="F284" s="52">
        <v>45996.540972222225</v>
      </c>
      <c r="G284" s="53">
        <f t="shared" si="12"/>
        <v>6.9444444445252884E-2</v>
      </c>
      <c r="H284" s="1" t="s">
        <v>248</v>
      </c>
      <c r="J284" s="1" t="s">
        <v>249</v>
      </c>
      <c r="K284" s="1" t="str">
        <f>_xlfn.XLOOKUP(J284,REF!$D$2:$D$12,REF!$E$2:$E$12)</f>
        <v>Rede</v>
      </c>
      <c r="L284" s="1" t="s">
        <v>735</v>
      </c>
      <c r="M284" s="1" t="s">
        <v>736</v>
      </c>
      <c r="N284" s="1" t="s">
        <v>330</v>
      </c>
      <c r="O284" s="1" t="s">
        <v>712</v>
      </c>
      <c r="P284" s="1" t="str">
        <f t="shared" si="13"/>
        <v>BC Rio Monte1Inverter3145996,471527777845996,471527777845996,5409722222</v>
      </c>
      <c r="Q284" s="1" t="str">
        <f t="shared" si="14"/>
        <v>DAURDE</v>
      </c>
    </row>
    <row r="285" spans="2:17" hidden="1">
      <c r="B285" s="1" t="s">
        <v>477</v>
      </c>
      <c r="C285" s="1" t="s">
        <v>629</v>
      </c>
      <c r="D285" s="52">
        <v>45996.47152777778</v>
      </c>
      <c r="E285" s="52">
        <v>45996.47152777778</v>
      </c>
      <c r="F285" s="52">
        <v>45996.540972222225</v>
      </c>
      <c r="G285" s="53">
        <f t="shared" si="12"/>
        <v>6.9444444445252884E-2</v>
      </c>
      <c r="H285" s="1" t="s">
        <v>248</v>
      </c>
      <c r="J285" s="1" t="s">
        <v>249</v>
      </c>
      <c r="K285" s="1" t="str">
        <f>_xlfn.XLOOKUP(J285,REF!$D$2:$D$12,REF!$E$2:$E$12)</f>
        <v>Rede</v>
      </c>
      <c r="L285" s="1" t="s">
        <v>735</v>
      </c>
      <c r="M285" s="1" t="s">
        <v>736</v>
      </c>
      <c r="N285" s="1" t="s">
        <v>330</v>
      </c>
      <c r="O285" s="1" t="s">
        <v>712</v>
      </c>
      <c r="P285" s="1" t="str">
        <f t="shared" si="13"/>
        <v>BC Rio Monte1Inverter3345996,471527777845996,471527777845996,5409722222</v>
      </c>
      <c r="Q285" s="1" t="str">
        <f t="shared" si="14"/>
        <v>DAURDE</v>
      </c>
    </row>
    <row r="286" spans="2:17" hidden="1">
      <c r="B286" s="1" t="s">
        <v>477</v>
      </c>
      <c r="C286" s="1" t="s">
        <v>631</v>
      </c>
      <c r="D286" s="52">
        <v>45996.47152777778</v>
      </c>
      <c r="E286" s="52">
        <v>45996.47152777778</v>
      </c>
      <c r="F286" s="52">
        <v>45996.540972222225</v>
      </c>
      <c r="G286" s="53">
        <f t="shared" si="12"/>
        <v>6.9444444445252884E-2</v>
      </c>
      <c r="H286" s="1" t="s">
        <v>248</v>
      </c>
      <c r="J286" s="1" t="s">
        <v>249</v>
      </c>
      <c r="K286" s="1" t="str">
        <f>_xlfn.XLOOKUP(J286,REF!$D$2:$D$12,REF!$E$2:$E$12)</f>
        <v>Rede</v>
      </c>
      <c r="L286" s="1" t="s">
        <v>735</v>
      </c>
      <c r="M286" s="1" t="s">
        <v>736</v>
      </c>
      <c r="N286" s="1" t="s">
        <v>330</v>
      </c>
      <c r="O286" s="1" t="s">
        <v>712</v>
      </c>
      <c r="P286" s="1" t="str">
        <f t="shared" si="13"/>
        <v>BC Rio Monte1Inverter3945996,471527777845996,471527777845996,5409722222</v>
      </c>
      <c r="Q286" s="1" t="str">
        <f t="shared" si="14"/>
        <v>DAURDE</v>
      </c>
    </row>
    <row r="287" spans="2:17" hidden="1">
      <c r="B287" s="1" t="s">
        <v>477</v>
      </c>
      <c r="C287" s="1" t="s">
        <v>635</v>
      </c>
      <c r="D287" s="52">
        <v>45996.47152777778</v>
      </c>
      <c r="E287" s="52">
        <v>45996.47152777778</v>
      </c>
      <c r="F287" s="52">
        <v>45996.540972222225</v>
      </c>
      <c r="G287" s="53">
        <f t="shared" si="12"/>
        <v>6.9444444445252884E-2</v>
      </c>
      <c r="H287" s="1" t="s">
        <v>248</v>
      </c>
      <c r="J287" s="1" t="s">
        <v>249</v>
      </c>
      <c r="K287" s="1" t="str">
        <f>_xlfn.XLOOKUP(J287,REF!$D$2:$D$12,REF!$E$2:$E$12)</f>
        <v>Rede</v>
      </c>
      <c r="L287" s="1" t="s">
        <v>735</v>
      </c>
      <c r="M287" s="1" t="s">
        <v>736</v>
      </c>
      <c r="N287" s="1" t="s">
        <v>330</v>
      </c>
      <c r="O287" s="1" t="s">
        <v>712</v>
      </c>
      <c r="P287" s="1" t="str">
        <f t="shared" si="13"/>
        <v>BC Rio Monte1Inverter3245996,471527777845996,471527777845996,5409722222</v>
      </c>
      <c r="Q287" s="1" t="str">
        <f t="shared" si="14"/>
        <v>DAURDE</v>
      </c>
    </row>
    <row r="288" spans="2:17" hidden="1">
      <c r="B288" s="1" t="s">
        <v>477</v>
      </c>
      <c r="C288" s="1" t="s">
        <v>487</v>
      </c>
      <c r="D288" s="52">
        <v>45996.47152777778</v>
      </c>
      <c r="E288" s="52">
        <v>45996.47152777778</v>
      </c>
      <c r="F288" s="52">
        <v>45996.540972222225</v>
      </c>
      <c r="G288" s="53">
        <f t="shared" si="12"/>
        <v>6.9444444445252884E-2</v>
      </c>
      <c r="H288" s="1" t="s">
        <v>248</v>
      </c>
      <c r="J288" s="1" t="s">
        <v>249</v>
      </c>
      <c r="K288" s="1" t="str">
        <f>_xlfn.XLOOKUP(J288,REF!$D$2:$D$12,REF!$E$2:$E$12)</f>
        <v>Rede</v>
      </c>
      <c r="L288" s="1" t="s">
        <v>735</v>
      </c>
      <c r="M288" s="1" t="s">
        <v>736</v>
      </c>
      <c r="N288" s="1" t="s">
        <v>330</v>
      </c>
      <c r="O288" s="1" t="s">
        <v>712</v>
      </c>
      <c r="P288" s="1" t="str">
        <f t="shared" si="13"/>
        <v>BC Rio Monte1Inverter4045996,471527777845996,471527777845996,5409722222</v>
      </c>
      <c r="Q288" s="1" t="str">
        <f t="shared" si="14"/>
        <v>DAURDE</v>
      </c>
    </row>
    <row r="289" spans="2:17" hidden="1">
      <c r="B289" s="1" t="s">
        <v>477</v>
      </c>
      <c r="C289" s="1" t="s">
        <v>627</v>
      </c>
      <c r="D289" s="52">
        <v>45996.47152777778</v>
      </c>
      <c r="E289" s="52">
        <v>45996.47152777778</v>
      </c>
      <c r="F289" s="52">
        <v>45996.540972222225</v>
      </c>
      <c r="G289" s="53">
        <f t="shared" si="12"/>
        <v>6.9444444445252884E-2</v>
      </c>
      <c r="H289" s="1" t="s">
        <v>248</v>
      </c>
      <c r="J289" s="1" t="s">
        <v>249</v>
      </c>
      <c r="K289" s="1" t="str">
        <f>_xlfn.XLOOKUP(J289,REF!$D$2:$D$12,REF!$E$2:$E$12)</f>
        <v>Rede</v>
      </c>
      <c r="L289" s="1" t="s">
        <v>735</v>
      </c>
      <c r="M289" s="1" t="s">
        <v>736</v>
      </c>
      <c r="N289" s="1" t="s">
        <v>330</v>
      </c>
      <c r="O289" s="1" t="s">
        <v>712</v>
      </c>
      <c r="P289" s="1" t="str">
        <f t="shared" si="13"/>
        <v>BC Rio Monte1Inverter3445996,471527777845996,471527777845996,5409722222</v>
      </c>
      <c r="Q289" s="1" t="str">
        <f t="shared" si="14"/>
        <v>DAURDE</v>
      </c>
    </row>
    <row r="290" spans="2:17">
      <c r="B290" s="1" t="s">
        <v>644</v>
      </c>
      <c r="C290" s="1" t="s">
        <v>328</v>
      </c>
      <c r="D290" s="52">
        <v>45997.361805555556</v>
      </c>
      <c r="E290" s="52">
        <v>45997.361805555556</v>
      </c>
      <c r="F290" s="52">
        <v>45997.416666666664</v>
      </c>
      <c r="G290" s="53">
        <f t="shared" si="12"/>
        <v>5.486111110803904E-2</v>
      </c>
      <c r="H290" s="1" t="s">
        <v>260</v>
      </c>
      <c r="I290" s="1" t="s">
        <v>261</v>
      </c>
      <c r="J290" s="1" t="s">
        <v>262</v>
      </c>
      <c r="K290" s="1" t="str">
        <f>_xlfn.XLOOKUP(J290,REF!$D$2:$D$12,REF!$E$2:$E$12)</f>
        <v>Comunicação</v>
      </c>
      <c r="L290" s="1" t="s">
        <v>737</v>
      </c>
      <c r="M290" s="1" t="s">
        <v>265</v>
      </c>
      <c r="N290" s="1" t="s">
        <v>266</v>
      </c>
      <c r="O290" s="1" t="s">
        <v>738</v>
      </c>
      <c r="P290" s="1" t="str">
        <f t="shared" si="13"/>
        <v>BC Vazante2.2Inverter(MBUS-1)45997,361805555645997,361805555645997,4166666667</v>
      </c>
      <c r="Q290" s="1" t="str">
        <f t="shared" si="14"/>
        <v>LIGRFOCOM</v>
      </c>
    </row>
    <row r="291" spans="2:17">
      <c r="B291" s="1" t="s">
        <v>644</v>
      </c>
      <c r="C291" s="1" t="s">
        <v>717</v>
      </c>
      <c r="D291" s="52">
        <v>45997.361805555556</v>
      </c>
      <c r="E291" s="52">
        <v>45997.361805555556</v>
      </c>
      <c r="F291" s="52">
        <v>45997.416666666664</v>
      </c>
      <c r="G291" s="53">
        <f t="shared" si="12"/>
        <v>5.486111110803904E-2</v>
      </c>
      <c r="H291" s="1" t="s">
        <v>260</v>
      </c>
      <c r="I291" s="1" t="s">
        <v>261</v>
      </c>
      <c r="J291" s="1" t="s">
        <v>262</v>
      </c>
      <c r="K291" s="1" t="str">
        <f>_xlfn.XLOOKUP(J291,REF!$D$2:$D$12,REF!$E$2:$E$12)</f>
        <v>Comunicação</v>
      </c>
      <c r="L291" s="1" t="s">
        <v>737</v>
      </c>
      <c r="M291" s="1" t="s">
        <v>265</v>
      </c>
      <c r="N291" s="1" t="s">
        <v>266</v>
      </c>
      <c r="O291" s="1" t="s">
        <v>738</v>
      </c>
      <c r="P291" s="1" t="str">
        <f t="shared" si="13"/>
        <v>BC Vazante2.2Inverter(MBUS-6)45997,361805555645997,361805555645997,4166666667</v>
      </c>
      <c r="Q291" s="1" t="str">
        <f t="shared" si="14"/>
        <v>LIGRFOCOM</v>
      </c>
    </row>
    <row r="292" spans="2:17">
      <c r="B292" s="1" t="s">
        <v>644</v>
      </c>
      <c r="C292" s="1" t="s">
        <v>718</v>
      </c>
      <c r="D292" s="52">
        <v>45997.361805555556</v>
      </c>
      <c r="E292" s="52">
        <v>45997.361805555556</v>
      </c>
      <c r="F292" s="52">
        <v>45997.416666666664</v>
      </c>
      <c r="G292" s="53">
        <f t="shared" si="12"/>
        <v>5.486111110803904E-2</v>
      </c>
      <c r="H292" s="1" t="s">
        <v>260</v>
      </c>
      <c r="I292" s="1" t="s">
        <v>261</v>
      </c>
      <c r="J292" s="1" t="s">
        <v>262</v>
      </c>
      <c r="K292" s="1" t="str">
        <f>_xlfn.XLOOKUP(J292,REF!$D$2:$D$12,REF!$E$2:$E$12)</f>
        <v>Comunicação</v>
      </c>
      <c r="L292" s="1" t="s">
        <v>737</v>
      </c>
      <c r="M292" s="1" t="s">
        <v>265</v>
      </c>
      <c r="N292" s="1" t="s">
        <v>266</v>
      </c>
      <c r="O292" s="1" t="s">
        <v>738</v>
      </c>
      <c r="P292" s="1" t="str">
        <f t="shared" si="13"/>
        <v>BC Vazante2.2Inverter(MBUS-7)45997,361805555645997,361805555645997,4166666667</v>
      </c>
      <c r="Q292" s="1" t="str">
        <f t="shared" si="14"/>
        <v>LIGRFOCOM</v>
      </c>
    </row>
    <row r="293" spans="2:17">
      <c r="B293" s="1" t="s">
        <v>644</v>
      </c>
      <c r="C293" s="1" t="s">
        <v>719</v>
      </c>
      <c r="D293" s="52">
        <v>45997.361805555556</v>
      </c>
      <c r="E293" s="52">
        <v>45997.361805555556</v>
      </c>
      <c r="F293" s="52">
        <v>45997.416666666664</v>
      </c>
      <c r="G293" s="53">
        <f t="shared" si="12"/>
        <v>5.486111110803904E-2</v>
      </c>
      <c r="H293" s="1" t="s">
        <v>260</v>
      </c>
      <c r="I293" s="1" t="s">
        <v>261</v>
      </c>
      <c r="J293" s="1" t="s">
        <v>262</v>
      </c>
      <c r="K293" s="1" t="str">
        <f>_xlfn.XLOOKUP(J293,REF!$D$2:$D$12,REF!$E$2:$E$12)</f>
        <v>Comunicação</v>
      </c>
      <c r="L293" s="1" t="s">
        <v>737</v>
      </c>
      <c r="M293" s="1" t="s">
        <v>265</v>
      </c>
      <c r="N293" s="1" t="s">
        <v>266</v>
      </c>
      <c r="O293" s="1" t="s">
        <v>738</v>
      </c>
      <c r="P293" s="1" t="str">
        <f t="shared" si="13"/>
        <v>BC Vazante2.2Inverter(MBUS-8)45997,361805555645997,361805555645997,4166666667</v>
      </c>
      <c r="Q293" s="1" t="str">
        <f t="shared" si="14"/>
        <v>LIGRFOCOM</v>
      </c>
    </row>
    <row r="294" spans="2:17">
      <c r="B294" s="1" t="s">
        <v>644</v>
      </c>
      <c r="C294" s="1" t="s">
        <v>720</v>
      </c>
      <c r="D294" s="52">
        <v>45997.361805555556</v>
      </c>
      <c r="E294" s="52">
        <v>45997.361805555556</v>
      </c>
      <c r="F294" s="52">
        <v>45997.416666666664</v>
      </c>
      <c r="G294" s="53">
        <f t="shared" si="12"/>
        <v>5.486111110803904E-2</v>
      </c>
      <c r="H294" s="1" t="s">
        <v>260</v>
      </c>
      <c r="I294" s="1" t="s">
        <v>261</v>
      </c>
      <c r="J294" s="1" t="s">
        <v>262</v>
      </c>
      <c r="K294" s="1" t="str">
        <f>_xlfn.XLOOKUP(J294,REF!$D$2:$D$12,REF!$E$2:$E$12)</f>
        <v>Comunicação</v>
      </c>
      <c r="L294" s="1" t="s">
        <v>737</v>
      </c>
      <c r="M294" s="1" t="s">
        <v>265</v>
      </c>
      <c r="N294" s="1" t="s">
        <v>266</v>
      </c>
      <c r="O294" s="1" t="s">
        <v>738</v>
      </c>
      <c r="P294" s="1" t="str">
        <f t="shared" si="13"/>
        <v>BC Vazante2.2Inverter(MBUS-10)45997,361805555645997,361805555645997,4166666667</v>
      </c>
      <c r="Q294" s="1" t="str">
        <f t="shared" si="14"/>
        <v>LIGRFOCOM</v>
      </c>
    </row>
    <row r="295" spans="2:17" hidden="1">
      <c r="B295" s="1" t="s">
        <v>421</v>
      </c>
      <c r="C295" s="1" t="s">
        <v>357</v>
      </c>
      <c r="D295" s="52">
        <v>45997.402777777781</v>
      </c>
      <c r="E295" s="52">
        <v>45997.402777777781</v>
      </c>
      <c r="F295" s="52">
        <v>45997.694444444445</v>
      </c>
      <c r="G295" s="53">
        <f t="shared" si="12"/>
        <v>0.29166666666424135</v>
      </c>
      <c r="H295" s="1" t="s">
        <v>248</v>
      </c>
      <c r="J295" s="1" t="s">
        <v>249</v>
      </c>
      <c r="K295" s="1" t="str">
        <f>_xlfn.XLOOKUP(J295,REF!$D$2:$D$12,REF!$E$2:$E$12)</f>
        <v>Rede</v>
      </c>
      <c r="L295" s="1" t="s">
        <v>672</v>
      </c>
      <c r="M295" s="1" t="s">
        <v>251</v>
      </c>
      <c r="N295" s="1" t="s">
        <v>252</v>
      </c>
      <c r="O295" s="1" t="s">
        <v>723</v>
      </c>
      <c r="P295" s="1" t="str">
        <f t="shared" si="13"/>
        <v>BC Formoso1.2Inverter(MBUS-13)45997,402777777845997,402777777845997,6944444444</v>
      </c>
      <c r="Q295" s="1" t="str">
        <f t="shared" si="14"/>
        <v>DAURDE</v>
      </c>
    </row>
    <row r="296" spans="2:17" hidden="1">
      <c r="B296" s="1" t="s">
        <v>421</v>
      </c>
      <c r="C296" s="1" t="s">
        <v>354</v>
      </c>
      <c r="D296" s="52">
        <v>45997.402777777781</v>
      </c>
      <c r="E296" s="52">
        <v>45997.402777777781</v>
      </c>
      <c r="F296" s="52">
        <v>45997.694444444445</v>
      </c>
      <c r="G296" s="53">
        <f t="shared" ref="G296:G298" si="15">F296-E296</f>
        <v>0.29166666666424135</v>
      </c>
      <c r="H296" s="1" t="s">
        <v>248</v>
      </c>
      <c r="J296" s="1" t="s">
        <v>249</v>
      </c>
      <c r="K296" s="1" t="str">
        <f>_xlfn.XLOOKUP(J296,REF!$D$2:$D$12,REF!$E$2:$E$12)</f>
        <v>Rede</v>
      </c>
      <c r="L296" s="1" t="s">
        <v>672</v>
      </c>
      <c r="M296" s="1" t="s">
        <v>251</v>
      </c>
      <c r="N296" s="1" t="s">
        <v>252</v>
      </c>
      <c r="O296" s="1" t="s">
        <v>723</v>
      </c>
      <c r="P296" s="1" t="str">
        <f t="shared" si="13"/>
        <v>BC Formoso1.2Inverter(MBUS-12)45997,402777777845997,402777777845997,6944444444</v>
      </c>
      <c r="Q296" s="1" t="str">
        <f t="shared" si="14"/>
        <v>DAURDE</v>
      </c>
    </row>
    <row r="297" spans="2:17" hidden="1">
      <c r="B297" s="1" t="s">
        <v>421</v>
      </c>
      <c r="C297" s="1" t="s">
        <v>359</v>
      </c>
      <c r="D297" s="52">
        <v>45997.402777777781</v>
      </c>
      <c r="E297" s="52">
        <v>45997.402777777781</v>
      </c>
      <c r="F297" s="52">
        <v>45997.694444444445</v>
      </c>
      <c r="G297" s="53">
        <f t="shared" si="15"/>
        <v>0.29166666666424135</v>
      </c>
      <c r="H297" s="1" t="s">
        <v>248</v>
      </c>
      <c r="J297" s="1" t="s">
        <v>249</v>
      </c>
      <c r="K297" s="1" t="str">
        <f>_xlfn.XLOOKUP(J297,REF!$D$2:$D$12,REF!$E$2:$E$12)</f>
        <v>Rede</v>
      </c>
      <c r="L297" s="1" t="s">
        <v>672</v>
      </c>
      <c r="M297" s="1" t="s">
        <v>251</v>
      </c>
      <c r="N297" s="1" t="s">
        <v>252</v>
      </c>
      <c r="O297" s="1" t="s">
        <v>723</v>
      </c>
      <c r="P297" s="1" t="str">
        <f t="shared" si="13"/>
        <v>BC Formoso1.2Inverter(MBUS-15)45997,402777777845997,402777777845997,6944444444</v>
      </c>
      <c r="Q297" s="1" t="str">
        <f t="shared" si="14"/>
        <v>DAURDE</v>
      </c>
    </row>
    <row r="298" spans="2:17" hidden="1">
      <c r="B298" s="1" t="s">
        <v>421</v>
      </c>
      <c r="C298" s="1" t="s">
        <v>358</v>
      </c>
      <c r="D298" s="52">
        <v>45997.402777777781</v>
      </c>
      <c r="E298" s="52">
        <v>45997.402777777781</v>
      </c>
      <c r="F298" s="52">
        <v>45997.694444444445</v>
      </c>
      <c r="G298" s="53">
        <f t="shared" si="15"/>
        <v>0.29166666666424135</v>
      </c>
      <c r="H298" s="1" t="s">
        <v>248</v>
      </c>
      <c r="J298" s="1" t="s">
        <v>249</v>
      </c>
      <c r="K298" s="1" t="str">
        <f>_xlfn.XLOOKUP(J298,REF!$D$2:$D$12,REF!$E$2:$E$12)</f>
        <v>Rede</v>
      </c>
      <c r="L298" s="1" t="s">
        <v>672</v>
      </c>
      <c r="M298" s="1" t="s">
        <v>251</v>
      </c>
      <c r="N298" s="1" t="s">
        <v>252</v>
      </c>
      <c r="O298" s="1" t="s">
        <v>723</v>
      </c>
      <c r="P298" s="1" t="str">
        <f t="shared" si="13"/>
        <v>BC Formoso1.2Inverter(MBUS-14)45997,402777777845997,402777777845997,6944444444</v>
      </c>
      <c r="Q298" s="1" t="str">
        <f t="shared" si="14"/>
        <v>DAURDE</v>
      </c>
    </row>
    <row r="299" spans="2:17" hidden="1">
      <c r="B299" s="1" t="s">
        <v>327</v>
      </c>
      <c r="C299" s="1" t="s">
        <v>328</v>
      </c>
      <c r="D299" s="52">
        <v>45997.427083333336</v>
      </c>
      <c r="E299" s="52">
        <v>45997.427083333336</v>
      </c>
      <c r="F299" s="52">
        <v>45997.538194444445</v>
      </c>
      <c r="G299" s="53">
        <f t="shared" si="12"/>
        <v>0.11111111110949423</v>
      </c>
      <c r="H299" s="1" t="s">
        <v>248</v>
      </c>
      <c r="J299" s="1" t="s">
        <v>249</v>
      </c>
      <c r="K299" s="1" t="str">
        <f>_xlfn.XLOOKUP(J299,REF!$D$2:$D$12,REF!$E$2:$E$12)</f>
        <v>Rede</v>
      </c>
      <c r="L299" s="1" t="s">
        <v>625</v>
      </c>
      <c r="M299" s="1" t="s">
        <v>736</v>
      </c>
      <c r="N299" s="1" t="s">
        <v>330</v>
      </c>
      <c r="O299" s="1" t="s">
        <v>739</v>
      </c>
      <c r="P299" s="1" t="str">
        <f t="shared" si="13"/>
        <v>BC Aracu5.1Inverter(MBUS-1)45997,427083333345997,427083333345997,5381944444</v>
      </c>
      <c r="Q299" s="1" t="str">
        <f t="shared" si="14"/>
        <v>DAURDE</v>
      </c>
    </row>
    <row r="300" spans="2:17" hidden="1">
      <c r="B300" s="1" t="s">
        <v>332</v>
      </c>
      <c r="C300" s="1" t="s">
        <v>328</v>
      </c>
      <c r="D300" s="52">
        <v>45997.427083333336</v>
      </c>
      <c r="E300" s="52">
        <v>45997.427083333336</v>
      </c>
      <c r="F300" s="52">
        <v>45997.538194444445</v>
      </c>
      <c r="G300" s="53">
        <f t="shared" si="12"/>
        <v>0.11111111110949423</v>
      </c>
      <c r="H300" s="1" t="s">
        <v>248</v>
      </c>
      <c r="J300" s="1" t="s">
        <v>249</v>
      </c>
      <c r="K300" s="1" t="str">
        <f>_xlfn.XLOOKUP(J300,REF!$D$2:$D$12,REF!$E$2:$E$12)</f>
        <v>Rede</v>
      </c>
      <c r="L300" s="1" t="s">
        <v>625</v>
      </c>
      <c r="M300" s="1" t="s">
        <v>736</v>
      </c>
      <c r="N300" s="1" t="s">
        <v>330</v>
      </c>
      <c r="O300" s="1" t="s">
        <v>739</v>
      </c>
      <c r="P300" s="1" t="str">
        <f t="shared" si="13"/>
        <v>BC Aracu5.2Inverter(MBUS-1)45997,427083333345997,427083333345997,5381944444</v>
      </c>
      <c r="Q300" s="1" t="str">
        <f t="shared" si="14"/>
        <v>DAURDE</v>
      </c>
    </row>
    <row r="301" spans="2:17" hidden="1">
      <c r="B301" s="1" t="s">
        <v>333</v>
      </c>
      <c r="C301" s="1" t="s">
        <v>328</v>
      </c>
      <c r="D301" s="52">
        <v>45997.427083333336</v>
      </c>
      <c r="E301" s="52">
        <v>45997.427083333336</v>
      </c>
      <c r="F301" s="52">
        <v>45997.538194444445</v>
      </c>
      <c r="G301" s="53">
        <f t="shared" si="12"/>
        <v>0.11111111110949423</v>
      </c>
      <c r="H301" s="1" t="s">
        <v>248</v>
      </c>
      <c r="J301" s="1" t="s">
        <v>249</v>
      </c>
      <c r="K301" s="1" t="str">
        <f>_xlfn.XLOOKUP(J301,REF!$D$2:$D$12,REF!$E$2:$E$12)</f>
        <v>Rede</v>
      </c>
      <c r="L301" s="1" t="s">
        <v>625</v>
      </c>
      <c r="M301" s="1" t="s">
        <v>736</v>
      </c>
      <c r="N301" s="1" t="s">
        <v>330</v>
      </c>
      <c r="O301" s="1" t="s">
        <v>739</v>
      </c>
      <c r="P301" s="1" t="str">
        <f t="shared" si="13"/>
        <v>BC Aracu5.3Inverter(MBUS-1)45997,427083333345997,427083333345997,5381944444</v>
      </c>
      <c r="Q301" s="1" t="str">
        <f t="shared" si="14"/>
        <v>DAURDE</v>
      </c>
    </row>
    <row r="302" spans="2:17" hidden="1">
      <c r="B302" s="1" t="s">
        <v>334</v>
      </c>
      <c r="C302" s="1" t="s">
        <v>328</v>
      </c>
      <c r="D302" s="52">
        <v>45997.427083333336</v>
      </c>
      <c r="E302" s="52">
        <v>45997.427083333336</v>
      </c>
      <c r="F302" s="52">
        <v>45997.538194444445</v>
      </c>
      <c r="G302" s="53">
        <f t="shared" si="12"/>
        <v>0.11111111110949423</v>
      </c>
      <c r="H302" s="1" t="s">
        <v>248</v>
      </c>
      <c r="J302" s="1" t="s">
        <v>249</v>
      </c>
      <c r="K302" s="1" t="str">
        <f>_xlfn.XLOOKUP(J302,REF!$D$2:$D$12,REF!$E$2:$E$12)</f>
        <v>Rede</v>
      </c>
      <c r="L302" s="1" t="s">
        <v>625</v>
      </c>
      <c r="M302" s="1" t="s">
        <v>736</v>
      </c>
      <c r="N302" s="1" t="s">
        <v>330</v>
      </c>
      <c r="O302" s="1" t="s">
        <v>739</v>
      </c>
      <c r="P302" s="1" t="str">
        <f t="shared" si="13"/>
        <v>BC Aracu5.4Inverter(MBUS-1)45997,427083333345997,427083333345997,5381944444</v>
      </c>
      <c r="Q302" s="1" t="str">
        <f t="shared" si="14"/>
        <v>DAURDE</v>
      </c>
    </row>
    <row r="303" spans="2:17" hidden="1">
      <c r="B303" s="1" t="s">
        <v>335</v>
      </c>
      <c r="C303" s="1" t="s">
        <v>328</v>
      </c>
      <c r="D303" s="52">
        <v>45997.427083333336</v>
      </c>
      <c r="E303" s="52">
        <v>45997.427083333336</v>
      </c>
      <c r="F303" s="52">
        <v>45997.538194444445</v>
      </c>
      <c r="G303" s="53">
        <f t="shared" si="12"/>
        <v>0.11111111110949423</v>
      </c>
      <c r="H303" s="1" t="s">
        <v>248</v>
      </c>
      <c r="J303" s="1" t="s">
        <v>249</v>
      </c>
      <c r="K303" s="1" t="str">
        <f>_xlfn.XLOOKUP(J303,REF!$D$2:$D$12,REF!$E$2:$E$12)</f>
        <v>Rede</v>
      </c>
      <c r="L303" s="1" t="s">
        <v>625</v>
      </c>
      <c r="M303" s="1" t="s">
        <v>736</v>
      </c>
      <c r="N303" s="1" t="s">
        <v>330</v>
      </c>
      <c r="O303" s="1" t="s">
        <v>739</v>
      </c>
      <c r="P303" s="1" t="str">
        <f t="shared" si="13"/>
        <v>BC Aracu5.5Inverter(MBUS-1)45997,427083333345997,427083333345997,5381944444</v>
      </c>
      <c r="Q303" s="1" t="str">
        <f t="shared" si="14"/>
        <v>DAURDE</v>
      </c>
    </row>
    <row r="304" spans="2:17" hidden="1">
      <c r="B304" s="1" t="s">
        <v>659</v>
      </c>
      <c r="C304" s="1" t="s">
        <v>299</v>
      </c>
      <c r="D304" s="52">
        <v>45997.461111111108</v>
      </c>
      <c r="E304" s="52">
        <v>45997.461111111108</v>
      </c>
      <c r="F304" s="52">
        <v>45997.517361111109</v>
      </c>
      <c r="G304" s="53">
        <f t="shared" si="12"/>
        <v>5.6250000001455192E-2</v>
      </c>
      <c r="H304" s="1" t="s">
        <v>260</v>
      </c>
      <c r="I304" s="1" t="s">
        <v>261</v>
      </c>
      <c r="J304" s="1" t="s">
        <v>740</v>
      </c>
      <c r="K304" s="1" t="str">
        <f>_xlfn.XLOOKUP(J304,REF!$D$2:$D$12,REF!$E$2:$E$12)</f>
        <v>Internet</v>
      </c>
      <c r="L304" s="1" t="s">
        <v>390</v>
      </c>
      <c r="M304" s="1" t="s">
        <v>391</v>
      </c>
      <c r="N304" s="1" t="s">
        <v>266</v>
      </c>
      <c r="O304" s="1" t="s">
        <v>741</v>
      </c>
      <c r="P304" s="1" t="str">
        <f t="shared" si="13"/>
        <v>BC BomSucessoSG60KTL45997,461111111145997,461111111145997,5173611111</v>
      </c>
      <c r="Q304" s="1" t="str">
        <f t="shared" si="14"/>
        <v>LIGRFOINT</v>
      </c>
    </row>
    <row r="305" spans="2:17" hidden="1">
      <c r="B305" s="1" t="s">
        <v>659</v>
      </c>
      <c r="C305" s="1" t="s">
        <v>661</v>
      </c>
      <c r="D305" s="52">
        <v>45997.461111111108</v>
      </c>
      <c r="E305" s="52">
        <v>45997.461111111108</v>
      </c>
      <c r="F305" s="52">
        <v>45997.517361111109</v>
      </c>
      <c r="G305" s="53">
        <f t="shared" ref="G305:G315" si="16">F305-E305</f>
        <v>5.6250000001455192E-2</v>
      </c>
      <c r="H305" s="1" t="s">
        <v>260</v>
      </c>
      <c r="I305" s="1" t="s">
        <v>261</v>
      </c>
      <c r="J305" s="1" t="s">
        <v>740</v>
      </c>
      <c r="K305" s="1" t="str">
        <f>_xlfn.XLOOKUP(J305,REF!$D$2:$D$12,REF!$E$2:$E$12)</f>
        <v>Internet</v>
      </c>
      <c r="L305" s="1" t="s">
        <v>390</v>
      </c>
      <c r="M305" s="1" t="s">
        <v>391</v>
      </c>
      <c r="N305" s="1" t="s">
        <v>266</v>
      </c>
      <c r="O305" s="1" t="s">
        <v>741</v>
      </c>
      <c r="P305" s="1" t="str">
        <f t="shared" si="13"/>
        <v>BC BomSucessoABB_0145997,461111111145997,461111111145997,5173611111</v>
      </c>
      <c r="Q305" s="1" t="str">
        <f t="shared" si="14"/>
        <v>LIGRFOINT</v>
      </c>
    </row>
    <row r="306" spans="2:17" hidden="1">
      <c r="B306" s="1" t="s">
        <v>659</v>
      </c>
      <c r="C306" s="1" t="s">
        <v>662</v>
      </c>
      <c r="D306" s="52">
        <v>45997.461111111108</v>
      </c>
      <c r="E306" s="52">
        <v>45997.461111111108</v>
      </c>
      <c r="F306" s="52">
        <v>45997.517361111109</v>
      </c>
      <c r="G306" s="53">
        <f t="shared" si="16"/>
        <v>5.6250000001455192E-2</v>
      </c>
      <c r="H306" s="1" t="s">
        <v>260</v>
      </c>
      <c r="I306" s="1" t="s">
        <v>261</v>
      </c>
      <c r="J306" s="1" t="s">
        <v>740</v>
      </c>
      <c r="K306" s="1" t="str">
        <f>_xlfn.XLOOKUP(J306,REF!$D$2:$D$12,REF!$E$2:$E$12)</f>
        <v>Internet</v>
      </c>
      <c r="L306" s="1" t="s">
        <v>390</v>
      </c>
      <c r="M306" s="1" t="s">
        <v>391</v>
      </c>
      <c r="N306" s="1" t="s">
        <v>266</v>
      </c>
      <c r="O306" s="1" t="s">
        <v>741</v>
      </c>
      <c r="P306" s="1" t="str">
        <f t="shared" si="13"/>
        <v>BC BomSucessoABB_0245997,461111111145997,461111111145997,5173611111</v>
      </c>
      <c r="Q306" s="1" t="str">
        <f t="shared" si="14"/>
        <v>LIGRFOINT</v>
      </c>
    </row>
    <row r="307" spans="2:17" hidden="1">
      <c r="B307" s="1" t="s">
        <v>659</v>
      </c>
      <c r="C307" s="1" t="s">
        <v>663</v>
      </c>
      <c r="D307" s="52">
        <v>45997.461111111108</v>
      </c>
      <c r="E307" s="52">
        <v>45997.461111111108</v>
      </c>
      <c r="F307" s="52">
        <v>45997.517361111109</v>
      </c>
      <c r="G307" s="53">
        <f t="shared" si="16"/>
        <v>5.6250000001455192E-2</v>
      </c>
      <c r="H307" s="1" t="s">
        <v>260</v>
      </c>
      <c r="I307" s="1" t="s">
        <v>261</v>
      </c>
      <c r="J307" s="1" t="s">
        <v>740</v>
      </c>
      <c r="K307" s="1" t="str">
        <f>_xlfn.XLOOKUP(J307,REF!$D$2:$D$12,REF!$E$2:$E$12)</f>
        <v>Internet</v>
      </c>
      <c r="L307" s="1" t="s">
        <v>390</v>
      </c>
      <c r="M307" s="1" t="s">
        <v>391</v>
      </c>
      <c r="N307" s="1" t="s">
        <v>266</v>
      </c>
      <c r="O307" s="1" t="s">
        <v>741</v>
      </c>
      <c r="P307" s="1" t="str">
        <f t="shared" si="13"/>
        <v>BC BomSucessoABB_0345997,461111111145997,461111111145997,5173611111</v>
      </c>
      <c r="Q307" s="1" t="str">
        <f t="shared" si="14"/>
        <v>LIGRFOINT</v>
      </c>
    </row>
    <row r="308" spans="2:17" hidden="1">
      <c r="B308" s="1" t="s">
        <v>659</v>
      </c>
      <c r="C308" s="1" t="s">
        <v>664</v>
      </c>
      <c r="D308" s="52">
        <v>45997.461111111108</v>
      </c>
      <c r="E308" s="52">
        <v>45997.461111111108</v>
      </c>
      <c r="F308" s="52">
        <v>45997.517361111109</v>
      </c>
      <c r="G308" s="53">
        <f t="shared" si="16"/>
        <v>5.6250000001455192E-2</v>
      </c>
      <c r="H308" s="1" t="s">
        <v>260</v>
      </c>
      <c r="I308" s="1" t="s">
        <v>261</v>
      </c>
      <c r="J308" s="1" t="s">
        <v>740</v>
      </c>
      <c r="K308" s="1" t="str">
        <f>_xlfn.XLOOKUP(J308,REF!$D$2:$D$12,REF!$E$2:$E$12)</f>
        <v>Internet</v>
      </c>
      <c r="L308" s="1" t="s">
        <v>390</v>
      </c>
      <c r="M308" s="1" t="s">
        <v>391</v>
      </c>
      <c r="N308" s="1" t="s">
        <v>266</v>
      </c>
      <c r="O308" s="1" t="s">
        <v>741</v>
      </c>
      <c r="P308" s="1" t="str">
        <f t="shared" si="13"/>
        <v>BC BomSucessoABB_0445997,461111111145997,461111111145997,5173611111</v>
      </c>
      <c r="Q308" s="1" t="str">
        <f t="shared" si="14"/>
        <v>LIGRFOINT</v>
      </c>
    </row>
    <row r="309" spans="2:17" hidden="1">
      <c r="B309" s="1" t="s">
        <v>659</v>
      </c>
      <c r="C309" s="1" t="s">
        <v>665</v>
      </c>
      <c r="D309" s="52">
        <v>45997.461111111108</v>
      </c>
      <c r="E309" s="52">
        <v>45997.461111111108</v>
      </c>
      <c r="F309" s="52">
        <v>45997.517361111109</v>
      </c>
      <c r="G309" s="53">
        <f t="shared" si="16"/>
        <v>5.6250000001455192E-2</v>
      </c>
      <c r="H309" s="1" t="s">
        <v>260</v>
      </c>
      <c r="I309" s="1" t="s">
        <v>261</v>
      </c>
      <c r="J309" s="1" t="s">
        <v>740</v>
      </c>
      <c r="K309" s="1" t="str">
        <f>_xlfn.XLOOKUP(J309,REF!$D$2:$D$12,REF!$E$2:$E$12)</f>
        <v>Internet</v>
      </c>
      <c r="L309" s="1" t="s">
        <v>390</v>
      </c>
      <c r="M309" s="1" t="s">
        <v>391</v>
      </c>
      <c r="N309" s="1" t="s">
        <v>266</v>
      </c>
      <c r="O309" s="1" t="s">
        <v>741</v>
      </c>
      <c r="P309" s="1" t="str">
        <f t="shared" si="13"/>
        <v>BC BomSucessoABB_0545997,461111111145997,461111111145997,5173611111</v>
      </c>
      <c r="Q309" s="1" t="str">
        <f t="shared" si="14"/>
        <v>LIGRFOINT</v>
      </c>
    </row>
    <row r="310" spans="2:17" hidden="1">
      <c r="B310" s="1" t="s">
        <v>659</v>
      </c>
      <c r="C310" s="1" t="s">
        <v>666</v>
      </c>
      <c r="D310" s="52">
        <v>45997.461111111108</v>
      </c>
      <c r="E310" s="52">
        <v>45997.461111111108</v>
      </c>
      <c r="F310" s="52">
        <v>45997.517361111109</v>
      </c>
      <c r="G310" s="53">
        <f t="shared" si="16"/>
        <v>5.6250000001455192E-2</v>
      </c>
      <c r="H310" s="1" t="s">
        <v>260</v>
      </c>
      <c r="I310" s="1" t="s">
        <v>261</v>
      </c>
      <c r="J310" s="1" t="s">
        <v>740</v>
      </c>
      <c r="K310" s="1" t="str">
        <f>_xlfn.XLOOKUP(J310,REF!$D$2:$D$12,REF!$E$2:$E$12)</f>
        <v>Internet</v>
      </c>
      <c r="L310" s="1" t="s">
        <v>390</v>
      </c>
      <c r="M310" s="1" t="s">
        <v>391</v>
      </c>
      <c r="N310" s="1" t="s">
        <v>266</v>
      </c>
      <c r="O310" s="1" t="s">
        <v>741</v>
      </c>
      <c r="P310" s="1" t="str">
        <f t="shared" si="13"/>
        <v>BC BomSucessoABB_0645997,461111111145997,461111111145997,5173611111</v>
      </c>
      <c r="Q310" s="1" t="str">
        <f t="shared" si="14"/>
        <v>LIGRFOINT</v>
      </c>
    </row>
    <row r="311" spans="2:17" hidden="1">
      <c r="B311" s="1" t="s">
        <v>659</v>
      </c>
      <c r="C311" s="1" t="s">
        <v>667</v>
      </c>
      <c r="D311" s="52">
        <v>45997.461111111108</v>
      </c>
      <c r="E311" s="52">
        <v>45997.461111111108</v>
      </c>
      <c r="F311" s="52">
        <v>45997.517361111109</v>
      </c>
      <c r="G311" s="53">
        <f t="shared" si="16"/>
        <v>5.6250000001455192E-2</v>
      </c>
      <c r="H311" s="1" t="s">
        <v>260</v>
      </c>
      <c r="I311" s="1" t="s">
        <v>261</v>
      </c>
      <c r="J311" s="1" t="s">
        <v>740</v>
      </c>
      <c r="K311" s="1" t="str">
        <f>_xlfn.XLOOKUP(J311,REF!$D$2:$D$12,REF!$E$2:$E$12)</f>
        <v>Internet</v>
      </c>
      <c r="L311" s="1" t="s">
        <v>390</v>
      </c>
      <c r="M311" s="1" t="s">
        <v>391</v>
      </c>
      <c r="N311" s="1" t="s">
        <v>266</v>
      </c>
      <c r="O311" s="1" t="s">
        <v>741</v>
      </c>
      <c r="P311" s="1" t="str">
        <f t="shared" si="13"/>
        <v>BC BomSucessoABB_0745997,461111111145997,461111111145997,5173611111</v>
      </c>
      <c r="Q311" s="1" t="str">
        <f t="shared" si="14"/>
        <v>LIGRFOINT</v>
      </c>
    </row>
    <row r="312" spans="2:17" hidden="1">
      <c r="B312" s="1" t="s">
        <v>659</v>
      </c>
      <c r="C312" s="1" t="s">
        <v>668</v>
      </c>
      <c r="D312" s="52">
        <v>45997.461111111108</v>
      </c>
      <c r="E312" s="52">
        <v>45997.461111111108</v>
      </c>
      <c r="F312" s="52">
        <v>45997.517361111109</v>
      </c>
      <c r="G312" s="53">
        <f t="shared" si="16"/>
        <v>5.6250000001455192E-2</v>
      </c>
      <c r="H312" s="1" t="s">
        <v>260</v>
      </c>
      <c r="I312" s="1" t="s">
        <v>261</v>
      </c>
      <c r="J312" s="1" t="s">
        <v>740</v>
      </c>
      <c r="K312" s="1" t="str">
        <f>_xlfn.XLOOKUP(J312,REF!$D$2:$D$12,REF!$E$2:$E$12)</f>
        <v>Internet</v>
      </c>
      <c r="L312" s="1" t="s">
        <v>390</v>
      </c>
      <c r="M312" s="1" t="s">
        <v>391</v>
      </c>
      <c r="N312" s="1" t="s">
        <v>266</v>
      </c>
      <c r="O312" s="1" t="s">
        <v>741</v>
      </c>
      <c r="P312" s="1" t="str">
        <f t="shared" si="13"/>
        <v>BC BomSucessoABB_0845997,461111111145997,461111111145997,5173611111</v>
      </c>
      <c r="Q312" s="1" t="str">
        <f t="shared" si="14"/>
        <v>LIGRFOINT</v>
      </c>
    </row>
    <row r="313" spans="2:17" hidden="1">
      <c r="B313" s="1" t="s">
        <v>659</v>
      </c>
      <c r="C313" s="1" t="s">
        <v>669</v>
      </c>
      <c r="D313" s="52">
        <v>45997.461111111108</v>
      </c>
      <c r="E313" s="52">
        <v>45997.461111111108</v>
      </c>
      <c r="F313" s="52">
        <v>45997.517361111109</v>
      </c>
      <c r="G313" s="53">
        <f t="shared" si="16"/>
        <v>5.6250000001455192E-2</v>
      </c>
      <c r="H313" s="1" t="s">
        <v>260</v>
      </c>
      <c r="I313" s="1" t="s">
        <v>261</v>
      </c>
      <c r="J313" s="1" t="s">
        <v>740</v>
      </c>
      <c r="K313" s="1" t="str">
        <f>_xlfn.XLOOKUP(J313,REF!$D$2:$D$12,REF!$E$2:$E$12)</f>
        <v>Internet</v>
      </c>
      <c r="L313" s="1" t="s">
        <v>390</v>
      </c>
      <c r="M313" s="1" t="s">
        <v>391</v>
      </c>
      <c r="N313" s="1" t="s">
        <v>266</v>
      </c>
      <c r="O313" s="1" t="s">
        <v>741</v>
      </c>
      <c r="P313" s="1" t="str">
        <f t="shared" si="13"/>
        <v>BC BomSucessoABB_0945997,461111111145997,461111111145997,5173611111</v>
      </c>
      <c r="Q313" s="1" t="str">
        <f t="shared" si="14"/>
        <v>LIGRFOINT</v>
      </c>
    </row>
    <row r="314" spans="2:17" hidden="1">
      <c r="B314" s="1" t="s">
        <v>659</v>
      </c>
      <c r="C314" s="1" t="s">
        <v>670</v>
      </c>
      <c r="D314" s="52">
        <v>45997.461111111108</v>
      </c>
      <c r="E314" s="52">
        <v>45997.461111111108</v>
      </c>
      <c r="F314" s="52">
        <v>45997.517361111109</v>
      </c>
      <c r="G314" s="53">
        <f t="shared" si="16"/>
        <v>5.6250000001455192E-2</v>
      </c>
      <c r="H314" s="1" t="s">
        <v>260</v>
      </c>
      <c r="I314" s="1" t="s">
        <v>261</v>
      </c>
      <c r="J314" s="1" t="s">
        <v>740</v>
      </c>
      <c r="K314" s="1" t="str">
        <f>_xlfn.XLOOKUP(J314,REF!$D$2:$D$12,REF!$E$2:$E$12)</f>
        <v>Internet</v>
      </c>
      <c r="L314" s="1" t="s">
        <v>390</v>
      </c>
      <c r="M314" s="1" t="s">
        <v>391</v>
      </c>
      <c r="N314" s="1" t="s">
        <v>266</v>
      </c>
      <c r="O314" s="1" t="s">
        <v>741</v>
      </c>
      <c r="P314" s="1" t="str">
        <f t="shared" si="13"/>
        <v>BC BomSucessoABB_1045997,461111111145997,461111111145997,5173611111</v>
      </c>
      <c r="Q314" s="1" t="str">
        <f t="shared" si="14"/>
        <v>LIGRFOINT</v>
      </c>
    </row>
    <row r="315" spans="2:17" hidden="1">
      <c r="B315" s="1" t="s">
        <v>659</v>
      </c>
      <c r="C315" s="1" t="s">
        <v>671</v>
      </c>
      <c r="D315" s="52">
        <v>45997.461111111108</v>
      </c>
      <c r="E315" s="52">
        <v>45997.461111111108</v>
      </c>
      <c r="F315" s="52">
        <v>45997.517361111109</v>
      </c>
      <c r="G315" s="53">
        <f t="shared" si="16"/>
        <v>5.6250000001455192E-2</v>
      </c>
      <c r="H315" s="1" t="s">
        <v>260</v>
      </c>
      <c r="I315" s="1" t="s">
        <v>261</v>
      </c>
      <c r="J315" s="1" t="s">
        <v>740</v>
      </c>
      <c r="K315" s="1" t="str">
        <f>_xlfn.XLOOKUP(J315,REF!$D$2:$D$12,REF!$E$2:$E$12)</f>
        <v>Internet</v>
      </c>
      <c r="L315" s="1" t="s">
        <v>390</v>
      </c>
      <c r="M315" s="1" t="s">
        <v>391</v>
      </c>
      <c r="N315" s="1" t="s">
        <v>266</v>
      </c>
      <c r="O315" s="1" t="s">
        <v>741</v>
      </c>
      <c r="P315" s="1" t="str">
        <f t="shared" si="13"/>
        <v>BC BomSucessoABB_1145997,461111111145997,461111111145997,5173611111</v>
      </c>
      <c r="Q315" s="1" t="str">
        <f t="shared" si="14"/>
        <v>LIGRFOINT</v>
      </c>
    </row>
    <row r="316" spans="2:17" hidden="1">
      <c r="B316" s="1" t="s">
        <v>659</v>
      </c>
      <c r="C316" s="1" t="s">
        <v>299</v>
      </c>
      <c r="D316" s="52">
        <v>45998.284722222219</v>
      </c>
      <c r="E316" s="52">
        <v>45998.284722222219</v>
      </c>
      <c r="F316" s="52">
        <v>45998.395833333336</v>
      </c>
      <c r="G316" s="53">
        <f t="shared" ref="G316:G379" si="17">F316-E316</f>
        <v>0.11111111111677019</v>
      </c>
      <c r="H316" s="1" t="s">
        <v>260</v>
      </c>
      <c r="I316" s="1" t="s">
        <v>261</v>
      </c>
      <c r="J316" s="1" t="s">
        <v>740</v>
      </c>
      <c r="K316" s="1" t="str">
        <f>_xlfn.XLOOKUP(J316,REF!$D$2:$D$12,REF!$E$2:$E$12)</f>
        <v>Internet</v>
      </c>
      <c r="L316" s="1" t="s">
        <v>390</v>
      </c>
      <c r="M316" s="1" t="s">
        <v>391</v>
      </c>
      <c r="N316" s="1" t="s">
        <v>266</v>
      </c>
      <c r="O316" s="1" t="s">
        <v>741</v>
      </c>
      <c r="P316" s="1" t="str">
        <f t="shared" si="13"/>
        <v>BC BomSucessoSG60KTL45998,284722222245998,284722222245998,3958333333</v>
      </c>
      <c r="Q316" s="1" t="str">
        <f t="shared" si="14"/>
        <v>LIGRFOINT</v>
      </c>
    </row>
    <row r="317" spans="2:17" hidden="1">
      <c r="B317" s="1" t="s">
        <v>659</v>
      </c>
      <c r="C317" s="1" t="s">
        <v>661</v>
      </c>
      <c r="D317" s="52">
        <v>45998.284722222219</v>
      </c>
      <c r="E317" s="52">
        <v>45998.284722222219</v>
      </c>
      <c r="F317" s="52">
        <v>45998.395833333336</v>
      </c>
      <c r="G317" s="53">
        <f t="shared" si="17"/>
        <v>0.11111111111677019</v>
      </c>
      <c r="H317" s="1" t="s">
        <v>260</v>
      </c>
      <c r="I317" s="1" t="s">
        <v>261</v>
      </c>
      <c r="J317" s="1" t="s">
        <v>740</v>
      </c>
      <c r="K317" s="1" t="str">
        <f>_xlfn.XLOOKUP(J317,REF!$D$2:$D$12,REF!$E$2:$E$12)</f>
        <v>Internet</v>
      </c>
      <c r="L317" s="1" t="s">
        <v>390</v>
      </c>
      <c r="M317" s="1" t="s">
        <v>391</v>
      </c>
      <c r="N317" s="1" t="s">
        <v>266</v>
      </c>
      <c r="O317" s="1" t="s">
        <v>741</v>
      </c>
      <c r="P317" s="1" t="str">
        <f t="shared" si="13"/>
        <v>BC BomSucessoABB_0145998,284722222245998,284722222245998,3958333333</v>
      </c>
      <c r="Q317" s="1" t="str">
        <f t="shared" si="14"/>
        <v>LIGRFOINT</v>
      </c>
    </row>
    <row r="318" spans="2:17" hidden="1">
      <c r="B318" s="1" t="s">
        <v>659</v>
      </c>
      <c r="C318" s="1" t="s">
        <v>662</v>
      </c>
      <c r="D318" s="52">
        <v>45998.284722222219</v>
      </c>
      <c r="E318" s="52">
        <v>45998.284722222219</v>
      </c>
      <c r="F318" s="52">
        <v>45998.395833333336</v>
      </c>
      <c r="G318" s="53">
        <f t="shared" si="17"/>
        <v>0.11111111111677019</v>
      </c>
      <c r="H318" s="1" t="s">
        <v>260</v>
      </c>
      <c r="I318" s="1" t="s">
        <v>261</v>
      </c>
      <c r="J318" s="1" t="s">
        <v>740</v>
      </c>
      <c r="K318" s="1" t="str">
        <f>_xlfn.XLOOKUP(J318,REF!$D$2:$D$12,REF!$E$2:$E$12)</f>
        <v>Internet</v>
      </c>
      <c r="L318" s="1" t="s">
        <v>390</v>
      </c>
      <c r="M318" s="1" t="s">
        <v>391</v>
      </c>
      <c r="N318" s="1" t="s">
        <v>266</v>
      </c>
      <c r="O318" s="1" t="s">
        <v>741</v>
      </c>
      <c r="P318" s="1" t="str">
        <f t="shared" si="13"/>
        <v>BC BomSucessoABB_0245998,284722222245998,284722222245998,3958333333</v>
      </c>
      <c r="Q318" s="1" t="str">
        <f t="shared" si="14"/>
        <v>LIGRFOINT</v>
      </c>
    </row>
    <row r="319" spans="2:17" hidden="1">
      <c r="B319" s="1" t="s">
        <v>659</v>
      </c>
      <c r="C319" s="1" t="s">
        <v>663</v>
      </c>
      <c r="D319" s="52">
        <v>45998.284722222219</v>
      </c>
      <c r="E319" s="52">
        <v>45998.284722222219</v>
      </c>
      <c r="F319" s="52">
        <v>45998.395833333336</v>
      </c>
      <c r="G319" s="53">
        <f t="shared" si="17"/>
        <v>0.11111111111677019</v>
      </c>
      <c r="H319" s="1" t="s">
        <v>260</v>
      </c>
      <c r="I319" s="1" t="s">
        <v>261</v>
      </c>
      <c r="J319" s="1" t="s">
        <v>740</v>
      </c>
      <c r="K319" s="1" t="str">
        <f>_xlfn.XLOOKUP(J319,REF!$D$2:$D$12,REF!$E$2:$E$12)</f>
        <v>Internet</v>
      </c>
      <c r="L319" s="1" t="s">
        <v>390</v>
      </c>
      <c r="M319" s="1" t="s">
        <v>391</v>
      </c>
      <c r="N319" s="1" t="s">
        <v>266</v>
      </c>
      <c r="O319" s="1" t="s">
        <v>741</v>
      </c>
      <c r="P319" s="1" t="str">
        <f t="shared" si="13"/>
        <v>BC BomSucessoABB_0345998,284722222245998,284722222245998,3958333333</v>
      </c>
      <c r="Q319" s="1" t="str">
        <f t="shared" si="14"/>
        <v>LIGRFOINT</v>
      </c>
    </row>
    <row r="320" spans="2:17" hidden="1">
      <c r="B320" s="1" t="s">
        <v>659</v>
      </c>
      <c r="C320" s="1" t="s">
        <v>664</v>
      </c>
      <c r="D320" s="52">
        <v>45998.284722222219</v>
      </c>
      <c r="E320" s="52">
        <v>45998.284722222219</v>
      </c>
      <c r="F320" s="52">
        <v>45998.395833333336</v>
      </c>
      <c r="G320" s="53">
        <f t="shared" si="17"/>
        <v>0.11111111111677019</v>
      </c>
      <c r="H320" s="1" t="s">
        <v>260</v>
      </c>
      <c r="I320" s="1" t="s">
        <v>261</v>
      </c>
      <c r="J320" s="1" t="s">
        <v>740</v>
      </c>
      <c r="K320" s="1" t="str">
        <f>_xlfn.XLOOKUP(J320,REF!$D$2:$D$12,REF!$E$2:$E$12)</f>
        <v>Internet</v>
      </c>
      <c r="L320" s="1" t="s">
        <v>390</v>
      </c>
      <c r="M320" s="1" t="s">
        <v>391</v>
      </c>
      <c r="N320" s="1" t="s">
        <v>266</v>
      </c>
      <c r="O320" s="1" t="s">
        <v>741</v>
      </c>
      <c r="P320" s="1" t="str">
        <f t="shared" si="13"/>
        <v>BC BomSucessoABB_0445998,284722222245998,284722222245998,3958333333</v>
      </c>
      <c r="Q320" s="1" t="str">
        <f t="shared" si="14"/>
        <v>LIGRFOINT</v>
      </c>
    </row>
    <row r="321" spans="2:17" hidden="1">
      <c r="B321" s="1" t="s">
        <v>659</v>
      </c>
      <c r="C321" s="1" t="s">
        <v>665</v>
      </c>
      <c r="D321" s="52">
        <v>45998.284722222219</v>
      </c>
      <c r="E321" s="52">
        <v>45998.284722222219</v>
      </c>
      <c r="F321" s="52">
        <v>45998.395833333336</v>
      </c>
      <c r="G321" s="53">
        <f t="shared" si="17"/>
        <v>0.11111111111677019</v>
      </c>
      <c r="H321" s="1" t="s">
        <v>260</v>
      </c>
      <c r="I321" s="1" t="s">
        <v>261</v>
      </c>
      <c r="J321" s="1" t="s">
        <v>740</v>
      </c>
      <c r="K321" s="1" t="str">
        <f>_xlfn.XLOOKUP(J321,REF!$D$2:$D$12,REF!$E$2:$E$12)</f>
        <v>Internet</v>
      </c>
      <c r="L321" s="1" t="s">
        <v>390</v>
      </c>
      <c r="M321" s="1" t="s">
        <v>391</v>
      </c>
      <c r="N321" s="1" t="s">
        <v>266</v>
      </c>
      <c r="O321" s="1" t="s">
        <v>741</v>
      </c>
      <c r="P321" s="1" t="str">
        <f t="shared" si="13"/>
        <v>BC BomSucessoABB_0545998,284722222245998,284722222245998,3958333333</v>
      </c>
      <c r="Q321" s="1" t="str">
        <f t="shared" si="14"/>
        <v>LIGRFOINT</v>
      </c>
    </row>
    <row r="322" spans="2:17" hidden="1">
      <c r="B322" s="1" t="s">
        <v>659</v>
      </c>
      <c r="C322" s="1" t="s">
        <v>666</v>
      </c>
      <c r="D322" s="52">
        <v>45998.284722222219</v>
      </c>
      <c r="E322" s="52">
        <v>45998.284722222219</v>
      </c>
      <c r="F322" s="52">
        <v>45998.395833333336</v>
      </c>
      <c r="G322" s="53">
        <f t="shared" si="17"/>
        <v>0.11111111111677019</v>
      </c>
      <c r="H322" s="1" t="s">
        <v>260</v>
      </c>
      <c r="I322" s="1" t="s">
        <v>261</v>
      </c>
      <c r="J322" s="1" t="s">
        <v>740</v>
      </c>
      <c r="K322" s="1" t="str">
        <f>_xlfn.XLOOKUP(J322,REF!$D$2:$D$12,REF!$E$2:$E$12)</f>
        <v>Internet</v>
      </c>
      <c r="L322" s="1" t="s">
        <v>390</v>
      </c>
      <c r="M322" s="1" t="s">
        <v>391</v>
      </c>
      <c r="N322" s="1" t="s">
        <v>266</v>
      </c>
      <c r="O322" s="1" t="s">
        <v>741</v>
      </c>
      <c r="P322" s="1" t="str">
        <f t="shared" si="13"/>
        <v>BC BomSucessoABB_0645998,284722222245998,284722222245998,3958333333</v>
      </c>
      <c r="Q322" s="1" t="str">
        <f t="shared" si="14"/>
        <v>LIGRFOINT</v>
      </c>
    </row>
    <row r="323" spans="2:17" hidden="1">
      <c r="B323" s="1" t="s">
        <v>659</v>
      </c>
      <c r="C323" s="1" t="s">
        <v>667</v>
      </c>
      <c r="D323" s="52">
        <v>45998.284722222219</v>
      </c>
      <c r="E323" s="52">
        <v>45998.284722222219</v>
      </c>
      <c r="F323" s="52">
        <v>45998.395833333336</v>
      </c>
      <c r="G323" s="53">
        <f t="shared" si="17"/>
        <v>0.11111111111677019</v>
      </c>
      <c r="H323" s="1" t="s">
        <v>260</v>
      </c>
      <c r="I323" s="1" t="s">
        <v>261</v>
      </c>
      <c r="J323" s="1" t="s">
        <v>740</v>
      </c>
      <c r="K323" s="1" t="str">
        <f>_xlfn.XLOOKUP(J323,REF!$D$2:$D$12,REF!$E$2:$E$12)</f>
        <v>Internet</v>
      </c>
      <c r="L323" s="1" t="s">
        <v>390</v>
      </c>
      <c r="M323" s="1" t="s">
        <v>391</v>
      </c>
      <c r="N323" s="1" t="s">
        <v>266</v>
      </c>
      <c r="O323" s="1" t="s">
        <v>741</v>
      </c>
      <c r="P323" s="1" t="str">
        <f t="shared" ref="P323:P386" si="18">_xlfn.CONCAT(B323,C323,D323,E323,F323)</f>
        <v>BC BomSucessoABB_0745998,284722222245998,284722222245998,3958333333</v>
      </c>
      <c r="Q323" s="1" t="str">
        <f t="shared" ref="Q323:Q386" si="19">_xlfn.CONCAT(H323,I323,J323)</f>
        <v>LIGRFOINT</v>
      </c>
    </row>
    <row r="324" spans="2:17" hidden="1">
      <c r="B324" s="1" t="s">
        <v>659</v>
      </c>
      <c r="C324" s="1" t="s">
        <v>668</v>
      </c>
      <c r="D324" s="52">
        <v>45998.284722222219</v>
      </c>
      <c r="E324" s="52">
        <v>45998.284722222219</v>
      </c>
      <c r="F324" s="52">
        <v>45998.395833333336</v>
      </c>
      <c r="G324" s="53">
        <f t="shared" si="17"/>
        <v>0.11111111111677019</v>
      </c>
      <c r="H324" s="1" t="s">
        <v>260</v>
      </c>
      <c r="I324" s="1" t="s">
        <v>261</v>
      </c>
      <c r="J324" s="1" t="s">
        <v>740</v>
      </c>
      <c r="K324" s="1" t="str">
        <f>_xlfn.XLOOKUP(J324,REF!$D$2:$D$12,REF!$E$2:$E$12)</f>
        <v>Internet</v>
      </c>
      <c r="L324" s="1" t="s">
        <v>390</v>
      </c>
      <c r="M324" s="1" t="s">
        <v>391</v>
      </c>
      <c r="N324" s="1" t="s">
        <v>266</v>
      </c>
      <c r="O324" s="1" t="s">
        <v>741</v>
      </c>
      <c r="P324" s="1" t="str">
        <f t="shared" si="18"/>
        <v>BC BomSucessoABB_0845998,284722222245998,284722222245998,3958333333</v>
      </c>
      <c r="Q324" s="1" t="str">
        <f t="shared" si="19"/>
        <v>LIGRFOINT</v>
      </c>
    </row>
    <row r="325" spans="2:17" hidden="1">
      <c r="B325" s="1" t="s">
        <v>659</v>
      </c>
      <c r="C325" s="1" t="s">
        <v>669</v>
      </c>
      <c r="D325" s="52">
        <v>45998.284722222219</v>
      </c>
      <c r="E325" s="52">
        <v>45998.284722222219</v>
      </c>
      <c r="F325" s="52">
        <v>45998.395833333336</v>
      </c>
      <c r="G325" s="53">
        <f t="shared" si="17"/>
        <v>0.11111111111677019</v>
      </c>
      <c r="H325" s="1" t="s">
        <v>260</v>
      </c>
      <c r="I325" s="1" t="s">
        <v>261</v>
      </c>
      <c r="J325" s="1" t="s">
        <v>740</v>
      </c>
      <c r="K325" s="1" t="str">
        <f>_xlfn.XLOOKUP(J325,REF!$D$2:$D$12,REF!$E$2:$E$12)</f>
        <v>Internet</v>
      </c>
      <c r="L325" s="1" t="s">
        <v>390</v>
      </c>
      <c r="M325" s="1" t="s">
        <v>391</v>
      </c>
      <c r="N325" s="1" t="s">
        <v>266</v>
      </c>
      <c r="O325" s="1" t="s">
        <v>741</v>
      </c>
      <c r="P325" s="1" t="str">
        <f t="shared" si="18"/>
        <v>BC BomSucessoABB_0945998,284722222245998,284722222245998,3958333333</v>
      </c>
      <c r="Q325" s="1" t="str">
        <f t="shared" si="19"/>
        <v>LIGRFOINT</v>
      </c>
    </row>
    <row r="326" spans="2:17" hidden="1">
      <c r="B326" s="1" t="s">
        <v>659</v>
      </c>
      <c r="C326" s="1" t="s">
        <v>670</v>
      </c>
      <c r="D326" s="52">
        <v>45998.284722222219</v>
      </c>
      <c r="E326" s="52">
        <v>45998.284722222219</v>
      </c>
      <c r="F326" s="52">
        <v>45998.395833333336</v>
      </c>
      <c r="G326" s="53">
        <f t="shared" si="17"/>
        <v>0.11111111111677019</v>
      </c>
      <c r="H326" s="1" t="s">
        <v>260</v>
      </c>
      <c r="I326" s="1" t="s">
        <v>261</v>
      </c>
      <c r="J326" s="1" t="s">
        <v>740</v>
      </c>
      <c r="K326" s="1" t="str">
        <f>_xlfn.XLOOKUP(J326,REF!$D$2:$D$12,REF!$E$2:$E$12)</f>
        <v>Internet</v>
      </c>
      <c r="L326" s="1" t="s">
        <v>390</v>
      </c>
      <c r="M326" s="1" t="s">
        <v>391</v>
      </c>
      <c r="N326" s="1" t="s">
        <v>266</v>
      </c>
      <c r="O326" s="1" t="s">
        <v>741</v>
      </c>
      <c r="P326" s="1" t="str">
        <f t="shared" si="18"/>
        <v>BC BomSucessoABB_1045998,284722222245998,284722222245998,3958333333</v>
      </c>
      <c r="Q326" s="1" t="str">
        <f t="shared" si="19"/>
        <v>LIGRFOINT</v>
      </c>
    </row>
    <row r="327" spans="2:17" hidden="1">
      <c r="B327" s="1" t="s">
        <v>659</v>
      </c>
      <c r="C327" s="1" t="s">
        <v>671</v>
      </c>
      <c r="D327" s="52">
        <v>45998.284722222219</v>
      </c>
      <c r="E327" s="52">
        <v>45998.284722222219</v>
      </c>
      <c r="F327" s="52">
        <v>45998.395833333336</v>
      </c>
      <c r="G327" s="53">
        <f t="shared" si="17"/>
        <v>0.11111111111677019</v>
      </c>
      <c r="H327" s="1" t="s">
        <v>260</v>
      </c>
      <c r="I327" s="1" t="s">
        <v>261</v>
      </c>
      <c r="J327" s="1" t="s">
        <v>740</v>
      </c>
      <c r="K327" s="1" t="str">
        <f>_xlfn.XLOOKUP(J327,REF!$D$2:$D$12,REF!$E$2:$E$12)</f>
        <v>Internet</v>
      </c>
      <c r="L327" s="1" t="s">
        <v>390</v>
      </c>
      <c r="M327" s="1" t="s">
        <v>391</v>
      </c>
      <c r="N327" s="1" t="s">
        <v>266</v>
      </c>
      <c r="O327" s="1" t="s">
        <v>741</v>
      </c>
      <c r="P327" s="1" t="str">
        <f t="shared" si="18"/>
        <v>BC BomSucessoABB_1145998,284722222245998,284722222245998,3958333333</v>
      </c>
      <c r="Q327" s="1" t="str">
        <f t="shared" si="19"/>
        <v>LIGRFOINT</v>
      </c>
    </row>
    <row r="328" spans="2:17" hidden="1">
      <c r="B328" s="1" t="s">
        <v>361</v>
      </c>
      <c r="C328" s="1" t="s">
        <v>362</v>
      </c>
      <c r="D328" s="52">
        <v>45998.295138888891</v>
      </c>
      <c r="E328" s="52">
        <v>45998.295138888891</v>
      </c>
      <c r="F328" s="52">
        <v>45998.351388888892</v>
      </c>
      <c r="G328" s="53">
        <f t="shared" si="17"/>
        <v>5.6250000001455192E-2</v>
      </c>
      <c r="H328" s="1" t="s">
        <v>248</v>
      </c>
      <c r="J328" s="1" t="s">
        <v>249</v>
      </c>
      <c r="K328" s="1" t="str">
        <f>_xlfn.XLOOKUP(J328,REF!$D$2:$D$12,REF!$E$2:$E$12)</f>
        <v>Rede</v>
      </c>
      <c r="L328" s="1" t="s">
        <v>711</v>
      </c>
      <c r="M328" s="1" t="s">
        <v>251</v>
      </c>
      <c r="N328" s="1" t="s">
        <v>252</v>
      </c>
      <c r="O328" s="1" t="s">
        <v>712</v>
      </c>
      <c r="P328" s="1" t="str">
        <f t="shared" si="18"/>
        <v>ARAGUATINS 1.3Inverter(MBUS-20)45998,295138888945998,295138888945998,3513888889</v>
      </c>
      <c r="Q328" s="1" t="str">
        <f t="shared" si="19"/>
        <v>DAURDE</v>
      </c>
    </row>
    <row r="329" spans="2:17" hidden="1">
      <c r="B329" s="1" t="s">
        <v>361</v>
      </c>
      <c r="C329" s="1" t="s">
        <v>328</v>
      </c>
      <c r="D329" s="52">
        <v>45998.295138888891</v>
      </c>
      <c r="E329" s="52">
        <v>45998.295138888891</v>
      </c>
      <c r="F329" s="52">
        <v>45998.351388888892</v>
      </c>
      <c r="G329" s="53">
        <f t="shared" si="17"/>
        <v>5.6250000001455192E-2</v>
      </c>
      <c r="H329" s="1" t="s">
        <v>248</v>
      </c>
      <c r="J329" s="1" t="s">
        <v>249</v>
      </c>
      <c r="K329" s="1" t="str">
        <f>_xlfn.XLOOKUP(J329,REF!$D$2:$D$12,REF!$E$2:$E$12)</f>
        <v>Rede</v>
      </c>
      <c r="L329" s="1" t="s">
        <v>711</v>
      </c>
      <c r="M329" s="1" t="s">
        <v>251</v>
      </c>
      <c r="N329" s="1" t="s">
        <v>252</v>
      </c>
      <c r="O329" s="1" t="s">
        <v>712</v>
      </c>
      <c r="P329" s="1" t="str">
        <f t="shared" si="18"/>
        <v>ARAGUATINS 1.3Inverter(MBUS-1)45998,295138888945998,295138888945998,3513888889</v>
      </c>
      <c r="Q329" s="1" t="str">
        <f t="shared" si="19"/>
        <v>DAURDE</v>
      </c>
    </row>
    <row r="330" spans="2:17" hidden="1">
      <c r="B330" s="1" t="s">
        <v>742</v>
      </c>
      <c r="C330" s="1" t="s">
        <v>567</v>
      </c>
      <c r="D330" s="52">
        <v>45998.378472222219</v>
      </c>
      <c r="E330" s="52">
        <v>45998.378472222219</v>
      </c>
      <c r="F330" s="52">
        <v>45998.693749999999</v>
      </c>
      <c r="G330" s="53">
        <f t="shared" si="17"/>
        <v>0.31527777777955635</v>
      </c>
      <c r="H330" s="1" t="s">
        <v>248</v>
      </c>
      <c r="J330" s="1" t="s">
        <v>249</v>
      </c>
      <c r="K330" s="1" t="str">
        <f>_xlfn.XLOOKUP(J330,REF!$D$2:$D$12,REF!$E$2:$E$12)</f>
        <v>Rede</v>
      </c>
      <c r="L330" s="1" t="s">
        <v>743</v>
      </c>
      <c r="M330" s="1" t="s">
        <v>251</v>
      </c>
      <c r="N330" s="1" t="s">
        <v>330</v>
      </c>
      <c r="O330" s="1" t="s">
        <v>331</v>
      </c>
      <c r="P330" s="1" t="str">
        <f t="shared" si="18"/>
        <v>Araçu IVSG75CX(COM1-018)_001_01845998,378472222245998,378472222245998,69375</v>
      </c>
      <c r="Q330" s="1" t="str">
        <f t="shared" si="19"/>
        <v>DAURDE</v>
      </c>
    </row>
    <row r="331" spans="2:17" hidden="1">
      <c r="B331" s="1" t="s">
        <v>742</v>
      </c>
      <c r="C331" s="1" t="s">
        <v>568</v>
      </c>
      <c r="D331" s="52">
        <v>45998.378472222219</v>
      </c>
      <c r="E331" s="52">
        <v>45998.378472222219</v>
      </c>
      <c r="F331" s="52">
        <v>45998.693749999999</v>
      </c>
      <c r="G331" s="53">
        <f t="shared" si="17"/>
        <v>0.31527777777955635</v>
      </c>
      <c r="H331" s="1" t="s">
        <v>248</v>
      </c>
      <c r="J331" s="1" t="s">
        <v>249</v>
      </c>
      <c r="K331" s="1" t="str">
        <f>_xlfn.XLOOKUP(J331,REF!$D$2:$D$12,REF!$E$2:$E$12)</f>
        <v>Rede</v>
      </c>
      <c r="L331" s="1" t="s">
        <v>743</v>
      </c>
      <c r="M331" s="1" t="s">
        <v>251</v>
      </c>
      <c r="N331" s="1" t="s">
        <v>330</v>
      </c>
      <c r="O331" s="1" t="s">
        <v>331</v>
      </c>
      <c r="P331" s="1" t="str">
        <f t="shared" si="18"/>
        <v>Araçu IVSG75CX(COM1-019)_001_01945998,378472222245998,378472222245998,69375</v>
      </c>
      <c r="Q331" s="1" t="str">
        <f t="shared" si="19"/>
        <v>DAURDE</v>
      </c>
    </row>
    <row r="332" spans="2:17" hidden="1">
      <c r="B332" s="1" t="s">
        <v>742</v>
      </c>
      <c r="C332" s="1" t="s">
        <v>569</v>
      </c>
      <c r="D332" s="52">
        <v>45998.378472222219</v>
      </c>
      <c r="E332" s="52">
        <v>45998.378472222219</v>
      </c>
      <c r="F332" s="52">
        <v>45998.693749999999</v>
      </c>
      <c r="G332" s="53">
        <f t="shared" si="17"/>
        <v>0.31527777777955635</v>
      </c>
      <c r="H332" s="1" t="s">
        <v>248</v>
      </c>
      <c r="J332" s="1" t="s">
        <v>249</v>
      </c>
      <c r="K332" s="1" t="str">
        <f>_xlfn.XLOOKUP(J332,REF!$D$2:$D$12,REF!$E$2:$E$12)</f>
        <v>Rede</v>
      </c>
      <c r="L332" s="1" t="s">
        <v>743</v>
      </c>
      <c r="M332" s="1" t="s">
        <v>251</v>
      </c>
      <c r="N332" s="1" t="s">
        <v>330</v>
      </c>
      <c r="O332" s="1" t="s">
        <v>331</v>
      </c>
      <c r="P332" s="1" t="str">
        <f t="shared" si="18"/>
        <v>Araçu IVSG75CX(COM1-020)_001_02045998,378472222245998,378472222245998,69375</v>
      </c>
      <c r="Q332" s="1" t="str">
        <f t="shared" si="19"/>
        <v>DAURDE</v>
      </c>
    </row>
    <row r="333" spans="2:17" hidden="1">
      <c r="B333" s="1" t="s">
        <v>742</v>
      </c>
      <c r="C333" s="1" t="s">
        <v>570</v>
      </c>
      <c r="D333" s="52">
        <v>45998.378472222219</v>
      </c>
      <c r="E333" s="52">
        <v>45998.378472222219</v>
      </c>
      <c r="F333" s="52">
        <v>45998.693749999999</v>
      </c>
      <c r="G333" s="53">
        <f t="shared" si="17"/>
        <v>0.31527777777955635</v>
      </c>
      <c r="H333" s="1" t="s">
        <v>248</v>
      </c>
      <c r="J333" s="1" t="s">
        <v>249</v>
      </c>
      <c r="K333" s="1" t="str">
        <f>_xlfn.XLOOKUP(J333,REF!$D$2:$D$12,REF!$E$2:$E$12)</f>
        <v>Rede</v>
      </c>
      <c r="L333" s="1" t="s">
        <v>743</v>
      </c>
      <c r="M333" s="1" t="s">
        <v>251</v>
      </c>
      <c r="N333" s="1" t="s">
        <v>330</v>
      </c>
      <c r="O333" s="1" t="s">
        <v>331</v>
      </c>
      <c r="P333" s="1" t="str">
        <f t="shared" si="18"/>
        <v>Araçu IVSG75CX(COM1-021)_001_02145998,378472222245998,378472222245998,69375</v>
      </c>
      <c r="Q333" s="1" t="str">
        <f t="shared" si="19"/>
        <v>DAURDE</v>
      </c>
    </row>
    <row r="334" spans="2:17">
      <c r="B334" s="1" t="s">
        <v>493</v>
      </c>
      <c r="C334" s="1" t="s">
        <v>494</v>
      </c>
      <c r="D334" s="52">
        <v>45999.272222222222</v>
      </c>
      <c r="E334" s="52">
        <v>45999.272222222222</v>
      </c>
      <c r="F334" s="52">
        <v>45999.321527777778</v>
      </c>
      <c r="G334" s="53">
        <f t="shared" si="17"/>
        <v>4.9305555556202307E-2</v>
      </c>
      <c r="H334" s="1" t="s">
        <v>260</v>
      </c>
      <c r="I334" s="1" t="s">
        <v>261</v>
      </c>
      <c r="J334" s="1" t="s">
        <v>262</v>
      </c>
      <c r="K334" s="1" t="str">
        <f>_xlfn.XLOOKUP(J334,REF!$D$2:$D$12,REF!$E$2:$E$12)</f>
        <v>Comunicação</v>
      </c>
      <c r="L334" s="1" t="s">
        <v>306</v>
      </c>
      <c r="M334" s="1" t="s">
        <v>265</v>
      </c>
      <c r="N334" s="1" t="s">
        <v>266</v>
      </c>
      <c r="O334" s="1" t="s">
        <v>267</v>
      </c>
      <c r="P334" s="1" t="str">
        <f t="shared" si="18"/>
        <v>BC Rio Bonito2INV-00145999,272222222245999,272222222245999,3215277778</v>
      </c>
      <c r="Q334" s="1" t="str">
        <f t="shared" si="19"/>
        <v>LIGRFOCOM</v>
      </c>
    </row>
    <row r="335" spans="2:17">
      <c r="B335" s="1" t="s">
        <v>493</v>
      </c>
      <c r="C335" s="1" t="s">
        <v>497</v>
      </c>
      <c r="D335" s="52">
        <v>45999.272222222222</v>
      </c>
      <c r="E335" s="52">
        <v>45999.272222222222</v>
      </c>
      <c r="F335" s="52">
        <v>45999.321527777778</v>
      </c>
      <c r="G335" s="53">
        <f t="shared" si="17"/>
        <v>4.9305555556202307E-2</v>
      </c>
      <c r="H335" s="1" t="s">
        <v>260</v>
      </c>
      <c r="I335" s="1" t="s">
        <v>261</v>
      </c>
      <c r="J335" s="1" t="s">
        <v>262</v>
      </c>
      <c r="K335" s="1" t="str">
        <f>_xlfn.XLOOKUP(J335,REF!$D$2:$D$12,REF!$E$2:$E$12)</f>
        <v>Comunicação</v>
      </c>
      <c r="L335" s="1" t="s">
        <v>306</v>
      </c>
      <c r="M335" s="1" t="s">
        <v>265</v>
      </c>
      <c r="N335" s="1" t="s">
        <v>266</v>
      </c>
      <c r="O335" s="1" t="s">
        <v>267</v>
      </c>
      <c r="P335" s="1" t="str">
        <f t="shared" si="18"/>
        <v>BC Rio Bonito2INV-00245999,272222222245999,272222222245999,3215277778</v>
      </c>
      <c r="Q335" s="1" t="str">
        <f t="shared" si="19"/>
        <v>LIGRFOCOM</v>
      </c>
    </row>
    <row r="336" spans="2:17">
      <c r="B336" s="1" t="s">
        <v>493</v>
      </c>
      <c r="C336" s="1" t="s">
        <v>498</v>
      </c>
      <c r="D336" s="52">
        <v>45999.272222222222</v>
      </c>
      <c r="E336" s="52">
        <v>45999.272222222222</v>
      </c>
      <c r="F336" s="52">
        <v>45999.321527777778</v>
      </c>
      <c r="G336" s="53">
        <f t="shared" si="17"/>
        <v>4.9305555556202307E-2</v>
      </c>
      <c r="H336" s="1" t="s">
        <v>260</v>
      </c>
      <c r="I336" s="1" t="s">
        <v>261</v>
      </c>
      <c r="J336" s="1" t="s">
        <v>262</v>
      </c>
      <c r="K336" s="1" t="str">
        <f>_xlfn.XLOOKUP(J336,REF!$D$2:$D$12,REF!$E$2:$E$12)</f>
        <v>Comunicação</v>
      </c>
      <c r="L336" s="1" t="s">
        <v>306</v>
      </c>
      <c r="M336" s="1" t="s">
        <v>265</v>
      </c>
      <c r="N336" s="1" t="s">
        <v>266</v>
      </c>
      <c r="O336" s="1" t="s">
        <v>267</v>
      </c>
      <c r="P336" s="1" t="str">
        <f t="shared" si="18"/>
        <v>BC Rio Bonito2INV-00345999,272222222245999,272222222245999,3215277778</v>
      </c>
      <c r="Q336" s="1" t="str">
        <f t="shared" si="19"/>
        <v>LIGRFOCOM</v>
      </c>
    </row>
    <row r="337" spans="2:17">
      <c r="B337" s="1" t="s">
        <v>493</v>
      </c>
      <c r="C337" s="1" t="s">
        <v>499</v>
      </c>
      <c r="D337" s="52">
        <v>45999.272222222222</v>
      </c>
      <c r="E337" s="52">
        <v>45999.272222222222</v>
      </c>
      <c r="F337" s="52">
        <v>45999.321527777778</v>
      </c>
      <c r="G337" s="53">
        <f t="shared" si="17"/>
        <v>4.9305555556202307E-2</v>
      </c>
      <c r="H337" s="1" t="s">
        <v>260</v>
      </c>
      <c r="I337" s="1" t="s">
        <v>261</v>
      </c>
      <c r="J337" s="1" t="s">
        <v>262</v>
      </c>
      <c r="K337" s="1" t="str">
        <f>_xlfn.XLOOKUP(J337,REF!$D$2:$D$12,REF!$E$2:$E$12)</f>
        <v>Comunicação</v>
      </c>
      <c r="L337" s="1" t="s">
        <v>306</v>
      </c>
      <c r="M337" s="1" t="s">
        <v>265</v>
      </c>
      <c r="N337" s="1" t="s">
        <v>266</v>
      </c>
      <c r="O337" s="1" t="s">
        <v>267</v>
      </c>
      <c r="P337" s="1" t="str">
        <f t="shared" si="18"/>
        <v>BC Rio Bonito2INV-00445999,272222222245999,272222222245999,3215277778</v>
      </c>
      <c r="Q337" s="1" t="str">
        <f t="shared" si="19"/>
        <v>LIGRFOCOM</v>
      </c>
    </row>
    <row r="338" spans="2:17" hidden="1">
      <c r="B338" s="1" t="s">
        <v>744</v>
      </c>
      <c r="C338" s="1" t="s">
        <v>489</v>
      </c>
      <c r="D338" s="52">
        <v>45999.298611111109</v>
      </c>
      <c r="E338" s="52">
        <v>45999.298611111109</v>
      </c>
      <c r="F338" s="52">
        <v>45999.57916666667</v>
      </c>
      <c r="G338" s="53">
        <f t="shared" si="17"/>
        <v>0.28055555556056788</v>
      </c>
      <c r="H338" s="1" t="s">
        <v>248</v>
      </c>
      <c r="J338" s="1" t="s">
        <v>249</v>
      </c>
      <c r="K338" s="1" t="str">
        <f>_xlfn.XLOOKUP(J338,REF!$D$2:$D$12,REF!$E$2:$E$12)</f>
        <v>Rede</v>
      </c>
      <c r="L338" s="1" t="s">
        <v>711</v>
      </c>
      <c r="M338" s="1" t="s">
        <v>251</v>
      </c>
      <c r="N338" s="1" t="s">
        <v>252</v>
      </c>
      <c r="O338" s="1" t="s">
        <v>712</v>
      </c>
      <c r="P338" s="1" t="str">
        <f t="shared" si="18"/>
        <v>BC Rio Monte 3Inverter4145999,298611111145999,298611111145999,5791666667</v>
      </c>
      <c r="Q338" s="1" t="str">
        <f t="shared" si="19"/>
        <v>DAURDE</v>
      </c>
    </row>
    <row r="339" spans="2:17" hidden="1">
      <c r="B339" s="1" t="s">
        <v>744</v>
      </c>
      <c r="C339" s="1" t="s">
        <v>713</v>
      </c>
      <c r="D339" s="52">
        <v>45999.298611111109</v>
      </c>
      <c r="E339" s="52">
        <v>45999.298611111109</v>
      </c>
      <c r="F339" s="52">
        <v>45999.57916666667</v>
      </c>
      <c r="G339" s="53">
        <f t="shared" si="17"/>
        <v>0.28055555556056788</v>
      </c>
      <c r="H339" s="1" t="s">
        <v>248</v>
      </c>
      <c r="J339" s="1" t="s">
        <v>249</v>
      </c>
      <c r="K339" s="1" t="str">
        <f>_xlfn.XLOOKUP(J339,REF!$D$2:$D$12,REF!$E$2:$E$12)</f>
        <v>Rede</v>
      </c>
      <c r="L339" s="1" t="s">
        <v>711</v>
      </c>
      <c r="M339" s="1" t="s">
        <v>251</v>
      </c>
      <c r="N339" s="1" t="s">
        <v>252</v>
      </c>
      <c r="O339" s="1" t="s">
        <v>712</v>
      </c>
      <c r="P339" s="1" t="str">
        <f t="shared" si="18"/>
        <v>BC Rio Monte 3Inverter4745999,298611111145999,298611111145999,5791666667</v>
      </c>
      <c r="Q339" s="1" t="str">
        <f t="shared" si="19"/>
        <v>DAURDE</v>
      </c>
    </row>
    <row r="340" spans="2:17" hidden="1">
      <c r="B340" s="1" t="s">
        <v>744</v>
      </c>
      <c r="C340" s="1" t="s">
        <v>486</v>
      </c>
      <c r="D340" s="52">
        <v>45999.298611111109</v>
      </c>
      <c r="E340" s="52">
        <v>45999.298611111109</v>
      </c>
      <c r="F340" s="52">
        <v>45999.57916666667</v>
      </c>
      <c r="G340" s="53">
        <f t="shared" si="17"/>
        <v>0.28055555556056788</v>
      </c>
      <c r="H340" s="1" t="s">
        <v>248</v>
      </c>
      <c r="J340" s="1" t="s">
        <v>249</v>
      </c>
      <c r="K340" s="1" t="str">
        <f>_xlfn.XLOOKUP(J340,REF!$D$2:$D$12,REF!$E$2:$E$12)</f>
        <v>Rede</v>
      </c>
      <c r="L340" s="1" t="s">
        <v>711</v>
      </c>
      <c r="M340" s="1" t="s">
        <v>251</v>
      </c>
      <c r="N340" s="1" t="s">
        <v>252</v>
      </c>
      <c r="O340" s="1" t="s">
        <v>712</v>
      </c>
      <c r="P340" s="1" t="str">
        <f t="shared" si="18"/>
        <v>BC Rio Monte 3Inverter3545999,298611111145999,298611111145999,5791666667</v>
      </c>
      <c r="Q340" s="1" t="str">
        <f t="shared" si="19"/>
        <v>DAURDE</v>
      </c>
    </row>
    <row r="341" spans="2:17" hidden="1">
      <c r="B341" s="1" t="s">
        <v>744</v>
      </c>
      <c r="C341" s="1" t="s">
        <v>478</v>
      </c>
      <c r="D341" s="52">
        <v>45999.298611111109</v>
      </c>
      <c r="E341" s="52">
        <v>45999.298611111109</v>
      </c>
      <c r="F341" s="52">
        <v>45999.57916666667</v>
      </c>
      <c r="G341" s="53">
        <f t="shared" si="17"/>
        <v>0.28055555556056788</v>
      </c>
      <c r="H341" s="1" t="s">
        <v>248</v>
      </c>
      <c r="J341" s="1" t="s">
        <v>249</v>
      </c>
      <c r="K341" s="1" t="str">
        <f>_xlfn.XLOOKUP(J341,REF!$D$2:$D$12,REF!$E$2:$E$12)</f>
        <v>Rede</v>
      </c>
      <c r="L341" s="1" t="s">
        <v>711</v>
      </c>
      <c r="M341" s="1" t="s">
        <v>251</v>
      </c>
      <c r="N341" s="1" t="s">
        <v>252</v>
      </c>
      <c r="O341" s="1" t="s">
        <v>712</v>
      </c>
      <c r="P341" s="1" t="str">
        <f t="shared" si="18"/>
        <v>BC Rio Monte 3Inverter3645999,298611111145999,298611111145999,5791666667</v>
      </c>
      <c r="Q341" s="1" t="str">
        <f t="shared" si="19"/>
        <v>DAURDE</v>
      </c>
    </row>
    <row r="342" spans="2:17" hidden="1">
      <c r="B342" s="1" t="s">
        <v>744</v>
      </c>
      <c r="C342" s="1" t="s">
        <v>632</v>
      </c>
      <c r="D342" s="52">
        <v>45999.298611111109</v>
      </c>
      <c r="E342" s="52">
        <v>45999.298611111109</v>
      </c>
      <c r="F342" s="52">
        <v>45999.57916666667</v>
      </c>
      <c r="G342" s="53">
        <f t="shared" si="17"/>
        <v>0.28055555556056788</v>
      </c>
      <c r="H342" s="1" t="s">
        <v>248</v>
      </c>
      <c r="J342" s="1" t="s">
        <v>249</v>
      </c>
      <c r="K342" s="1" t="str">
        <f>_xlfn.XLOOKUP(J342,REF!$D$2:$D$12,REF!$E$2:$E$12)</f>
        <v>Rede</v>
      </c>
      <c r="L342" s="1" t="s">
        <v>711</v>
      </c>
      <c r="M342" s="1" t="s">
        <v>251</v>
      </c>
      <c r="N342" s="1" t="s">
        <v>252</v>
      </c>
      <c r="O342" s="1" t="s">
        <v>712</v>
      </c>
      <c r="P342" s="1" t="str">
        <f t="shared" si="18"/>
        <v>BC Rio Monte 3Inverter3145999,298611111145999,298611111145999,5791666667</v>
      </c>
      <c r="Q342" s="1" t="str">
        <f t="shared" si="19"/>
        <v>DAURDE</v>
      </c>
    </row>
    <row r="343" spans="2:17" hidden="1">
      <c r="B343" s="1" t="s">
        <v>744</v>
      </c>
      <c r="C343" s="1" t="s">
        <v>629</v>
      </c>
      <c r="D343" s="52">
        <v>45999.298611111109</v>
      </c>
      <c r="E343" s="52">
        <v>45999.298611111109</v>
      </c>
      <c r="F343" s="52">
        <v>45999.57916666667</v>
      </c>
      <c r="G343" s="53">
        <f t="shared" si="17"/>
        <v>0.28055555556056788</v>
      </c>
      <c r="H343" s="1" t="s">
        <v>248</v>
      </c>
      <c r="J343" s="1" t="s">
        <v>249</v>
      </c>
      <c r="K343" s="1" t="str">
        <f>_xlfn.XLOOKUP(J343,REF!$D$2:$D$12,REF!$E$2:$E$12)</f>
        <v>Rede</v>
      </c>
      <c r="L343" s="1" t="s">
        <v>711</v>
      </c>
      <c r="M343" s="1" t="s">
        <v>251</v>
      </c>
      <c r="N343" s="1" t="s">
        <v>252</v>
      </c>
      <c r="O343" s="1" t="s">
        <v>712</v>
      </c>
      <c r="P343" s="1" t="str">
        <f t="shared" si="18"/>
        <v>BC Rio Monte 3Inverter3345999,298611111145999,298611111145999,5791666667</v>
      </c>
      <c r="Q343" s="1" t="str">
        <f t="shared" si="19"/>
        <v>DAURDE</v>
      </c>
    </row>
    <row r="344" spans="2:17" hidden="1">
      <c r="B344" s="1" t="s">
        <v>744</v>
      </c>
      <c r="C344" s="1" t="s">
        <v>631</v>
      </c>
      <c r="D344" s="52">
        <v>45999.298611111109</v>
      </c>
      <c r="E344" s="52">
        <v>45999.298611111109</v>
      </c>
      <c r="F344" s="52">
        <v>45999.57916666667</v>
      </c>
      <c r="G344" s="53">
        <f t="shared" si="17"/>
        <v>0.28055555556056788</v>
      </c>
      <c r="H344" s="1" t="s">
        <v>248</v>
      </c>
      <c r="J344" s="1" t="s">
        <v>249</v>
      </c>
      <c r="K344" s="1" t="str">
        <f>_xlfn.XLOOKUP(J344,REF!$D$2:$D$12,REF!$E$2:$E$12)</f>
        <v>Rede</v>
      </c>
      <c r="L344" s="1" t="s">
        <v>711</v>
      </c>
      <c r="M344" s="1" t="s">
        <v>251</v>
      </c>
      <c r="N344" s="1" t="s">
        <v>252</v>
      </c>
      <c r="O344" s="1" t="s">
        <v>712</v>
      </c>
      <c r="P344" s="1" t="str">
        <f t="shared" si="18"/>
        <v>BC Rio Monte 3Inverter3945999,298611111145999,298611111145999,5791666667</v>
      </c>
      <c r="Q344" s="1" t="str">
        <f t="shared" si="19"/>
        <v>DAURDE</v>
      </c>
    </row>
    <row r="345" spans="2:17" hidden="1">
      <c r="B345" s="1" t="s">
        <v>744</v>
      </c>
      <c r="C345" s="1" t="s">
        <v>635</v>
      </c>
      <c r="D345" s="52">
        <v>45999.298611111109</v>
      </c>
      <c r="E345" s="52">
        <v>45999.298611111109</v>
      </c>
      <c r="F345" s="52">
        <v>45999.57916666667</v>
      </c>
      <c r="G345" s="53">
        <f t="shared" si="17"/>
        <v>0.28055555556056788</v>
      </c>
      <c r="H345" s="1" t="s">
        <v>248</v>
      </c>
      <c r="J345" s="1" t="s">
        <v>249</v>
      </c>
      <c r="K345" s="1" t="str">
        <f>_xlfn.XLOOKUP(J345,REF!$D$2:$D$12,REF!$E$2:$E$12)</f>
        <v>Rede</v>
      </c>
      <c r="L345" s="1" t="s">
        <v>711</v>
      </c>
      <c r="M345" s="1" t="s">
        <v>251</v>
      </c>
      <c r="N345" s="1" t="s">
        <v>252</v>
      </c>
      <c r="O345" s="1" t="s">
        <v>712</v>
      </c>
      <c r="P345" s="1" t="str">
        <f t="shared" si="18"/>
        <v>BC Rio Monte 3Inverter3245999,298611111145999,298611111145999,5791666667</v>
      </c>
      <c r="Q345" s="1" t="str">
        <f t="shared" si="19"/>
        <v>DAURDE</v>
      </c>
    </row>
    <row r="346" spans="2:17" hidden="1">
      <c r="B346" s="1" t="s">
        <v>744</v>
      </c>
      <c r="C346" s="1" t="s">
        <v>487</v>
      </c>
      <c r="D346" s="52">
        <v>45999.298611111109</v>
      </c>
      <c r="E346" s="52">
        <v>45999.298611111109</v>
      </c>
      <c r="F346" s="52">
        <v>45999.57916666667</v>
      </c>
      <c r="G346" s="53">
        <f t="shared" si="17"/>
        <v>0.28055555556056788</v>
      </c>
      <c r="H346" s="1" t="s">
        <v>248</v>
      </c>
      <c r="J346" s="1" t="s">
        <v>249</v>
      </c>
      <c r="K346" s="1" t="str">
        <f>_xlfn.XLOOKUP(J346,REF!$D$2:$D$12,REF!$E$2:$E$12)</f>
        <v>Rede</v>
      </c>
      <c r="L346" s="1" t="s">
        <v>711</v>
      </c>
      <c r="M346" s="1" t="s">
        <v>251</v>
      </c>
      <c r="N346" s="1" t="s">
        <v>252</v>
      </c>
      <c r="O346" s="1" t="s">
        <v>712</v>
      </c>
      <c r="P346" s="1" t="str">
        <f t="shared" si="18"/>
        <v>BC Rio Monte 3Inverter4045999,298611111145999,298611111145999,5791666667</v>
      </c>
      <c r="Q346" s="1" t="str">
        <f t="shared" si="19"/>
        <v>DAURDE</v>
      </c>
    </row>
    <row r="347" spans="2:17" hidden="1">
      <c r="B347" s="1" t="s">
        <v>744</v>
      </c>
      <c r="C347" s="1" t="s">
        <v>627</v>
      </c>
      <c r="D347" s="52">
        <v>45999.298611111109</v>
      </c>
      <c r="E347" s="52">
        <v>45999.298611111109</v>
      </c>
      <c r="F347" s="52">
        <v>45999.57916666667</v>
      </c>
      <c r="G347" s="53">
        <f t="shared" si="17"/>
        <v>0.28055555556056788</v>
      </c>
      <c r="H347" s="1" t="s">
        <v>248</v>
      </c>
      <c r="J347" s="1" t="s">
        <v>249</v>
      </c>
      <c r="K347" s="1" t="str">
        <f>_xlfn.XLOOKUP(J347,REF!$D$2:$D$12,REF!$E$2:$E$12)</f>
        <v>Rede</v>
      </c>
      <c r="L347" s="1" t="s">
        <v>711</v>
      </c>
      <c r="M347" s="1" t="s">
        <v>251</v>
      </c>
      <c r="N347" s="1" t="s">
        <v>252</v>
      </c>
      <c r="O347" s="1" t="s">
        <v>712</v>
      </c>
      <c r="P347" s="1" t="str">
        <f t="shared" si="18"/>
        <v>BC Rio Monte 3Inverter3445999,298611111145999,298611111145999,5791666667</v>
      </c>
      <c r="Q347" s="1" t="str">
        <f t="shared" si="19"/>
        <v>DAURDE</v>
      </c>
    </row>
    <row r="348" spans="2:17" hidden="1">
      <c r="B348" s="1" t="s">
        <v>327</v>
      </c>
      <c r="C348" s="1" t="s">
        <v>328</v>
      </c>
      <c r="D348" s="52">
        <v>45999.470833333333</v>
      </c>
      <c r="E348" s="52">
        <v>45999.470833333333</v>
      </c>
      <c r="F348" s="52">
        <v>45999.476388888892</v>
      </c>
      <c r="G348" s="53">
        <f t="shared" si="17"/>
        <v>5.5555555591126904E-3</v>
      </c>
      <c r="H348" s="1" t="s">
        <v>248</v>
      </c>
      <c r="J348" s="1" t="s">
        <v>249</v>
      </c>
      <c r="K348" s="1" t="str">
        <f>_xlfn.XLOOKUP(J348,REF!$D$2:$D$12,REF!$E$2:$E$12)</f>
        <v>Rede</v>
      </c>
      <c r="L348" s="1" t="s">
        <v>625</v>
      </c>
      <c r="M348" s="1" t="s">
        <v>736</v>
      </c>
      <c r="N348" s="1" t="s">
        <v>330</v>
      </c>
      <c r="O348" s="1" t="s">
        <v>739</v>
      </c>
      <c r="P348" s="1" t="str">
        <f t="shared" si="18"/>
        <v>BC Aracu5.1Inverter(MBUS-1)45999,470833333345999,470833333345999,4763888889</v>
      </c>
      <c r="Q348" s="1" t="str">
        <f t="shared" si="19"/>
        <v>DAURDE</v>
      </c>
    </row>
    <row r="349" spans="2:17" hidden="1">
      <c r="B349" s="1" t="s">
        <v>332</v>
      </c>
      <c r="C349" s="1" t="s">
        <v>328</v>
      </c>
      <c r="D349" s="52">
        <v>45999.470833333333</v>
      </c>
      <c r="E349" s="52">
        <v>45999.470833333333</v>
      </c>
      <c r="F349" s="52">
        <v>45999.476388888892</v>
      </c>
      <c r="G349" s="53">
        <f t="shared" si="17"/>
        <v>5.5555555591126904E-3</v>
      </c>
      <c r="H349" s="1" t="s">
        <v>248</v>
      </c>
      <c r="J349" s="1" t="s">
        <v>249</v>
      </c>
      <c r="K349" s="1" t="str">
        <f>_xlfn.XLOOKUP(J349,REF!$D$2:$D$12,REF!$E$2:$E$12)</f>
        <v>Rede</v>
      </c>
      <c r="L349" s="1" t="s">
        <v>625</v>
      </c>
      <c r="M349" s="1" t="s">
        <v>736</v>
      </c>
      <c r="N349" s="1" t="s">
        <v>330</v>
      </c>
      <c r="O349" s="1" t="s">
        <v>739</v>
      </c>
      <c r="P349" s="1" t="str">
        <f t="shared" si="18"/>
        <v>BC Aracu5.2Inverter(MBUS-1)45999,470833333345999,470833333345999,4763888889</v>
      </c>
      <c r="Q349" s="1" t="str">
        <f t="shared" si="19"/>
        <v>DAURDE</v>
      </c>
    </row>
    <row r="350" spans="2:17" hidden="1">
      <c r="B350" s="1" t="s">
        <v>333</v>
      </c>
      <c r="C350" s="1" t="s">
        <v>328</v>
      </c>
      <c r="D350" s="52">
        <v>45999.470833333333</v>
      </c>
      <c r="E350" s="52">
        <v>45999.470833333333</v>
      </c>
      <c r="F350" s="52">
        <v>45999.476388888892</v>
      </c>
      <c r="G350" s="53">
        <f t="shared" si="17"/>
        <v>5.5555555591126904E-3</v>
      </c>
      <c r="H350" s="1" t="s">
        <v>248</v>
      </c>
      <c r="J350" s="1" t="s">
        <v>249</v>
      </c>
      <c r="K350" s="1" t="str">
        <f>_xlfn.XLOOKUP(J350,REF!$D$2:$D$12,REF!$E$2:$E$12)</f>
        <v>Rede</v>
      </c>
      <c r="L350" s="1" t="s">
        <v>625</v>
      </c>
      <c r="M350" s="1" t="s">
        <v>736</v>
      </c>
      <c r="N350" s="1" t="s">
        <v>330</v>
      </c>
      <c r="O350" s="1" t="s">
        <v>739</v>
      </c>
      <c r="P350" s="1" t="str">
        <f t="shared" si="18"/>
        <v>BC Aracu5.3Inverter(MBUS-1)45999,470833333345999,470833333345999,4763888889</v>
      </c>
      <c r="Q350" s="1" t="str">
        <f t="shared" si="19"/>
        <v>DAURDE</v>
      </c>
    </row>
    <row r="351" spans="2:17" hidden="1">
      <c r="B351" s="1" t="s">
        <v>334</v>
      </c>
      <c r="C351" s="1" t="s">
        <v>328</v>
      </c>
      <c r="D351" s="52">
        <v>45999.470833333333</v>
      </c>
      <c r="E351" s="52">
        <v>45999.470833333333</v>
      </c>
      <c r="F351" s="52">
        <v>45999.476388888892</v>
      </c>
      <c r="G351" s="53">
        <f t="shared" si="17"/>
        <v>5.5555555591126904E-3</v>
      </c>
      <c r="H351" s="1" t="s">
        <v>248</v>
      </c>
      <c r="J351" s="1" t="s">
        <v>249</v>
      </c>
      <c r="K351" s="1" t="str">
        <f>_xlfn.XLOOKUP(J351,REF!$D$2:$D$12,REF!$E$2:$E$12)</f>
        <v>Rede</v>
      </c>
      <c r="L351" s="1" t="s">
        <v>625</v>
      </c>
      <c r="M351" s="1" t="s">
        <v>736</v>
      </c>
      <c r="N351" s="1" t="s">
        <v>330</v>
      </c>
      <c r="O351" s="1" t="s">
        <v>739</v>
      </c>
      <c r="P351" s="1" t="str">
        <f t="shared" si="18"/>
        <v>BC Aracu5.4Inverter(MBUS-1)45999,470833333345999,470833333345999,4763888889</v>
      </c>
      <c r="Q351" s="1" t="str">
        <f t="shared" si="19"/>
        <v>DAURDE</v>
      </c>
    </row>
    <row r="352" spans="2:17" hidden="1">
      <c r="B352" s="1" t="s">
        <v>335</v>
      </c>
      <c r="C352" s="1" t="s">
        <v>328</v>
      </c>
      <c r="D352" s="52">
        <v>45999.470833333333</v>
      </c>
      <c r="E352" s="52">
        <v>45999.470833333333</v>
      </c>
      <c r="F352" s="52">
        <v>45999.476388888892</v>
      </c>
      <c r="G352" s="53">
        <f t="shared" si="17"/>
        <v>5.5555555591126904E-3</v>
      </c>
      <c r="H352" s="1" t="s">
        <v>248</v>
      </c>
      <c r="J352" s="1" t="s">
        <v>249</v>
      </c>
      <c r="K352" s="1" t="str">
        <f>_xlfn.XLOOKUP(J352,REF!$D$2:$D$12,REF!$E$2:$E$12)</f>
        <v>Rede</v>
      </c>
      <c r="L352" s="1" t="s">
        <v>625</v>
      </c>
      <c r="M352" s="1" t="s">
        <v>736</v>
      </c>
      <c r="N352" s="1" t="s">
        <v>330</v>
      </c>
      <c r="O352" s="1" t="s">
        <v>739</v>
      </c>
      <c r="P352" s="1" t="str">
        <f t="shared" si="18"/>
        <v>BC Aracu5.5Inverter(MBUS-1)45999,470833333345999,470833333345999,4763888889</v>
      </c>
      <c r="Q352" s="1" t="str">
        <f t="shared" si="19"/>
        <v>DAURDE</v>
      </c>
    </row>
    <row r="353" spans="2:17" hidden="1">
      <c r="B353" s="1" t="s">
        <v>744</v>
      </c>
      <c r="C353" s="1" t="s">
        <v>489</v>
      </c>
      <c r="D353" s="52">
        <v>46000.267361111109</v>
      </c>
      <c r="E353" s="52">
        <v>46000.267361111109</v>
      </c>
      <c r="F353" s="52">
        <v>46000.364583333336</v>
      </c>
      <c r="G353" s="53">
        <f t="shared" si="17"/>
        <v>9.7222222226264421E-2</v>
      </c>
      <c r="H353" s="1" t="s">
        <v>248</v>
      </c>
      <c r="J353" s="1" t="s">
        <v>249</v>
      </c>
      <c r="K353" s="1" t="str">
        <f>_xlfn.XLOOKUP(J353,REF!$D$2:$D$12,REF!$E$2:$E$12)</f>
        <v>Rede</v>
      </c>
      <c r="L353" s="1" t="s">
        <v>672</v>
      </c>
      <c r="M353" s="1" t="s">
        <v>251</v>
      </c>
      <c r="N353" s="1" t="s">
        <v>252</v>
      </c>
      <c r="O353" s="1" t="s">
        <v>723</v>
      </c>
      <c r="P353" s="1" t="str">
        <f t="shared" si="18"/>
        <v>BC Rio Monte 3Inverter4146000,267361111146000,267361111146000,3645833333</v>
      </c>
      <c r="Q353" s="1" t="str">
        <f t="shared" si="19"/>
        <v>DAURDE</v>
      </c>
    </row>
    <row r="354" spans="2:17" hidden="1">
      <c r="B354" s="1" t="s">
        <v>744</v>
      </c>
      <c r="C354" s="1" t="s">
        <v>713</v>
      </c>
      <c r="D354" s="52">
        <v>46000.267361111109</v>
      </c>
      <c r="E354" s="52">
        <v>46000.267361111109</v>
      </c>
      <c r="F354" s="52">
        <v>46000.364583333336</v>
      </c>
      <c r="G354" s="53">
        <f t="shared" si="17"/>
        <v>9.7222222226264421E-2</v>
      </c>
      <c r="H354" s="1" t="s">
        <v>248</v>
      </c>
      <c r="J354" s="1" t="s">
        <v>249</v>
      </c>
      <c r="K354" s="1" t="str">
        <f>_xlfn.XLOOKUP(J354,REF!$D$2:$D$12,REF!$E$2:$E$12)</f>
        <v>Rede</v>
      </c>
      <c r="L354" s="1" t="s">
        <v>672</v>
      </c>
      <c r="M354" s="1" t="s">
        <v>251</v>
      </c>
      <c r="N354" s="1" t="s">
        <v>252</v>
      </c>
      <c r="O354" s="1" t="s">
        <v>723</v>
      </c>
      <c r="P354" s="1" t="str">
        <f t="shared" si="18"/>
        <v>BC Rio Monte 3Inverter4746000,267361111146000,267361111146000,3645833333</v>
      </c>
      <c r="Q354" s="1" t="str">
        <f t="shared" si="19"/>
        <v>DAURDE</v>
      </c>
    </row>
    <row r="355" spans="2:17" hidden="1">
      <c r="B355" s="1" t="s">
        <v>744</v>
      </c>
      <c r="C355" s="1" t="s">
        <v>486</v>
      </c>
      <c r="D355" s="52">
        <v>46000.267361111109</v>
      </c>
      <c r="E355" s="52">
        <v>46000.267361111109</v>
      </c>
      <c r="F355" s="52">
        <v>46000.364583333336</v>
      </c>
      <c r="G355" s="53">
        <f t="shared" si="17"/>
        <v>9.7222222226264421E-2</v>
      </c>
      <c r="H355" s="1" t="s">
        <v>248</v>
      </c>
      <c r="J355" s="1" t="s">
        <v>249</v>
      </c>
      <c r="K355" s="1" t="str">
        <f>_xlfn.XLOOKUP(J355,REF!$D$2:$D$12,REF!$E$2:$E$12)</f>
        <v>Rede</v>
      </c>
      <c r="L355" s="1" t="s">
        <v>672</v>
      </c>
      <c r="M355" s="1" t="s">
        <v>251</v>
      </c>
      <c r="N355" s="1" t="s">
        <v>252</v>
      </c>
      <c r="O355" s="1" t="s">
        <v>723</v>
      </c>
      <c r="P355" s="1" t="str">
        <f t="shared" si="18"/>
        <v>BC Rio Monte 3Inverter3546000,267361111146000,267361111146000,3645833333</v>
      </c>
      <c r="Q355" s="1" t="str">
        <f t="shared" si="19"/>
        <v>DAURDE</v>
      </c>
    </row>
    <row r="356" spans="2:17" hidden="1">
      <c r="B356" s="1" t="s">
        <v>744</v>
      </c>
      <c r="C356" s="1" t="s">
        <v>478</v>
      </c>
      <c r="D356" s="52">
        <v>46000.267361111109</v>
      </c>
      <c r="E356" s="52">
        <v>46000.267361111109</v>
      </c>
      <c r="F356" s="52">
        <v>46000.364583333336</v>
      </c>
      <c r="G356" s="53">
        <f t="shared" si="17"/>
        <v>9.7222222226264421E-2</v>
      </c>
      <c r="H356" s="1" t="s">
        <v>248</v>
      </c>
      <c r="J356" s="1" t="s">
        <v>249</v>
      </c>
      <c r="K356" s="1" t="str">
        <f>_xlfn.XLOOKUP(J356,REF!$D$2:$D$12,REF!$E$2:$E$12)</f>
        <v>Rede</v>
      </c>
      <c r="L356" s="1" t="s">
        <v>672</v>
      </c>
      <c r="M356" s="1" t="s">
        <v>251</v>
      </c>
      <c r="N356" s="1" t="s">
        <v>252</v>
      </c>
      <c r="O356" s="1" t="s">
        <v>723</v>
      </c>
      <c r="P356" s="1" t="str">
        <f t="shared" si="18"/>
        <v>BC Rio Monte 3Inverter3646000,267361111146000,267361111146000,3645833333</v>
      </c>
      <c r="Q356" s="1" t="str">
        <f t="shared" si="19"/>
        <v>DAURDE</v>
      </c>
    </row>
    <row r="357" spans="2:17" hidden="1">
      <c r="B357" s="1" t="s">
        <v>744</v>
      </c>
      <c r="C357" s="1" t="s">
        <v>632</v>
      </c>
      <c r="D357" s="52">
        <v>46000.267361111109</v>
      </c>
      <c r="E357" s="52">
        <v>46000.267361111109</v>
      </c>
      <c r="F357" s="52">
        <v>46000.364583333336</v>
      </c>
      <c r="G357" s="53">
        <f t="shared" si="17"/>
        <v>9.7222222226264421E-2</v>
      </c>
      <c r="H357" s="1" t="s">
        <v>248</v>
      </c>
      <c r="J357" s="1" t="s">
        <v>249</v>
      </c>
      <c r="K357" s="1" t="str">
        <f>_xlfn.XLOOKUP(J357,REF!$D$2:$D$12,REF!$E$2:$E$12)</f>
        <v>Rede</v>
      </c>
      <c r="L357" s="1" t="s">
        <v>672</v>
      </c>
      <c r="M357" s="1" t="s">
        <v>251</v>
      </c>
      <c r="N357" s="1" t="s">
        <v>252</v>
      </c>
      <c r="O357" s="1" t="s">
        <v>723</v>
      </c>
      <c r="P357" s="1" t="str">
        <f t="shared" si="18"/>
        <v>BC Rio Monte 3Inverter3146000,267361111146000,267361111146000,3645833333</v>
      </c>
      <c r="Q357" s="1" t="str">
        <f t="shared" si="19"/>
        <v>DAURDE</v>
      </c>
    </row>
    <row r="358" spans="2:17" hidden="1">
      <c r="B358" s="1" t="s">
        <v>744</v>
      </c>
      <c r="C358" s="1" t="s">
        <v>629</v>
      </c>
      <c r="D358" s="52">
        <v>46000.267361111109</v>
      </c>
      <c r="E358" s="52">
        <v>46000.267361111109</v>
      </c>
      <c r="F358" s="52">
        <v>46000.364583333336</v>
      </c>
      <c r="G358" s="53">
        <f t="shared" ref="G358:G362" si="20">F358-E358</f>
        <v>9.7222222226264421E-2</v>
      </c>
      <c r="H358" s="1" t="s">
        <v>248</v>
      </c>
      <c r="J358" s="1" t="s">
        <v>249</v>
      </c>
      <c r="K358" s="1" t="str">
        <f>_xlfn.XLOOKUP(J358,REF!$D$2:$D$12,REF!$E$2:$E$12)</f>
        <v>Rede</v>
      </c>
      <c r="L358" s="1" t="s">
        <v>672</v>
      </c>
      <c r="M358" s="1" t="s">
        <v>251</v>
      </c>
      <c r="N358" s="1" t="s">
        <v>252</v>
      </c>
      <c r="O358" s="1" t="s">
        <v>723</v>
      </c>
      <c r="P358" s="1" t="str">
        <f t="shared" si="18"/>
        <v>BC Rio Monte 3Inverter3346000,267361111146000,267361111146000,3645833333</v>
      </c>
      <c r="Q358" s="1" t="str">
        <f t="shared" si="19"/>
        <v>DAURDE</v>
      </c>
    </row>
    <row r="359" spans="2:17" hidden="1">
      <c r="B359" s="1" t="s">
        <v>744</v>
      </c>
      <c r="C359" s="1" t="s">
        <v>631</v>
      </c>
      <c r="D359" s="52">
        <v>46000.267361111109</v>
      </c>
      <c r="E359" s="52">
        <v>46000.267361111109</v>
      </c>
      <c r="F359" s="52">
        <v>46000.364583333336</v>
      </c>
      <c r="G359" s="53">
        <f t="shared" si="20"/>
        <v>9.7222222226264421E-2</v>
      </c>
      <c r="H359" s="1" t="s">
        <v>248</v>
      </c>
      <c r="J359" s="1" t="s">
        <v>249</v>
      </c>
      <c r="K359" s="1" t="str">
        <f>_xlfn.XLOOKUP(J359,REF!$D$2:$D$12,REF!$E$2:$E$12)</f>
        <v>Rede</v>
      </c>
      <c r="L359" s="1" t="s">
        <v>672</v>
      </c>
      <c r="M359" s="1" t="s">
        <v>251</v>
      </c>
      <c r="N359" s="1" t="s">
        <v>252</v>
      </c>
      <c r="O359" s="1" t="s">
        <v>723</v>
      </c>
      <c r="P359" s="1" t="str">
        <f t="shared" si="18"/>
        <v>BC Rio Monte 3Inverter3946000,267361111146000,267361111146000,3645833333</v>
      </c>
      <c r="Q359" s="1" t="str">
        <f t="shared" si="19"/>
        <v>DAURDE</v>
      </c>
    </row>
    <row r="360" spans="2:17" hidden="1">
      <c r="B360" s="1" t="s">
        <v>744</v>
      </c>
      <c r="C360" s="1" t="s">
        <v>635</v>
      </c>
      <c r="D360" s="52">
        <v>46000.267361111109</v>
      </c>
      <c r="E360" s="52">
        <v>46000.267361111109</v>
      </c>
      <c r="F360" s="52">
        <v>46000.364583333336</v>
      </c>
      <c r="G360" s="53">
        <f t="shared" si="20"/>
        <v>9.7222222226264421E-2</v>
      </c>
      <c r="H360" s="1" t="s">
        <v>248</v>
      </c>
      <c r="J360" s="1" t="s">
        <v>249</v>
      </c>
      <c r="K360" s="1" t="str">
        <f>_xlfn.XLOOKUP(J360,REF!$D$2:$D$12,REF!$E$2:$E$12)</f>
        <v>Rede</v>
      </c>
      <c r="L360" s="1" t="s">
        <v>672</v>
      </c>
      <c r="M360" s="1" t="s">
        <v>251</v>
      </c>
      <c r="N360" s="1" t="s">
        <v>252</v>
      </c>
      <c r="O360" s="1" t="s">
        <v>723</v>
      </c>
      <c r="P360" s="1" t="str">
        <f t="shared" si="18"/>
        <v>BC Rio Monte 3Inverter3246000,267361111146000,267361111146000,3645833333</v>
      </c>
      <c r="Q360" s="1" t="str">
        <f t="shared" si="19"/>
        <v>DAURDE</v>
      </c>
    </row>
    <row r="361" spans="2:17" hidden="1">
      <c r="B361" s="1" t="s">
        <v>744</v>
      </c>
      <c r="C361" s="1" t="s">
        <v>487</v>
      </c>
      <c r="D361" s="52">
        <v>46000.267361111109</v>
      </c>
      <c r="E361" s="52">
        <v>46000.267361111109</v>
      </c>
      <c r="F361" s="52">
        <v>46000.364583333336</v>
      </c>
      <c r="G361" s="53">
        <f t="shared" si="20"/>
        <v>9.7222222226264421E-2</v>
      </c>
      <c r="H361" s="1" t="s">
        <v>248</v>
      </c>
      <c r="J361" s="1" t="s">
        <v>249</v>
      </c>
      <c r="K361" s="1" t="str">
        <f>_xlfn.XLOOKUP(J361,REF!$D$2:$D$12,REF!$E$2:$E$12)</f>
        <v>Rede</v>
      </c>
      <c r="L361" s="1" t="s">
        <v>672</v>
      </c>
      <c r="M361" s="1" t="s">
        <v>251</v>
      </c>
      <c r="N361" s="1" t="s">
        <v>252</v>
      </c>
      <c r="O361" s="1" t="s">
        <v>723</v>
      </c>
      <c r="P361" s="1" t="str">
        <f t="shared" si="18"/>
        <v>BC Rio Monte 3Inverter4046000,267361111146000,267361111146000,3645833333</v>
      </c>
      <c r="Q361" s="1" t="str">
        <f t="shared" si="19"/>
        <v>DAURDE</v>
      </c>
    </row>
    <row r="362" spans="2:17" hidden="1">
      <c r="B362" s="1" t="s">
        <v>744</v>
      </c>
      <c r="C362" s="1" t="s">
        <v>627</v>
      </c>
      <c r="D362" s="52">
        <v>46000.267361111109</v>
      </c>
      <c r="E362" s="52">
        <v>46000.267361111109</v>
      </c>
      <c r="F362" s="52">
        <v>46000.364583333336</v>
      </c>
      <c r="G362" s="53">
        <f t="shared" si="20"/>
        <v>9.7222222226264421E-2</v>
      </c>
      <c r="H362" s="1" t="s">
        <v>248</v>
      </c>
      <c r="J362" s="1" t="s">
        <v>249</v>
      </c>
      <c r="K362" s="1" t="str">
        <f>_xlfn.XLOOKUP(J362,REF!$D$2:$D$12,REF!$E$2:$E$12)</f>
        <v>Rede</v>
      </c>
      <c r="L362" s="1" t="s">
        <v>672</v>
      </c>
      <c r="M362" s="1" t="s">
        <v>251</v>
      </c>
      <c r="N362" s="1" t="s">
        <v>252</v>
      </c>
      <c r="O362" s="1" t="s">
        <v>723</v>
      </c>
      <c r="P362" s="1" t="str">
        <f t="shared" si="18"/>
        <v>BC Rio Monte 3Inverter3446000,267361111146000,267361111146000,3645833333</v>
      </c>
      <c r="Q362" s="1" t="str">
        <f t="shared" si="19"/>
        <v>DAURDE</v>
      </c>
    </row>
    <row r="363" spans="2:17" hidden="1">
      <c r="B363" s="1" t="s">
        <v>363</v>
      </c>
      <c r="C363" s="1" t="s">
        <v>328</v>
      </c>
      <c r="D363" s="52">
        <v>46012.583333333336</v>
      </c>
      <c r="E363" s="52">
        <v>46012.583333333336</v>
      </c>
      <c r="F363" s="52">
        <v>46012.659722222219</v>
      </c>
      <c r="G363" s="53">
        <f t="shared" si="17"/>
        <v>7.6388888883229811E-2</v>
      </c>
      <c r="H363" s="1" t="s">
        <v>248</v>
      </c>
      <c r="J363" s="1" t="s">
        <v>249</v>
      </c>
      <c r="K363" s="1" t="str">
        <f>_xlfn.XLOOKUP(J363,REF!$D$2:$D$12,REF!$E$2:$E$12)</f>
        <v>Rede</v>
      </c>
      <c r="L363" s="1" t="s">
        <v>711</v>
      </c>
      <c r="M363" s="1" t="s">
        <v>251</v>
      </c>
      <c r="N363" s="1" t="s">
        <v>252</v>
      </c>
      <c r="O363" s="1" t="s">
        <v>712</v>
      </c>
      <c r="P363" s="1" t="str">
        <f t="shared" si="18"/>
        <v>ARAGUATINS 2.1Inverter(MBUS-1)46012,583333333346012,583333333346012,6597222222</v>
      </c>
      <c r="Q363" s="1" t="str">
        <f t="shared" si="19"/>
        <v>DAURDE</v>
      </c>
    </row>
    <row r="364" spans="2:17" hidden="1">
      <c r="B364" s="1" t="s">
        <v>369</v>
      </c>
      <c r="C364" s="1" t="s">
        <v>359</v>
      </c>
      <c r="D364" s="52">
        <v>46012.583333333336</v>
      </c>
      <c r="E364" s="52">
        <v>46012.583333333336</v>
      </c>
      <c r="F364" s="52">
        <v>46012.659722222219</v>
      </c>
      <c r="G364" s="53">
        <f t="shared" ref="G364:G367" si="21">F364-E364</f>
        <v>7.6388888883229811E-2</v>
      </c>
      <c r="H364" s="1" t="s">
        <v>248</v>
      </c>
      <c r="J364" s="1" t="s">
        <v>249</v>
      </c>
      <c r="K364" s="1" t="str">
        <f>_xlfn.XLOOKUP(J364,REF!$D$2:$D$12,REF!$E$2:$E$12)</f>
        <v>Rede</v>
      </c>
      <c r="L364" s="1" t="s">
        <v>711</v>
      </c>
      <c r="M364" s="1" t="s">
        <v>251</v>
      </c>
      <c r="N364" s="1" t="s">
        <v>252</v>
      </c>
      <c r="O364" s="1" t="s">
        <v>712</v>
      </c>
      <c r="P364" s="1" t="str">
        <f t="shared" si="18"/>
        <v>ARAGUATINS 2.2Inverter(MBUS-15)46012,583333333346012,583333333346012,6597222222</v>
      </c>
      <c r="Q364" s="1" t="str">
        <f t="shared" si="19"/>
        <v>DAURDE</v>
      </c>
    </row>
    <row r="365" spans="2:17" hidden="1">
      <c r="B365" s="1" t="s">
        <v>369</v>
      </c>
      <c r="C365" s="1" t="s">
        <v>357</v>
      </c>
      <c r="D365" s="52">
        <v>46012.583333333336</v>
      </c>
      <c r="E365" s="52">
        <v>46012.583333333336</v>
      </c>
      <c r="F365" s="52">
        <v>46012.659722222219</v>
      </c>
      <c r="G365" s="53">
        <f t="shared" si="21"/>
        <v>7.6388888883229811E-2</v>
      </c>
      <c r="H365" s="1" t="s">
        <v>248</v>
      </c>
      <c r="J365" s="1" t="s">
        <v>249</v>
      </c>
      <c r="K365" s="1" t="str">
        <f>_xlfn.XLOOKUP(J365,REF!$D$2:$D$12,REF!$E$2:$E$12)</f>
        <v>Rede</v>
      </c>
      <c r="L365" s="1" t="s">
        <v>711</v>
      </c>
      <c r="M365" s="1" t="s">
        <v>251</v>
      </c>
      <c r="N365" s="1" t="s">
        <v>252</v>
      </c>
      <c r="O365" s="1" t="s">
        <v>712</v>
      </c>
      <c r="P365" s="1" t="str">
        <f t="shared" si="18"/>
        <v>ARAGUATINS 2.2Inverter(MBUS-13)46012,583333333346012,583333333346012,6597222222</v>
      </c>
      <c r="Q365" s="1" t="str">
        <f t="shared" si="19"/>
        <v>DAURDE</v>
      </c>
    </row>
    <row r="366" spans="2:17" hidden="1">
      <c r="B366" s="1" t="s">
        <v>369</v>
      </c>
      <c r="C366" s="1" t="s">
        <v>358</v>
      </c>
      <c r="D366" s="52">
        <v>46012.583333333336</v>
      </c>
      <c r="E366" s="52">
        <v>46012.583333333336</v>
      </c>
      <c r="F366" s="52">
        <v>46012.659722222219</v>
      </c>
      <c r="G366" s="53">
        <f t="shared" si="21"/>
        <v>7.6388888883229811E-2</v>
      </c>
      <c r="H366" s="1" t="s">
        <v>248</v>
      </c>
      <c r="J366" s="1" t="s">
        <v>249</v>
      </c>
      <c r="K366" s="1" t="str">
        <f>_xlfn.XLOOKUP(J366,REF!$D$2:$D$12,REF!$E$2:$E$12)</f>
        <v>Rede</v>
      </c>
      <c r="L366" s="1" t="s">
        <v>711</v>
      </c>
      <c r="M366" s="1" t="s">
        <v>251</v>
      </c>
      <c r="N366" s="1" t="s">
        <v>252</v>
      </c>
      <c r="O366" s="1" t="s">
        <v>712</v>
      </c>
      <c r="P366" s="1" t="str">
        <f t="shared" si="18"/>
        <v>ARAGUATINS 2.2Inverter(MBUS-14)46012,583333333346012,583333333346012,6597222222</v>
      </c>
      <c r="Q366" s="1" t="str">
        <f t="shared" si="19"/>
        <v>DAURDE</v>
      </c>
    </row>
    <row r="367" spans="2:17" hidden="1">
      <c r="B367" s="1" t="s">
        <v>369</v>
      </c>
      <c r="C367" s="1" t="s">
        <v>354</v>
      </c>
      <c r="D367" s="52">
        <v>46012.583333333336</v>
      </c>
      <c r="E367" s="52">
        <v>46012.583333333336</v>
      </c>
      <c r="F367" s="52">
        <v>46012.659722222219</v>
      </c>
      <c r="G367" s="53">
        <f t="shared" si="21"/>
        <v>7.6388888883229811E-2</v>
      </c>
      <c r="H367" s="1" t="s">
        <v>248</v>
      </c>
      <c r="J367" s="1" t="s">
        <v>249</v>
      </c>
      <c r="K367" s="1" t="str">
        <f>_xlfn.XLOOKUP(J367,REF!$D$2:$D$12,REF!$E$2:$E$12)</f>
        <v>Rede</v>
      </c>
      <c r="L367" s="1" t="s">
        <v>711</v>
      </c>
      <c r="M367" s="1" t="s">
        <v>251</v>
      </c>
      <c r="N367" s="1" t="s">
        <v>252</v>
      </c>
      <c r="O367" s="1" t="s">
        <v>712</v>
      </c>
      <c r="P367" s="1" t="str">
        <f t="shared" si="18"/>
        <v>ARAGUATINS 2.2Inverter(MBUS-12)46012,583333333346012,583333333346012,6597222222</v>
      </c>
      <c r="Q367" s="1" t="str">
        <f t="shared" si="19"/>
        <v>DAURDE</v>
      </c>
    </row>
    <row r="368" spans="2:17" hidden="1">
      <c r="B368" s="1" t="s">
        <v>268</v>
      </c>
      <c r="C368" s="1" t="s">
        <v>269</v>
      </c>
      <c r="D368" s="52">
        <v>46012.520833333336</v>
      </c>
      <c r="E368" s="52">
        <v>46012.520833333336</v>
      </c>
      <c r="F368" s="52">
        <v>46012.584027777775</v>
      </c>
      <c r="G368" s="53">
        <f t="shared" si="17"/>
        <v>6.3194444439432118E-2</v>
      </c>
      <c r="H368" s="1" t="s">
        <v>248</v>
      </c>
      <c r="J368" s="1" t="s">
        <v>249</v>
      </c>
      <c r="K368" s="1" t="str">
        <f>_xlfn.XLOOKUP(J368,REF!$D$2:$D$12,REF!$E$2:$E$12)</f>
        <v>Rede</v>
      </c>
      <c r="L368" s="1" t="s">
        <v>745</v>
      </c>
      <c r="M368" s="1" t="s">
        <v>251</v>
      </c>
      <c r="N368" s="1" t="s">
        <v>330</v>
      </c>
      <c r="O368" s="1" t="s">
        <v>331</v>
      </c>
      <c r="P368" s="1" t="str">
        <f t="shared" si="18"/>
        <v>BC Caiaponia1SG60KTL(COM1-001)_001_00746012,520833333346012,520833333346012,5840277778</v>
      </c>
      <c r="Q368" s="1" t="str">
        <f t="shared" si="19"/>
        <v>DAURDE</v>
      </c>
    </row>
    <row r="369" spans="2:17" hidden="1">
      <c r="B369" s="1" t="s">
        <v>268</v>
      </c>
      <c r="C369" s="1" t="s">
        <v>270</v>
      </c>
      <c r="D369" s="52">
        <v>46012.520833333336</v>
      </c>
      <c r="E369" s="52">
        <v>46012.520833333336</v>
      </c>
      <c r="F369" s="52">
        <v>46012.584027777775</v>
      </c>
      <c r="G369" s="53">
        <f t="shared" si="17"/>
        <v>6.3194444439432118E-2</v>
      </c>
      <c r="H369" s="1" t="s">
        <v>248</v>
      </c>
      <c r="J369" s="1" t="s">
        <v>249</v>
      </c>
      <c r="K369" s="1" t="str">
        <f>_xlfn.XLOOKUP(J369,REF!$D$2:$D$12,REF!$E$2:$E$12)</f>
        <v>Rede</v>
      </c>
      <c r="L369" s="1" t="s">
        <v>745</v>
      </c>
      <c r="M369" s="1" t="s">
        <v>251</v>
      </c>
      <c r="N369" s="1" t="s">
        <v>330</v>
      </c>
      <c r="O369" s="1" t="s">
        <v>331</v>
      </c>
      <c r="P369" s="1" t="str">
        <f t="shared" si="18"/>
        <v>BC Caiaponia1SG60KTL(COM1-002)_001_01046012,520833333346012,520833333346012,5840277778</v>
      </c>
      <c r="Q369" s="1" t="str">
        <f t="shared" si="19"/>
        <v>DAURDE</v>
      </c>
    </row>
    <row r="370" spans="2:17" hidden="1">
      <c r="B370" s="1" t="s">
        <v>268</v>
      </c>
      <c r="C370" s="1" t="s">
        <v>271</v>
      </c>
      <c r="D370" s="52">
        <v>46012.520833333336</v>
      </c>
      <c r="E370" s="52">
        <v>46012.520833333336</v>
      </c>
      <c r="F370" s="52">
        <v>46012.584027777775</v>
      </c>
      <c r="G370" s="53">
        <f t="shared" si="17"/>
        <v>6.3194444439432118E-2</v>
      </c>
      <c r="H370" s="1" t="s">
        <v>248</v>
      </c>
      <c r="J370" s="1" t="s">
        <v>249</v>
      </c>
      <c r="K370" s="1" t="str">
        <f>_xlfn.XLOOKUP(J370,REF!$D$2:$D$12,REF!$E$2:$E$12)</f>
        <v>Rede</v>
      </c>
      <c r="L370" s="1" t="s">
        <v>745</v>
      </c>
      <c r="M370" s="1" t="s">
        <v>251</v>
      </c>
      <c r="N370" s="1" t="s">
        <v>330</v>
      </c>
      <c r="O370" s="1" t="s">
        <v>331</v>
      </c>
      <c r="P370" s="1" t="str">
        <f t="shared" si="18"/>
        <v>BC Caiaponia1SG60KTL(COM1-003)_001_01146012,520833333346012,520833333346012,5840277778</v>
      </c>
      <c r="Q370" s="1" t="str">
        <f t="shared" si="19"/>
        <v>DAURDE</v>
      </c>
    </row>
    <row r="371" spans="2:17" hidden="1">
      <c r="B371" s="1" t="s">
        <v>268</v>
      </c>
      <c r="C371" s="1" t="s">
        <v>272</v>
      </c>
      <c r="D371" s="52">
        <v>46012.520833333336</v>
      </c>
      <c r="E371" s="52">
        <v>46012.520833333336</v>
      </c>
      <c r="F371" s="52">
        <v>46012.584027777775</v>
      </c>
      <c r="G371" s="53">
        <f t="shared" si="17"/>
        <v>6.3194444439432118E-2</v>
      </c>
      <c r="H371" s="1" t="s">
        <v>248</v>
      </c>
      <c r="J371" s="1" t="s">
        <v>249</v>
      </c>
      <c r="K371" s="1" t="str">
        <f>_xlfn.XLOOKUP(J371,REF!$D$2:$D$12,REF!$E$2:$E$12)</f>
        <v>Rede</v>
      </c>
      <c r="L371" s="1" t="s">
        <v>745</v>
      </c>
      <c r="M371" s="1" t="s">
        <v>251</v>
      </c>
      <c r="N371" s="1" t="s">
        <v>330</v>
      </c>
      <c r="O371" s="1" t="s">
        <v>331</v>
      </c>
      <c r="P371" s="1" t="str">
        <f t="shared" si="18"/>
        <v>BC Caiaponia1SG60KTL(COM1-004)_001_01446012,520833333346012,520833333346012,5840277778</v>
      </c>
      <c r="Q371" s="1" t="str">
        <f t="shared" si="19"/>
        <v>DAURDE</v>
      </c>
    </row>
    <row r="372" spans="2:17" hidden="1">
      <c r="B372" s="1" t="s">
        <v>268</v>
      </c>
      <c r="C372" s="1" t="s">
        <v>273</v>
      </c>
      <c r="D372" s="52">
        <v>46012.520833333336</v>
      </c>
      <c r="E372" s="52">
        <v>46012.520833333336</v>
      </c>
      <c r="F372" s="52">
        <v>46012.584027777775</v>
      </c>
      <c r="G372" s="53">
        <f t="shared" si="17"/>
        <v>6.3194444439432118E-2</v>
      </c>
      <c r="H372" s="1" t="s">
        <v>248</v>
      </c>
      <c r="J372" s="1" t="s">
        <v>249</v>
      </c>
      <c r="K372" s="1" t="str">
        <f>_xlfn.XLOOKUP(J372,REF!$D$2:$D$12,REF!$E$2:$E$12)</f>
        <v>Rede</v>
      </c>
      <c r="L372" s="1" t="s">
        <v>745</v>
      </c>
      <c r="M372" s="1" t="s">
        <v>251</v>
      </c>
      <c r="N372" s="1" t="s">
        <v>330</v>
      </c>
      <c r="O372" s="1" t="s">
        <v>331</v>
      </c>
      <c r="P372" s="1" t="str">
        <f t="shared" si="18"/>
        <v>BC Caiaponia1SG60KTL(COM1-005)_001_01746012,520833333346012,520833333346012,5840277778</v>
      </c>
      <c r="Q372" s="1" t="str">
        <f t="shared" si="19"/>
        <v>DAURDE</v>
      </c>
    </row>
    <row r="373" spans="2:17" hidden="1">
      <c r="B373" s="1" t="s">
        <v>268</v>
      </c>
      <c r="C373" s="1" t="s">
        <v>274</v>
      </c>
      <c r="D373" s="52">
        <v>46012.520833333336</v>
      </c>
      <c r="E373" s="52">
        <v>46012.520833333336</v>
      </c>
      <c r="F373" s="52">
        <v>46012.584027777775</v>
      </c>
      <c r="G373" s="53">
        <f t="shared" si="17"/>
        <v>6.3194444439432118E-2</v>
      </c>
      <c r="H373" s="1" t="s">
        <v>248</v>
      </c>
      <c r="J373" s="1" t="s">
        <v>249</v>
      </c>
      <c r="K373" s="1" t="str">
        <f>_xlfn.XLOOKUP(J373,REF!$D$2:$D$12,REF!$E$2:$E$12)</f>
        <v>Rede</v>
      </c>
      <c r="L373" s="1" t="s">
        <v>745</v>
      </c>
      <c r="M373" s="1" t="s">
        <v>251</v>
      </c>
      <c r="N373" s="1" t="s">
        <v>330</v>
      </c>
      <c r="O373" s="1" t="s">
        <v>331</v>
      </c>
      <c r="P373" s="1" t="str">
        <f t="shared" si="18"/>
        <v>BC Caiaponia1SG60KTL(COM1-006)_001_01646012,520833333346012,520833333346012,5840277778</v>
      </c>
      <c r="Q373" s="1" t="str">
        <f t="shared" si="19"/>
        <v>DAURDE</v>
      </c>
    </row>
    <row r="374" spans="2:17" hidden="1">
      <c r="B374" s="1" t="s">
        <v>268</v>
      </c>
      <c r="C374" s="1" t="s">
        <v>275</v>
      </c>
      <c r="D374" s="52">
        <v>46012.520833333336</v>
      </c>
      <c r="E374" s="52">
        <v>46012.520833333336</v>
      </c>
      <c r="F374" s="52">
        <v>46012.584027777775</v>
      </c>
      <c r="G374" s="53">
        <f t="shared" si="17"/>
        <v>6.3194444439432118E-2</v>
      </c>
      <c r="H374" s="1" t="s">
        <v>248</v>
      </c>
      <c r="J374" s="1" t="s">
        <v>249</v>
      </c>
      <c r="K374" s="1" t="str">
        <f>_xlfn.XLOOKUP(J374,REF!$D$2:$D$12,REF!$E$2:$E$12)</f>
        <v>Rede</v>
      </c>
      <c r="L374" s="1" t="s">
        <v>745</v>
      </c>
      <c r="M374" s="1" t="s">
        <v>251</v>
      </c>
      <c r="N374" s="1" t="s">
        <v>330</v>
      </c>
      <c r="O374" s="1" t="s">
        <v>331</v>
      </c>
      <c r="P374" s="1" t="str">
        <f t="shared" si="18"/>
        <v>BC Caiaponia1SG60KTL(COM1-007)_001_01346012,520833333346012,520833333346012,5840277778</v>
      </c>
      <c r="Q374" s="1" t="str">
        <f t="shared" si="19"/>
        <v>DAURDE</v>
      </c>
    </row>
    <row r="375" spans="2:17" hidden="1">
      <c r="B375" s="1" t="s">
        <v>268</v>
      </c>
      <c r="C375" s="1" t="s">
        <v>276</v>
      </c>
      <c r="D375" s="52">
        <v>46012.520833333336</v>
      </c>
      <c r="E375" s="52">
        <v>46012.520833333336</v>
      </c>
      <c r="F375" s="52">
        <v>46012.584027777775</v>
      </c>
      <c r="G375" s="53">
        <f t="shared" si="17"/>
        <v>6.3194444439432118E-2</v>
      </c>
      <c r="H375" s="1" t="s">
        <v>248</v>
      </c>
      <c r="J375" s="1" t="s">
        <v>249</v>
      </c>
      <c r="K375" s="1" t="str">
        <f>_xlfn.XLOOKUP(J375,REF!$D$2:$D$12,REF!$E$2:$E$12)</f>
        <v>Rede</v>
      </c>
      <c r="L375" s="1" t="s">
        <v>745</v>
      </c>
      <c r="M375" s="1" t="s">
        <v>251</v>
      </c>
      <c r="N375" s="1" t="s">
        <v>330</v>
      </c>
      <c r="O375" s="1" t="s">
        <v>331</v>
      </c>
      <c r="P375" s="1" t="str">
        <f t="shared" si="18"/>
        <v>BC Caiaponia1SG60KTL(COM1-008)_001_00146012,520833333346012,520833333346012,5840277778</v>
      </c>
      <c r="Q375" s="1" t="str">
        <f t="shared" si="19"/>
        <v>DAURDE</v>
      </c>
    </row>
    <row r="376" spans="2:17" hidden="1">
      <c r="B376" s="1" t="s">
        <v>361</v>
      </c>
      <c r="C376" s="1" t="s">
        <v>362</v>
      </c>
      <c r="D376" s="52">
        <v>46011.084027777775</v>
      </c>
      <c r="E376" s="52">
        <v>46011.084027777775</v>
      </c>
      <c r="F376" s="52">
        <v>46011.34375</v>
      </c>
      <c r="G376" s="53">
        <f t="shared" si="17"/>
        <v>0.25972222222480923</v>
      </c>
      <c r="H376" s="1" t="s">
        <v>248</v>
      </c>
      <c r="J376" s="1" t="s">
        <v>249</v>
      </c>
      <c r="K376" s="1" t="str">
        <f>_xlfn.XLOOKUP(J376,REF!$D$2:$D$12,REF!$E$2:$E$12)</f>
        <v>Rede</v>
      </c>
      <c r="L376" s="1" t="s">
        <v>711</v>
      </c>
      <c r="M376" s="1" t="s">
        <v>251</v>
      </c>
      <c r="N376" s="1" t="s">
        <v>252</v>
      </c>
      <c r="O376" s="1" t="s">
        <v>712</v>
      </c>
      <c r="P376" s="1" t="str">
        <f t="shared" si="18"/>
        <v>ARAGUATINS 1.3Inverter(MBUS-20)46011,084027777846011,084027777846011,34375</v>
      </c>
      <c r="Q376" s="1" t="str">
        <f t="shared" si="19"/>
        <v>DAURDE</v>
      </c>
    </row>
    <row r="377" spans="2:17" hidden="1">
      <c r="B377" s="1" t="s">
        <v>361</v>
      </c>
      <c r="C377" s="1" t="s">
        <v>328</v>
      </c>
      <c r="D377" s="52">
        <v>46011.084027777775</v>
      </c>
      <c r="E377" s="52">
        <v>46011.084027777775</v>
      </c>
      <c r="F377" s="52">
        <v>46011.34375</v>
      </c>
      <c r="G377" s="53">
        <f t="shared" si="17"/>
        <v>0.25972222222480923</v>
      </c>
      <c r="H377" s="1" t="s">
        <v>248</v>
      </c>
      <c r="J377" s="1" t="s">
        <v>249</v>
      </c>
      <c r="K377" s="1" t="str">
        <f>_xlfn.XLOOKUP(J377,REF!$D$2:$D$12,REF!$E$2:$E$12)</f>
        <v>Rede</v>
      </c>
      <c r="L377" s="1" t="s">
        <v>711</v>
      </c>
      <c r="M377" s="1" t="s">
        <v>251</v>
      </c>
      <c r="N377" s="1" t="s">
        <v>252</v>
      </c>
      <c r="O377" s="1" t="s">
        <v>712</v>
      </c>
      <c r="P377" s="1" t="str">
        <f t="shared" si="18"/>
        <v>ARAGUATINS 1.3Inverter(MBUS-1)46011,084027777846011,084027777846011,34375</v>
      </c>
      <c r="Q377" s="1" t="str">
        <f t="shared" si="19"/>
        <v>DAURDE</v>
      </c>
    </row>
    <row r="378" spans="2:17" hidden="1">
      <c r="B378" s="1" t="s">
        <v>746</v>
      </c>
      <c r="C378" s="1" t="s">
        <v>747</v>
      </c>
      <c r="D378" s="52">
        <v>46008.288888888892</v>
      </c>
      <c r="E378" s="52">
        <v>46008.288888888892</v>
      </c>
      <c r="F378" s="52">
        <v>46008.309027777781</v>
      </c>
      <c r="G378" s="53">
        <f t="shared" si="17"/>
        <v>2.0138888889050577E-2</v>
      </c>
      <c r="H378" s="1" t="s">
        <v>248</v>
      </c>
      <c r="J378" s="1" t="s">
        <v>249</v>
      </c>
      <c r="K378" s="1" t="str">
        <f>_xlfn.XLOOKUP(J378,REF!$D$2:$D$12,REF!$E$2:$E$12)</f>
        <v>Rede</v>
      </c>
      <c r="L378" s="1" t="s">
        <v>711</v>
      </c>
      <c r="M378" s="1" t="s">
        <v>251</v>
      </c>
      <c r="N378" s="1" t="s">
        <v>252</v>
      </c>
      <c r="O378" s="1" t="s">
        <v>712</v>
      </c>
      <c r="P378" s="1" t="str">
        <f t="shared" si="18"/>
        <v>BC Rio Bonito1SG36KTL-M-17_001_01746008,288888888946008,288888888946008,3090277778</v>
      </c>
      <c r="Q378" s="1" t="str">
        <f t="shared" si="19"/>
        <v>DAURDE</v>
      </c>
    </row>
    <row r="379" spans="2:17" hidden="1">
      <c r="B379" s="1" t="s">
        <v>746</v>
      </c>
      <c r="C379" s="1" t="s">
        <v>748</v>
      </c>
      <c r="D379" s="52">
        <v>46008.288888888892</v>
      </c>
      <c r="E379" s="52">
        <v>46008.288888888892</v>
      </c>
      <c r="F379" s="52">
        <v>46008.309027777781</v>
      </c>
      <c r="G379" s="53">
        <f t="shared" si="17"/>
        <v>2.0138888889050577E-2</v>
      </c>
      <c r="H379" s="1" t="s">
        <v>248</v>
      </c>
      <c r="J379" s="1" t="s">
        <v>249</v>
      </c>
      <c r="K379" s="1" t="str">
        <f>_xlfn.XLOOKUP(J379,REF!$D$2:$D$12,REF!$E$2:$E$12)</f>
        <v>Rede</v>
      </c>
      <c r="L379" s="1" t="s">
        <v>711</v>
      </c>
      <c r="M379" s="1" t="s">
        <v>251</v>
      </c>
      <c r="N379" s="1" t="s">
        <v>252</v>
      </c>
      <c r="O379" s="1" t="s">
        <v>712</v>
      </c>
      <c r="P379" s="1" t="str">
        <f t="shared" si="18"/>
        <v>BC Rio Bonito1SG60KTL-10_001_01046008,288888888946008,288888888946008,3090277778</v>
      </c>
      <c r="Q379" s="1" t="str">
        <f t="shared" si="19"/>
        <v>DAURDE</v>
      </c>
    </row>
    <row r="380" spans="2:17" hidden="1">
      <c r="B380" s="1" t="s">
        <v>746</v>
      </c>
      <c r="C380" s="1" t="s">
        <v>749</v>
      </c>
      <c r="D380" s="52">
        <v>46008.288888888892</v>
      </c>
      <c r="E380" s="52">
        <v>46008.288888888892</v>
      </c>
      <c r="F380" s="52">
        <v>46008.309027777781</v>
      </c>
      <c r="G380" s="53">
        <f t="shared" ref="G380:G443" si="22">F380-E380</f>
        <v>2.0138888889050577E-2</v>
      </c>
      <c r="H380" s="1" t="s">
        <v>248</v>
      </c>
      <c r="J380" s="1" t="s">
        <v>249</v>
      </c>
      <c r="K380" s="1" t="str">
        <f>_xlfn.XLOOKUP(J380,REF!$D$2:$D$12,REF!$E$2:$E$12)</f>
        <v>Rede</v>
      </c>
      <c r="L380" s="1" t="s">
        <v>711</v>
      </c>
      <c r="M380" s="1" t="s">
        <v>251</v>
      </c>
      <c r="N380" s="1" t="s">
        <v>252</v>
      </c>
      <c r="O380" s="1" t="s">
        <v>712</v>
      </c>
      <c r="P380" s="1" t="str">
        <f t="shared" si="18"/>
        <v>BC Rio Bonito1SG60KTL-11_001_01146008,288888888946008,288888888946008,3090277778</v>
      </c>
      <c r="Q380" s="1" t="str">
        <f t="shared" si="19"/>
        <v>DAURDE</v>
      </c>
    </row>
    <row r="381" spans="2:17" hidden="1">
      <c r="B381" s="1" t="s">
        <v>746</v>
      </c>
      <c r="C381" s="1" t="s">
        <v>750</v>
      </c>
      <c r="D381" s="52">
        <v>46008.288888888892</v>
      </c>
      <c r="E381" s="52">
        <v>46008.288888888892</v>
      </c>
      <c r="F381" s="52">
        <v>46008.309027777781</v>
      </c>
      <c r="G381" s="53">
        <f t="shared" si="22"/>
        <v>2.0138888889050577E-2</v>
      </c>
      <c r="H381" s="1" t="s">
        <v>248</v>
      </c>
      <c r="J381" s="1" t="s">
        <v>249</v>
      </c>
      <c r="K381" s="1" t="str">
        <f>_xlfn.XLOOKUP(J381,REF!$D$2:$D$12,REF!$E$2:$E$12)</f>
        <v>Rede</v>
      </c>
      <c r="L381" s="1" t="s">
        <v>711</v>
      </c>
      <c r="M381" s="1" t="s">
        <v>251</v>
      </c>
      <c r="N381" s="1" t="s">
        <v>252</v>
      </c>
      <c r="O381" s="1" t="s">
        <v>712</v>
      </c>
      <c r="P381" s="1" t="str">
        <f t="shared" si="18"/>
        <v>BC Rio Bonito1SG60KTL-12_001_01246008,288888888946008,288888888946008,3090277778</v>
      </c>
      <c r="Q381" s="1" t="str">
        <f t="shared" si="19"/>
        <v>DAURDE</v>
      </c>
    </row>
    <row r="382" spans="2:17" hidden="1">
      <c r="B382" s="1" t="s">
        <v>746</v>
      </c>
      <c r="C382" s="1" t="s">
        <v>751</v>
      </c>
      <c r="D382" s="52">
        <v>46008.288888888892</v>
      </c>
      <c r="E382" s="52">
        <v>46008.288888888892</v>
      </c>
      <c r="F382" s="52">
        <v>46008.309027777781</v>
      </c>
      <c r="G382" s="53">
        <f t="shared" si="22"/>
        <v>2.0138888889050577E-2</v>
      </c>
      <c r="H382" s="1" t="s">
        <v>248</v>
      </c>
      <c r="J382" s="1" t="s">
        <v>249</v>
      </c>
      <c r="K382" s="1" t="str">
        <f>_xlfn.XLOOKUP(J382,REF!$D$2:$D$12,REF!$E$2:$E$12)</f>
        <v>Rede</v>
      </c>
      <c r="L382" s="1" t="s">
        <v>711</v>
      </c>
      <c r="M382" s="1" t="s">
        <v>251</v>
      </c>
      <c r="N382" s="1" t="s">
        <v>252</v>
      </c>
      <c r="O382" s="1" t="s">
        <v>712</v>
      </c>
      <c r="P382" s="1" t="str">
        <f t="shared" si="18"/>
        <v>BC Rio Bonito1SG60KTL-13_001_01346008,288888888946008,288888888946008,3090277778</v>
      </c>
      <c r="Q382" s="1" t="str">
        <f t="shared" si="19"/>
        <v>DAURDE</v>
      </c>
    </row>
    <row r="383" spans="2:17" hidden="1">
      <c r="B383" s="1" t="s">
        <v>746</v>
      </c>
      <c r="C383" s="1" t="s">
        <v>752</v>
      </c>
      <c r="D383" s="52">
        <v>46008.288888888892</v>
      </c>
      <c r="E383" s="52">
        <v>46008.288888888892</v>
      </c>
      <c r="F383" s="52">
        <v>46008.309027777781</v>
      </c>
      <c r="G383" s="53">
        <f t="shared" si="22"/>
        <v>2.0138888889050577E-2</v>
      </c>
      <c r="H383" s="1" t="s">
        <v>248</v>
      </c>
      <c r="J383" s="1" t="s">
        <v>249</v>
      </c>
      <c r="K383" s="1" t="str">
        <f>_xlfn.XLOOKUP(J383,REF!$D$2:$D$12,REF!$E$2:$E$12)</f>
        <v>Rede</v>
      </c>
      <c r="L383" s="1" t="s">
        <v>711</v>
      </c>
      <c r="M383" s="1" t="s">
        <v>251</v>
      </c>
      <c r="N383" s="1" t="s">
        <v>252</v>
      </c>
      <c r="O383" s="1" t="s">
        <v>712</v>
      </c>
      <c r="P383" s="1" t="str">
        <f t="shared" si="18"/>
        <v>BC Rio Bonito1SG60KTL-14_001_01446008,288888888946008,288888888946008,3090277778</v>
      </c>
      <c r="Q383" s="1" t="str">
        <f t="shared" si="19"/>
        <v>DAURDE</v>
      </c>
    </row>
    <row r="384" spans="2:17" hidden="1">
      <c r="B384" s="1" t="s">
        <v>746</v>
      </c>
      <c r="C384" s="1" t="s">
        <v>753</v>
      </c>
      <c r="D384" s="52">
        <v>46008.288888888892</v>
      </c>
      <c r="E384" s="52">
        <v>46008.288888888892</v>
      </c>
      <c r="F384" s="52">
        <v>46008.309027777781</v>
      </c>
      <c r="G384" s="53">
        <f t="shared" si="22"/>
        <v>2.0138888889050577E-2</v>
      </c>
      <c r="H384" s="1" t="s">
        <v>248</v>
      </c>
      <c r="J384" s="1" t="s">
        <v>249</v>
      </c>
      <c r="K384" s="1" t="str">
        <f>_xlfn.XLOOKUP(J384,REF!$D$2:$D$12,REF!$E$2:$E$12)</f>
        <v>Rede</v>
      </c>
      <c r="L384" s="1" t="s">
        <v>711</v>
      </c>
      <c r="M384" s="1" t="s">
        <v>251</v>
      </c>
      <c r="N384" s="1" t="s">
        <v>252</v>
      </c>
      <c r="O384" s="1" t="s">
        <v>712</v>
      </c>
      <c r="P384" s="1" t="str">
        <f t="shared" si="18"/>
        <v>BC Rio Bonito1SG60KTL-15_001_01546008,288888888946008,288888888946008,3090277778</v>
      </c>
      <c r="Q384" s="1" t="str">
        <f t="shared" si="19"/>
        <v>DAURDE</v>
      </c>
    </row>
    <row r="385" spans="2:17" hidden="1">
      <c r="B385" s="1" t="s">
        <v>746</v>
      </c>
      <c r="C385" s="1" t="s">
        <v>754</v>
      </c>
      <c r="D385" s="52">
        <v>46008.288888888892</v>
      </c>
      <c r="E385" s="52">
        <v>46008.288888888892</v>
      </c>
      <c r="F385" s="52">
        <v>46008.309027777781</v>
      </c>
      <c r="G385" s="53">
        <f t="shared" si="22"/>
        <v>2.0138888889050577E-2</v>
      </c>
      <c r="H385" s="1" t="s">
        <v>248</v>
      </c>
      <c r="J385" s="1" t="s">
        <v>249</v>
      </c>
      <c r="K385" s="1" t="str">
        <f>_xlfn.XLOOKUP(J385,REF!$D$2:$D$12,REF!$E$2:$E$12)</f>
        <v>Rede</v>
      </c>
      <c r="L385" s="1" t="s">
        <v>711</v>
      </c>
      <c r="M385" s="1" t="s">
        <v>251</v>
      </c>
      <c r="N385" s="1" t="s">
        <v>252</v>
      </c>
      <c r="O385" s="1" t="s">
        <v>712</v>
      </c>
      <c r="P385" s="1" t="str">
        <f t="shared" si="18"/>
        <v>BC Rio Bonito1SG60KTL-16_001_01646008,288888888946008,288888888946008,3090277778</v>
      </c>
      <c r="Q385" s="1" t="str">
        <f t="shared" si="19"/>
        <v>DAURDE</v>
      </c>
    </row>
    <row r="386" spans="2:17" hidden="1">
      <c r="B386" s="1" t="s">
        <v>746</v>
      </c>
      <c r="C386" s="1" t="s">
        <v>755</v>
      </c>
      <c r="D386" s="52">
        <v>46008.288888888892</v>
      </c>
      <c r="E386" s="52">
        <v>46008.288888888892</v>
      </c>
      <c r="F386" s="52">
        <v>46008.309027777781</v>
      </c>
      <c r="G386" s="53">
        <f t="shared" si="22"/>
        <v>2.0138888889050577E-2</v>
      </c>
      <c r="H386" s="1" t="s">
        <v>248</v>
      </c>
      <c r="J386" s="1" t="s">
        <v>249</v>
      </c>
      <c r="K386" s="1" t="str">
        <f>_xlfn.XLOOKUP(J386,REF!$D$2:$D$12,REF!$E$2:$E$12)</f>
        <v>Rede</v>
      </c>
      <c r="L386" s="1" t="s">
        <v>711</v>
      </c>
      <c r="M386" s="1" t="s">
        <v>251</v>
      </c>
      <c r="N386" s="1" t="s">
        <v>252</v>
      </c>
      <c r="O386" s="1" t="s">
        <v>712</v>
      </c>
      <c r="P386" s="1" t="str">
        <f t="shared" si="18"/>
        <v>BC Rio Bonito1SG60KTL-1_001_00146008,288888888946008,288888888946008,3090277778</v>
      </c>
      <c r="Q386" s="1" t="str">
        <f t="shared" si="19"/>
        <v>DAURDE</v>
      </c>
    </row>
    <row r="387" spans="2:17" hidden="1">
      <c r="B387" s="1" t="s">
        <v>746</v>
      </c>
      <c r="C387" s="1" t="s">
        <v>756</v>
      </c>
      <c r="D387" s="52">
        <v>46008.288888888892</v>
      </c>
      <c r="E387" s="52">
        <v>46008.288888888892</v>
      </c>
      <c r="F387" s="52">
        <v>46008.309027777781</v>
      </c>
      <c r="G387" s="53">
        <f t="shared" si="22"/>
        <v>2.0138888889050577E-2</v>
      </c>
      <c r="H387" s="1" t="s">
        <v>248</v>
      </c>
      <c r="J387" s="1" t="s">
        <v>249</v>
      </c>
      <c r="K387" s="1" t="str">
        <f>_xlfn.XLOOKUP(J387,REF!$D$2:$D$12,REF!$E$2:$E$12)</f>
        <v>Rede</v>
      </c>
      <c r="L387" s="1" t="s">
        <v>711</v>
      </c>
      <c r="M387" s="1" t="s">
        <v>251</v>
      </c>
      <c r="N387" s="1" t="s">
        <v>252</v>
      </c>
      <c r="O387" s="1" t="s">
        <v>712</v>
      </c>
      <c r="P387" s="1" t="str">
        <f t="shared" ref="P387:P450" si="23">_xlfn.CONCAT(B387,C387,D387,E387,F387)</f>
        <v>BC Rio Bonito1SG60KTL-2_001_00246008,288888888946008,288888888946008,3090277778</v>
      </c>
      <c r="Q387" s="1" t="str">
        <f t="shared" ref="Q387:Q450" si="24">_xlfn.CONCAT(H387,I387,J387)</f>
        <v>DAURDE</v>
      </c>
    </row>
    <row r="388" spans="2:17" hidden="1">
      <c r="B388" s="1" t="s">
        <v>746</v>
      </c>
      <c r="C388" s="1" t="s">
        <v>757</v>
      </c>
      <c r="D388" s="52">
        <v>46008.288888888892</v>
      </c>
      <c r="E388" s="52">
        <v>46008.288888888892</v>
      </c>
      <c r="F388" s="52">
        <v>46008.309027777781</v>
      </c>
      <c r="G388" s="53">
        <f t="shared" si="22"/>
        <v>2.0138888889050577E-2</v>
      </c>
      <c r="H388" s="1" t="s">
        <v>248</v>
      </c>
      <c r="J388" s="1" t="s">
        <v>249</v>
      </c>
      <c r="K388" s="1" t="str">
        <f>_xlfn.XLOOKUP(J388,REF!$D$2:$D$12,REF!$E$2:$E$12)</f>
        <v>Rede</v>
      </c>
      <c r="L388" s="1" t="s">
        <v>711</v>
      </c>
      <c r="M388" s="1" t="s">
        <v>251</v>
      </c>
      <c r="N388" s="1" t="s">
        <v>252</v>
      </c>
      <c r="O388" s="1" t="s">
        <v>712</v>
      </c>
      <c r="P388" s="1" t="str">
        <f t="shared" si="23"/>
        <v>BC Rio Bonito1SG60KTL-3_001_00346008,288888888946008,288888888946008,3090277778</v>
      </c>
      <c r="Q388" s="1" t="str">
        <f t="shared" si="24"/>
        <v>DAURDE</v>
      </c>
    </row>
    <row r="389" spans="2:17" hidden="1">
      <c r="B389" s="1" t="s">
        <v>746</v>
      </c>
      <c r="C389" s="1" t="s">
        <v>758</v>
      </c>
      <c r="D389" s="52">
        <v>46008.288888888892</v>
      </c>
      <c r="E389" s="52">
        <v>46008.288888888892</v>
      </c>
      <c r="F389" s="52">
        <v>46008.309027777781</v>
      </c>
      <c r="G389" s="53">
        <f t="shared" si="22"/>
        <v>2.0138888889050577E-2</v>
      </c>
      <c r="H389" s="1" t="s">
        <v>248</v>
      </c>
      <c r="J389" s="1" t="s">
        <v>249</v>
      </c>
      <c r="K389" s="1" t="str">
        <f>_xlfn.XLOOKUP(J389,REF!$D$2:$D$12,REF!$E$2:$E$12)</f>
        <v>Rede</v>
      </c>
      <c r="L389" s="1" t="s">
        <v>711</v>
      </c>
      <c r="M389" s="1" t="s">
        <v>251</v>
      </c>
      <c r="N389" s="1" t="s">
        <v>252</v>
      </c>
      <c r="O389" s="1" t="s">
        <v>712</v>
      </c>
      <c r="P389" s="1" t="str">
        <f t="shared" si="23"/>
        <v>BC Rio Bonito1SG60KTL-4_001_00446008,288888888946008,288888888946008,3090277778</v>
      </c>
      <c r="Q389" s="1" t="str">
        <f t="shared" si="24"/>
        <v>DAURDE</v>
      </c>
    </row>
    <row r="390" spans="2:17" hidden="1">
      <c r="B390" s="1" t="s">
        <v>746</v>
      </c>
      <c r="C390" s="1" t="s">
        <v>759</v>
      </c>
      <c r="D390" s="52">
        <v>46008.288888888892</v>
      </c>
      <c r="E390" s="52">
        <v>46008.288888888892</v>
      </c>
      <c r="F390" s="52">
        <v>46008.309027777781</v>
      </c>
      <c r="G390" s="53">
        <f t="shared" si="22"/>
        <v>2.0138888889050577E-2</v>
      </c>
      <c r="H390" s="1" t="s">
        <v>248</v>
      </c>
      <c r="J390" s="1" t="s">
        <v>249</v>
      </c>
      <c r="K390" s="1" t="str">
        <f>_xlfn.XLOOKUP(J390,REF!$D$2:$D$12,REF!$E$2:$E$12)</f>
        <v>Rede</v>
      </c>
      <c r="L390" s="1" t="s">
        <v>711</v>
      </c>
      <c r="M390" s="1" t="s">
        <v>251</v>
      </c>
      <c r="N390" s="1" t="s">
        <v>252</v>
      </c>
      <c r="O390" s="1" t="s">
        <v>712</v>
      </c>
      <c r="P390" s="1" t="str">
        <f t="shared" si="23"/>
        <v>BC Rio Bonito1SG60KTL-5_001_00546008,288888888946008,288888888946008,3090277778</v>
      </c>
      <c r="Q390" s="1" t="str">
        <f t="shared" si="24"/>
        <v>DAURDE</v>
      </c>
    </row>
    <row r="391" spans="2:17" hidden="1">
      <c r="B391" s="1" t="s">
        <v>746</v>
      </c>
      <c r="C391" s="1" t="s">
        <v>760</v>
      </c>
      <c r="D391" s="52">
        <v>46008.288888888892</v>
      </c>
      <c r="E391" s="52">
        <v>46008.288888888892</v>
      </c>
      <c r="F391" s="52">
        <v>46008.309027777781</v>
      </c>
      <c r="G391" s="53">
        <f t="shared" si="22"/>
        <v>2.0138888889050577E-2</v>
      </c>
      <c r="H391" s="1" t="s">
        <v>248</v>
      </c>
      <c r="J391" s="1" t="s">
        <v>249</v>
      </c>
      <c r="K391" s="1" t="str">
        <f>_xlfn.XLOOKUP(J391,REF!$D$2:$D$12,REF!$E$2:$E$12)</f>
        <v>Rede</v>
      </c>
      <c r="L391" s="1" t="s">
        <v>711</v>
      </c>
      <c r="M391" s="1" t="s">
        <v>251</v>
      </c>
      <c r="N391" s="1" t="s">
        <v>252</v>
      </c>
      <c r="O391" s="1" t="s">
        <v>712</v>
      </c>
      <c r="P391" s="1" t="str">
        <f t="shared" si="23"/>
        <v>BC Rio Bonito1SG60KTL-6_001_00646008,288888888946008,288888888946008,3090277778</v>
      </c>
      <c r="Q391" s="1" t="str">
        <f t="shared" si="24"/>
        <v>DAURDE</v>
      </c>
    </row>
    <row r="392" spans="2:17" hidden="1">
      <c r="B392" s="1" t="s">
        <v>746</v>
      </c>
      <c r="C392" s="1" t="s">
        <v>761</v>
      </c>
      <c r="D392" s="52">
        <v>46008.288888888892</v>
      </c>
      <c r="E392" s="52">
        <v>46008.288888888892</v>
      </c>
      <c r="F392" s="52">
        <v>46008.309027777781</v>
      </c>
      <c r="G392" s="53">
        <f t="shared" si="22"/>
        <v>2.0138888889050577E-2</v>
      </c>
      <c r="H392" s="1" t="s">
        <v>248</v>
      </c>
      <c r="J392" s="1" t="s">
        <v>249</v>
      </c>
      <c r="K392" s="1" t="str">
        <f>_xlfn.XLOOKUP(J392,REF!$D$2:$D$12,REF!$E$2:$E$12)</f>
        <v>Rede</v>
      </c>
      <c r="L392" s="1" t="s">
        <v>711</v>
      </c>
      <c r="M392" s="1" t="s">
        <v>251</v>
      </c>
      <c r="N392" s="1" t="s">
        <v>252</v>
      </c>
      <c r="O392" s="1" t="s">
        <v>712</v>
      </c>
      <c r="P392" s="1" t="str">
        <f t="shared" si="23"/>
        <v>BC Rio Bonito1SG60KTL-7_001_00746008,288888888946008,288888888946008,3090277778</v>
      </c>
      <c r="Q392" s="1" t="str">
        <f t="shared" si="24"/>
        <v>DAURDE</v>
      </c>
    </row>
    <row r="393" spans="2:17" hidden="1">
      <c r="B393" s="1" t="s">
        <v>746</v>
      </c>
      <c r="C393" s="1" t="s">
        <v>762</v>
      </c>
      <c r="D393" s="52">
        <v>46008.288888888892</v>
      </c>
      <c r="E393" s="52">
        <v>46008.288888888892</v>
      </c>
      <c r="F393" s="52">
        <v>46008.309027777781</v>
      </c>
      <c r="G393" s="53">
        <f t="shared" si="22"/>
        <v>2.0138888889050577E-2</v>
      </c>
      <c r="H393" s="1" t="s">
        <v>248</v>
      </c>
      <c r="J393" s="1" t="s">
        <v>249</v>
      </c>
      <c r="K393" s="1" t="str">
        <f>_xlfn.XLOOKUP(J393,REF!$D$2:$D$12,REF!$E$2:$E$12)</f>
        <v>Rede</v>
      </c>
      <c r="L393" s="1" t="s">
        <v>711</v>
      </c>
      <c r="M393" s="1" t="s">
        <v>251</v>
      </c>
      <c r="N393" s="1" t="s">
        <v>252</v>
      </c>
      <c r="O393" s="1" t="s">
        <v>712</v>
      </c>
      <c r="P393" s="1" t="str">
        <f t="shared" si="23"/>
        <v>BC Rio Bonito1SG60KTL-8_001_00846008,288888888946008,288888888946008,3090277778</v>
      </c>
      <c r="Q393" s="1" t="str">
        <f t="shared" si="24"/>
        <v>DAURDE</v>
      </c>
    </row>
    <row r="394" spans="2:17" hidden="1">
      <c r="B394" s="1" t="s">
        <v>746</v>
      </c>
      <c r="C394" s="1" t="s">
        <v>763</v>
      </c>
      <c r="D394" s="52">
        <v>46008.288888888892</v>
      </c>
      <c r="E394" s="52">
        <v>46008.288888888892</v>
      </c>
      <c r="F394" s="52">
        <v>46008.309027777781</v>
      </c>
      <c r="G394" s="53">
        <f t="shared" si="22"/>
        <v>2.0138888889050577E-2</v>
      </c>
      <c r="H394" s="1" t="s">
        <v>248</v>
      </c>
      <c r="J394" s="1" t="s">
        <v>249</v>
      </c>
      <c r="K394" s="1" t="str">
        <f>_xlfn.XLOOKUP(J394,REF!$D$2:$D$12,REF!$E$2:$E$12)</f>
        <v>Rede</v>
      </c>
      <c r="L394" s="1" t="s">
        <v>711</v>
      </c>
      <c r="M394" s="1" t="s">
        <v>251</v>
      </c>
      <c r="N394" s="1" t="s">
        <v>252</v>
      </c>
      <c r="O394" s="1" t="s">
        <v>712</v>
      </c>
      <c r="P394" s="1" t="str">
        <f t="shared" si="23"/>
        <v>BC Rio Bonito1SG60KTL-9_001_00946008,288888888946008,288888888946008,3090277778</v>
      </c>
      <c r="Q394" s="1" t="str">
        <f t="shared" si="24"/>
        <v>DAURDE</v>
      </c>
    </row>
    <row r="395" spans="2:17" hidden="1">
      <c r="B395" s="1" t="s">
        <v>481</v>
      </c>
      <c r="C395" s="1" t="s">
        <v>354</v>
      </c>
      <c r="D395" s="52">
        <v>46005.559027777781</v>
      </c>
      <c r="E395" s="52">
        <v>46005.559027777781</v>
      </c>
      <c r="F395" s="52">
        <v>46005.604166666664</v>
      </c>
      <c r="G395" s="53">
        <f t="shared" si="22"/>
        <v>4.5138888883229811E-2</v>
      </c>
      <c r="H395" s="1" t="s">
        <v>248</v>
      </c>
      <c r="J395" s="1" t="s">
        <v>249</v>
      </c>
      <c r="K395" s="1" t="str">
        <f>_xlfn.XLOOKUP(J395,REF!$D$2:$D$12,REF!$E$2:$E$12)</f>
        <v>Rede</v>
      </c>
      <c r="L395" s="1" t="s">
        <v>711</v>
      </c>
      <c r="M395" s="1" t="s">
        <v>251</v>
      </c>
      <c r="N395" s="1" t="s">
        <v>252</v>
      </c>
      <c r="O395" s="1" t="s">
        <v>712</v>
      </c>
      <c r="P395" s="1" t="str">
        <f t="shared" si="23"/>
        <v>BC Turvania1.1Inverter(MBUS-12)46005,559027777846005,559027777846005,6041666667</v>
      </c>
      <c r="Q395" s="1" t="str">
        <f t="shared" si="24"/>
        <v>DAURDE</v>
      </c>
    </row>
    <row r="396" spans="2:17" hidden="1">
      <c r="B396" s="1" t="s">
        <v>481</v>
      </c>
      <c r="C396" s="1" t="s">
        <v>357</v>
      </c>
      <c r="D396" s="52">
        <v>46005.559027777781</v>
      </c>
      <c r="E396" s="52">
        <v>46005.559027777781</v>
      </c>
      <c r="F396" s="52">
        <v>46005.604166666664</v>
      </c>
      <c r="G396" s="53">
        <f t="shared" si="22"/>
        <v>4.5138888883229811E-2</v>
      </c>
      <c r="H396" s="1" t="s">
        <v>248</v>
      </c>
      <c r="J396" s="1" t="s">
        <v>249</v>
      </c>
      <c r="K396" s="1" t="str">
        <f>_xlfn.XLOOKUP(J396,REF!$D$2:$D$12,REF!$E$2:$E$12)</f>
        <v>Rede</v>
      </c>
      <c r="L396" s="1" t="s">
        <v>711</v>
      </c>
      <c r="M396" s="1" t="s">
        <v>251</v>
      </c>
      <c r="N396" s="1" t="s">
        <v>252</v>
      </c>
      <c r="O396" s="1" t="s">
        <v>712</v>
      </c>
      <c r="P396" s="1" t="str">
        <f t="shared" si="23"/>
        <v>BC Turvania1.1Inverter(MBUS-13)46005,559027777846005,559027777846005,6041666667</v>
      </c>
      <c r="Q396" s="1" t="str">
        <f t="shared" si="24"/>
        <v>DAURDE</v>
      </c>
    </row>
    <row r="397" spans="2:17" hidden="1">
      <c r="B397" s="1" t="s">
        <v>481</v>
      </c>
      <c r="C397" s="1" t="s">
        <v>358</v>
      </c>
      <c r="D397" s="52">
        <v>46005.559027777781</v>
      </c>
      <c r="E397" s="52">
        <v>46005.559027777781</v>
      </c>
      <c r="F397" s="52">
        <v>46005.604166666664</v>
      </c>
      <c r="G397" s="53">
        <f t="shared" si="22"/>
        <v>4.5138888883229811E-2</v>
      </c>
      <c r="H397" s="1" t="s">
        <v>248</v>
      </c>
      <c r="J397" s="1" t="s">
        <v>249</v>
      </c>
      <c r="K397" s="1" t="str">
        <f>_xlfn.XLOOKUP(J397,REF!$D$2:$D$12,REF!$E$2:$E$12)</f>
        <v>Rede</v>
      </c>
      <c r="L397" s="1" t="s">
        <v>711</v>
      </c>
      <c r="M397" s="1" t="s">
        <v>251</v>
      </c>
      <c r="N397" s="1" t="s">
        <v>252</v>
      </c>
      <c r="O397" s="1" t="s">
        <v>712</v>
      </c>
      <c r="P397" s="1" t="str">
        <f t="shared" si="23"/>
        <v>BC Turvania1.1Inverter(MBUS-14)46005,559027777846005,559027777846005,6041666667</v>
      </c>
      <c r="Q397" s="1" t="str">
        <f t="shared" si="24"/>
        <v>DAURDE</v>
      </c>
    </row>
    <row r="398" spans="2:17" hidden="1">
      <c r="B398" s="1" t="s">
        <v>481</v>
      </c>
      <c r="C398" s="1" t="s">
        <v>359</v>
      </c>
      <c r="D398" s="52">
        <v>46005.559027777781</v>
      </c>
      <c r="E398" s="52">
        <v>46005.559027777781</v>
      </c>
      <c r="F398" s="52">
        <v>46005.604166666664</v>
      </c>
      <c r="G398" s="53">
        <f t="shared" si="22"/>
        <v>4.5138888883229811E-2</v>
      </c>
      <c r="H398" s="1" t="s">
        <v>248</v>
      </c>
      <c r="J398" s="1" t="s">
        <v>249</v>
      </c>
      <c r="K398" s="1" t="str">
        <f>_xlfn.XLOOKUP(J398,REF!$D$2:$D$12,REF!$E$2:$E$12)</f>
        <v>Rede</v>
      </c>
      <c r="L398" s="1" t="s">
        <v>711</v>
      </c>
      <c r="M398" s="1" t="s">
        <v>251</v>
      </c>
      <c r="N398" s="1" t="s">
        <v>252</v>
      </c>
      <c r="O398" s="1" t="s">
        <v>712</v>
      </c>
      <c r="P398" s="1" t="str">
        <f t="shared" si="23"/>
        <v>BC Turvania1.1Inverter(MBUS-15)46005,559027777846005,559027777846005,6041666667</v>
      </c>
      <c r="Q398" s="1" t="str">
        <f t="shared" si="24"/>
        <v>DAURDE</v>
      </c>
    </row>
    <row r="399" spans="2:17" hidden="1">
      <c r="B399" s="1" t="s">
        <v>421</v>
      </c>
      <c r="C399" s="1" t="s">
        <v>357</v>
      </c>
      <c r="D399" s="52">
        <v>46005.23541666667</v>
      </c>
      <c r="E399" s="52">
        <v>46005.23541666667</v>
      </c>
      <c r="F399" s="52">
        <v>46005.430555555555</v>
      </c>
      <c r="G399" s="53">
        <f t="shared" si="22"/>
        <v>0.195138888884685</v>
      </c>
      <c r="H399" s="1" t="s">
        <v>248</v>
      </c>
      <c r="J399" s="1" t="s">
        <v>249</v>
      </c>
      <c r="K399" s="1" t="str">
        <f>_xlfn.XLOOKUP(J399,REF!$D$2:$D$12,REF!$E$2:$E$12)</f>
        <v>Rede</v>
      </c>
      <c r="L399" s="1" t="s">
        <v>711</v>
      </c>
      <c r="M399" s="1" t="s">
        <v>251</v>
      </c>
      <c r="N399" s="1" t="s">
        <v>252</v>
      </c>
      <c r="O399" s="1" t="s">
        <v>712</v>
      </c>
      <c r="P399" s="1" t="str">
        <f t="shared" si="23"/>
        <v>BC Formoso1.2Inverter(MBUS-13)46005,235416666746005,235416666746005,4305555556</v>
      </c>
      <c r="Q399" s="1" t="str">
        <f t="shared" si="24"/>
        <v>DAURDE</v>
      </c>
    </row>
    <row r="400" spans="2:17" hidden="1">
      <c r="B400" s="1" t="s">
        <v>421</v>
      </c>
      <c r="C400" s="1" t="s">
        <v>354</v>
      </c>
      <c r="D400" s="52">
        <v>46005.23541666667</v>
      </c>
      <c r="E400" s="52">
        <v>46005.23541666667</v>
      </c>
      <c r="F400" s="52">
        <v>46005.430555555555</v>
      </c>
      <c r="G400" s="53">
        <f t="shared" si="22"/>
        <v>0.195138888884685</v>
      </c>
      <c r="H400" s="1" t="s">
        <v>248</v>
      </c>
      <c r="J400" s="1" t="s">
        <v>249</v>
      </c>
      <c r="K400" s="1" t="str">
        <f>_xlfn.XLOOKUP(J400,REF!$D$2:$D$12,REF!$E$2:$E$12)</f>
        <v>Rede</v>
      </c>
      <c r="L400" s="1" t="s">
        <v>711</v>
      </c>
      <c r="M400" s="1" t="s">
        <v>251</v>
      </c>
      <c r="N400" s="1" t="s">
        <v>252</v>
      </c>
      <c r="O400" s="1" t="s">
        <v>712</v>
      </c>
      <c r="P400" s="1" t="str">
        <f t="shared" si="23"/>
        <v>BC Formoso1.2Inverter(MBUS-12)46005,235416666746005,235416666746005,4305555556</v>
      </c>
      <c r="Q400" s="1" t="str">
        <f t="shared" si="24"/>
        <v>DAURDE</v>
      </c>
    </row>
    <row r="401" spans="2:17" hidden="1">
      <c r="B401" s="1" t="s">
        <v>421</v>
      </c>
      <c r="C401" s="1" t="s">
        <v>359</v>
      </c>
      <c r="D401" s="52">
        <v>46005.23541666667</v>
      </c>
      <c r="E401" s="52">
        <v>46005.23541666667</v>
      </c>
      <c r="F401" s="52">
        <v>46005.430555555555</v>
      </c>
      <c r="G401" s="53">
        <f t="shared" si="22"/>
        <v>0.195138888884685</v>
      </c>
      <c r="H401" s="1" t="s">
        <v>248</v>
      </c>
      <c r="J401" s="1" t="s">
        <v>249</v>
      </c>
      <c r="K401" s="1" t="str">
        <f>_xlfn.XLOOKUP(J401,REF!$D$2:$D$12,REF!$E$2:$E$12)</f>
        <v>Rede</v>
      </c>
      <c r="L401" s="1" t="s">
        <v>711</v>
      </c>
      <c r="M401" s="1" t="s">
        <v>251</v>
      </c>
      <c r="N401" s="1" t="s">
        <v>252</v>
      </c>
      <c r="O401" s="1" t="s">
        <v>712</v>
      </c>
      <c r="P401" s="1" t="str">
        <f t="shared" si="23"/>
        <v>BC Formoso1.2Inverter(MBUS-15)46005,235416666746005,235416666746005,4305555556</v>
      </c>
      <c r="Q401" s="1" t="str">
        <f t="shared" si="24"/>
        <v>DAURDE</v>
      </c>
    </row>
    <row r="402" spans="2:17" hidden="1">
      <c r="B402" s="1" t="s">
        <v>421</v>
      </c>
      <c r="C402" s="1" t="s">
        <v>358</v>
      </c>
      <c r="D402" s="52">
        <v>46005.23541666667</v>
      </c>
      <c r="E402" s="52">
        <v>46005.23541666667</v>
      </c>
      <c r="F402" s="52">
        <v>46005.430555555555</v>
      </c>
      <c r="G402" s="53">
        <f t="shared" si="22"/>
        <v>0.195138888884685</v>
      </c>
      <c r="H402" s="1" t="s">
        <v>248</v>
      </c>
      <c r="J402" s="1" t="s">
        <v>249</v>
      </c>
      <c r="K402" s="1" t="str">
        <f>_xlfn.XLOOKUP(J402,REF!$D$2:$D$12,REF!$E$2:$E$12)</f>
        <v>Rede</v>
      </c>
      <c r="L402" s="1" t="s">
        <v>711</v>
      </c>
      <c r="M402" s="1" t="s">
        <v>251</v>
      </c>
      <c r="N402" s="1" t="s">
        <v>252</v>
      </c>
      <c r="O402" s="1" t="s">
        <v>712</v>
      </c>
      <c r="P402" s="1" t="str">
        <f t="shared" si="23"/>
        <v>BC Formoso1.2Inverter(MBUS-14)46005,235416666746005,235416666746005,4305555556</v>
      </c>
      <c r="Q402" s="1" t="str">
        <f t="shared" si="24"/>
        <v>DAURDE</v>
      </c>
    </row>
    <row r="403" spans="2:17" hidden="1">
      <c r="B403" s="1" t="s">
        <v>430</v>
      </c>
      <c r="C403" s="1" t="s">
        <v>357</v>
      </c>
      <c r="D403" s="52">
        <v>46005.23541666667</v>
      </c>
      <c r="E403" s="52">
        <v>46005.23541666667</v>
      </c>
      <c r="F403" s="52">
        <v>46005.430555555555</v>
      </c>
      <c r="G403" s="53">
        <f t="shared" si="22"/>
        <v>0.195138888884685</v>
      </c>
      <c r="H403" s="1" t="s">
        <v>248</v>
      </c>
      <c r="J403" s="1" t="s">
        <v>249</v>
      </c>
      <c r="K403" s="1" t="str">
        <f>_xlfn.XLOOKUP(J403,REF!$D$2:$D$12,REF!$E$2:$E$12)</f>
        <v>Rede</v>
      </c>
      <c r="L403" s="1" t="s">
        <v>711</v>
      </c>
      <c r="M403" s="1" t="s">
        <v>251</v>
      </c>
      <c r="N403" s="1" t="s">
        <v>252</v>
      </c>
      <c r="O403" s="1" t="s">
        <v>712</v>
      </c>
      <c r="P403" s="1" t="str">
        <f t="shared" si="23"/>
        <v>BC Formoso1.3Inverter(MBUS-13)46005,235416666746005,235416666746005,4305555556</v>
      </c>
      <c r="Q403" s="1" t="str">
        <f t="shared" si="24"/>
        <v>DAURDE</v>
      </c>
    </row>
    <row r="404" spans="2:17" hidden="1">
      <c r="B404" s="1" t="s">
        <v>430</v>
      </c>
      <c r="C404" s="1" t="s">
        <v>354</v>
      </c>
      <c r="D404" s="52">
        <v>46005.23541666667</v>
      </c>
      <c r="E404" s="52">
        <v>46005.23541666667</v>
      </c>
      <c r="F404" s="52">
        <v>46005.430555555555</v>
      </c>
      <c r="G404" s="53">
        <f t="shared" si="22"/>
        <v>0.195138888884685</v>
      </c>
      <c r="H404" s="1" t="s">
        <v>248</v>
      </c>
      <c r="J404" s="1" t="s">
        <v>249</v>
      </c>
      <c r="K404" s="1" t="str">
        <f>_xlfn.XLOOKUP(J404,REF!$D$2:$D$12,REF!$E$2:$E$12)</f>
        <v>Rede</v>
      </c>
      <c r="L404" s="1" t="s">
        <v>711</v>
      </c>
      <c r="M404" s="1" t="s">
        <v>251</v>
      </c>
      <c r="N404" s="1" t="s">
        <v>252</v>
      </c>
      <c r="O404" s="1" t="s">
        <v>712</v>
      </c>
      <c r="P404" s="1" t="str">
        <f t="shared" si="23"/>
        <v>BC Formoso1.3Inverter(MBUS-12)46005,235416666746005,235416666746005,4305555556</v>
      </c>
      <c r="Q404" s="1" t="str">
        <f t="shared" si="24"/>
        <v>DAURDE</v>
      </c>
    </row>
    <row r="405" spans="2:17" hidden="1">
      <c r="B405" s="1" t="s">
        <v>424</v>
      </c>
      <c r="C405" s="1" t="s">
        <v>358</v>
      </c>
      <c r="D405" s="52">
        <v>46005.23541666667</v>
      </c>
      <c r="E405" s="52">
        <v>46005.23541666667</v>
      </c>
      <c r="F405" s="52">
        <v>46005.430555555555</v>
      </c>
      <c r="G405" s="53">
        <f t="shared" si="22"/>
        <v>0.195138888884685</v>
      </c>
      <c r="H405" s="1" t="s">
        <v>248</v>
      </c>
      <c r="J405" s="1" t="s">
        <v>249</v>
      </c>
      <c r="K405" s="1" t="str">
        <f>_xlfn.XLOOKUP(J405,REF!$D$2:$D$12,REF!$E$2:$E$12)</f>
        <v>Rede</v>
      </c>
      <c r="L405" s="1" t="s">
        <v>711</v>
      </c>
      <c r="M405" s="1" t="s">
        <v>251</v>
      </c>
      <c r="N405" s="1" t="s">
        <v>252</v>
      </c>
      <c r="O405" s="1" t="s">
        <v>712</v>
      </c>
      <c r="P405" s="1" t="str">
        <f t="shared" si="23"/>
        <v>BC Formoso2.2Inverter(MBUS-14)46005,235416666746005,235416666746005,4305555556</v>
      </c>
      <c r="Q405" s="1" t="str">
        <f t="shared" si="24"/>
        <v>DAURDE</v>
      </c>
    </row>
    <row r="406" spans="2:17" hidden="1">
      <c r="B406" s="1" t="s">
        <v>424</v>
      </c>
      <c r="C406" s="1" t="s">
        <v>357</v>
      </c>
      <c r="D406" s="52">
        <v>46005.23541666667</v>
      </c>
      <c r="E406" s="52">
        <v>46005.23541666667</v>
      </c>
      <c r="F406" s="52">
        <v>46005.430555555555</v>
      </c>
      <c r="G406" s="53">
        <f t="shared" si="22"/>
        <v>0.195138888884685</v>
      </c>
      <c r="H406" s="1" t="s">
        <v>248</v>
      </c>
      <c r="J406" s="1" t="s">
        <v>249</v>
      </c>
      <c r="K406" s="1" t="str">
        <f>_xlfn.XLOOKUP(J406,REF!$D$2:$D$12,REF!$E$2:$E$12)</f>
        <v>Rede</v>
      </c>
      <c r="L406" s="1" t="s">
        <v>711</v>
      </c>
      <c r="M406" s="1" t="s">
        <v>251</v>
      </c>
      <c r="N406" s="1" t="s">
        <v>252</v>
      </c>
      <c r="O406" s="1" t="s">
        <v>712</v>
      </c>
      <c r="P406" s="1" t="str">
        <f t="shared" si="23"/>
        <v>BC Formoso2.2Inverter(MBUS-13)46005,235416666746005,235416666746005,4305555556</v>
      </c>
      <c r="Q406" s="1" t="str">
        <f t="shared" si="24"/>
        <v>DAURDE</v>
      </c>
    </row>
    <row r="407" spans="2:17" hidden="1">
      <c r="B407" s="1" t="s">
        <v>424</v>
      </c>
      <c r="C407" s="1" t="s">
        <v>354</v>
      </c>
      <c r="D407" s="52">
        <v>46005.23541666667</v>
      </c>
      <c r="E407" s="52">
        <v>46005.23541666667</v>
      </c>
      <c r="F407" s="52">
        <v>46005.430555555555</v>
      </c>
      <c r="G407" s="53">
        <f t="shared" si="22"/>
        <v>0.195138888884685</v>
      </c>
      <c r="H407" s="1" t="s">
        <v>248</v>
      </c>
      <c r="J407" s="1" t="s">
        <v>249</v>
      </c>
      <c r="K407" s="1" t="str">
        <f>_xlfn.XLOOKUP(J407,REF!$D$2:$D$12,REF!$E$2:$E$12)</f>
        <v>Rede</v>
      </c>
      <c r="L407" s="1" t="s">
        <v>711</v>
      </c>
      <c r="M407" s="1" t="s">
        <v>251</v>
      </c>
      <c r="N407" s="1" t="s">
        <v>252</v>
      </c>
      <c r="O407" s="1" t="s">
        <v>712</v>
      </c>
      <c r="P407" s="1" t="str">
        <f t="shared" si="23"/>
        <v>BC Formoso2.2Inverter(MBUS-12)46005,235416666746005,235416666746005,4305555556</v>
      </c>
      <c r="Q407" s="1" t="str">
        <f t="shared" si="24"/>
        <v>DAURDE</v>
      </c>
    </row>
    <row r="408" spans="2:17" hidden="1">
      <c r="B408" s="1" t="s">
        <v>424</v>
      </c>
      <c r="C408" s="1" t="s">
        <v>328</v>
      </c>
      <c r="D408" s="52">
        <v>46005.23541666667</v>
      </c>
      <c r="E408" s="52">
        <v>46005.23541666667</v>
      </c>
      <c r="F408" s="52">
        <v>46005.430555555555</v>
      </c>
      <c r="G408" s="53">
        <f t="shared" si="22"/>
        <v>0.195138888884685</v>
      </c>
      <c r="H408" s="1" t="s">
        <v>248</v>
      </c>
      <c r="J408" s="1" t="s">
        <v>249</v>
      </c>
      <c r="K408" s="1" t="str">
        <f>_xlfn.XLOOKUP(J408,REF!$D$2:$D$12,REF!$E$2:$E$12)</f>
        <v>Rede</v>
      </c>
      <c r="L408" s="1" t="s">
        <v>711</v>
      </c>
      <c r="M408" s="1" t="s">
        <v>251</v>
      </c>
      <c r="N408" s="1" t="s">
        <v>252</v>
      </c>
      <c r="O408" s="1" t="s">
        <v>712</v>
      </c>
      <c r="P408" s="1" t="str">
        <f t="shared" si="23"/>
        <v>BC Formoso2.2Inverter(MBUS-1)46005,235416666746005,235416666746005,4305555556</v>
      </c>
      <c r="Q408" s="1" t="str">
        <f t="shared" si="24"/>
        <v>DAURDE</v>
      </c>
    </row>
    <row r="409" spans="2:17" hidden="1">
      <c r="B409" s="1" t="s">
        <v>268</v>
      </c>
      <c r="C409" s="1" t="s">
        <v>269</v>
      </c>
      <c r="D409" s="52">
        <v>46005.23541666667</v>
      </c>
      <c r="E409" s="52">
        <v>46005.23541666667</v>
      </c>
      <c r="F409" s="52">
        <v>46005.430555555555</v>
      </c>
      <c r="G409" s="53">
        <v>0.195138888884685</v>
      </c>
      <c r="H409" s="1" t="s">
        <v>248</v>
      </c>
      <c r="J409" s="1" t="s">
        <v>249</v>
      </c>
      <c r="K409" s="1" t="str">
        <f>_xlfn.XLOOKUP(J409,REF!$D$2:$D$12,REF!$E$2:$E$12)</f>
        <v>Rede</v>
      </c>
      <c r="L409" s="1" t="s">
        <v>711</v>
      </c>
      <c r="M409" s="1" t="s">
        <v>251</v>
      </c>
      <c r="N409" s="1" t="s">
        <v>252</v>
      </c>
      <c r="O409" s="1" t="s">
        <v>712</v>
      </c>
      <c r="P409" s="1" t="str">
        <f t="shared" si="23"/>
        <v>BC Caiaponia1SG60KTL(COM1-001)_001_00746005,235416666746005,235416666746005,4305555556</v>
      </c>
      <c r="Q409" s="1" t="str">
        <f t="shared" si="24"/>
        <v>DAURDE</v>
      </c>
    </row>
    <row r="410" spans="2:17" hidden="1">
      <c r="B410" s="1" t="s">
        <v>268</v>
      </c>
      <c r="C410" s="1" t="s">
        <v>270</v>
      </c>
      <c r="D410" s="52">
        <v>46005.23541666667</v>
      </c>
      <c r="E410" s="52">
        <v>46005.23541666667</v>
      </c>
      <c r="F410" s="52">
        <v>46005.430555555555</v>
      </c>
      <c r="G410" s="53">
        <v>0.195138888884685</v>
      </c>
      <c r="H410" s="1" t="s">
        <v>248</v>
      </c>
      <c r="J410" s="1" t="s">
        <v>249</v>
      </c>
      <c r="K410" s="1" t="str">
        <f>_xlfn.XLOOKUP(J410,REF!$D$2:$D$12,REF!$E$2:$E$12)</f>
        <v>Rede</v>
      </c>
      <c r="L410" s="1" t="s">
        <v>711</v>
      </c>
      <c r="M410" s="1" t="s">
        <v>251</v>
      </c>
      <c r="N410" s="1" t="s">
        <v>252</v>
      </c>
      <c r="O410" s="1" t="s">
        <v>712</v>
      </c>
      <c r="P410" s="1" t="str">
        <f t="shared" si="23"/>
        <v>BC Caiaponia1SG60KTL(COM1-002)_001_01046005,235416666746005,235416666746005,4305555556</v>
      </c>
      <c r="Q410" s="1" t="str">
        <f t="shared" si="24"/>
        <v>DAURDE</v>
      </c>
    </row>
    <row r="411" spans="2:17" hidden="1">
      <c r="B411" s="1" t="s">
        <v>268</v>
      </c>
      <c r="C411" s="1" t="s">
        <v>271</v>
      </c>
      <c r="D411" s="52">
        <v>46005.23541666667</v>
      </c>
      <c r="E411" s="52">
        <v>46005.23541666667</v>
      </c>
      <c r="F411" s="52">
        <v>46005.430555555555</v>
      </c>
      <c r="G411" s="53">
        <v>0.195138888884685</v>
      </c>
      <c r="H411" s="1" t="s">
        <v>248</v>
      </c>
      <c r="J411" s="1" t="s">
        <v>249</v>
      </c>
      <c r="K411" s="1" t="str">
        <f>_xlfn.XLOOKUP(J411,REF!$D$2:$D$12,REF!$E$2:$E$12)</f>
        <v>Rede</v>
      </c>
      <c r="L411" s="1" t="s">
        <v>711</v>
      </c>
      <c r="M411" s="1" t="s">
        <v>251</v>
      </c>
      <c r="N411" s="1" t="s">
        <v>252</v>
      </c>
      <c r="O411" s="1" t="s">
        <v>712</v>
      </c>
      <c r="P411" s="1" t="str">
        <f t="shared" si="23"/>
        <v>BC Caiaponia1SG60KTL(COM1-003)_001_01146005,235416666746005,235416666746005,4305555556</v>
      </c>
      <c r="Q411" s="1" t="str">
        <f t="shared" si="24"/>
        <v>DAURDE</v>
      </c>
    </row>
    <row r="412" spans="2:17" hidden="1">
      <c r="B412" s="1" t="s">
        <v>268</v>
      </c>
      <c r="C412" s="1" t="s">
        <v>272</v>
      </c>
      <c r="D412" s="52">
        <v>46005.23541666667</v>
      </c>
      <c r="E412" s="52">
        <v>46005.23541666667</v>
      </c>
      <c r="F412" s="52">
        <v>46005.430555555555</v>
      </c>
      <c r="G412" s="53">
        <v>0.195138888884685</v>
      </c>
      <c r="H412" s="1" t="s">
        <v>248</v>
      </c>
      <c r="J412" s="1" t="s">
        <v>249</v>
      </c>
      <c r="K412" s="1" t="str">
        <f>_xlfn.XLOOKUP(J412,REF!$D$2:$D$12,REF!$E$2:$E$12)</f>
        <v>Rede</v>
      </c>
      <c r="L412" s="1" t="s">
        <v>711</v>
      </c>
      <c r="M412" s="1" t="s">
        <v>251</v>
      </c>
      <c r="N412" s="1" t="s">
        <v>252</v>
      </c>
      <c r="O412" s="1" t="s">
        <v>712</v>
      </c>
      <c r="P412" s="1" t="str">
        <f t="shared" si="23"/>
        <v>BC Caiaponia1SG60KTL(COM1-004)_001_01446005,235416666746005,235416666746005,4305555556</v>
      </c>
      <c r="Q412" s="1" t="str">
        <f t="shared" si="24"/>
        <v>DAURDE</v>
      </c>
    </row>
    <row r="413" spans="2:17" hidden="1">
      <c r="B413" s="1" t="s">
        <v>268</v>
      </c>
      <c r="C413" s="1" t="s">
        <v>273</v>
      </c>
      <c r="D413" s="52">
        <v>46005.23541666667</v>
      </c>
      <c r="E413" s="52">
        <v>46005.23541666667</v>
      </c>
      <c r="F413" s="52">
        <v>46005.430555555555</v>
      </c>
      <c r="G413" s="53">
        <v>0.195138888884685</v>
      </c>
      <c r="H413" s="1" t="s">
        <v>248</v>
      </c>
      <c r="J413" s="1" t="s">
        <v>249</v>
      </c>
      <c r="K413" s="1" t="str">
        <f>_xlfn.XLOOKUP(J413,REF!$D$2:$D$12,REF!$E$2:$E$12)</f>
        <v>Rede</v>
      </c>
      <c r="L413" s="1" t="s">
        <v>711</v>
      </c>
      <c r="M413" s="1" t="s">
        <v>251</v>
      </c>
      <c r="N413" s="1" t="s">
        <v>252</v>
      </c>
      <c r="O413" s="1" t="s">
        <v>712</v>
      </c>
      <c r="P413" s="1" t="str">
        <f t="shared" si="23"/>
        <v>BC Caiaponia1SG60KTL(COM1-005)_001_01746005,235416666746005,235416666746005,4305555556</v>
      </c>
      <c r="Q413" s="1" t="str">
        <f t="shared" si="24"/>
        <v>DAURDE</v>
      </c>
    </row>
    <row r="414" spans="2:17" hidden="1">
      <c r="B414" s="1" t="s">
        <v>268</v>
      </c>
      <c r="C414" s="1" t="s">
        <v>274</v>
      </c>
      <c r="D414" s="52">
        <v>46005.23541666667</v>
      </c>
      <c r="E414" s="52">
        <v>46005.23541666667</v>
      </c>
      <c r="F414" s="52">
        <v>46005.430555555555</v>
      </c>
      <c r="G414" s="53">
        <v>0.195138888884685</v>
      </c>
      <c r="H414" s="1" t="s">
        <v>248</v>
      </c>
      <c r="J414" s="1" t="s">
        <v>249</v>
      </c>
      <c r="K414" s="1" t="str">
        <f>_xlfn.XLOOKUP(J414,REF!$D$2:$D$12,REF!$E$2:$E$12)</f>
        <v>Rede</v>
      </c>
      <c r="L414" s="1" t="s">
        <v>711</v>
      </c>
      <c r="M414" s="1" t="s">
        <v>251</v>
      </c>
      <c r="N414" s="1" t="s">
        <v>252</v>
      </c>
      <c r="O414" s="1" t="s">
        <v>712</v>
      </c>
      <c r="P414" s="1" t="str">
        <f t="shared" si="23"/>
        <v>BC Caiaponia1SG60KTL(COM1-006)_001_01646005,235416666746005,235416666746005,4305555556</v>
      </c>
      <c r="Q414" s="1" t="str">
        <f t="shared" si="24"/>
        <v>DAURDE</v>
      </c>
    </row>
    <row r="415" spans="2:17" hidden="1">
      <c r="B415" s="1" t="s">
        <v>268</v>
      </c>
      <c r="C415" s="1" t="s">
        <v>275</v>
      </c>
      <c r="D415" s="52">
        <v>46005.23541666667</v>
      </c>
      <c r="E415" s="52">
        <v>46005.23541666667</v>
      </c>
      <c r="F415" s="52">
        <v>46005.430555555555</v>
      </c>
      <c r="G415" s="53">
        <v>0.195138888884685</v>
      </c>
      <c r="H415" s="1" t="s">
        <v>248</v>
      </c>
      <c r="J415" s="1" t="s">
        <v>249</v>
      </c>
      <c r="K415" s="1" t="str">
        <f>_xlfn.XLOOKUP(J415,REF!$D$2:$D$12,REF!$E$2:$E$12)</f>
        <v>Rede</v>
      </c>
      <c r="L415" s="1" t="s">
        <v>711</v>
      </c>
      <c r="M415" s="1" t="s">
        <v>251</v>
      </c>
      <c r="N415" s="1" t="s">
        <v>252</v>
      </c>
      <c r="O415" s="1" t="s">
        <v>712</v>
      </c>
      <c r="P415" s="1" t="str">
        <f t="shared" si="23"/>
        <v>BC Caiaponia1SG60KTL(COM1-007)_001_01346005,235416666746005,235416666746005,4305555556</v>
      </c>
      <c r="Q415" s="1" t="str">
        <f t="shared" si="24"/>
        <v>DAURDE</v>
      </c>
    </row>
    <row r="416" spans="2:17" hidden="1">
      <c r="B416" s="1" t="s">
        <v>268</v>
      </c>
      <c r="C416" s="1" t="s">
        <v>276</v>
      </c>
      <c r="D416" s="52">
        <v>46005.23541666667</v>
      </c>
      <c r="E416" s="52">
        <v>46005.23541666667</v>
      </c>
      <c r="F416" s="52">
        <v>46005.430555555555</v>
      </c>
      <c r="G416" s="53">
        <v>0.195138888884685</v>
      </c>
      <c r="H416" s="1" t="s">
        <v>248</v>
      </c>
      <c r="J416" s="1" t="s">
        <v>249</v>
      </c>
      <c r="K416" s="1" t="str">
        <f>_xlfn.XLOOKUP(J416,REF!$D$2:$D$12,REF!$E$2:$E$12)</f>
        <v>Rede</v>
      </c>
      <c r="L416" s="1" t="s">
        <v>711</v>
      </c>
      <c r="M416" s="1" t="s">
        <v>251</v>
      </c>
      <c r="N416" s="1" t="s">
        <v>252</v>
      </c>
      <c r="O416" s="1" t="s">
        <v>712</v>
      </c>
      <c r="P416" s="1" t="str">
        <f t="shared" si="23"/>
        <v>BC Caiaponia1SG60KTL(COM1-008)_001_00146005,235416666746005,235416666746005,4305555556</v>
      </c>
      <c r="Q416" s="1" t="str">
        <f t="shared" si="24"/>
        <v>DAURDE</v>
      </c>
    </row>
    <row r="417" spans="2:17" hidden="1">
      <c r="B417" s="1" t="s">
        <v>423</v>
      </c>
      <c r="C417" s="1" t="s">
        <v>354</v>
      </c>
      <c r="D417" s="52">
        <v>46003.616666666669</v>
      </c>
      <c r="E417" s="52">
        <v>46003.616666666669</v>
      </c>
      <c r="F417" s="52">
        <v>46003.631944444445</v>
      </c>
      <c r="G417" s="53">
        <f t="shared" si="22"/>
        <v>1.5277777776645962E-2</v>
      </c>
      <c r="H417" s="1" t="s">
        <v>248</v>
      </c>
      <c r="J417" s="1" t="s">
        <v>249</v>
      </c>
      <c r="K417" s="1" t="str">
        <f>_xlfn.XLOOKUP(J417,REF!$D$2:$D$12,REF!$E$2:$E$12)</f>
        <v>Rede</v>
      </c>
      <c r="L417" s="1" t="s">
        <v>711</v>
      </c>
      <c r="M417" s="1" t="s">
        <v>251</v>
      </c>
      <c r="N417" s="1" t="s">
        <v>252</v>
      </c>
      <c r="O417" s="1" t="s">
        <v>712</v>
      </c>
      <c r="P417" s="1" t="str">
        <f>_xlfn.CONCAT(B417,C417,D417,E417,F417)</f>
        <v>BC Formoso2.1Inverter(MBUS-12)46003,616666666746003,616666666746003,6319444444</v>
      </c>
      <c r="Q417" s="1" t="str">
        <f t="shared" si="24"/>
        <v>DAURDE</v>
      </c>
    </row>
    <row r="418" spans="2:17" hidden="1">
      <c r="B418" s="1" t="s">
        <v>423</v>
      </c>
      <c r="C418" s="1" t="s">
        <v>358</v>
      </c>
      <c r="D418" s="52">
        <v>46003.616666666669</v>
      </c>
      <c r="E418" s="52">
        <v>46003.616666666669</v>
      </c>
      <c r="F418" s="52">
        <v>46003.631944444445</v>
      </c>
      <c r="G418" s="53">
        <f t="shared" si="22"/>
        <v>1.5277777776645962E-2</v>
      </c>
      <c r="H418" s="1" t="s">
        <v>248</v>
      </c>
      <c r="J418" s="1" t="s">
        <v>249</v>
      </c>
      <c r="K418" s="1" t="str">
        <f>_xlfn.XLOOKUP(J418,REF!$D$2:$D$12,REF!$E$2:$E$12)</f>
        <v>Rede</v>
      </c>
      <c r="L418" s="1" t="s">
        <v>711</v>
      </c>
      <c r="M418" s="1" t="s">
        <v>251</v>
      </c>
      <c r="N418" s="1" t="s">
        <v>252</v>
      </c>
      <c r="O418" s="1" t="s">
        <v>712</v>
      </c>
      <c r="P418" s="1" t="str">
        <f t="shared" si="23"/>
        <v>BC Formoso2.1Inverter(MBUS-14)46003,616666666746003,616666666746003,6319444444</v>
      </c>
      <c r="Q418" s="1" t="str">
        <f t="shared" si="24"/>
        <v>DAURDE</v>
      </c>
    </row>
    <row r="419" spans="2:17" hidden="1">
      <c r="B419" s="1" t="s">
        <v>423</v>
      </c>
      <c r="C419" s="1" t="s">
        <v>357</v>
      </c>
      <c r="D419" s="52">
        <v>46003.616666666669</v>
      </c>
      <c r="E419" s="52">
        <v>46003.616666666669</v>
      </c>
      <c r="F419" s="52">
        <v>46003.631944444445</v>
      </c>
      <c r="G419" s="53">
        <f t="shared" si="22"/>
        <v>1.5277777776645962E-2</v>
      </c>
      <c r="H419" s="1" t="s">
        <v>248</v>
      </c>
      <c r="J419" s="1" t="s">
        <v>249</v>
      </c>
      <c r="K419" s="1" t="str">
        <f>_xlfn.XLOOKUP(J419,REF!$D$2:$D$12,REF!$E$2:$E$12)</f>
        <v>Rede</v>
      </c>
      <c r="L419" s="1" t="s">
        <v>711</v>
      </c>
      <c r="M419" s="1" t="s">
        <v>251</v>
      </c>
      <c r="N419" s="1" t="s">
        <v>252</v>
      </c>
      <c r="O419" s="1" t="s">
        <v>712</v>
      </c>
      <c r="P419" s="1" t="str">
        <f t="shared" si="23"/>
        <v>BC Formoso2.1Inverter(MBUS-13)46003,616666666746003,616666666746003,6319444444</v>
      </c>
      <c r="Q419" s="1" t="str">
        <f t="shared" si="24"/>
        <v>DAURDE</v>
      </c>
    </row>
    <row r="420" spans="2:17" hidden="1">
      <c r="B420" s="1" t="s">
        <v>423</v>
      </c>
      <c r="C420" s="1" t="s">
        <v>328</v>
      </c>
      <c r="D420" s="52">
        <v>46003.616666666669</v>
      </c>
      <c r="E420" s="52">
        <v>46003.616666666669</v>
      </c>
      <c r="F420" s="52">
        <v>46003.631944444445</v>
      </c>
      <c r="G420" s="53">
        <f t="shared" si="22"/>
        <v>1.5277777776645962E-2</v>
      </c>
      <c r="H420" s="1" t="s">
        <v>248</v>
      </c>
      <c r="J420" s="1" t="s">
        <v>249</v>
      </c>
      <c r="K420" s="1" t="str">
        <f>_xlfn.XLOOKUP(J420,REF!$D$2:$D$12,REF!$E$2:$E$12)</f>
        <v>Rede</v>
      </c>
      <c r="L420" s="1" t="s">
        <v>711</v>
      </c>
      <c r="M420" s="1" t="s">
        <v>251</v>
      </c>
      <c r="N420" s="1" t="s">
        <v>252</v>
      </c>
      <c r="O420" s="1" t="s">
        <v>712</v>
      </c>
      <c r="P420" s="1" t="str">
        <f t="shared" si="23"/>
        <v>BC Formoso2.1Inverter(MBUS-1)46003,616666666746003,616666666746003,6319444444</v>
      </c>
      <c r="Q420" s="1" t="str">
        <f t="shared" si="24"/>
        <v>DAURDE</v>
      </c>
    </row>
    <row r="421" spans="2:17" hidden="1">
      <c r="B421" s="1" t="s">
        <v>424</v>
      </c>
      <c r="C421" s="1" t="s">
        <v>358</v>
      </c>
      <c r="D421" s="52">
        <v>46003.616666666669</v>
      </c>
      <c r="E421" s="52">
        <v>46003.616666666669</v>
      </c>
      <c r="F421" s="52">
        <v>46003.631944444445</v>
      </c>
      <c r="G421" s="53">
        <f t="shared" si="22"/>
        <v>1.5277777776645962E-2</v>
      </c>
      <c r="H421" s="1" t="s">
        <v>248</v>
      </c>
      <c r="J421" s="1" t="s">
        <v>249</v>
      </c>
      <c r="K421" s="1" t="str">
        <f>_xlfn.XLOOKUP(J421,REF!$D$2:$D$12,REF!$E$2:$E$12)</f>
        <v>Rede</v>
      </c>
      <c r="L421" s="1" t="s">
        <v>711</v>
      </c>
      <c r="M421" s="1" t="s">
        <v>251</v>
      </c>
      <c r="N421" s="1" t="s">
        <v>252</v>
      </c>
      <c r="O421" s="1" t="s">
        <v>712</v>
      </c>
      <c r="P421" s="1" t="str">
        <f t="shared" si="23"/>
        <v>BC Formoso2.2Inverter(MBUS-14)46003,616666666746003,616666666746003,6319444444</v>
      </c>
      <c r="Q421" s="1" t="str">
        <f t="shared" si="24"/>
        <v>DAURDE</v>
      </c>
    </row>
    <row r="422" spans="2:17" hidden="1">
      <c r="B422" s="1" t="s">
        <v>424</v>
      </c>
      <c r="C422" s="1" t="s">
        <v>357</v>
      </c>
      <c r="D422" s="52">
        <v>46003.616666666669</v>
      </c>
      <c r="E422" s="52">
        <v>46003.616666666669</v>
      </c>
      <c r="F422" s="52">
        <v>46003.631944444445</v>
      </c>
      <c r="G422" s="53">
        <f t="shared" si="22"/>
        <v>1.5277777776645962E-2</v>
      </c>
      <c r="H422" s="1" t="s">
        <v>248</v>
      </c>
      <c r="J422" s="1" t="s">
        <v>249</v>
      </c>
      <c r="K422" s="1" t="str">
        <f>_xlfn.XLOOKUP(J422,REF!$D$2:$D$12,REF!$E$2:$E$12)</f>
        <v>Rede</v>
      </c>
      <c r="L422" s="1" t="s">
        <v>711</v>
      </c>
      <c r="M422" s="1" t="s">
        <v>251</v>
      </c>
      <c r="N422" s="1" t="s">
        <v>252</v>
      </c>
      <c r="O422" s="1" t="s">
        <v>712</v>
      </c>
      <c r="P422" s="1" t="str">
        <f t="shared" si="23"/>
        <v>BC Formoso2.2Inverter(MBUS-13)46003,616666666746003,616666666746003,6319444444</v>
      </c>
      <c r="Q422" s="1" t="str">
        <f t="shared" si="24"/>
        <v>DAURDE</v>
      </c>
    </row>
    <row r="423" spans="2:17" hidden="1">
      <c r="B423" s="1" t="s">
        <v>424</v>
      </c>
      <c r="C423" s="1" t="s">
        <v>354</v>
      </c>
      <c r="D423" s="52">
        <v>46003.616666666669</v>
      </c>
      <c r="E423" s="52">
        <v>46003.616666666669</v>
      </c>
      <c r="F423" s="52">
        <v>46003.631944444445</v>
      </c>
      <c r="G423" s="53">
        <f t="shared" si="22"/>
        <v>1.5277777776645962E-2</v>
      </c>
      <c r="H423" s="1" t="s">
        <v>248</v>
      </c>
      <c r="J423" s="1" t="s">
        <v>249</v>
      </c>
      <c r="K423" s="1" t="str">
        <f>_xlfn.XLOOKUP(J423,REF!$D$2:$D$12,REF!$E$2:$E$12)</f>
        <v>Rede</v>
      </c>
      <c r="L423" s="1" t="s">
        <v>711</v>
      </c>
      <c r="M423" s="1" t="s">
        <v>251</v>
      </c>
      <c r="N423" s="1" t="s">
        <v>252</v>
      </c>
      <c r="O423" s="1" t="s">
        <v>712</v>
      </c>
      <c r="P423" s="1" t="str">
        <f t="shared" si="23"/>
        <v>BC Formoso2.2Inverter(MBUS-12)46003,616666666746003,616666666746003,6319444444</v>
      </c>
      <c r="Q423" s="1" t="str">
        <f t="shared" si="24"/>
        <v>DAURDE</v>
      </c>
    </row>
    <row r="424" spans="2:17" hidden="1">
      <c r="B424" s="1" t="s">
        <v>424</v>
      </c>
      <c r="C424" s="1" t="s">
        <v>328</v>
      </c>
      <c r="D424" s="52">
        <v>46003.616666666669</v>
      </c>
      <c r="E424" s="52">
        <v>46003.616666666669</v>
      </c>
      <c r="F424" s="52">
        <v>46003.631944444445</v>
      </c>
      <c r="G424" s="53">
        <f t="shared" si="22"/>
        <v>1.5277777776645962E-2</v>
      </c>
      <c r="H424" s="1" t="s">
        <v>248</v>
      </c>
      <c r="J424" s="1" t="s">
        <v>249</v>
      </c>
      <c r="K424" s="1" t="str">
        <f>_xlfn.XLOOKUP(J424,REF!$D$2:$D$12,REF!$E$2:$E$12)</f>
        <v>Rede</v>
      </c>
      <c r="L424" s="1" t="s">
        <v>711</v>
      </c>
      <c r="M424" s="1" t="s">
        <v>251</v>
      </c>
      <c r="N424" s="1" t="s">
        <v>252</v>
      </c>
      <c r="O424" s="1" t="s">
        <v>712</v>
      </c>
      <c r="P424" s="1" t="str">
        <f t="shared" si="23"/>
        <v>BC Formoso2.2Inverter(MBUS-1)46003,616666666746003,616666666746003,6319444444</v>
      </c>
      <c r="Q424" s="1" t="str">
        <f t="shared" si="24"/>
        <v>DAURDE</v>
      </c>
    </row>
    <row r="425" spans="2:17" hidden="1">
      <c r="B425" s="1" t="s">
        <v>425</v>
      </c>
      <c r="C425" s="1" t="s">
        <v>357</v>
      </c>
      <c r="D425" s="52">
        <v>46003.616666666669</v>
      </c>
      <c r="E425" s="52">
        <v>46003.616666666669</v>
      </c>
      <c r="F425" s="52">
        <v>46003.631944444445</v>
      </c>
      <c r="G425" s="53">
        <f t="shared" si="22"/>
        <v>1.5277777776645962E-2</v>
      </c>
      <c r="H425" s="1" t="s">
        <v>248</v>
      </c>
      <c r="J425" s="1" t="s">
        <v>249</v>
      </c>
      <c r="K425" s="1" t="str">
        <f>_xlfn.XLOOKUP(J425,REF!$D$2:$D$12,REF!$E$2:$E$12)</f>
        <v>Rede</v>
      </c>
      <c r="L425" s="1" t="s">
        <v>711</v>
      </c>
      <c r="M425" s="1" t="s">
        <v>251</v>
      </c>
      <c r="N425" s="1" t="s">
        <v>252</v>
      </c>
      <c r="O425" s="1" t="s">
        <v>712</v>
      </c>
      <c r="P425" s="1" t="str">
        <f t="shared" si="23"/>
        <v>BC Formoso2.3Inverter(MBUS-13)46003,616666666746003,616666666746003,6319444444</v>
      </c>
      <c r="Q425" s="1" t="str">
        <f t="shared" si="24"/>
        <v>DAURDE</v>
      </c>
    </row>
    <row r="426" spans="2:17" hidden="1">
      <c r="B426" s="1" t="s">
        <v>425</v>
      </c>
      <c r="C426" s="1" t="s">
        <v>354</v>
      </c>
      <c r="D426" s="52">
        <v>46003.616666666669</v>
      </c>
      <c r="E426" s="52">
        <v>46003.616666666669</v>
      </c>
      <c r="F426" s="52">
        <v>46003.631944444445</v>
      </c>
      <c r="G426" s="53">
        <f t="shared" si="22"/>
        <v>1.5277777776645962E-2</v>
      </c>
      <c r="H426" s="1" t="s">
        <v>248</v>
      </c>
      <c r="J426" s="1" t="s">
        <v>249</v>
      </c>
      <c r="K426" s="1" t="str">
        <f>_xlfn.XLOOKUP(J426,REF!$D$2:$D$12,REF!$E$2:$E$12)</f>
        <v>Rede</v>
      </c>
      <c r="L426" s="1" t="s">
        <v>711</v>
      </c>
      <c r="M426" s="1" t="s">
        <v>251</v>
      </c>
      <c r="N426" s="1" t="s">
        <v>252</v>
      </c>
      <c r="O426" s="1" t="s">
        <v>712</v>
      </c>
      <c r="P426" s="1" t="str">
        <f t="shared" si="23"/>
        <v>BC Formoso2.3Inverter(MBUS-12)46003,616666666746003,616666666746003,6319444444</v>
      </c>
      <c r="Q426" s="1" t="str">
        <f t="shared" si="24"/>
        <v>DAURDE</v>
      </c>
    </row>
    <row r="427" spans="2:17" hidden="1">
      <c r="B427" s="1" t="s">
        <v>423</v>
      </c>
      <c r="C427" s="1" t="s">
        <v>354</v>
      </c>
      <c r="D427" s="52">
        <v>46003.75</v>
      </c>
      <c r="E427" s="52">
        <v>46003.75</v>
      </c>
      <c r="F427" s="52">
        <v>46003.888888888891</v>
      </c>
      <c r="G427" s="53">
        <f t="shared" si="22"/>
        <v>0.13888888889050577</v>
      </c>
      <c r="H427" s="1" t="s">
        <v>248</v>
      </c>
      <c r="J427" s="1" t="s">
        <v>249</v>
      </c>
      <c r="K427" s="1" t="str">
        <f>_xlfn.XLOOKUP(J427,REF!$D$2:$D$12,REF!$E$2:$E$12)</f>
        <v>Rede</v>
      </c>
      <c r="L427" s="1" t="s">
        <v>711</v>
      </c>
      <c r="M427" s="1" t="s">
        <v>251</v>
      </c>
      <c r="N427" s="1" t="s">
        <v>252</v>
      </c>
      <c r="O427" s="1" t="s">
        <v>712</v>
      </c>
      <c r="P427" s="1" t="str">
        <f t="shared" si="23"/>
        <v>BC Formoso2.1Inverter(MBUS-12)46003,7546003,7546003,8888888889</v>
      </c>
      <c r="Q427" s="1" t="str">
        <f t="shared" si="24"/>
        <v>DAURDE</v>
      </c>
    </row>
    <row r="428" spans="2:17" hidden="1">
      <c r="B428" s="1" t="s">
        <v>423</v>
      </c>
      <c r="C428" s="1" t="s">
        <v>358</v>
      </c>
      <c r="D428" s="52">
        <v>46003.75</v>
      </c>
      <c r="E428" s="52">
        <v>46003.75</v>
      </c>
      <c r="F428" s="52">
        <v>46003.888888888891</v>
      </c>
      <c r="G428" s="53">
        <f t="shared" si="22"/>
        <v>0.13888888889050577</v>
      </c>
      <c r="H428" s="1" t="s">
        <v>248</v>
      </c>
      <c r="J428" s="1" t="s">
        <v>249</v>
      </c>
      <c r="K428" s="1" t="str">
        <f>_xlfn.XLOOKUP(J428,REF!$D$2:$D$12,REF!$E$2:$E$12)</f>
        <v>Rede</v>
      </c>
      <c r="L428" s="1" t="s">
        <v>711</v>
      </c>
      <c r="M428" s="1" t="s">
        <v>251</v>
      </c>
      <c r="N428" s="1" t="s">
        <v>252</v>
      </c>
      <c r="O428" s="1" t="s">
        <v>712</v>
      </c>
      <c r="P428" s="1" t="str">
        <f t="shared" si="23"/>
        <v>BC Formoso2.1Inverter(MBUS-14)46003,7546003,7546003,8888888889</v>
      </c>
      <c r="Q428" s="1" t="str">
        <f t="shared" si="24"/>
        <v>DAURDE</v>
      </c>
    </row>
    <row r="429" spans="2:17" hidden="1">
      <c r="B429" s="1" t="s">
        <v>423</v>
      </c>
      <c r="C429" s="1" t="s">
        <v>357</v>
      </c>
      <c r="D429" s="52">
        <v>46003.75</v>
      </c>
      <c r="E429" s="52">
        <v>46003.75</v>
      </c>
      <c r="F429" s="52">
        <v>46003.888888888891</v>
      </c>
      <c r="G429" s="53">
        <f t="shared" si="22"/>
        <v>0.13888888889050577</v>
      </c>
      <c r="H429" s="1" t="s">
        <v>248</v>
      </c>
      <c r="J429" s="1" t="s">
        <v>249</v>
      </c>
      <c r="K429" s="1" t="str">
        <f>_xlfn.XLOOKUP(J429,REF!$D$2:$D$12,REF!$E$2:$E$12)</f>
        <v>Rede</v>
      </c>
      <c r="L429" s="1" t="s">
        <v>711</v>
      </c>
      <c r="M429" s="1" t="s">
        <v>251</v>
      </c>
      <c r="N429" s="1" t="s">
        <v>252</v>
      </c>
      <c r="O429" s="1" t="s">
        <v>712</v>
      </c>
      <c r="P429" s="1" t="str">
        <f t="shared" si="23"/>
        <v>BC Formoso2.1Inverter(MBUS-13)46003,7546003,7546003,8888888889</v>
      </c>
      <c r="Q429" s="1" t="str">
        <f t="shared" si="24"/>
        <v>DAURDE</v>
      </c>
    </row>
    <row r="430" spans="2:17" hidden="1">
      <c r="B430" s="1" t="s">
        <v>423</v>
      </c>
      <c r="C430" s="1" t="s">
        <v>328</v>
      </c>
      <c r="D430" s="52">
        <v>46003.75</v>
      </c>
      <c r="E430" s="52">
        <v>46003.75</v>
      </c>
      <c r="F430" s="52">
        <v>46003.888888888891</v>
      </c>
      <c r="G430" s="53">
        <f t="shared" si="22"/>
        <v>0.13888888889050577</v>
      </c>
      <c r="H430" s="1" t="s">
        <v>248</v>
      </c>
      <c r="J430" s="1" t="s">
        <v>249</v>
      </c>
      <c r="K430" s="1" t="str">
        <f>_xlfn.XLOOKUP(J430,REF!$D$2:$D$12,REF!$E$2:$E$12)</f>
        <v>Rede</v>
      </c>
      <c r="L430" s="1" t="s">
        <v>711</v>
      </c>
      <c r="M430" s="1" t="s">
        <v>251</v>
      </c>
      <c r="N430" s="1" t="s">
        <v>252</v>
      </c>
      <c r="O430" s="1" t="s">
        <v>712</v>
      </c>
      <c r="P430" s="1" t="str">
        <f t="shared" si="23"/>
        <v>BC Formoso2.1Inverter(MBUS-1)46003,7546003,7546003,8888888889</v>
      </c>
      <c r="Q430" s="1" t="str">
        <f t="shared" si="24"/>
        <v>DAURDE</v>
      </c>
    </row>
    <row r="431" spans="2:17" hidden="1">
      <c r="B431" s="1" t="s">
        <v>424</v>
      </c>
      <c r="C431" s="1" t="s">
        <v>358</v>
      </c>
      <c r="D431" s="52">
        <v>46003.75</v>
      </c>
      <c r="E431" s="52">
        <v>46003.75</v>
      </c>
      <c r="F431" s="52">
        <v>46003.888888888891</v>
      </c>
      <c r="G431" s="53">
        <f t="shared" si="22"/>
        <v>0.13888888889050577</v>
      </c>
      <c r="H431" s="1" t="s">
        <v>248</v>
      </c>
      <c r="J431" s="1" t="s">
        <v>249</v>
      </c>
      <c r="K431" s="1" t="str">
        <f>_xlfn.XLOOKUP(J431,REF!$D$2:$D$12,REF!$E$2:$E$12)</f>
        <v>Rede</v>
      </c>
      <c r="L431" s="1" t="s">
        <v>711</v>
      </c>
      <c r="M431" s="1" t="s">
        <v>251</v>
      </c>
      <c r="N431" s="1" t="s">
        <v>252</v>
      </c>
      <c r="O431" s="1" t="s">
        <v>712</v>
      </c>
      <c r="P431" s="1" t="str">
        <f t="shared" si="23"/>
        <v>BC Formoso2.2Inverter(MBUS-14)46003,7546003,7546003,8888888889</v>
      </c>
      <c r="Q431" s="1" t="str">
        <f t="shared" si="24"/>
        <v>DAURDE</v>
      </c>
    </row>
    <row r="432" spans="2:17" hidden="1">
      <c r="B432" s="1" t="s">
        <v>424</v>
      </c>
      <c r="C432" s="1" t="s">
        <v>357</v>
      </c>
      <c r="D432" s="52">
        <v>46003.75</v>
      </c>
      <c r="E432" s="52">
        <v>46003.75</v>
      </c>
      <c r="F432" s="52">
        <v>46003.888888888891</v>
      </c>
      <c r="G432" s="53">
        <f t="shared" si="22"/>
        <v>0.13888888889050577</v>
      </c>
      <c r="H432" s="1" t="s">
        <v>248</v>
      </c>
      <c r="J432" s="1" t="s">
        <v>249</v>
      </c>
      <c r="K432" s="1" t="str">
        <f>_xlfn.XLOOKUP(J432,REF!$D$2:$D$12,REF!$E$2:$E$12)</f>
        <v>Rede</v>
      </c>
      <c r="L432" s="1" t="s">
        <v>711</v>
      </c>
      <c r="M432" s="1" t="s">
        <v>251</v>
      </c>
      <c r="N432" s="1" t="s">
        <v>252</v>
      </c>
      <c r="O432" s="1" t="s">
        <v>712</v>
      </c>
      <c r="P432" s="1" t="str">
        <f t="shared" si="23"/>
        <v>BC Formoso2.2Inverter(MBUS-13)46003,7546003,7546003,8888888889</v>
      </c>
      <c r="Q432" s="1" t="str">
        <f t="shared" si="24"/>
        <v>DAURDE</v>
      </c>
    </row>
    <row r="433" spans="2:17" hidden="1">
      <c r="B433" s="1" t="s">
        <v>424</v>
      </c>
      <c r="C433" s="1" t="s">
        <v>354</v>
      </c>
      <c r="D433" s="52">
        <v>46003.75</v>
      </c>
      <c r="E433" s="52">
        <v>46003.75</v>
      </c>
      <c r="F433" s="52">
        <v>46003.888888888891</v>
      </c>
      <c r="G433" s="53">
        <f t="shared" si="22"/>
        <v>0.13888888889050577</v>
      </c>
      <c r="H433" s="1" t="s">
        <v>248</v>
      </c>
      <c r="J433" s="1" t="s">
        <v>249</v>
      </c>
      <c r="K433" s="1" t="str">
        <f>_xlfn.XLOOKUP(J433,REF!$D$2:$D$12,REF!$E$2:$E$12)</f>
        <v>Rede</v>
      </c>
      <c r="L433" s="1" t="s">
        <v>711</v>
      </c>
      <c r="M433" s="1" t="s">
        <v>251</v>
      </c>
      <c r="N433" s="1" t="s">
        <v>252</v>
      </c>
      <c r="O433" s="1" t="s">
        <v>712</v>
      </c>
      <c r="P433" s="1" t="str">
        <f t="shared" si="23"/>
        <v>BC Formoso2.2Inverter(MBUS-12)46003,7546003,7546003,8888888889</v>
      </c>
      <c r="Q433" s="1" t="str">
        <f t="shared" si="24"/>
        <v>DAURDE</v>
      </c>
    </row>
    <row r="434" spans="2:17" hidden="1">
      <c r="B434" s="1" t="s">
        <v>424</v>
      </c>
      <c r="C434" s="1" t="s">
        <v>328</v>
      </c>
      <c r="D434" s="52">
        <v>46003.75</v>
      </c>
      <c r="E434" s="52">
        <v>46003.75</v>
      </c>
      <c r="F434" s="52">
        <v>46003.888888888891</v>
      </c>
      <c r="G434" s="53">
        <f t="shared" si="22"/>
        <v>0.13888888889050577</v>
      </c>
      <c r="H434" s="1" t="s">
        <v>248</v>
      </c>
      <c r="J434" s="1" t="s">
        <v>249</v>
      </c>
      <c r="K434" s="1" t="str">
        <f>_xlfn.XLOOKUP(J434,REF!$D$2:$D$12,REF!$E$2:$E$12)</f>
        <v>Rede</v>
      </c>
      <c r="L434" s="1" t="s">
        <v>711</v>
      </c>
      <c r="M434" s="1" t="s">
        <v>251</v>
      </c>
      <c r="N434" s="1" t="s">
        <v>252</v>
      </c>
      <c r="O434" s="1" t="s">
        <v>712</v>
      </c>
      <c r="P434" s="1" t="str">
        <f t="shared" si="23"/>
        <v>BC Formoso2.2Inverter(MBUS-1)46003,7546003,7546003,8888888889</v>
      </c>
      <c r="Q434" s="1" t="str">
        <f t="shared" si="24"/>
        <v>DAURDE</v>
      </c>
    </row>
    <row r="435" spans="2:17" hidden="1">
      <c r="B435" s="1" t="s">
        <v>425</v>
      </c>
      <c r="C435" s="1" t="s">
        <v>357</v>
      </c>
      <c r="D435" s="52">
        <v>46003.75</v>
      </c>
      <c r="E435" s="52">
        <v>46003.75</v>
      </c>
      <c r="F435" s="52">
        <v>46003.888888888891</v>
      </c>
      <c r="G435" s="53">
        <f t="shared" si="22"/>
        <v>0.13888888889050577</v>
      </c>
      <c r="H435" s="1" t="s">
        <v>248</v>
      </c>
      <c r="J435" s="1" t="s">
        <v>249</v>
      </c>
      <c r="K435" s="1" t="str">
        <f>_xlfn.XLOOKUP(J435,REF!$D$2:$D$12,REF!$E$2:$E$12)</f>
        <v>Rede</v>
      </c>
      <c r="L435" s="1" t="s">
        <v>711</v>
      </c>
      <c r="M435" s="1" t="s">
        <v>251</v>
      </c>
      <c r="N435" s="1" t="s">
        <v>252</v>
      </c>
      <c r="O435" s="1" t="s">
        <v>712</v>
      </c>
      <c r="P435" s="1" t="str">
        <f t="shared" si="23"/>
        <v>BC Formoso2.3Inverter(MBUS-13)46003,7546003,7546003,8888888889</v>
      </c>
      <c r="Q435" s="1" t="str">
        <f t="shared" si="24"/>
        <v>DAURDE</v>
      </c>
    </row>
    <row r="436" spans="2:17" hidden="1">
      <c r="B436" s="1" t="s">
        <v>425</v>
      </c>
      <c r="C436" s="1" t="s">
        <v>354</v>
      </c>
      <c r="D436" s="52">
        <v>46003.75</v>
      </c>
      <c r="E436" s="52">
        <v>46003.75</v>
      </c>
      <c r="F436" s="52">
        <v>46003.888888888891</v>
      </c>
      <c r="G436" s="53">
        <f t="shared" si="22"/>
        <v>0.13888888889050577</v>
      </c>
      <c r="H436" s="1" t="s">
        <v>248</v>
      </c>
      <c r="J436" s="1" t="s">
        <v>249</v>
      </c>
      <c r="K436" s="1" t="str">
        <f>_xlfn.XLOOKUP(J436,REF!$D$2:$D$12,REF!$E$2:$E$12)</f>
        <v>Rede</v>
      </c>
      <c r="L436" s="1" t="s">
        <v>711</v>
      </c>
      <c r="M436" s="1" t="s">
        <v>251</v>
      </c>
      <c r="N436" s="1" t="s">
        <v>252</v>
      </c>
      <c r="O436" s="1" t="s">
        <v>712</v>
      </c>
      <c r="P436" s="1" t="str">
        <f t="shared" si="23"/>
        <v>BC Formoso2.3Inverter(MBUS-12)46003,7546003,7546003,8888888889</v>
      </c>
      <c r="Q436" s="1" t="str">
        <f t="shared" si="24"/>
        <v>DAURDE</v>
      </c>
    </row>
    <row r="437" spans="2:17" hidden="1">
      <c r="B437" s="1" t="s">
        <v>764</v>
      </c>
      <c r="C437" s="1" t="s">
        <v>395</v>
      </c>
      <c r="D437" s="52">
        <v>46005.626388888886</v>
      </c>
      <c r="E437" s="52">
        <v>46005.626388888886</v>
      </c>
      <c r="F437" s="52">
        <v>46007.625</v>
      </c>
      <c r="G437" s="53">
        <f t="shared" si="22"/>
        <v>1.9986111111138598</v>
      </c>
      <c r="H437" s="1" t="s">
        <v>248</v>
      </c>
      <c r="J437" s="1" t="s">
        <v>249</v>
      </c>
      <c r="K437" s="1" t="str">
        <f>_xlfn.XLOOKUP(J437,REF!$D$2:$D$12,REF!$E$2:$E$12)</f>
        <v>Rede</v>
      </c>
      <c r="L437" s="1" t="s">
        <v>711</v>
      </c>
      <c r="M437" s="1" t="s">
        <v>251</v>
      </c>
      <c r="N437" s="1" t="s">
        <v>252</v>
      </c>
      <c r="O437" s="1" t="s">
        <v>712</v>
      </c>
      <c r="P437" s="1" t="str">
        <f t="shared" si="23"/>
        <v>CORUMBÁ I - UFV 1U01.I0146005,626388888946005,626388888946007,625</v>
      </c>
      <c r="Q437" s="1" t="str">
        <f t="shared" si="24"/>
        <v>DAURDE</v>
      </c>
    </row>
    <row r="438" spans="2:17" hidden="1">
      <c r="B438" s="1" t="s">
        <v>764</v>
      </c>
      <c r="C438" s="1" t="s">
        <v>400</v>
      </c>
      <c r="D438" s="52">
        <v>46005.626388888886</v>
      </c>
      <c r="E438" s="52">
        <v>46005.626388888886</v>
      </c>
      <c r="F438" s="52">
        <v>46007.625</v>
      </c>
      <c r="G438" s="53">
        <f t="shared" si="22"/>
        <v>1.9986111111138598</v>
      </c>
      <c r="H438" s="1" t="s">
        <v>248</v>
      </c>
      <c r="J438" s="1" t="s">
        <v>249</v>
      </c>
      <c r="K438" s="1" t="str">
        <f>_xlfn.XLOOKUP(J438,REF!$D$2:$D$12,REF!$E$2:$E$12)</f>
        <v>Rede</v>
      </c>
      <c r="L438" s="1" t="s">
        <v>711</v>
      </c>
      <c r="M438" s="1" t="s">
        <v>251</v>
      </c>
      <c r="N438" s="1" t="s">
        <v>252</v>
      </c>
      <c r="O438" s="1" t="s">
        <v>712</v>
      </c>
      <c r="P438" s="1" t="str">
        <f t="shared" si="23"/>
        <v>CORUMBÁ I - UFV 1U01.I0246005,626388888946005,626388888946007,625</v>
      </c>
      <c r="Q438" s="1" t="str">
        <f t="shared" si="24"/>
        <v>DAURDE</v>
      </c>
    </row>
    <row r="439" spans="2:17" hidden="1">
      <c r="B439" s="1" t="s">
        <v>764</v>
      </c>
      <c r="C439" s="1" t="s">
        <v>401</v>
      </c>
      <c r="D439" s="52">
        <v>46005.626388888886</v>
      </c>
      <c r="E439" s="52">
        <v>46005.626388888886</v>
      </c>
      <c r="F439" s="52">
        <v>46007.625</v>
      </c>
      <c r="G439" s="53">
        <f t="shared" si="22"/>
        <v>1.9986111111138598</v>
      </c>
      <c r="H439" s="1" t="s">
        <v>248</v>
      </c>
      <c r="J439" s="1" t="s">
        <v>249</v>
      </c>
      <c r="K439" s="1" t="str">
        <f>_xlfn.XLOOKUP(J439,REF!$D$2:$D$12,REF!$E$2:$E$12)</f>
        <v>Rede</v>
      </c>
      <c r="L439" s="1" t="s">
        <v>711</v>
      </c>
      <c r="M439" s="1" t="s">
        <v>251</v>
      </c>
      <c r="N439" s="1" t="s">
        <v>252</v>
      </c>
      <c r="O439" s="1" t="s">
        <v>712</v>
      </c>
      <c r="P439" s="1" t="str">
        <f t="shared" si="23"/>
        <v>CORUMBÁ I - UFV 1U01.I0346005,626388888946005,626388888946007,625</v>
      </c>
      <c r="Q439" s="1" t="str">
        <f t="shared" si="24"/>
        <v>DAURDE</v>
      </c>
    </row>
    <row r="440" spans="2:17" hidden="1">
      <c r="B440" s="1" t="s">
        <v>764</v>
      </c>
      <c r="C440" s="1" t="s">
        <v>402</v>
      </c>
      <c r="D440" s="52">
        <v>46005.626388888886</v>
      </c>
      <c r="E440" s="52">
        <v>46005.626388888886</v>
      </c>
      <c r="F440" s="52">
        <v>46007.625</v>
      </c>
      <c r="G440" s="53">
        <f t="shared" si="22"/>
        <v>1.9986111111138598</v>
      </c>
      <c r="H440" s="1" t="s">
        <v>248</v>
      </c>
      <c r="J440" s="1" t="s">
        <v>249</v>
      </c>
      <c r="K440" s="1" t="str">
        <f>_xlfn.XLOOKUP(J440,REF!$D$2:$D$12,REF!$E$2:$E$12)</f>
        <v>Rede</v>
      </c>
      <c r="L440" s="1" t="s">
        <v>711</v>
      </c>
      <c r="M440" s="1" t="s">
        <v>251</v>
      </c>
      <c r="N440" s="1" t="s">
        <v>252</v>
      </c>
      <c r="O440" s="1" t="s">
        <v>712</v>
      </c>
      <c r="P440" s="1" t="str">
        <f t="shared" si="23"/>
        <v>CORUMBÁ I - UFV 1U01.I0446005,626388888946005,626388888946007,625</v>
      </c>
      <c r="Q440" s="1" t="str">
        <f t="shared" si="24"/>
        <v>DAURDE</v>
      </c>
    </row>
    <row r="441" spans="2:17" hidden="1">
      <c r="B441" s="1" t="s">
        <v>764</v>
      </c>
      <c r="C441" s="1" t="s">
        <v>403</v>
      </c>
      <c r="D441" s="52">
        <v>46005.626388888886</v>
      </c>
      <c r="E441" s="52">
        <v>46005.626388888886</v>
      </c>
      <c r="F441" s="52">
        <v>46007.625</v>
      </c>
      <c r="G441" s="53">
        <f t="shared" si="22"/>
        <v>1.9986111111138598</v>
      </c>
      <c r="H441" s="1" t="s">
        <v>248</v>
      </c>
      <c r="J441" s="1" t="s">
        <v>249</v>
      </c>
      <c r="K441" s="1" t="str">
        <f>_xlfn.XLOOKUP(J441,REF!$D$2:$D$12,REF!$E$2:$E$12)</f>
        <v>Rede</v>
      </c>
      <c r="L441" s="1" t="s">
        <v>711</v>
      </c>
      <c r="M441" s="1" t="s">
        <v>251</v>
      </c>
      <c r="N441" s="1" t="s">
        <v>252</v>
      </c>
      <c r="O441" s="1" t="s">
        <v>712</v>
      </c>
      <c r="P441" s="1" t="str">
        <f t="shared" si="23"/>
        <v>CORUMBÁ I - UFV 1U01.I0546005,626388888946005,626388888946007,625</v>
      </c>
      <c r="Q441" s="1" t="str">
        <f t="shared" si="24"/>
        <v>DAURDE</v>
      </c>
    </row>
    <row r="442" spans="2:17" hidden="1">
      <c r="B442" s="1" t="s">
        <v>765</v>
      </c>
      <c r="C442" s="1" t="s">
        <v>408</v>
      </c>
      <c r="D442" s="52">
        <v>46005.626388888886</v>
      </c>
      <c r="E442" s="52">
        <v>46005.626388888886</v>
      </c>
      <c r="F442" s="52">
        <v>46007.625</v>
      </c>
      <c r="G442" s="53">
        <f t="shared" si="22"/>
        <v>1.9986111111138598</v>
      </c>
      <c r="H442" s="1" t="s">
        <v>248</v>
      </c>
      <c r="J442" s="1" t="s">
        <v>249</v>
      </c>
      <c r="K442" s="1" t="str">
        <f>_xlfn.XLOOKUP(J442,REF!$D$2:$D$12,REF!$E$2:$E$12)</f>
        <v>Rede</v>
      </c>
      <c r="L442" s="1" t="s">
        <v>711</v>
      </c>
      <c r="M442" s="1" t="s">
        <v>251</v>
      </c>
      <c r="N442" s="1" t="s">
        <v>252</v>
      </c>
      <c r="O442" s="1" t="s">
        <v>712</v>
      </c>
      <c r="P442" s="1" t="str">
        <f t="shared" si="23"/>
        <v>CORUMBÁ I - UFV 2U02.I0246005,626388888946005,626388888946007,625</v>
      </c>
      <c r="Q442" s="1" t="str">
        <f t="shared" si="24"/>
        <v>DAURDE</v>
      </c>
    </row>
    <row r="443" spans="2:17" hidden="1">
      <c r="B443" s="1" t="s">
        <v>765</v>
      </c>
      <c r="C443" s="1" t="s">
        <v>407</v>
      </c>
      <c r="D443" s="52">
        <v>46005.626388888886</v>
      </c>
      <c r="E443" s="52">
        <v>46005.626388888886</v>
      </c>
      <c r="F443" s="52">
        <v>46007.625</v>
      </c>
      <c r="G443" s="53">
        <f t="shared" si="22"/>
        <v>1.9986111111138598</v>
      </c>
      <c r="H443" s="1" t="s">
        <v>248</v>
      </c>
      <c r="J443" s="1" t="s">
        <v>249</v>
      </c>
      <c r="K443" s="1" t="str">
        <f>_xlfn.XLOOKUP(J443,REF!$D$2:$D$12,REF!$E$2:$E$12)</f>
        <v>Rede</v>
      </c>
      <c r="L443" s="1" t="s">
        <v>711</v>
      </c>
      <c r="M443" s="1" t="s">
        <v>251</v>
      </c>
      <c r="N443" s="1" t="s">
        <v>252</v>
      </c>
      <c r="O443" s="1" t="s">
        <v>712</v>
      </c>
      <c r="P443" s="1" t="str">
        <f t="shared" si="23"/>
        <v>CORUMBÁ I - UFV 2U02.I0146005,626388888946005,626388888946007,625</v>
      </c>
      <c r="Q443" s="1" t="str">
        <f t="shared" si="24"/>
        <v>DAURDE</v>
      </c>
    </row>
    <row r="444" spans="2:17" hidden="1">
      <c r="B444" s="1" t="s">
        <v>765</v>
      </c>
      <c r="C444" s="1" t="s">
        <v>409</v>
      </c>
      <c r="D444" s="52">
        <v>46005.626388888886</v>
      </c>
      <c r="E444" s="52">
        <v>46005.626388888886</v>
      </c>
      <c r="F444" s="52">
        <v>46007.625</v>
      </c>
      <c r="G444" s="53">
        <f t="shared" ref="G444:G507" si="25">F444-E444</f>
        <v>1.9986111111138598</v>
      </c>
      <c r="H444" s="1" t="s">
        <v>248</v>
      </c>
      <c r="J444" s="1" t="s">
        <v>249</v>
      </c>
      <c r="K444" s="1" t="str">
        <f>_xlfn.XLOOKUP(J444,REF!$D$2:$D$12,REF!$E$2:$E$12)</f>
        <v>Rede</v>
      </c>
      <c r="L444" s="1" t="s">
        <v>711</v>
      </c>
      <c r="M444" s="1" t="s">
        <v>251</v>
      </c>
      <c r="N444" s="1" t="s">
        <v>252</v>
      </c>
      <c r="O444" s="1" t="s">
        <v>712</v>
      </c>
      <c r="P444" s="1" t="str">
        <f t="shared" si="23"/>
        <v>CORUMBÁ I - UFV 2U02.I0346005,626388888946005,626388888946007,625</v>
      </c>
      <c r="Q444" s="1" t="str">
        <f t="shared" si="24"/>
        <v>DAURDE</v>
      </c>
    </row>
    <row r="445" spans="2:17" hidden="1">
      <c r="B445" s="1" t="s">
        <v>765</v>
      </c>
      <c r="C445" s="1" t="s">
        <v>411</v>
      </c>
      <c r="D445" s="52">
        <v>46005.626388888886</v>
      </c>
      <c r="E445" s="52">
        <v>46005.626388888886</v>
      </c>
      <c r="F445" s="52">
        <v>46007.625</v>
      </c>
      <c r="G445" s="53">
        <f t="shared" si="25"/>
        <v>1.9986111111138598</v>
      </c>
      <c r="H445" s="1" t="s">
        <v>248</v>
      </c>
      <c r="J445" s="1" t="s">
        <v>249</v>
      </c>
      <c r="K445" s="1" t="str">
        <f>_xlfn.XLOOKUP(J445,REF!$D$2:$D$12,REF!$E$2:$E$12)</f>
        <v>Rede</v>
      </c>
      <c r="L445" s="1" t="s">
        <v>711</v>
      </c>
      <c r="M445" s="1" t="s">
        <v>251</v>
      </c>
      <c r="N445" s="1" t="s">
        <v>252</v>
      </c>
      <c r="O445" s="1" t="s">
        <v>712</v>
      </c>
      <c r="P445" s="1" t="str">
        <f t="shared" si="23"/>
        <v>CORUMBÁ I - UFV 2U02.I0546005,626388888946005,626388888946007,625</v>
      </c>
      <c r="Q445" s="1" t="str">
        <f t="shared" si="24"/>
        <v>DAURDE</v>
      </c>
    </row>
    <row r="446" spans="2:17" hidden="1">
      <c r="B446" s="1" t="s">
        <v>765</v>
      </c>
      <c r="C446" s="1" t="s">
        <v>410</v>
      </c>
      <c r="D446" s="52">
        <v>46005.626388888886</v>
      </c>
      <c r="E446" s="52">
        <v>46005.626388888886</v>
      </c>
      <c r="F446" s="52">
        <v>46007.625</v>
      </c>
      <c r="G446" s="53">
        <f t="shared" si="25"/>
        <v>1.9986111111138598</v>
      </c>
      <c r="H446" s="1" t="s">
        <v>248</v>
      </c>
      <c r="J446" s="1" t="s">
        <v>249</v>
      </c>
      <c r="K446" s="1" t="str">
        <f>_xlfn.XLOOKUP(J446,REF!$D$2:$D$12,REF!$E$2:$E$12)</f>
        <v>Rede</v>
      </c>
      <c r="L446" s="1" t="s">
        <v>711</v>
      </c>
      <c r="M446" s="1" t="s">
        <v>251</v>
      </c>
      <c r="N446" s="1" t="s">
        <v>252</v>
      </c>
      <c r="O446" s="1" t="s">
        <v>712</v>
      </c>
      <c r="P446" s="1" t="str">
        <f t="shared" si="23"/>
        <v>CORUMBÁ I - UFV 2U02.I0446005,626388888946005,626388888946007,625</v>
      </c>
      <c r="Q446" s="1" t="str">
        <f t="shared" si="24"/>
        <v>DAURDE</v>
      </c>
    </row>
    <row r="447" spans="2:17" hidden="1">
      <c r="B447" s="1" t="s">
        <v>766</v>
      </c>
      <c r="C447" s="1" t="s">
        <v>413</v>
      </c>
      <c r="D447" s="52">
        <v>46005.626388888886</v>
      </c>
      <c r="E447" s="52">
        <v>46005.626388888886</v>
      </c>
      <c r="F447" s="52">
        <v>46007.625</v>
      </c>
      <c r="G447" s="53">
        <f t="shared" si="25"/>
        <v>1.9986111111138598</v>
      </c>
      <c r="H447" s="1" t="s">
        <v>248</v>
      </c>
      <c r="J447" s="1" t="s">
        <v>249</v>
      </c>
      <c r="K447" s="1" t="str">
        <f>_xlfn.XLOOKUP(J447,REF!$D$2:$D$12,REF!$E$2:$E$12)</f>
        <v>Rede</v>
      </c>
      <c r="L447" s="1" t="s">
        <v>711</v>
      </c>
      <c r="M447" s="1" t="s">
        <v>251</v>
      </c>
      <c r="N447" s="1" t="s">
        <v>252</v>
      </c>
      <c r="O447" s="1" t="s">
        <v>712</v>
      </c>
      <c r="P447" s="1" t="str">
        <f t="shared" si="23"/>
        <v>CORUMBÁ I - UFV 3U03.I0146005,626388888946005,626388888946007,625</v>
      </c>
      <c r="Q447" s="1" t="str">
        <f t="shared" si="24"/>
        <v>DAURDE</v>
      </c>
    </row>
    <row r="448" spans="2:17" hidden="1">
      <c r="B448" s="1" t="s">
        <v>766</v>
      </c>
      <c r="C448" s="1" t="s">
        <v>415</v>
      </c>
      <c r="D448" s="52">
        <v>46005.626388888886</v>
      </c>
      <c r="E448" s="52">
        <v>46005.626388888886</v>
      </c>
      <c r="F448" s="52">
        <v>46007.625</v>
      </c>
      <c r="G448" s="53">
        <f t="shared" si="25"/>
        <v>1.9986111111138598</v>
      </c>
      <c r="H448" s="1" t="s">
        <v>248</v>
      </c>
      <c r="J448" s="1" t="s">
        <v>249</v>
      </c>
      <c r="K448" s="1" t="str">
        <f>_xlfn.XLOOKUP(J448,REF!$D$2:$D$12,REF!$E$2:$E$12)</f>
        <v>Rede</v>
      </c>
      <c r="L448" s="1" t="s">
        <v>711</v>
      </c>
      <c r="M448" s="1" t="s">
        <v>251</v>
      </c>
      <c r="N448" s="1" t="s">
        <v>252</v>
      </c>
      <c r="O448" s="1" t="s">
        <v>712</v>
      </c>
      <c r="P448" s="1" t="str">
        <f t="shared" si="23"/>
        <v>CORUMBÁ I - UFV 3U03.I0346005,626388888946005,626388888946007,625</v>
      </c>
      <c r="Q448" s="1" t="str">
        <f t="shared" si="24"/>
        <v>DAURDE</v>
      </c>
    </row>
    <row r="449" spans="2:17" hidden="1">
      <c r="B449" s="1" t="s">
        <v>766</v>
      </c>
      <c r="C449" s="1" t="s">
        <v>414</v>
      </c>
      <c r="D449" s="52">
        <v>46005.626388888886</v>
      </c>
      <c r="E449" s="52">
        <v>46005.626388888886</v>
      </c>
      <c r="F449" s="52">
        <v>46007.625</v>
      </c>
      <c r="G449" s="53">
        <f t="shared" si="25"/>
        <v>1.9986111111138598</v>
      </c>
      <c r="H449" s="1" t="s">
        <v>248</v>
      </c>
      <c r="J449" s="1" t="s">
        <v>249</v>
      </c>
      <c r="K449" s="1" t="str">
        <f>_xlfn.XLOOKUP(J449,REF!$D$2:$D$12,REF!$E$2:$E$12)</f>
        <v>Rede</v>
      </c>
      <c r="L449" s="1" t="s">
        <v>711</v>
      </c>
      <c r="M449" s="1" t="s">
        <v>251</v>
      </c>
      <c r="N449" s="1" t="s">
        <v>252</v>
      </c>
      <c r="O449" s="1" t="s">
        <v>712</v>
      </c>
      <c r="P449" s="1" t="str">
        <f t="shared" si="23"/>
        <v>CORUMBÁ I - UFV 3U03.I0246005,626388888946005,626388888946007,625</v>
      </c>
      <c r="Q449" s="1" t="str">
        <f t="shared" si="24"/>
        <v>DAURDE</v>
      </c>
    </row>
    <row r="450" spans="2:17" hidden="1">
      <c r="B450" s="1" t="s">
        <v>767</v>
      </c>
      <c r="C450" s="1" t="s">
        <v>417</v>
      </c>
      <c r="D450" s="52">
        <v>46005.626388888886</v>
      </c>
      <c r="E450" s="52">
        <v>46005.626388888886</v>
      </c>
      <c r="F450" s="52">
        <v>46007.625</v>
      </c>
      <c r="G450" s="53">
        <f t="shared" si="25"/>
        <v>1.9986111111138598</v>
      </c>
      <c r="H450" s="1" t="s">
        <v>248</v>
      </c>
      <c r="J450" s="1" t="s">
        <v>249</v>
      </c>
      <c r="K450" s="1" t="str">
        <f>_xlfn.XLOOKUP(J450,REF!$D$2:$D$12,REF!$E$2:$E$12)</f>
        <v>Rede</v>
      </c>
      <c r="L450" s="1" t="s">
        <v>711</v>
      </c>
      <c r="M450" s="1" t="s">
        <v>251</v>
      </c>
      <c r="N450" s="1" t="s">
        <v>252</v>
      </c>
      <c r="O450" s="1" t="s">
        <v>712</v>
      </c>
      <c r="P450" s="1" t="str">
        <f t="shared" si="23"/>
        <v>CORUMBÁ II - UFV 1U01. I0146005,626388888946005,626388888946007,625</v>
      </c>
      <c r="Q450" s="1" t="str">
        <f t="shared" si="24"/>
        <v>DAURDE</v>
      </c>
    </row>
    <row r="451" spans="2:17" hidden="1">
      <c r="B451" s="1" t="s">
        <v>767</v>
      </c>
      <c r="C451" s="1" t="s">
        <v>358</v>
      </c>
      <c r="D451" s="52">
        <v>46005.626388888886</v>
      </c>
      <c r="E451" s="52">
        <v>46005.626388888886</v>
      </c>
      <c r="F451" s="52">
        <v>46007.625</v>
      </c>
      <c r="G451" s="53">
        <f t="shared" si="25"/>
        <v>1.9986111111138598</v>
      </c>
      <c r="H451" s="1" t="s">
        <v>248</v>
      </c>
      <c r="J451" s="1" t="s">
        <v>249</v>
      </c>
      <c r="K451" s="1" t="str">
        <f>_xlfn.XLOOKUP(J451,REF!$D$2:$D$12,REF!$E$2:$E$12)</f>
        <v>Rede</v>
      </c>
      <c r="L451" s="1" t="s">
        <v>711</v>
      </c>
      <c r="M451" s="1" t="s">
        <v>251</v>
      </c>
      <c r="N451" s="1" t="s">
        <v>252</v>
      </c>
      <c r="O451" s="1" t="s">
        <v>712</v>
      </c>
      <c r="P451" s="1" t="str">
        <f t="shared" ref="P451:P514" si="26">_xlfn.CONCAT(B451,C451,D451,E451,F451)</f>
        <v>CORUMBÁ II - UFV 1Inverter(MBUS-14)46005,626388888946005,626388888946007,625</v>
      </c>
      <c r="Q451" s="1" t="str">
        <f t="shared" ref="Q451:Q514" si="27">_xlfn.CONCAT(H451,I451,J451)</f>
        <v>DAURDE</v>
      </c>
    </row>
    <row r="452" spans="2:17" hidden="1">
      <c r="B452" s="1" t="s">
        <v>767</v>
      </c>
      <c r="C452" s="1" t="s">
        <v>386</v>
      </c>
      <c r="D452" s="52">
        <v>46005.626388888886</v>
      </c>
      <c r="E452" s="52">
        <v>46005.626388888886</v>
      </c>
      <c r="F452" s="52">
        <v>46007.625</v>
      </c>
      <c r="G452" s="53">
        <f t="shared" si="25"/>
        <v>1.9986111111138598</v>
      </c>
      <c r="H452" s="1" t="s">
        <v>248</v>
      </c>
      <c r="J452" s="1" t="s">
        <v>249</v>
      </c>
      <c r="K452" s="1" t="str">
        <f>_xlfn.XLOOKUP(J452,REF!$D$2:$D$12,REF!$E$2:$E$12)</f>
        <v>Rede</v>
      </c>
      <c r="L452" s="1" t="s">
        <v>711</v>
      </c>
      <c r="M452" s="1" t="s">
        <v>251</v>
      </c>
      <c r="N452" s="1" t="s">
        <v>252</v>
      </c>
      <c r="O452" s="1" t="s">
        <v>712</v>
      </c>
      <c r="P452" s="1" t="str">
        <f t="shared" si="26"/>
        <v>CORUMBÁ II - UFV 1Inverter(MBUS-16)46005,626388888946005,626388888946007,625</v>
      </c>
      <c r="Q452" s="1" t="str">
        <f t="shared" si="27"/>
        <v>DAURDE</v>
      </c>
    </row>
    <row r="453" spans="2:17" hidden="1">
      <c r="B453" s="1" t="s">
        <v>767</v>
      </c>
      <c r="C453" s="1" t="s">
        <v>418</v>
      </c>
      <c r="D453" s="52">
        <v>46005.626388888886</v>
      </c>
      <c r="E453" s="52">
        <v>46005.626388888886</v>
      </c>
      <c r="F453" s="52">
        <v>46007.625</v>
      </c>
      <c r="G453" s="53">
        <f t="shared" si="25"/>
        <v>1.9986111111138598</v>
      </c>
      <c r="H453" s="1" t="s">
        <v>248</v>
      </c>
      <c r="J453" s="1" t="s">
        <v>249</v>
      </c>
      <c r="K453" s="1" t="str">
        <f>_xlfn.XLOOKUP(J453,REF!$D$2:$D$12,REF!$E$2:$E$12)</f>
        <v>Rede</v>
      </c>
      <c r="L453" s="1" t="s">
        <v>711</v>
      </c>
      <c r="M453" s="1" t="s">
        <v>251</v>
      </c>
      <c r="N453" s="1" t="s">
        <v>252</v>
      </c>
      <c r="O453" s="1" t="s">
        <v>712</v>
      </c>
      <c r="P453" s="1" t="str">
        <f t="shared" si="26"/>
        <v>CORUMBÁ II - UFV 1U01. I0246005,626388888946005,626388888946007,625</v>
      </c>
      <c r="Q453" s="1" t="str">
        <f t="shared" si="27"/>
        <v>DAURDE</v>
      </c>
    </row>
    <row r="454" spans="2:17" hidden="1">
      <c r="B454" s="1" t="s">
        <v>767</v>
      </c>
      <c r="C454" s="1" t="s">
        <v>359</v>
      </c>
      <c r="D454" s="52">
        <v>46005.626388888886</v>
      </c>
      <c r="E454" s="52">
        <v>46005.626388888886</v>
      </c>
      <c r="F454" s="52">
        <v>46007.625</v>
      </c>
      <c r="G454" s="53">
        <f t="shared" si="25"/>
        <v>1.9986111111138598</v>
      </c>
      <c r="H454" s="1" t="s">
        <v>248</v>
      </c>
      <c r="J454" s="1" t="s">
        <v>249</v>
      </c>
      <c r="K454" s="1" t="str">
        <f>_xlfn.XLOOKUP(J454,REF!$D$2:$D$12,REF!$E$2:$E$12)</f>
        <v>Rede</v>
      </c>
      <c r="L454" s="1" t="s">
        <v>711</v>
      </c>
      <c r="M454" s="1" t="s">
        <v>251</v>
      </c>
      <c r="N454" s="1" t="s">
        <v>252</v>
      </c>
      <c r="O454" s="1" t="s">
        <v>712</v>
      </c>
      <c r="P454" s="1" t="str">
        <f t="shared" si="26"/>
        <v>CORUMBÁ II - UFV 1Inverter(MBUS-15)46005,626388888946005,626388888946007,625</v>
      </c>
      <c r="Q454" s="1" t="str">
        <f t="shared" si="27"/>
        <v>DAURDE</v>
      </c>
    </row>
    <row r="455" spans="2:17" hidden="1">
      <c r="B455" s="1" t="s">
        <v>768</v>
      </c>
      <c r="C455" s="1" t="s">
        <v>410</v>
      </c>
      <c r="D455" s="52">
        <v>46005.626388888886</v>
      </c>
      <c r="E455" s="52">
        <v>46005.626388888886</v>
      </c>
      <c r="F455" s="52">
        <v>46007.625</v>
      </c>
      <c r="G455" s="53">
        <f t="shared" si="25"/>
        <v>1.9986111111138598</v>
      </c>
      <c r="H455" s="1" t="s">
        <v>248</v>
      </c>
      <c r="J455" s="1" t="s">
        <v>249</v>
      </c>
      <c r="K455" s="1" t="str">
        <f>_xlfn.XLOOKUP(J455,REF!$D$2:$D$12,REF!$E$2:$E$12)</f>
        <v>Rede</v>
      </c>
      <c r="L455" s="1" t="s">
        <v>711</v>
      </c>
      <c r="M455" s="1" t="s">
        <v>251</v>
      </c>
      <c r="N455" s="1" t="s">
        <v>252</v>
      </c>
      <c r="O455" s="1" t="s">
        <v>712</v>
      </c>
      <c r="P455" s="1" t="str">
        <f t="shared" si="26"/>
        <v>CORUMBÁ II - UFV 2U02.I0446005,626388888946005,626388888946007,625</v>
      </c>
      <c r="Q455" s="1" t="str">
        <f t="shared" si="27"/>
        <v>DAURDE</v>
      </c>
    </row>
    <row r="456" spans="2:17" hidden="1">
      <c r="B456" s="1" t="s">
        <v>768</v>
      </c>
      <c r="C456" s="1" t="s">
        <v>411</v>
      </c>
      <c r="D456" s="52">
        <v>46005.626388888886</v>
      </c>
      <c r="E456" s="52">
        <v>46005.626388888886</v>
      </c>
      <c r="F456" s="52">
        <v>46007.625</v>
      </c>
      <c r="G456" s="53">
        <f t="shared" si="25"/>
        <v>1.9986111111138598</v>
      </c>
      <c r="H456" s="1" t="s">
        <v>248</v>
      </c>
      <c r="J456" s="1" t="s">
        <v>249</v>
      </c>
      <c r="K456" s="1" t="str">
        <f>_xlfn.XLOOKUP(J456,REF!$D$2:$D$12,REF!$E$2:$E$12)</f>
        <v>Rede</v>
      </c>
      <c r="L456" s="1" t="s">
        <v>711</v>
      </c>
      <c r="M456" s="1" t="s">
        <v>251</v>
      </c>
      <c r="N456" s="1" t="s">
        <v>252</v>
      </c>
      <c r="O456" s="1" t="s">
        <v>712</v>
      </c>
      <c r="P456" s="1" t="str">
        <f t="shared" si="26"/>
        <v>CORUMBÁ II - UFV 2U02.I0546005,626388888946005,626388888946007,625</v>
      </c>
      <c r="Q456" s="1" t="str">
        <f t="shared" si="27"/>
        <v>DAURDE</v>
      </c>
    </row>
    <row r="457" spans="2:17" hidden="1">
      <c r="B457" s="1" t="s">
        <v>768</v>
      </c>
      <c r="C457" s="1" t="s">
        <v>409</v>
      </c>
      <c r="D457" s="52">
        <v>46005.626388888886</v>
      </c>
      <c r="E457" s="52">
        <v>46005.626388888886</v>
      </c>
      <c r="F457" s="52">
        <v>46007.625</v>
      </c>
      <c r="G457" s="53">
        <f t="shared" si="25"/>
        <v>1.9986111111138598</v>
      </c>
      <c r="H457" s="1" t="s">
        <v>248</v>
      </c>
      <c r="J457" s="1" t="s">
        <v>249</v>
      </c>
      <c r="K457" s="1" t="str">
        <f>_xlfn.XLOOKUP(J457,REF!$D$2:$D$12,REF!$E$2:$E$12)</f>
        <v>Rede</v>
      </c>
      <c r="L457" s="1" t="s">
        <v>711</v>
      </c>
      <c r="M457" s="1" t="s">
        <v>251</v>
      </c>
      <c r="N457" s="1" t="s">
        <v>252</v>
      </c>
      <c r="O457" s="1" t="s">
        <v>712</v>
      </c>
      <c r="P457" s="1" t="str">
        <f t="shared" si="26"/>
        <v>CORUMBÁ II - UFV 2U02.I0346005,626388888946005,626388888946007,625</v>
      </c>
      <c r="Q457" s="1" t="str">
        <f t="shared" si="27"/>
        <v>DAURDE</v>
      </c>
    </row>
    <row r="458" spans="2:17" hidden="1">
      <c r="B458" s="1" t="s">
        <v>768</v>
      </c>
      <c r="C458" s="1" t="s">
        <v>407</v>
      </c>
      <c r="D458" s="52">
        <v>46005.626388888886</v>
      </c>
      <c r="E458" s="52">
        <v>46005.626388888886</v>
      </c>
      <c r="F458" s="52">
        <v>46007.625</v>
      </c>
      <c r="G458" s="53">
        <f t="shared" si="25"/>
        <v>1.9986111111138598</v>
      </c>
      <c r="H458" s="1" t="s">
        <v>248</v>
      </c>
      <c r="J458" s="1" t="s">
        <v>249</v>
      </c>
      <c r="K458" s="1" t="str">
        <f>_xlfn.XLOOKUP(J458,REF!$D$2:$D$12,REF!$E$2:$E$12)</f>
        <v>Rede</v>
      </c>
      <c r="L458" s="1" t="s">
        <v>711</v>
      </c>
      <c r="M458" s="1" t="s">
        <v>251</v>
      </c>
      <c r="N458" s="1" t="s">
        <v>252</v>
      </c>
      <c r="O458" s="1" t="s">
        <v>712</v>
      </c>
      <c r="P458" s="1" t="str">
        <f t="shared" si="26"/>
        <v>CORUMBÁ II - UFV 2U02.I0146005,626388888946005,626388888946007,625</v>
      </c>
      <c r="Q458" s="1" t="str">
        <f t="shared" si="27"/>
        <v>DAURDE</v>
      </c>
    </row>
    <row r="459" spans="2:17" hidden="1">
      <c r="B459" s="1" t="s">
        <v>768</v>
      </c>
      <c r="C459" s="1" t="s">
        <v>408</v>
      </c>
      <c r="D459" s="52">
        <v>46005.626388888886</v>
      </c>
      <c r="E459" s="52">
        <v>46005.626388888886</v>
      </c>
      <c r="F459" s="52">
        <v>46007.625</v>
      </c>
      <c r="G459" s="53">
        <f t="shared" si="25"/>
        <v>1.9986111111138598</v>
      </c>
      <c r="H459" s="1" t="s">
        <v>248</v>
      </c>
      <c r="J459" s="1" t="s">
        <v>249</v>
      </c>
      <c r="K459" s="1" t="str">
        <f>_xlfn.XLOOKUP(J459,REF!$D$2:$D$12,REF!$E$2:$E$12)</f>
        <v>Rede</v>
      </c>
      <c r="L459" s="1" t="s">
        <v>711</v>
      </c>
      <c r="M459" s="1" t="s">
        <v>251</v>
      </c>
      <c r="N459" s="1" t="s">
        <v>252</v>
      </c>
      <c r="O459" s="1" t="s">
        <v>712</v>
      </c>
      <c r="P459" s="1" t="str">
        <f t="shared" si="26"/>
        <v>CORUMBÁ II - UFV 2U02.I0246005,626388888946005,626388888946007,625</v>
      </c>
      <c r="Q459" s="1" t="str">
        <f t="shared" si="27"/>
        <v>DAURDE</v>
      </c>
    </row>
    <row r="460" spans="2:17" hidden="1">
      <c r="B460" s="1" t="s">
        <v>769</v>
      </c>
      <c r="C460" s="1" t="s">
        <v>415</v>
      </c>
      <c r="D460" s="52">
        <v>46005.626388888886</v>
      </c>
      <c r="E460" s="52">
        <v>46005.626388888886</v>
      </c>
      <c r="F460" s="52">
        <v>46007.625</v>
      </c>
      <c r="G460" s="53">
        <f t="shared" si="25"/>
        <v>1.9986111111138598</v>
      </c>
      <c r="H460" s="1" t="s">
        <v>248</v>
      </c>
      <c r="J460" s="1" t="s">
        <v>249</v>
      </c>
      <c r="K460" s="1" t="str">
        <f>_xlfn.XLOOKUP(J460,REF!$D$2:$D$12,REF!$E$2:$E$12)</f>
        <v>Rede</v>
      </c>
      <c r="L460" s="1" t="s">
        <v>711</v>
      </c>
      <c r="M460" s="1" t="s">
        <v>251</v>
      </c>
      <c r="N460" s="1" t="s">
        <v>252</v>
      </c>
      <c r="O460" s="1" t="s">
        <v>712</v>
      </c>
      <c r="P460" s="1" t="str">
        <f t="shared" si="26"/>
        <v>CORUMBÁ II - UFV 3U03.I0346005,626388888946005,626388888946007,625</v>
      </c>
      <c r="Q460" s="1" t="str">
        <f t="shared" si="27"/>
        <v>DAURDE</v>
      </c>
    </row>
    <row r="461" spans="2:17" hidden="1">
      <c r="B461" s="1" t="s">
        <v>769</v>
      </c>
      <c r="C461" s="1" t="s">
        <v>414</v>
      </c>
      <c r="D461" s="52">
        <v>46005.626388888886</v>
      </c>
      <c r="E461" s="52">
        <v>46005.626388888886</v>
      </c>
      <c r="F461" s="52">
        <v>46007.625</v>
      </c>
      <c r="G461" s="53">
        <f t="shared" si="25"/>
        <v>1.9986111111138598</v>
      </c>
      <c r="H461" s="1" t="s">
        <v>248</v>
      </c>
      <c r="J461" s="1" t="s">
        <v>249</v>
      </c>
      <c r="K461" s="1" t="str">
        <f>_xlfn.XLOOKUP(J461,REF!$D$2:$D$12,REF!$E$2:$E$12)</f>
        <v>Rede</v>
      </c>
      <c r="L461" s="1" t="s">
        <v>711</v>
      </c>
      <c r="M461" s="1" t="s">
        <v>251</v>
      </c>
      <c r="N461" s="1" t="s">
        <v>252</v>
      </c>
      <c r="O461" s="1" t="s">
        <v>712</v>
      </c>
      <c r="P461" s="1" t="str">
        <f t="shared" si="26"/>
        <v>CORUMBÁ II - UFV 3U03.I0246005,626388888946005,626388888946007,625</v>
      </c>
      <c r="Q461" s="1" t="str">
        <f t="shared" si="27"/>
        <v>DAURDE</v>
      </c>
    </row>
    <row r="462" spans="2:17" hidden="1">
      <c r="B462" s="1" t="s">
        <v>769</v>
      </c>
      <c r="C462" s="1" t="s">
        <v>413</v>
      </c>
      <c r="D462" s="52">
        <v>46005.626388888886</v>
      </c>
      <c r="E462" s="52">
        <v>46005.626388888886</v>
      </c>
      <c r="F462" s="52">
        <v>46007.625</v>
      </c>
      <c r="G462" s="53">
        <f t="shared" si="25"/>
        <v>1.9986111111138598</v>
      </c>
      <c r="H462" s="1" t="s">
        <v>248</v>
      </c>
      <c r="J462" s="1" t="s">
        <v>249</v>
      </c>
      <c r="K462" s="1" t="str">
        <f>_xlfn.XLOOKUP(J462,REF!$D$2:$D$12,REF!$E$2:$E$12)</f>
        <v>Rede</v>
      </c>
      <c r="L462" s="1" t="s">
        <v>711</v>
      </c>
      <c r="M462" s="1" t="s">
        <v>251</v>
      </c>
      <c r="N462" s="1" t="s">
        <v>252</v>
      </c>
      <c r="O462" s="1" t="s">
        <v>712</v>
      </c>
      <c r="P462" s="1" t="str">
        <f t="shared" si="26"/>
        <v>CORUMBÁ II - UFV 3U03.I0146005,626388888946005,626388888946007,625</v>
      </c>
      <c r="Q462" s="1" t="str">
        <f t="shared" si="27"/>
        <v>DAURDE</v>
      </c>
    </row>
    <row r="463" spans="2:17" hidden="1">
      <c r="B463" s="1" t="s">
        <v>327</v>
      </c>
      <c r="C463" s="1" t="s">
        <v>328</v>
      </c>
      <c r="D463" s="52">
        <v>46003.536805555559</v>
      </c>
      <c r="E463" s="52">
        <v>46003.536805555559</v>
      </c>
      <c r="F463" s="52">
        <v>46003.554861111108</v>
      </c>
      <c r="G463" s="53">
        <f t="shared" si="25"/>
        <v>1.805555554892635E-2</v>
      </c>
      <c r="H463" s="1" t="s">
        <v>248</v>
      </c>
      <c r="J463" s="1" t="s">
        <v>249</v>
      </c>
      <c r="K463" s="1" t="str">
        <f>_xlfn.XLOOKUP(J463,REF!$D$2:$D$12,REF!$E$2:$E$12)</f>
        <v>Rede</v>
      </c>
      <c r="L463" s="1" t="s">
        <v>329</v>
      </c>
      <c r="M463" s="1" t="s">
        <v>736</v>
      </c>
      <c r="N463" s="1" t="s">
        <v>330</v>
      </c>
      <c r="O463" s="1" t="s">
        <v>739</v>
      </c>
      <c r="P463" s="1" t="str">
        <f t="shared" si="26"/>
        <v>BC Aracu5.1Inverter(MBUS-1)46003,536805555646003,536805555646003,5548611111</v>
      </c>
      <c r="Q463" s="1" t="str">
        <f t="shared" si="27"/>
        <v>DAURDE</v>
      </c>
    </row>
    <row r="464" spans="2:17" hidden="1">
      <c r="B464" s="1" t="s">
        <v>332</v>
      </c>
      <c r="C464" s="1" t="s">
        <v>328</v>
      </c>
      <c r="D464" s="52">
        <v>46003.536805555559</v>
      </c>
      <c r="E464" s="52">
        <v>46003.536805555559</v>
      </c>
      <c r="F464" s="52">
        <v>46003.554861111108</v>
      </c>
      <c r="G464" s="53">
        <f t="shared" si="25"/>
        <v>1.805555554892635E-2</v>
      </c>
      <c r="H464" s="1" t="s">
        <v>248</v>
      </c>
      <c r="J464" s="1" t="s">
        <v>249</v>
      </c>
      <c r="K464" s="1" t="str">
        <f>_xlfn.XLOOKUP(J464,REF!$D$2:$D$12,REF!$E$2:$E$12)</f>
        <v>Rede</v>
      </c>
      <c r="L464" s="1" t="s">
        <v>329</v>
      </c>
      <c r="M464" s="1" t="s">
        <v>736</v>
      </c>
      <c r="N464" s="1" t="s">
        <v>330</v>
      </c>
      <c r="O464" s="1" t="s">
        <v>739</v>
      </c>
      <c r="P464" s="1" t="str">
        <f t="shared" si="26"/>
        <v>BC Aracu5.2Inverter(MBUS-1)46003,536805555646003,536805555646003,5548611111</v>
      </c>
      <c r="Q464" s="1" t="str">
        <f t="shared" si="27"/>
        <v>DAURDE</v>
      </c>
    </row>
    <row r="465" spans="2:17" hidden="1">
      <c r="B465" s="1" t="s">
        <v>333</v>
      </c>
      <c r="C465" s="1" t="s">
        <v>328</v>
      </c>
      <c r="D465" s="52">
        <v>46003.536805555559</v>
      </c>
      <c r="E465" s="52">
        <v>46003.536805555559</v>
      </c>
      <c r="F465" s="52">
        <v>46003.554861111108</v>
      </c>
      <c r="G465" s="53">
        <f t="shared" si="25"/>
        <v>1.805555554892635E-2</v>
      </c>
      <c r="H465" s="1" t="s">
        <v>248</v>
      </c>
      <c r="J465" s="1" t="s">
        <v>249</v>
      </c>
      <c r="K465" s="1" t="str">
        <f>_xlfn.XLOOKUP(J465,REF!$D$2:$D$12,REF!$E$2:$E$12)</f>
        <v>Rede</v>
      </c>
      <c r="L465" s="1" t="s">
        <v>329</v>
      </c>
      <c r="M465" s="1" t="s">
        <v>736</v>
      </c>
      <c r="N465" s="1" t="s">
        <v>330</v>
      </c>
      <c r="O465" s="1" t="s">
        <v>739</v>
      </c>
      <c r="P465" s="1" t="str">
        <f t="shared" si="26"/>
        <v>BC Aracu5.3Inverter(MBUS-1)46003,536805555646003,536805555646003,5548611111</v>
      </c>
      <c r="Q465" s="1" t="str">
        <f t="shared" si="27"/>
        <v>DAURDE</v>
      </c>
    </row>
    <row r="466" spans="2:17" hidden="1">
      <c r="B466" s="1" t="s">
        <v>334</v>
      </c>
      <c r="C466" s="1" t="s">
        <v>328</v>
      </c>
      <c r="D466" s="52">
        <v>46003.536805555559</v>
      </c>
      <c r="E466" s="52">
        <v>46003.536805555559</v>
      </c>
      <c r="F466" s="52">
        <v>46003.554861111108</v>
      </c>
      <c r="G466" s="53">
        <f t="shared" si="25"/>
        <v>1.805555554892635E-2</v>
      </c>
      <c r="H466" s="1" t="s">
        <v>248</v>
      </c>
      <c r="J466" s="1" t="s">
        <v>249</v>
      </c>
      <c r="K466" s="1" t="str">
        <f>_xlfn.XLOOKUP(J466,REF!$D$2:$D$12,REF!$E$2:$E$12)</f>
        <v>Rede</v>
      </c>
      <c r="L466" s="1" t="s">
        <v>329</v>
      </c>
      <c r="M466" s="1" t="s">
        <v>736</v>
      </c>
      <c r="N466" s="1" t="s">
        <v>330</v>
      </c>
      <c r="O466" s="1" t="s">
        <v>739</v>
      </c>
      <c r="P466" s="1" t="str">
        <f t="shared" si="26"/>
        <v>BC Aracu5.4Inverter(MBUS-1)46003,536805555646003,536805555646003,5548611111</v>
      </c>
      <c r="Q466" s="1" t="str">
        <f t="shared" si="27"/>
        <v>DAURDE</v>
      </c>
    </row>
    <row r="467" spans="2:17" hidden="1">
      <c r="B467" s="1" t="s">
        <v>335</v>
      </c>
      <c r="C467" s="1" t="s">
        <v>328</v>
      </c>
      <c r="D467" s="52">
        <v>46003.536805555559</v>
      </c>
      <c r="E467" s="52">
        <v>46003.536805555559</v>
      </c>
      <c r="F467" s="52">
        <v>46003.554861111108</v>
      </c>
      <c r="G467" s="53">
        <f t="shared" si="25"/>
        <v>1.805555554892635E-2</v>
      </c>
      <c r="H467" s="1" t="s">
        <v>248</v>
      </c>
      <c r="J467" s="1" t="s">
        <v>249</v>
      </c>
      <c r="K467" s="1" t="str">
        <f>_xlfn.XLOOKUP(J467,REF!$D$2:$D$12,REF!$E$2:$E$12)</f>
        <v>Rede</v>
      </c>
      <c r="L467" s="1" t="s">
        <v>329</v>
      </c>
      <c r="M467" s="1" t="s">
        <v>736</v>
      </c>
      <c r="N467" s="1" t="s">
        <v>330</v>
      </c>
      <c r="O467" s="1" t="s">
        <v>739</v>
      </c>
      <c r="P467" s="1" t="str">
        <f t="shared" si="26"/>
        <v>BC Aracu5.5Inverter(MBUS-1)46003,536805555646003,536805555646003,5548611111</v>
      </c>
      <c r="Q467" s="1" t="str">
        <f t="shared" si="27"/>
        <v>DAURDE</v>
      </c>
    </row>
    <row r="468" spans="2:17" hidden="1">
      <c r="B468" s="1" t="s">
        <v>353</v>
      </c>
      <c r="C468" s="1" t="s">
        <v>354</v>
      </c>
      <c r="D468" s="52">
        <v>46003.563194444447</v>
      </c>
      <c r="E468" s="52">
        <v>46003.563194444447</v>
      </c>
      <c r="F468" s="52">
        <v>46003.607638888891</v>
      </c>
      <c r="G468" s="53">
        <f t="shared" si="25"/>
        <v>4.4444444443797693E-2</v>
      </c>
      <c r="H468" s="1" t="s">
        <v>248</v>
      </c>
      <c r="J468" s="1" t="s">
        <v>249</v>
      </c>
      <c r="K468" s="1" t="str">
        <f>_xlfn.XLOOKUP(J468,REF!$D$2:$D$12,REF!$E$2:$E$12)</f>
        <v>Rede</v>
      </c>
      <c r="L468" s="1" t="s">
        <v>770</v>
      </c>
      <c r="M468" s="1" t="s">
        <v>736</v>
      </c>
      <c r="N468" s="1" t="s">
        <v>330</v>
      </c>
      <c r="O468" s="1" t="s">
        <v>739</v>
      </c>
      <c r="P468" s="1" t="str">
        <f t="shared" si="26"/>
        <v>ARAGUATINS 1.1Inverter(MBUS-12)46003,563194444446003,563194444446003,6076388889</v>
      </c>
      <c r="Q468" s="1" t="str">
        <f t="shared" si="27"/>
        <v>DAURDE</v>
      </c>
    </row>
    <row r="469" spans="2:17" hidden="1">
      <c r="B469" s="1" t="s">
        <v>353</v>
      </c>
      <c r="C469" s="1" t="s">
        <v>357</v>
      </c>
      <c r="D469" s="52">
        <v>46003.563194444447</v>
      </c>
      <c r="E469" s="52">
        <v>46003.563194444447</v>
      </c>
      <c r="F469" s="52">
        <v>46003.607638888891</v>
      </c>
      <c r="G469" s="53">
        <f t="shared" si="25"/>
        <v>4.4444444443797693E-2</v>
      </c>
      <c r="H469" s="1" t="s">
        <v>248</v>
      </c>
      <c r="J469" s="1" t="s">
        <v>249</v>
      </c>
      <c r="K469" s="1" t="str">
        <f>_xlfn.XLOOKUP(J469,REF!$D$2:$D$12,REF!$E$2:$E$12)</f>
        <v>Rede</v>
      </c>
      <c r="L469" s="1" t="s">
        <v>770</v>
      </c>
      <c r="M469" s="1" t="s">
        <v>736</v>
      </c>
      <c r="N469" s="1" t="s">
        <v>330</v>
      </c>
      <c r="O469" s="1" t="s">
        <v>739</v>
      </c>
      <c r="P469" s="1" t="str">
        <f t="shared" si="26"/>
        <v>ARAGUATINS 1.1Inverter(MBUS-13)46003,563194444446003,563194444446003,6076388889</v>
      </c>
      <c r="Q469" s="1" t="str">
        <f t="shared" si="27"/>
        <v>DAURDE</v>
      </c>
    </row>
    <row r="470" spans="2:17" hidden="1">
      <c r="B470" s="1" t="s">
        <v>353</v>
      </c>
      <c r="C470" s="1" t="s">
        <v>358</v>
      </c>
      <c r="D470" s="52">
        <v>46003.563194444447</v>
      </c>
      <c r="E470" s="52">
        <v>46003.563194444447</v>
      </c>
      <c r="F470" s="52">
        <v>46003.607638888891</v>
      </c>
      <c r="G470" s="53">
        <f t="shared" si="25"/>
        <v>4.4444444443797693E-2</v>
      </c>
      <c r="H470" s="1" t="s">
        <v>248</v>
      </c>
      <c r="J470" s="1" t="s">
        <v>249</v>
      </c>
      <c r="K470" s="1" t="str">
        <f>_xlfn.XLOOKUP(J470,REF!$D$2:$D$12,REF!$E$2:$E$12)</f>
        <v>Rede</v>
      </c>
      <c r="L470" s="1" t="s">
        <v>770</v>
      </c>
      <c r="M470" s="1" t="s">
        <v>736</v>
      </c>
      <c r="N470" s="1" t="s">
        <v>330</v>
      </c>
      <c r="O470" s="1" t="s">
        <v>739</v>
      </c>
      <c r="P470" s="1" t="str">
        <f t="shared" si="26"/>
        <v>ARAGUATINS 1.1Inverter(MBUS-14)46003,563194444446003,563194444446003,6076388889</v>
      </c>
      <c r="Q470" s="1" t="str">
        <f t="shared" si="27"/>
        <v>DAURDE</v>
      </c>
    </row>
    <row r="471" spans="2:17" hidden="1">
      <c r="B471" s="1" t="s">
        <v>353</v>
      </c>
      <c r="C471" s="1" t="s">
        <v>359</v>
      </c>
      <c r="D471" s="52">
        <v>46003.563194444447</v>
      </c>
      <c r="E471" s="52">
        <v>46003.563194444447</v>
      </c>
      <c r="F471" s="52">
        <v>46003.607638888891</v>
      </c>
      <c r="G471" s="53">
        <f t="shared" si="25"/>
        <v>4.4444444443797693E-2</v>
      </c>
      <c r="H471" s="1" t="s">
        <v>248</v>
      </c>
      <c r="J471" s="1" t="s">
        <v>249</v>
      </c>
      <c r="K471" s="1" t="str">
        <f>_xlfn.XLOOKUP(J471,REF!$D$2:$D$12,REF!$E$2:$E$12)</f>
        <v>Rede</v>
      </c>
      <c r="L471" s="1" t="s">
        <v>770</v>
      </c>
      <c r="M471" s="1" t="s">
        <v>736</v>
      </c>
      <c r="N471" s="1" t="s">
        <v>330</v>
      </c>
      <c r="O471" s="1" t="s">
        <v>739</v>
      </c>
      <c r="P471" s="1" t="str">
        <f t="shared" si="26"/>
        <v>ARAGUATINS 1.1Inverter(MBUS-15)46003,563194444446003,563194444446003,6076388889</v>
      </c>
      <c r="Q471" s="1" t="str">
        <f t="shared" si="27"/>
        <v>DAURDE</v>
      </c>
    </row>
    <row r="472" spans="2:17" hidden="1">
      <c r="B472" s="1" t="s">
        <v>360</v>
      </c>
      <c r="C472" s="1" t="s">
        <v>354</v>
      </c>
      <c r="D472" s="52">
        <v>46003.563194444447</v>
      </c>
      <c r="E472" s="52">
        <v>46003.563194444447</v>
      </c>
      <c r="F472" s="52">
        <v>46003.607638888891</v>
      </c>
      <c r="G472" s="53">
        <f t="shared" si="25"/>
        <v>4.4444444443797693E-2</v>
      </c>
      <c r="H472" s="1" t="s">
        <v>248</v>
      </c>
      <c r="J472" s="1" t="s">
        <v>249</v>
      </c>
      <c r="K472" s="1" t="str">
        <f>_xlfn.XLOOKUP(J472,REF!$D$2:$D$12,REF!$E$2:$E$12)</f>
        <v>Rede</v>
      </c>
      <c r="L472" s="1" t="s">
        <v>770</v>
      </c>
      <c r="M472" s="1" t="s">
        <v>736</v>
      </c>
      <c r="N472" s="1" t="s">
        <v>330</v>
      </c>
      <c r="O472" s="1" t="s">
        <v>739</v>
      </c>
      <c r="P472" s="1" t="str">
        <f t="shared" si="26"/>
        <v>ARAGUATINS 1.2Inverter(MBUS-12)46003,563194444446003,563194444446003,6076388889</v>
      </c>
      <c r="Q472" s="1" t="str">
        <f t="shared" si="27"/>
        <v>DAURDE</v>
      </c>
    </row>
    <row r="473" spans="2:17" hidden="1">
      <c r="B473" s="1" t="s">
        <v>360</v>
      </c>
      <c r="C473" s="1" t="s">
        <v>357</v>
      </c>
      <c r="D473" s="52">
        <v>46003.563194444447</v>
      </c>
      <c r="E473" s="52">
        <v>46003.563194444447</v>
      </c>
      <c r="F473" s="52">
        <v>46003.607638888891</v>
      </c>
      <c r="G473" s="53">
        <f t="shared" si="25"/>
        <v>4.4444444443797693E-2</v>
      </c>
      <c r="H473" s="1" t="s">
        <v>248</v>
      </c>
      <c r="J473" s="1" t="s">
        <v>249</v>
      </c>
      <c r="K473" s="1" t="str">
        <f>_xlfn.XLOOKUP(J473,REF!$D$2:$D$12,REF!$E$2:$E$12)</f>
        <v>Rede</v>
      </c>
      <c r="L473" s="1" t="s">
        <v>770</v>
      </c>
      <c r="M473" s="1" t="s">
        <v>736</v>
      </c>
      <c r="N473" s="1" t="s">
        <v>330</v>
      </c>
      <c r="O473" s="1" t="s">
        <v>739</v>
      </c>
      <c r="P473" s="1" t="str">
        <f t="shared" si="26"/>
        <v>ARAGUATINS 1.2Inverter(MBUS-13)46003,563194444446003,563194444446003,6076388889</v>
      </c>
      <c r="Q473" s="1" t="str">
        <f t="shared" si="27"/>
        <v>DAURDE</v>
      </c>
    </row>
    <row r="474" spans="2:17" hidden="1">
      <c r="B474" s="1" t="s">
        <v>360</v>
      </c>
      <c r="C474" s="1" t="s">
        <v>358</v>
      </c>
      <c r="D474" s="52">
        <v>46003.563194444447</v>
      </c>
      <c r="E474" s="52">
        <v>46003.563194444447</v>
      </c>
      <c r="F474" s="52">
        <v>46003.607638888891</v>
      </c>
      <c r="G474" s="53">
        <f t="shared" si="25"/>
        <v>4.4444444443797693E-2</v>
      </c>
      <c r="H474" s="1" t="s">
        <v>248</v>
      </c>
      <c r="J474" s="1" t="s">
        <v>249</v>
      </c>
      <c r="K474" s="1" t="str">
        <f>_xlfn.XLOOKUP(J474,REF!$D$2:$D$12,REF!$E$2:$E$12)</f>
        <v>Rede</v>
      </c>
      <c r="L474" s="1" t="s">
        <v>770</v>
      </c>
      <c r="M474" s="1" t="s">
        <v>736</v>
      </c>
      <c r="N474" s="1" t="s">
        <v>330</v>
      </c>
      <c r="O474" s="1" t="s">
        <v>739</v>
      </c>
      <c r="P474" s="1" t="str">
        <f t="shared" si="26"/>
        <v>ARAGUATINS 1.2Inverter(MBUS-14)46003,563194444446003,563194444446003,6076388889</v>
      </c>
      <c r="Q474" s="1" t="str">
        <f t="shared" si="27"/>
        <v>DAURDE</v>
      </c>
    </row>
    <row r="475" spans="2:17" hidden="1">
      <c r="B475" s="1" t="s">
        <v>360</v>
      </c>
      <c r="C475" s="1" t="s">
        <v>359</v>
      </c>
      <c r="D475" s="52">
        <v>46003.563194444447</v>
      </c>
      <c r="E475" s="52">
        <v>46003.563194444447</v>
      </c>
      <c r="F475" s="52">
        <v>46003.607638888891</v>
      </c>
      <c r="G475" s="53">
        <f t="shared" si="25"/>
        <v>4.4444444443797693E-2</v>
      </c>
      <c r="H475" s="1" t="s">
        <v>248</v>
      </c>
      <c r="J475" s="1" t="s">
        <v>249</v>
      </c>
      <c r="K475" s="1" t="str">
        <f>_xlfn.XLOOKUP(J475,REF!$D$2:$D$12,REF!$E$2:$E$12)</f>
        <v>Rede</v>
      </c>
      <c r="L475" s="1" t="s">
        <v>770</v>
      </c>
      <c r="M475" s="1" t="s">
        <v>736</v>
      </c>
      <c r="N475" s="1" t="s">
        <v>330</v>
      </c>
      <c r="O475" s="1" t="s">
        <v>739</v>
      </c>
      <c r="P475" s="1" t="str">
        <f t="shared" si="26"/>
        <v>ARAGUATINS 1.2Inverter(MBUS-15)46003,563194444446003,563194444446003,6076388889</v>
      </c>
      <c r="Q475" s="1" t="str">
        <f t="shared" si="27"/>
        <v>DAURDE</v>
      </c>
    </row>
    <row r="476" spans="2:17" hidden="1">
      <c r="B476" s="1" t="s">
        <v>361</v>
      </c>
      <c r="C476" s="1" t="s">
        <v>362</v>
      </c>
      <c r="D476" s="52">
        <v>46003.563194444447</v>
      </c>
      <c r="E476" s="52">
        <v>46003.563194444447</v>
      </c>
      <c r="F476" s="52">
        <v>46003.607638888891</v>
      </c>
      <c r="G476" s="53">
        <f t="shared" si="25"/>
        <v>4.4444444443797693E-2</v>
      </c>
      <c r="H476" s="1" t="s">
        <v>248</v>
      </c>
      <c r="J476" s="1" t="s">
        <v>249</v>
      </c>
      <c r="K476" s="1" t="str">
        <f>_xlfn.XLOOKUP(J476,REF!$D$2:$D$12,REF!$E$2:$E$12)</f>
        <v>Rede</v>
      </c>
      <c r="L476" s="1" t="s">
        <v>770</v>
      </c>
      <c r="M476" s="1" t="s">
        <v>736</v>
      </c>
      <c r="N476" s="1" t="s">
        <v>330</v>
      </c>
      <c r="O476" s="1" t="s">
        <v>739</v>
      </c>
      <c r="P476" s="1" t="str">
        <f t="shared" si="26"/>
        <v>ARAGUATINS 1.3Inverter(MBUS-20)46003,563194444446003,563194444446003,6076388889</v>
      </c>
      <c r="Q476" s="1" t="str">
        <f t="shared" si="27"/>
        <v>DAURDE</v>
      </c>
    </row>
    <row r="477" spans="2:17" hidden="1">
      <c r="B477" s="1" t="s">
        <v>361</v>
      </c>
      <c r="C477" s="1" t="s">
        <v>328</v>
      </c>
      <c r="D477" s="52">
        <v>46003.563194444447</v>
      </c>
      <c r="E477" s="52">
        <v>46003.563194444447</v>
      </c>
      <c r="F477" s="52">
        <v>46003.607638888891</v>
      </c>
      <c r="G477" s="53">
        <f t="shared" si="25"/>
        <v>4.4444444443797693E-2</v>
      </c>
      <c r="H477" s="1" t="s">
        <v>248</v>
      </c>
      <c r="J477" s="1" t="s">
        <v>249</v>
      </c>
      <c r="K477" s="1" t="str">
        <f>_xlfn.XLOOKUP(J477,REF!$D$2:$D$12,REF!$E$2:$E$12)</f>
        <v>Rede</v>
      </c>
      <c r="L477" s="1" t="s">
        <v>770</v>
      </c>
      <c r="M477" s="1" t="s">
        <v>736</v>
      </c>
      <c r="N477" s="1" t="s">
        <v>330</v>
      </c>
      <c r="O477" s="1" t="s">
        <v>739</v>
      </c>
      <c r="P477" s="1" t="str">
        <f t="shared" si="26"/>
        <v>ARAGUATINS 1.3Inverter(MBUS-1)46003,563194444446003,563194444446003,6076388889</v>
      </c>
      <c r="Q477" s="1" t="str">
        <f t="shared" si="27"/>
        <v>DAURDE</v>
      </c>
    </row>
    <row r="478" spans="2:17" hidden="1">
      <c r="B478" s="1" t="s">
        <v>363</v>
      </c>
      <c r="C478" s="1" t="s">
        <v>354</v>
      </c>
      <c r="D478" s="52">
        <v>46003.563194444447</v>
      </c>
      <c r="E478" s="52">
        <v>46003.563194444447</v>
      </c>
      <c r="F478" s="52">
        <v>46003.607638888891</v>
      </c>
      <c r="G478" s="53">
        <f t="shared" si="25"/>
        <v>4.4444444443797693E-2</v>
      </c>
      <c r="H478" s="1" t="s">
        <v>248</v>
      </c>
      <c r="J478" s="1" t="s">
        <v>249</v>
      </c>
      <c r="K478" s="1" t="str">
        <f>_xlfn.XLOOKUP(J478,REF!$D$2:$D$12,REF!$E$2:$E$12)</f>
        <v>Rede</v>
      </c>
      <c r="L478" s="1" t="s">
        <v>770</v>
      </c>
      <c r="M478" s="1" t="s">
        <v>736</v>
      </c>
      <c r="N478" s="1" t="s">
        <v>330</v>
      </c>
      <c r="O478" s="1" t="s">
        <v>739</v>
      </c>
      <c r="P478" s="1" t="str">
        <f t="shared" si="26"/>
        <v>ARAGUATINS 2.1Inverter(MBUS-12)46003,563194444446003,563194444446003,6076388889</v>
      </c>
      <c r="Q478" s="1" t="str">
        <f t="shared" si="27"/>
        <v>DAURDE</v>
      </c>
    </row>
    <row r="479" spans="2:17" hidden="1">
      <c r="B479" s="1" t="s">
        <v>363</v>
      </c>
      <c r="C479" s="1" t="s">
        <v>359</v>
      </c>
      <c r="D479" s="52">
        <v>46003.563194444447</v>
      </c>
      <c r="E479" s="52">
        <v>46003.563194444447</v>
      </c>
      <c r="F479" s="52">
        <v>46003.607638888891</v>
      </c>
      <c r="G479" s="53">
        <f t="shared" si="25"/>
        <v>4.4444444443797693E-2</v>
      </c>
      <c r="H479" s="1" t="s">
        <v>248</v>
      </c>
      <c r="J479" s="1" t="s">
        <v>249</v>
      </c>
      <c r="K479" s="1" t="str">
        <f>_xlfn.XLOOKUP(J479,REF!$D$2:$D$12,REF!$E$2:$E$12)</f>
        <v>Rede</v>
      </c>
      <c r="L479" s="1" t="s">
        <v>770</v>
      </c>
      <c r="M479" s="1" t="s">
        <v>736</v>
      </c>
      <c r="N479" s="1" t="s">
        <v>330</v>
      </c>
      <c r="O479" s="1" t="s">
        <v>739</v>
      </c>
      <c r="P479" s="1" t="str">
        <f t="shared" si="26"/>
        <v>ARAGUATINS 2.1Inverter(MBUS-15)46003,563194444446003,563194444446003,6076388889</v>
      </c>
      <c r="Q479" s="1" t="str">
        <f t="shared" si="27"/>
        <v>DAURDE</v>
      </c>
    </row>
    <row r="480" spans="2:17" hidden="1">
      <c r="B480" s="1" t="s">
        <v>363</v>
      </c>
      <c r="C480" s="1" t="s">
        <v>358</v>
      </c>
      <c r="D480" s="52">
        <v>46003.563194444447</v>
      </c>
      <c r="E480" s="52">
        <v>46003.563194444447</v>
      </c>
      <c r="F480" s="52">
        <v>46003.607638888891</v>
      </c>
      <c r="G480" s="53">
        <f t="shared" si="25"/>
        <v>4.4444444443797693E-2</v>
      </c>
      <c r="H480" s="1" t="s">
        <v>248</v>
      </c>
      <c r="J480" s="1" t="s">
        <v>249</v>
      </c>
      <c r="K480" s="1" t="str">
        <f>_xlfn.XLOOKUP(J480,REF!$D$2:$D$12,REF!$E$2:$E$12)</f>
        <v>Rede</v>
      </c>
      <c r="L480" s="1" t="s">
        <v>770</v>
      </c>
      <c r="M480" s="1" t="s">
        <v>736</v>
      </c>
      <c r="N480" s="1" t="s">
        <v>330</v>
      </c>
      <c r="O480" s="1" t="s">
        <v>739</v>
      </c>
      <c r="P480" s="1" t="str">
        <f t="shared" si="26"/>
        <v>ARAGUATINS 2.1Inverter(MBUS-14)46003,563194444446003,563194444446003,6076388889</v>
      </c>
      <c r="Q480" s="1" t="str">
        <f t="shared" si="27"/>
        <v>DAURDE</v>
      </c>
    </row>
    <row r="481" spans="2:17" hidden="1">
      <c r="B481" s="1" t="s">
        <v>363</v>
      </c>
      <c r="C481" s="1" t="s">
        <v>328</v>
      </c>
      <c r="D481" s="52">
        <v>46003.563194444447</v>
      </c>
      <c r="E481" s="52">
        <v>46003.563194444447</v>
      </c>
      <c r="F481" s="52">
        <v>46003.607638888891</v>
      </c>
      <c r="G481" s="53">
        <f t="shared" si="25"/>
        <v>4.4444444443797693E-2</v>
      </c>
      <c r="H481" s="1" t="s">
        <v>248</v>
      </c>
      <c r="J481" s="1" t="s">
        <v>249</v>
      </c>
      <c r="K481" s="1" t="str">
        <f>_xlfn.XLOOKUP(J481,REF!$D$2:$D$12,REF!$E$2:$E$12)</f>
        <v>Rede</v>
      </c>
      <c r="L481" s="1" t="s">
        <v>770</v>
      </c>
      <c r="M481" s="1" t="s">
        <v>736</v>
      </c>
      <c r="N481" s="1" t="s">
        <v>330</v>
      </c>
      <c r="O481" s="1" t="s">
        <v>739</v>
      </c>
      <c r="P481" s="1" t="str">
        <f t="shared" si="26"/>
        <v>ARAGUATINS 2.1Inverter(MBUS-1)46003,563194444446003,563194444446003,6076388889</v>
      </c>
      <c r="Q481" s="1" t="str">
        <f t="shared" si="27"/>
        <v>DAURDE</v>
      </c>
    </row>
    <row r="482" spans="2:17" hidden="1">
      <c r="B482" s="1" t="s">
        <v>369</v>
      </c>
      <c r="C482" s="1" t="s">
        <v>359</v>
      </c>
      <c r="D482" s="52">
        <v>46003.563194444447</v>
      </c>
      <c r="E482" s="52">
        <v>46003.563194444447</v>
      </c>
      <c r="F482" s="52">
        <v>46003.607638888891</v>
      </c>
      <c r="G482" s="53">
        <f t="shared" si="25"/>
        <v>4.4444444443797693E-2</v>
      </c>
      <c r="H482" s="1" t="s">
        <v>248</v>
      </c>
      <c r="J482" s="1" t="s">
        <v>249</v>
      </c>
      <c r="K482" s="1" t="str">
        <f>_xlfn.XLOOKUP(J482,REF!$D$2:$D$12,REF!$E$2:$E$12)</f>
        <v>Rede</v>
      </c>
      <c r="L482" s="1" t="s">
        <v>770</v>
      </c>
      <c r="M482" s="1" t="s">
        <v>736</v>
      </c>
      <c r="N482" s="1" t="s">
        <v>330</v>
      </c>
      <c r="O482" s="1" t="s">
        <v>739</v>
      </c>
      <c r="P482" s="1" t="str">
        <f t="shared" si="26"/>
        <v>ARAGUATINS 2.2Inverter(MBUS-15)46003,563194444446003,563194444446003,6076388889</v>
      </c>
      <c r="Q482" s="1" t="str">
        <f t="shared" si="27"/>
        <v>DAURDE</v>
      </c>
    </row>
    <row r="483" spans="2:17" hidden="1">
      <c r="B483" s="1" t="s">
        <v>369</v>
      </c>
      <c r="C483" s="1" t="s">
        <v>357</v>
      </c>
      <c r="D483" s="52">
        <v>46003.563194444447</v>
      </c>
      <c r="E483" s="52">
        <v>46003.563194444447</v>
      </c>
      <c r="F483" s="52">
        <v>46003.607638888891</v>
      </c>
      <c r="G483" s="53">
        <f t="shared" si="25"/>
        <v>4.4444444443797693E-2</v>
      </c>
      <c r="H483" s="1" t="s">
        <v>248</v>
      </c>
      <c r="J483" s="1" t="s">
        <v>249</v>
      </c>
      <c r="K483" s="1" t="str">
        <f>_xlfn.XLOOKUP(J483,REF!$D$2:$D$12,REF!$E$2:$E$12)</f>
        <v>Rede</v>
      </c>
      <c r="L483" s="1" t="s">
        <v>770</v>
      </c>
      <c r="M483" s="1" t="s">
        <v>736</v>
      </c>
      <c r="N483" s="1" t="s">
        <v>330</v>
      </c>
      <c r="O483" s="1" t="s">
        <v>739</v>
      </c>
      <c r="P483" s="1" t="str">
        <f t="shared" si="26"/>
        <v>ARAGUATINS 2.2Inverter(MBUS-13)46003,563194444446003,563194444446003,6076388889</v>
      </c>
      <c r="Q483" s="1" t="str">
        <f t="shared" si="27"/>
        <v>DAURDE</v>
      </c>
    </row>
    <row r="484" spans="2:17" hidden="1">
      <c r="B484" s="1" t="s">
        <v>369</v>
      </c>
      <c r="C484" s="1" t="s">
        <v>358</v>
      </c>
      <c r="D484" s="52">
        <v>46003.563194444447</v>
      </c>
      <c r="E484" s="52">
        <v>46003.563194444447</v>
      </c>
      <c r="F484" s="52">
        <v>46003.607638888891</v>
      </c>
      <c r="G484" s="53">
        <f t="shared" si="25"/>
        <v>4.4444444443797693E-2</v>
      </c>
      <c r="H484" s="1" t="s">
        <v>248</v>
      </c>
      <c r="J484" s="1" t="s">
        <v>249</v>
      </c>
      <c r="K484" s="1" t="str">
        <f>_xlfn.XLOOKUP(J484,REF!$D$2:$D$12,REF!$E$2:$E$12)</f>
        <v>Rede</v>
      </c>
      <c r="L484" s="1" t="s">
        <v>770</v>
      </c>
      <c r="M484" s="1" t="s">
        <v>736</v>
      </c>
      <c r="N484" s="1" t="s">
        <v>330</v>
      </c>
      <c r="O484" s="1" t="s">
        <v>739</v>
      </c>
      <c r="P484" s="1" t="str">
        <f t="shared" si="26"/>
        <v>ARAGUATINS 2.2Inverter(MBUS-14)46003,563194444446003,563194444446003,6076388889</v>
      </c>
      <c r="Q484" s="1" t="str">
        <f t="shared" si="27"/>
        <v>DAURDE</v>
      </c>
    </row>
    <row r="485" spans="2:17" hidden="1">
      <c r="B485" s="1" t="s">
        <v>369</v>
      </c>
      <c r="C485" s="1" t="s">
        <v>354</v>
      </c>
      <c r="D485" s="52">
        <v>46003.563194444447</v>
      </c>
      <c r="E485" s="52">
        <v>46003.563194444447</v>
      </c>
      <c r="F485" s="52">
        <v>46003.607638888891</v>
      </c>
      <c r="G485" s="53">
        <f t="shared" si="25"/>
        <v>4.4444444443797693E-2</v>
      </c>
      <c r="H485" s="1" t="s">
        <v>248</v>
      </c>
      <c r="J485" s="1" t="s">
        <v>249</v>
      </c>
      <c r="K485" s="1" t="str">
        <f>_xlfn.XLOOKUP(J485,REF!$D$2:$D$12,REF!$E$2:$E$12)</f>
        <v>Rede</v>
      </c>
      <c r="L485" s="1" t="s">
        <v>770</v>
      </c>
      <c r="M485" s="1" t="s">
        <v>736</v>
      </c>
      <c r="N485" s="1" t="s">
        <v>330</v>
      </c>
      <c r="O485" s="1" t="s">
        <v>739</v>
      </c>
      <c r="P485" s="1" t="str">
        <f t="shared" si="26"/>
        <v>ARAGUATINS 2.2Inverter(MBUS-12)46003,563194444446003,563194444446003,6076388889</v>
      </c>
      <c r="Q485" s="1" t="str">
        <f t="shared" si="27"/>
        <v>DAURDE</v>
      </c>
    </row>
    <row r="486" spans="2:17" hidden="1">
      <c r="B486" s="1" t="s">
        <v>370</v>
      </c>
      <c r="C486" s="1" t="s">
        <v>354</v>
      </c>
      <c r="D486" s="52">
        <v>46003.563194444447</v>
      </c>
      <c r="E486" s="52">
        <v>46003.563194444447</v>
      </c>
      <c r="F486" s="52">
        <v>46003.607638888891</v>
      </c>
      <c r="G486" s="53">
        <f t="shared" si="25"/>
        <v>4.4444444443797693E-2</v>
      </c>
      <c r="H486" s="1" t="s">
        <v>248</v>
      </c>
      <c r="J486" s="1" t="s">
        <v>249</v>
      </c>
      <c r="K486" s="1" t="str">
        <f>_xlfn.XLOOKUP(J486,REF!$D$2:$D$12,REF!$E$2:$E$12)</f>
        <v>Rede</v>
      </c>
      <c r="L486" s="1" t="s">
        <v>770</v>
      </c>
      <c r="M486" s="1" t="s">
        <v>736</v>
      </c>
      <c r="N486" s="1" t="s">
        <v>330</v>
      </c>
      <c r="O486" s="1" t="s">
        <v>739</v>
      </c>
      <c r="P486" s="1" t="str">
        <f t="shared" si="26"/>
        <v>ARAGUATINS 2.3Inverter(MBUS-12)46003,563194444446003,563194444446003,6076388889</v>
      </c>
      <c r="Q486" s="1" t="str">
        <f t="shared" si="27"/>
        <v>DAURDE</v>
      </c>
    </row>
    <row r="487" spans="2:17" hidden="1">
      <c r="B487" s="1" t="s">
        <v>370</v>
      </c>
      <c r="C487" s="1" t="s">
        <v>357</v>
      </c>
      <c r="D487" s="52">
        <v>46003.563194444447</v>
      </c>
      <c r="E487" s="52">
        <v>46003.563194444447</v>
      </c>
      <c r="F487" s="52">
        <v>46003.607638888891</v>
      </c>
      <c r="G487" s="53">
        <f t="shared" si="25"/>
        <v>4.4444444443797693E-2</v>
      </c>
      <c r="H487" s="1" t="s">
        <v>248</v>
      </c>
      <c r="J487" s="1" t="s">
        <v>249</v>
      </c>
      <c r="K487" s="1" t="str">
        <f>_xlfn.XLOOKUP(J487,REF!$D$2:$D$12,REF!$E$2:$E$12)</f>
        <v>Rede</v>
      </c>
      <c r="L487" s="1" t="s">
        <v>770</v>
      </c>
      <c r="M487" s="1" t="s">
        <v>736</v>
      </c>
      <c r="N487" s="1" t="s">
        <v>330</v>
      </c>
      <c r="O487" s="1" t="s">
        <v>739</v>
      </c>
      <c r="P487" s="1" t="str">
        <f t="shared" si="26"/>
        <v>ARAGUATINS 2.3Inverter(MBUS-13)46003,563194444446003,563194444446003,6076388889</v>
      </c>
      <c r="Q487" s="1" t="str">
        <f t="shared" si="27"/>
        <v>DAURDE</v>
      </c>
    </row>
    <row r="488" spans="2:17" hidden="1">
      <c r="B488" s="1" t="s">
        <v>771</v>
      </c>
      <c r="C488" s="1" t="s">
        <v>772</v>
      </c>
      <c r="D488" s="52">
        <v>46003.506944444445</v>
      </c>
      <c r="E488" s="52">
        <v>46003.506944444445</v>
      </c>
      <c r="F488" s="52">
        <v>46003.604166666664</v>
      </c>
      <c r="G488" s="53">
        <f t="shared" si="25"/>
        <v>9.7222222218988463E-2</v>
      </c>
      <c r="H488" s="1" t="s">
        <v>248</v>
      </c>
      <c r="J488" s="1" t="s">
        <v>249</v>
      </c>
      <c r="K488" s="1" t="str">
        <f>_xlfn.XLOOKUP(J488,REF!$D$2:$D$12,REF!$E$2:$E$12)</f>
        <v>Rede</v>
      </c>
      <c r="L488" s="1" t="s">
        <v>711</v>
      </c>
      <c r="M488" s="1" t="s">
        <v>251</v>
      </c>
      <c r="N488" s="1" t="s">
        <v>252</v>
      </c>
      <c r="O488" s="1" t="s">
        <v>712</v>
      </c>
      <c r="P488" s="1" t="str">
        <f t="shared" si="26"/>
        <v>Rio Monte ISG75CX(COM2-001)_001_01846003,506944444446003,506944444446003,6041666667</v>
      </c>
      <c r="Q488" s="1" t="str">
        <f t="shared" si="27"/>
        <v>DAURDE</v>
      </c>
    </row>
    <row r="489" spans="2:17" hidden="1">
      <c r="B489" s="1" t="s">
        <v>773</v>
      </c>
      <c r="C489" s="1" t="s">
        <v>774</v>
      </c>
      <c r="D489" s="52">
        <v>46003.506944444445</v>
      </c>
      <c r="E489" s="52">
        <v>46003.506944444445</v>
      </c>
      <c r="F489" s="52">
        <v>46003.604166666664</v>
      </c>
      <c r="G489" s="53">
        <f t="shared" si="25"/>
        <v>9.7222222218988463E-2</v>
      </c>
      <c r="H489" s="1" t="s">
        <v>248</v>
      </c>
      <c r="J489" s="1" t="s">
        <v>249</v>
      </c>
      <c r="K489" s="1" t="str">
        <f>_xlfn.XLOOKUP(J489,REF!$D$2:$D$12,REF!$E$2:$E$12)</f>
        <v>Rede</v>
      </c>
      <c r="L489" s="1" t="s">
        <v>711</v>
      </c>
      <c r="M489" s="1" t="s">
        <v>251</v>
      </c>
      <c r="N489" s="1" t="s">
        <v>252</v>
      </c>
      <c r="O489" s="1" t="s">
        <v>712</v>
      </c>
      <c r="P489" s="1" t="str">
        <f t="shared" si="26"/>
        <v>Rio Monte IISG40CX(COM2-007)_001_01746003,506944444446003,506944444446003,6041666667</v>
      </c>
      <c r="Q489" s="1" t="str">
        <f t="shared" si="27"/>
        <v>DAURDE</v>
      </c>
    </row>
    <row r="490" spans="2:17" hidden="1">
      <c r="B490" s="1" t="s">
        <v>773</v>
      </c>
      <c r="C490" s="1" t="s">
        <v>775</v>
      </c>
      <c r="D490" s="52">
        <v>46003.506944444445</v>
      </c>
      <c r="E490" s="52">
        <v>46003.506944444445</v>
      </c>
      <c r="F490" s="52">
        <v>46003.604166666664</v>
      </c>
      <c r="G490" s="53">
        <f t="shared" si="25"/>
        <v>9.7222222218988463E-2</v>
      </c>
      <c r="H490" s="1" t="s">
        <v>248</v>
      </c>
      <c r="J490" s="1" t="s">
        <v>249</v>
      </c>
      <c r="K490" s="1" t="str">
        <f>_xlfn.XLOOKUP(J490,REF!$D$2:$D$12,REF!$E$2:$E$12)</f>
        <v>Rede</v>
      </c>
      <c r="L490" s="1" t="s">
        <v>711</v>
      </c>
      <c r="M490" s="1" t="s">
        <v>251</v>
      </c>
      <c r="N490" s="1" t="s">
        <v>252</v>
      </c>
      <c r="O490" s="1" t="s">
        <v>712</v>
      </c>
      <c r="P490" s="1" t="str">
        <f t="shared" si="26"/>
        <v>Rio Monte IISG60KTL(COM1-002)_001_00546003,506944444446003,506944444446003,6041666667</v>
      </c>
      <c r="Q490" s="1" t="str">
        <f t="shared" si="27"/>
        <v>DAURDE</v>
      </c>
    </row>
    <row r="491" spans="2:17" hidden="1">
      <c r="B491" s="1" t="s">
        <v>773</v>
      </c>
      <c r="C491" s="1" t="s">
        <v>776</v>
      </c>
      <c r="D491" s="52">
        <v>46003.506944444445</v>
      </c>
      <c r="E491" s="52">
        <v>46003.506944444445</v>
      </c>
      <c r="F491" s="52">
        <v>46003.604166666664</v>
      </c>
      <c r="G491" s="53">
        <f t="shared" si="25"/>
        <v>9.7222222218988463E-2</v>
      </c>
      <c r="H491" s="1" t="s">
        <v>248</v>
      </c>
      <c r="J491" s="1" t="s">
        <v>249</v>
      </c>
      <c r="K491" s="1" t="str">
        <f>_xlfn.XLOOKUP(J491,REF!$D$2:$D$12,REF!$E$2:$E$12)</f>
        <v>Rede</v>
      </c>
      <c r="L491" s="1" t="s">
        <v>711</v>
      </c>
      <c r="M491" s="1" t="s">
        <v>251</v>
      </c>
      <c r="N491" s="1" t="s">
        <v>252</v>
      </c>
      <c r="O491" s="1" t="s">
        <v>712</v>
      </c>
      <c r="P491" s="1" t="str">
        <f t="shared" si="26"/>
        <v>Rio Monte IISG60KTL(COM1-003)_001__01146003,506944444446003,506944444446003,6041666667</v>
      </c>
      <c r="Q491" s="1" t="str">
        <f t="shared" si="27"/>
        <v>DAURDE</v>
      </c>
    </row>
    <row r="492" spans="2:17" hidden="1">
      <c r="B492" s="1" t="s">
        <v>773</v>
      </c>
      <c r="C492" s="1" t="s">
        <v>777</v>
      </c>
      <c r="D492" s="52">
        <v>46003.506944444445</v>
      </c>
      <c r="E492" s="52">
        <v>46003.506944444445</v>
      </c>
      <c r="F492" s="52">
        <v>46003.604166666664</v>
      </c>
      <c r="G492" s="53">
        <f t="shared" si="25"/>
        <v>9.7222222218988463E-2</v>
      </c>
      <c r="H492" s="1" t="s">
        <v>248</v>
      </c>
      <c r="J492" s="1" t="s">
        <v>249</v>
      </c>
      <c r="K492" s="1" t="str">
        <f>_xlfn.XLOOKUP(J492,REF!$D$2:$D$12,REF!$E$2:$E$12)</f>
        <v>Rede</v>
      </c>
      <c r="L492" s="1" t="s">
        <v>711</v>
      </c>
      <c r="M492" s="1" t="s">
        <v>251</v>
      </c>
      <c r="N492" s="1" t="s">
        <v>252</v>
      </c>
      <c r="O492" s="1" t="s">
        <v>712</v>
      </c>
      <c r="P492" s="1" t="str">
        <f t="shared" si="26"/>
        <v>Rio Monte IISG60KTL(COM1-004)_001_00746003,506944444446003,506944444446003,6041666667</v>
      </c>
      <c r="Q492" s="1" t="str">
        <f t="shared" si="27"/>
        <v>DAURDE</v>
      </c>
    </row>
    <row r="493" spans="2:17" hidden="1">
      <c r="B493" s="1" t="s">
        <v>773</v>
      </c>
      <c r="C493" s="1" t="s">
        <v>778</v>
      </c>
      <c r="D493" s="52">
        <v>46003.506944444445</v>
      </c>
      <c r="E493" s="52">
        <v>46003.506944444445</v>
      </c>
      <c r="F493" s="52">
        <v>46003.604166666664</v>
      </c>
      <c r="G493" s="53">
        <f t="shared" si="25"/>
        <v>9.7222222218988463E-2</v>
      </c>
      <c r="H493" s="1" t="s">
        <v>248</v>
      </c>
      <c r="J493" s="1" t="s">
        <v>249</v>
      </c>
      <c r="K493" s="1" t="str">
        <f>_xlfn.XLOOKUP(J493,REF!$D$2:$D$12,REF!$E$2:$E$12)</f>
        <v>Rede</v>
      </c>
      <c r="L493" s="1" t="s">
        <v>711</v>
      </c>
      <c r="M493" s="1" t="s">
        <v>251</v>
      </c>
      <c r="N493" s="1" t="s">
        <v>252</v>
      </c>
      <c r="O493" s="1" t="s">
        <v>712</v>
      </c>
      <c r="P493" s="1" t="str">
        <f t="shared" si="26"/>
        <v>Rio Monte IISG60KTL(COM1-005)_001_00946003,506944444446003,506944444446003,6041666667</v>
      </c>
      <c r="Q493" s="1" t="str">
        <f t="shared" si="27"/>
        <v>DAURDE</v>
      </c>
    </row>
    <row r="494" spans="2:17" hidden="1">
      <c r="B494" s="1" t="s">
        <v>773</v>
      </c>
      <c r="C494" s="1" t="s">
        <v>779</v>
      </c>
      <c r="D494" s="52">
        <v>46003.506944444445</v>
      </c>
      <c r="E494" s="52">
        <v>46003.506944444445</v>
      </c>
      <c r="F494" s="52">
        <v>46003.604166666664</v>
      </c>
      <c r="G494" s="53">
        <f t="shared" si="25"/>
        <v>9.7222222218988463E-2</v>
      </c>
      <c r="H494" s="1" t="s">
        <v>248</v>
      </c>
      <c r="J494" s="1" t="s">
        <v>249</v>
      </c>
      <c r="K494" s="1" t="str">
        <f>_xlfn.XLOOKUP(J494,REF!$D$2:$D$12,REF!$E$2:$E$12)</f>
        <v>Rede</v>
      </c>
      <c r="L494" s="1" t="s">
        <v>711</v>
      </c>
      <c r="M494" s="1" t="s">
        <v>251</v>
      </c>
      <c r="N494" s="1" t="s">
        <v>252</v>
      </c>
      <c r="O494" s="1" t="s">
        <v>712</v>
      </c>
      <c r="P494" s="1" t="str">
        <f t="shared" si="26"/>
        <v>Rio Monte IISG60KTL(COM1-006)_001_00646003,506944444446003,506944444446003,6041666667</v>
      </c>
      <c r="Q494" s="1" t="str">
        <f t="shared" si="27"/>
        <v>DAURDE</v>
      </c>
    </row>
    <row r="495" spans="2:17" hidden="1">
      <c r="B495" s="1" t="s">
        <v>780</v>
      </c>
      <c r="C495" s="1" t="s">
        <v>269</v>
      </c>
      <c r="D495" s="52">
        <v>46003.506944444445</v>
      </c>
      <c r="E495" s="52">
        <v>46003.506944444445</v>
      </c>
      <c r="F495" s="52">
        <v>46003.524305555555</v>
      </c>
      <c r="G495" s="53">
        <f t="shared" si="25"/>
        <v>1.7361111109494232E-2</v>
      </c>
      <c r="H495" s="1" t="s">
        <v>248</v>
      </c>
      <c r="J495" s="1" t="s">
        <v>249</v>
      </c>
      <c r="K495" s="1" t="str">
        <f>_xlfn.XLOOKUP(J495,REF!$D$2:$D$12,REF!$E$2:$E$12)</f>
        <v>Rede</v>
      </c>
      <c r="L495" s="1" t="s">
        <v>745</v>
      </c>
      <c r="M495" s="1" t="s">
        <v>251</v>
      </c>
      <c r="N495" s="1" t="s">
        <v>330</v>
      </c>
      <c r="O495" s="1" t="s">
        <v>331</v>
      </c>
      <c r="P495" s="1" t="str">
        <f t="shared" si="26"/>
        <v>Caiaponia ISG60KTL(COM1-001)_001_00746003,506944444446003,506944444446003,5243055556</v>
      </c>
      <c r="Q495" s="1" t="str">
        <f t="shared" si="27"/>
        <v>DAURDE</v>
      </c>
    </row>
    <row r="496" spans="2:17" hidden="1">
      <c r="B496" s="1" t="s">
        <v>780</v>
      </c>
      <c r="C496" s="1" t="s">
        <v>270</v>
      </c>
      <c r="D496" s="52">
        <v>46003.506944444445</v>
      </c>
      <c r="E496" s="52">
        <v>46003.506944444445</v>
      </c>
      <c r="F496" s="52">
        <v>46003.524305555555</v>
      </c>
      <c r="G496" s="53">
        <f t="shared" si="25"/>
        <v>1.7361111109494232E-2</v>
      </c>
      <c r="H496" s="1" t="s">
        <v>248</v>
      </c>
      <c r="J496" s="1" t="s">
        <v>249</v>
      </c>
      <c r="K496" s="1" t="str">
        <f>_xlfn.XLOOKUP(J496,REF!$D$2:$D$12,REF!$E$2:$E$12)</f>
        <v>Rede</v>
      </c>
      <c r="L496" s="1" t="s">
        <v>745</v>
      </c>
      <c r="M496" s="1" t="s">
        <v>251</v>
      </c>
      <c r="N496" s="1" t="s">
        <v>330</v>
      </c>
      <c r="O496" s="1" t="s">
        <v>331</v>
      </c>
      <c r="P496" s="1" t="str">
        <f t="shared" si="26"/>
        <v>Caiaponia ISG60KTL(COM1-002)_001_01046003,506944444446003,506944444446003,5243055556</v>
      </c>
      <c r="Q496" s="1" t="str">
        <f t="shared" si="27"/>
        <v>DAURDE</v>
      </c>
    </row>
    <row r="497" spans="2:17" hidden="1">
      <c r="B497" s="1" t="s">
        <v>780</v>
      </c>
      <c r="C497" s="1" t="s">
        <v>271</v>
      </c>
      <c r="D497" s="52">
        <v>46003.506944444445</v>
      </c>
      <c r="E497" s="52">
        <v>46003.506944444445</v>
      </c>
      <c r="F497" s="52">
        <v>46003.524305555555</v>
      </c>
      <c r="G497" s="53">
        <f t="shared" si="25"/>
        <v>1.7361111109494232E-2</v>
      </c>
      <c r="H497" s="1" t="s">
        <v>248</v>
      </c>
      <c r="J497" s="1" t="s">
        <v>249</v>
      </c>
      <c r="K497" s="1" t="str">
        <f>_xlfn.XLOOKUP(J497,REF!$D$2:$D$12,REF!$E$2:$E$12)</f>
        <v>Rede</v>
      </c>
      <c r="L497" s="1" t="s">
        <v>745</v>
      </c>
      <c r="M497" s="1" t="s">
        <v>251</v>
      </c>
      <c r="N497" s="1" t="s">
        <v>330</v>
      </c>
      <c r="O497" s="1" t="s">
        <v>331</v>
      </c>
      <c r="P497" s="1" t="str">
        <f t="shared" si="26"/>
        <v>Caiaponia ISG60KTL(COM1-003)_001_01146003,506944444446003,506944444446003,5243055556</v>
      </c>
      <c r="Q497" s="1" t="str">
        <f t="shared" si="27"/>
        <v>DAURDE</v>
      </c>
    </row>
    <row r="498" spans="2:17" hidden="1">
      <c r="B498" s="1" t="s">
        <v>780</v>
      </c>
      <c r="C498" s="1" t="s">
        <v>272</v>
      </c>
      <c r="D498" s="52">
        <v>46003.506944444445</v>
      </c>
      <c r="E498" s="52">
        <v>46003.506944444445</v>
      </c>
      <c r="F498" s="52">
        <v>46003.524305555555</v>
      </c>
      <c r="G498" s="53">
        <f t="shared" si="25"/>
        <v>1.7361111109494232E-2</v>
      </c>
      <c r="H498" s="1" t="s">
        <v>248</v>
      </c>
      <c r="J498" s="1" t="s">
        <v>249</v>
      </c>
      <c r="K498" s="1" t="str">
        <f>_xlfn.XLOOKUP(J498,REF!$D$2:$D$12,REF!$E$2:$E$12)</f>
        <v>Rede</v>
      </c>
      <c r="L498" s="1" t="s">
        <v>745</v>
      </c>
      <c r="M498" s="1" t="s">
        <v>251</v>
      </c>
      <c r="N498" s="1" t="s">
        <v>330</v>
      </c>
      <c r="O498" s="1" t="s">
        <v>331</v>
      </c>
      <c r="P498" s="1" t="str">
        <f t="shared" si="26"/>
        <v>Caiaponia ISG60KTL(COM1-004)_001_01446003,506944444446003,506944444446003,5243055556</v>
      </c>
      <c r="Q498" s="1" t="str">
        <f t="shared" si="27"/>
        <v>DAURDE</v>
      </c>
    </row>
    <row r="499" spans="2:17" hidden="1">
      <c r="B499" s="1" t="s">
        <v>780</v>
      </c>
      <c r="C499" s="1" t="s">
        <v>273</v>
      </c>
      <c r="D499" s="52">
        <v>46003.506944444445</v>
      </c>
      <c r="E499" s="52">
        <v>46003.506944444445</v>
      </c>
      <c r="F499" s="52">
        <v>46003.524305555555</v>
      </c>
      <c r="G499" s="53">
        <f t="shared" si="25"/>
        <v>1.7361111109494232E-2</v>
      </c>
      <c r="H499" s="1" t="s">
        <v>248</v>
      </c>
      <c r="J499" s="1" t="s">
        <v>249</v>
      </c>
      <c r="K499" s="1" t="str">
        <f>_xlfn.XLOOKUP(J499,REF!$D$2:$D$12,REF!$E$2:$E$12)</f>
        <v>Rede</v>
      </c>
      <c r="L499" s="1" t="s">
        <v>745</v>
      </c>
      <c r="M499" s="1" t="s">
        <v>251</v>
      </c>
      <c r="N499" s="1" t="s">
        <v>330</v>
      </c>
      <c r="O499" s="1" t="s">
        <v>331</v>
      </c>
      <c r="P499" s="1" t="str">
        <f t="shared" si="26"/>
        <v>Caiaponia ISG60KTL(COM1-005)_001_01746003,506944444446003,506944444446003,5243055556</v>
      </c>
      <c r="Q499" s="1" t="str">
        <f t="shared" si="27"/>
        <v>DAURDE</v>
      </c>
    </row>
    <row r="500" spans="2:17" hidden="1">
      <c r="B500" s="1" t="s">
        <v>780</v>
      </c>
      <c r="C500" s="1" t="s">
        <v>274</v>
      </c>
      <c r="D500" s="52">
        <v>46003.506944444445</v>
      </c>
      <c r="E500" s="52">
        <v>46003.506944444445</v>
      </c>
      <c r="F500" s="52">
        <v>46003.524305555555</v>
      </c>
      <c r="G500" s="53">
        <f t="shared" si="25"/>
        <v>1.7361111109494232E-2</v>
      </c>
      <c r="H500" s="1" t="s">
        <v>248</v>
      </c>
      <c r="J500" s="1" t="s">
        <v>249</v>
      </c>
      <c r="K500" s="1" t="str">
        <f>_xlfn.XLOOKUP(J500,REF!$D$2:$D$12,REF!$E$2:$E$12)</f>
        <v>Rede</v>
      </c>
      <c r="L500" s="1" t="s">
        <v>745</v>
      </c>
      <c r="M500" s="1" t="s">
        <v>251</v>
      </c>
      <c r="N500" s="1" t="s">
        <v>330</v>
      </c>
      <c r="O500" s="1" t="s">
        <v>331</v>
      </c>
      <c r="P500" s="1" t="str">
        <f t="shared" si="26"/>
        <v>Caiaponia ISG60KTL(COM1-006)_001_01646003,506944444446003,506944444446003,5243055556</v>
      </c>
      <c r="Q500" s="1" t="str">
        <f t="shared" si="27"/>
        <v>DAURDE</v>
      </c>
    </row>
    <row r="501" spans="2:17" hidden="1">
      <c r="B501" s="1" t="s">
        <v>780</v>
      </c>
      <c r="C501" s="1" t="s">
        <v>275</v>
      </c>
      <c r="D501" s="52">
        <v>46003.506944444445</v>
      </c>
      <c r="E501" s="52">
        <v>46003.506944444445</v>
      </c>
      <c r="F501" s="52">
        <v>46003.524305555555</v>
      </c>
      <c r="G501" s="53">
        <f t="shared" si="25"/>
        <v>1.7361111109494232E-2</v>
      </c>
      <c r="H501" s="1" t="s">
        <v>248</v>
      </c>
      <c r="J501" s="1" t="s">
        <v>249</v>
      </c>
      <c r="K501" s="1" t="str">
        <f>_xlfn.XLOOKUP(J501,REF!$D$2:$D$12,REF!$E$2:$E$12)</f>
        <v>Rede</v>
      </c>
      <c r="L501" s="1" t="s">
        <v>745</v>
      </c>
      <c r="M501" s="1" t="s">
        <v>251</v>
      </c>
      <c r="N501" s="1" t="s">
        <v>330</v>
      </c>
      <c r="O501" s="1" t="s">
        <v>331</v>
      </c>
      <c r="P501" s="1" t="str">
        <f t="shared" si="26"/>
        <v>Caiaponia ISG60KTL(COM1-007)_001_01346003,506944444446003,506944444446003,5243055556</v>
      </c>
      <c r="Q501" s="1" t="str">
        <f t="shared" si="27"/>
        <v>DAURDE</v>
      </c>
    </row>
    <row r="502" spans="2:17" hidden="1">
      <c r="B502" s="1" t="s">
        <v>780</v>
      </c>
      <c r="C502" s="1" t="s">
        <v>276</v>
      </c>
      <c r="D502" s="52">
        <v>46003.506944444445</v>
      </c>
      <c r="E502" s="52">
        <v>46003.506944444445</v>
      </c>
      <c r="F502" s="52">
        <v>46003.524305555555</v>
      </c>
      <c r="G502" s="53">
        <f t="shared" si="25"/>
        <v>1.7361111109494232E-2</v>
      </c>
      <c r="H502" s="1" t="s">
        <v>248</v>
      </c>
      <c r="J502" s="1" t="s">
        <v>249</v>
      </c>
      <c r="K502" s="1" t="str">
        <f>_xlfn.XLOOKUP(J502,REF!$D$2:$D$12,REF!$E$2:$E$12)</f>
        <v>Rede</v>
      </c>
      <c r="L502" s="1" t="s">
        <v>745</v>
      </c>
      <c r="M502" s="1" t="s">
        <v>251</v>
      </c>
      <c r="N502" s="1" t="s">
        <v>330</v>
      </c>
      <c r="O502" s="1" t="s">
        <v>331</v>
      </c>
      <c r="P502" s="1" t="str">
        <f t="shared" si="26"/>
        <v>Caiaponia ISG60KTL(COM1-008)_001_00146003,506944444446003,506944444446003,5243055556</v>
      </c>
      <c r="Q502" s="1" t="str">
        <f t="shared" si="27"/>
        <v>DAURDE</v>
      </c>
    </row>
    <row r="503" spans="2:17" hidden="1">
      <c r="B503" s="1" t="s">
        <v>781</v>
      </c>
      <c r="C503" s="1" t="s">
        <v>277</v>
      </c>
      <c r="D503" s="52">
        <v>46003.506944444445</v>
      </c>
      <c r="E503" s="52">
        <v>46003.506944444445</v>
      </c>
      <c r="F503" s="52">
        <v>46003.524305555555</v>
      </c>
      <c r="G503" s="53">
        <f t="shared" si="25"/>
        <v>1.7361111109494232E-2</v>
      </c>
      <c r="H503" s="1" t="s">
        <v>248</v>
      </c>
      <c r="J503" s="1" t="s">
        <v>249</v>
      </c>
      <c r="K503" s="1" t="str">
        <f>_xlfn.XLOOKUP(J503,REF!$D$2:$D$12,REF!$E$2:$E$12)</f>
        <v>Rede</v>
      </c>
      <c r="L503" s="1" t="s">
        <v>745</v>
      </c>
      <c r="M503" s="1" t="s">
        <v>251</v>
      </c>
      <c r="N503" s="1" t="s">
        <v>330</v>
      </c>
      <c r="O503" s="1" t="s">
        <v>331</v>
      </c>
      <c r="P503" s="1" t="str">
        <f t="shared" si="26"/>
        <v>Caiaponia IISG60KTL(COM1-009)46003,506944444446003,506944444446003,5243055556</v>
      </c>
      <c r="Q503" s="1" t="str">
        <f t="shared" si="27"/>
        <v>DAURDE</v>
      </c>
    </row>
    <row r="504" spans="2:17" hidden="1">
      <c r="B504" s="1" t="s">
        <v>781</v>
      </c>
      <c r="C504" s="1" t="s">
        <v>278</v>
      </c>
      <c r="D504" s="52">
        <v>46003.506944444445</v>
      </c>
      <c r="E504" s="52">
        <v>46003.506944444445</v>
      </c>
      <c r="F504" s="52">
        <v>46003.524305555555</v>
      </c>
      <c r="G504" s="53">
        <f t="shared" si="25"/>
        <v>1.7361111109494232E-2</v>
      </c>
      <c r="H504" s="1" t="s">
        <v>248</v>
      </c>
      <c r="J504" s="1" t="s">
        <v>249</v>
      </c>
      <c r="K504" s="1" t="str">
        <f>_xlfn.XLOOKUP(J504,REF!$D$2:$D$12,REF!$E$2:$E$12)</f>
        <v>Rede</v>
      </c>
      <c r="L504" s="1" t="s">
        <v>745</v>
      </c>
      <c r="M504" s="1" t="s">
        <v>251</v>
      </c>
      <c r="N504" s="1" t="s">
        <v>330</v>
      </c>
      <c r="O504" s="1" t="s">
        <v>331</v>
      </c>
      <c r="P504" s="1" t="str">
        <f t="shared" si="26"/>
        <v>Caiaponia IISG60KTL(COM1-010)46003,506944444446003,506944444446003,5243055556</v>
      </c>
      <c r="Q504" s="1" t="str">
        <f t="shared" si="27"/>
        <v>DAURDE</v>
      </c>
    </row>
    <row r="505" spans="2:17" hidden="1">
      <c r="B505" s="1" t="s">
        <v>781</v>
      </c>
      <c r="C505" s="1" t="s">
        <v>279</v>
      </c>
      <c r="D505" s="52">
        <v>46003.506944444445</v>
      </c>
      <c r="E505" s="52">
        <v>46003.506944444445</v>
      </c>
      <c r="F505" s="52">
        <v>46003.524305555555</v>
      </c>
      <c r="G505" s="53">
        <f t="shared" si="25"/>
        <v>1.7361111109494232E-2</v>
      </c>
      <c r="H505" s="1" t="s">
        <v>248</v>
      </c>
      <c r="J505" s="1" t="s">
        <v>249</v>
      </c>
      <c r="K505" s="1" t="str">
        <f>_xlfn.XLOOKUP(J505,REF!$D$2:$D$12,REF!$E$2:$E$12)</f>
        <v>Rede</v>
      </c>
      <c r="L505" s="1" t="s">
        <v>745</v>
      </c>
      <c r="M505" s="1" t="s">
        <v>251</v>
      </c>
      <c r="N505" s="1" t="s">
        <v>330</v>
      </c>
      <c r="O505" s="1" t="s">
        <v>331</v>
      </c>
      <c r="P505" s="1" t="str">
        <f t="shared" si="26"/>
        <v>Caiaponia IISG60KTL(COM1-011)46003,506944444446003,506944444446003,5243055556</v>
      </c>
      <c r="Q505" s="1" t="str">
        <f t="shared" si="27"/>
        <v>DAURDE</v>
      </c>
    </row>
    <row r="506" spans="2:17" hidden="1">
      <c r="B506" s="1" t="s">
        <v>781</v>
      </c>
      <c r="C506" s="1" t="s">
        <v>280</v>
      </c>
      <c r="D506" s="52">
        <v>46003.506944444445</v>
      </c>
      <c r="E506" s="52">
        <v>46003.506944444445</v>
      </c>
      <c r="F506" s="52">
        <v>46003.524305555555</v>
      </c>
      <c r="G506" s="53">
        <f t="shared" si="25"/>
        <v>1.7361111109494232E-2</v>
      </c>
      <c r="H506" s="1" t="s">
        <v>248</v>
      </c>
      <c r="J506" s="1" t="s">
        <v>249</v>
      </c>
      <c r="K506" s="1" t="str">
        <f>_xlfn.XLOOKUP(J506,REF!$D$2:$D$12,REF!$E$2:$E$12)</f>
        <v>Rede</v>
      </c>
      <c r="L506" s="1" t="s">
        <v>745</v>
      </c>
      <c r="M506" s="1" t="s">
        <v>251</v>
      </c>
      <c r="N506" s="1" t="s">
        <v>330</v>
      </c>
      <c r="O506" s="1" t="s">
        <v>331</v>
      </c>
      <c r="P506" s="1" t="str">
        <f t="shared" si="26"/>
        <v>Caiaponia IISG60KTL(COM1-012)46003,506944444446003,506944444446003,5243055556</v>
      </c>
      <c r="Q506" s="1" t="str">
        <f t="shared" si="27"/>
        <v>DAURDE</v>
      </c>
    </row>
    <row r="507" spans="2:17" hidden="1">
      <c r="B507" s="1" t="s">
        <v>781</v>
      </c>
      <c r="C507" s="1" t="s">
        <v>281</v>
      </c>
      <c r="D507" s="52">
        <v>46003.506944444445</v>
      </c>
      <c r="E507" s="52">
        <v>46003.506944444445</v>
      </c>
      <c r="F507" s="52">
        <v>46003.524305555555</v>
      </c>
      <c r="G507" s="53">
        <f t="shared" si="25"/>
        <v>1.7361111109494232E-2</v>
      </c>
      <c r="H507" s="1" t="s">
        <v>248</v>
      </c>
      <c r="J507" s="1" t="s">
        <v>249</v>
      </c>
      <c r="K507" s="1" t="str">
        <f>_xlfn.XLOOKUP(J507,REF!$D$2:$D$12,REF!$E$2:$E$12)</f>
        <v>Rede</v>
      </c>
      <c r="L507" s="1" t="s">
        <v>745</v>
      </c>
      <c r="M507" s="1" t="s">
        <v>251</v>
      </c>
      <c r="N507" s="1" t="s">
        <v>330</v>
      </c>
      <c r="O507" s="1" t="s">
        <v>331</v>
      </c>
      <c r="P507" s="1" t="str">
        <f t="shared" si="26"/>
        <v>Caiaponia IISG60KTL(COM1-013)46003,506944444446003,506944444446003,5243055556</v>
      </c>
      <c r="Q507" s="1" t="str">
        <f t="shared" si="27"/>
        <v>DAURDE</v>
      </c>
    </row>
    <row r="508" spans="2:17" hidden="1">
      <c r="B508" s="1" t="s">
        <v>781</v>
      </c>
      <c r="C508" s="1" t="s">
        <v>282</v>
      </c>
      <c r="D508" s="52">
        <v>46003.506944444445</v>
      </c>
      <c r="E508" s="52">
        <v>46003.506944444445</v>
      </c>
      <c r="F508" s="52">
        <v>46003.524305555555</v>
      </c>
      <c r="G508" s="53">
        <f t="shared" ref="G508:G571" si="28">F508-E508</f>
        <v>1.7361111109494232E-2</v>
      </c>
      <c r="H508" s="1" t="s">
        <v>248</v>
      </c>
      <c r="J508" s="1" t="s">
        <v>249</v>
      </c>
      <c r="K508" s="1" t="str">
        <f>_xlfn.XLOOKUP(J508,REF!$D$2:$D$12,REF!$E$2:$E$12)</f>
        <v>Rede</v>
      </c>
      <c r="L508" s="1" t="s">
        <v>745</v>
      </c>
      <c r="M508" s="1" t="s">
        <v>251</v>
      </c>
      <c r="N508" s="1" t="s">
        <v>330</v>
      </c>
      <c r="O508" s="1" t="s">
        <v>331</v>
      </c>
      <c r="P508" s="1" t="str">
        <f t="shared" si="26"/>
        <v>Caiaponia IISG60KTL(COM1-014)46003,506944444446003,506944444446003,5243055556</v>
      </c>
      <c r="Q508" s="1" t="str">
        <f t="shared" si="27"/>
        <v>DAURDE</v>
      </c>
    </row>
    <row r="509" spans="2:17" hidden="1">
      <c r="B509" s="1" t="s">
        <v>781</v>
      </c>
      <c r="C509" s="1" t="s">
        <v>283</v>
      </c>
      <c r="D509" s="52">
        <v>46003.506944444445</v>
      </c>
      <c r="E509" s="52">
        <v>46003.506944444445</v>
      </c>
      <c r="F509" s="52">
        <v>46003.524305555555</v>
      </c>
      <c r="G509" s="53">
        <f t="shared" si="28"/>
        <v>1.7361111109494232E-2</v>
      </c>
      <c r="H509" s="1" t="s">
        <v>248</v>
      </c>
      <c r="J509" s="1" t="s">
        <v>249</v>
      </c>
      <c r="K509" s="1" t="str">
        <f>_xlfn.XLOOKUP(J509,REF!$D$2:$D$12,REF!$E$2:$E$12)</f>
        <v>Rede</v>
      </c>
      <c r="L509" s="1" t="s">
        <v>745</v>
      </c>
      <c r="M509" s="1" t="s">
        <v>251</v>
      </c>
      <c r="N509" s="1" t="s">
        <v>330</v>
      </c>
      <c r="O509" s="1" t="s">
        <v>331</v>
      </c>
      <c r="P509" s="1" t="str">
        <f t="shared" si="26"/>
        <v>Caiaponia IISG60KTL(COM1-015)46003,506944444446003,506944444446003,5243055556</v>
      </c>
      <c r="Q509" s="1" t="str">
        <f t="shared" si="27"/>
        <v>DAURDE</v>
      </c>
    </row>
    <row r="510" spans="2:17" hidden="1">
      <c r="B510" s="1" t="s">
        <v>424</v>
      </c>
      <c r="C510" s="1" t="s">
        <v>358</v>
      </c>
      <c r="D510" s="52">
        <v>46003.17083333333</v>
      </c>
      <c r="E510" s="52">
        <v>46003.17083333333</v>
      </c>
      <c r="F510" s="52">
        <v>46003.30972222222</v>
      </c>
      <c r="G510" s="53">
        <f t="shared" si="28"/>
        <v>0.13888888889050577</v>
      </c>
      <c r="H510" s="1" t="s">
        <v>248</v>
      </c>
      <c r="J510" s="1" t="s">
        <v>249</v>
      </c>
      <c r="K510" s="1" t="str">
        <f>_xlfn.XLOOKUP(J510,REF!$D$2:$D$12,REF!$E$2:$E$12)</f>
        <v>Rede</v>
      </c>
      <c r="L510" s="1" t="s">
        <v>329</v>
      </c>
      <c r="M510" s="1" t="s">
        <v>736</v>
      </c>
      <c r="N510" s="1" t="s">
        <v>330</v>
      </c>
      <c r="O510" s="1" t="s">
        <v>739</v>
      </c>
      <c r="P510" s="1" t="str">
        <f t="shared" si="26"/>
        <v>BC Formoso2.2Inverter(MBUS-14)46003,170833333346003,170833333346003,3097222222</v>
      </c>
      <c r="Q510" s="1" t="str">
        <f t="shared" si="27"/>
        <v>DAURDE</v>
      </c>
    </row>
    <row r="511" spans="2:17" hidden="1">
      <c r="B511" s="1" t="s">
        <v>424</v>
      </c>
      <c r="C511" s="1" t="s">
        <v>357</v>
      </c>
      <c r="D511" s="52">
        <v>46003.17083333333</v>
      </c>
      <c r="E511" s="52">
        <v>46003.17083333333</v>
      </c>
      <c r="F511" s="52">
        <v>46003.30972222222</v>
      </c>
      <c r="G511" s="53">
        <f t="shared" si="28"/>
        <v>0.13888888889050577</v>
      </c>
      <c r="H511" s="1" t="s">
        <v>248</v>
      </c>
      <c r="J511" s="1" t="s">
        <v>249</v>
      </c>
      <c r="K511" s="1" t="str">
        <f>_xlfn.XLOOKUP(J511,REF!$D$2:$D$12,REF!$E$2:$E$12)</f>
        <v>Rede</v>
      </c>
      <c r="L511" s="1" t="s">
        <v>329</v>
      </c>
      <c r="M511" s="1" t="s">
        <v>736</v>
      </c>
      <c r="N511" s="1" t="s">
        <v>330</v>
      </c>
      <c r="O511" s="1" t="s">
        <v>739</v>
      </c>
      <c r="P511" s="1" t="str">
        <f t="shared" si="26"/>
        <v>BC Formoso2.2Inverter(MBUS-13)46003,170833333346003,170833333346003,3097222222</v>
      </c>
      <c r="Q511" s="1" t="str">
        <f t="shared" si="27"/>
        <v>DAURDE</v>
      </c>
    </row>
    <row r="512" spans="2:17" hidden="1">
      <c r="B512" s="1" t="s">
        <v>424</v>
      </c>
      <c r="C512" s="1" t="s">
        <v>354</v>
      </c>
      <c r="D512" s="52">
        <v>46003.17083333333</v>
      </c>
      <c r="E512" s="52">
        <v>46003.17083333333</v>
      </c>
      <c r="F512" s="52">
        <v>46003.30972222222</v>
      </c>
      <c r="G512" s="53">
        <f t="shared" si="28"/>
        <v>0.13888888889050577</v>
      </c>
      <c r="H512" s="1" t="s">
        <v>248</v>
      </c>
      <c r="J512" s="1" t="s">
        <v>249</v>
      </c>
      <c r="K512" s="1" t="str">
        <f>_xlfn.XLOOKUP(J512,REF!$D$2:$D$12,REF!$E$2:$E$12)</f>
        <v>Rede</v>
      </c>
      <c r="L512" s="1" t="s">
        <v>329</v>
      </c>
      <c r="M512" s="1" t="s">
        <v>736</v>
      </c>
      <c r="N512" s="1" t="s">
        <v>330</v>
      </c>
      <c r="O512" s="1" t="s">
        <v>739</v>
      </c>
      <c r="P512" s="1" t="str">
        <f t="shared" si="26"/>
        <v>BC Formoso2.2Inverter(MBUS-12)46003,170833333346003,170833333346003,3097222222</v>
      </c>
      <c r="Q512" s="1" t="str">
        <f t="shared" si="27"/>
        <v>DAURDE</v>
      </c>
    </row>
    <row r="513" spans="2:17" hidden="1">
      <c r="B513" s="1" t="s">
        <v>424</v>
      </c>
      <c r="C513" s="1" t="s">
        <v>328</v>
      </c>
      <c r="D513" s="52">
        <v>46003.17083333333</v>
      </c>
      <c r="E513" s="52">
        <v>46003.17083333333</v>
      </c>
      <c r="F513" s="52">
        <v>46003.30972222222</v>
      </c>
      <c r="G513" s="53">
        <f t="shared" si="28"/>
        <v>0.13888888889050577</v>
      </c>
      <c r="H513" s="1" t="s">
        <v>248</v>
      </c>
      <c r="J513" s="1" t="s">
        <v>249</v>
      </c>
      <c r="K513" s="1" t="str">
        <f>_xlfn.XLOOKUP(J513,REF!$D$2:$D$12,REF!$E$2:$E$12)</f>
        <v>Rede</v>
      </c>
      <c r="L513" s="1" t="s">
        <v>329</v>
      </c>
      <c r="M513" s="1" t="s">
        <v>736</v>
      </c>
      <c r="N513" s="1" t="s">
        <v>330</v>
      </c>
      <c r="O513" s="1" t="s">
        <v>739</v>
      </c>
      <c r="P513" s="1" t="str">
        <f t="shared" si="26"/>
        <v>BC Formoso2.2Inverter(MBUS-1)46003,170833333346003,170833333346003,3097222222</v>
      </c>
      <c r="Q513" s="1" t="str">
        <f t="shared" si="27"/>
        <v>DAURDE</v>
      </c>
    </row>
    <row r="514" spans="2:17" hidden="1">
      <c r="B514" s="1" t="s">
        <v>771</v>
      </c>
      <c r="C514" s="1" t="s">
        <v>772</v>
      </c>
      <c r="D514" s="52">
        <v>46002.256944444445</v>
      </c>
      <c r="E514" s="52">
        <v>46002.256944444445</v>
      </c>
      <c r="F514" s="52">
        <v>46002.510416666664</v>
      </c>
      <c r="G514" s="53">
        <f t="shared" si="28"/>
        <v>0.25347222221898846</v>
      </c>
      <c r="H514" s="1" t="s">
        <v>248</v>
      </c>
      <c r="J514" s="1" t="s">
        <v>249</v>
      </c>
      <c r="K514" s="1" t="str">
        <f>_xlfn.XLOOKUP(J514,REF!$D$2:$D$12,REF!$E$2:$E$12)</f>
        <v>Rede</v>
      </c>
      <c r="L514" s="1" t="s">
        <v>711</v>
      </c>
      <c r="M514" s="1" t="s">
        <v>251</v>
      </c>
      <c r="N514" s="1" t="s">
        <v>252</v>
      </c>
      <c r="O514" s="1" t="s">
        <v>712</v>
      </c>
      <c r="P514" s="1" t="str">
        <f t="shared" si="26"/>
        <v>Rio Monte ISG75CX(COM2-001)_001_01846002,256944444446002,256944444446002,5104166667</v>
      </c>
      <c r="Q514" s="1" t="str">
        <f t="shared" si="27"/>
        <v>DAURDE</v>
      </c>
    </row>
    <row r="515" spans="2:17" hidden="1">
      <c r="B515" s="1" t="s">
        <v>773</v>
      </c>
      <c r="C515" s="1" t="s">
        <v>774</v>
      </c>
      <c r="D515" s="52">
        <v>46002.256944444445</v>
      </c>
      <c r="E515" s="52">
        <v>46002.256944444445</v>
      </c>
      <c r="F515" s="52">
        <v>46002.510416666664</v>
      </c>
      <c r="G515" s="53">
        <f t="shared" si="28"/>
        <v>0.25347222221898846</v>
      </c>
      <c r="H515" s="1" t="s">
        <v>248</v>
      </c>
      <c r="J515" s="1" t="s">
        <v>249</v>
      </c>
      <c r="K515" s="1" t="str">
        <f>_xlfn.XLOOKUP(J515,REF!$D$2:$D$12,REF!$E$2:$E$12)</f>
        <v>Rede</v>
      </c>
      <c r="L515" s="1" t="s">
        <v>711</v>
      </c>
      <c r="M515" s="1" t="s">
        <v>251</v>
      </c>
      <c r="N515" s="1" t="s">
        <v>252</v>
      </c>
      <c r="O515" s="1" t="s">
        <v>712</v>
      </c>
      <c r="P515" s="1" t="str">
        <f t="shared" ref="P515:P578" si="29">_xlfn.CONCAT(B515,C515,D515,E515,F515)</f>
        <v>Rio Monte IISG40CX(COM2-007)_001_01746002,256944444446002,256944444446002,5104166667</v>
      </c>
      <c r="Q515" s="1" t="str">
        <f t="shared" ref="Q515:Q578" si="30">_xlfn.CONCAT(H515,I515,J515)</f>
        <v>DAURDE</v>
      </c>
    </row>
    <row r="516" spans="2:17" hidden="1">
      <c r="B516" s="1" t="s">
        <v>773</v>
      </c>
      <c r="C516" s="1" t="s">
        <v>775</v>
      </c>
      <c r="D516" s="52">
        <v>46002.256944444445</v>
      </c>
      <c r="E516" s="52">
        <v>46002.256944444445</v>
      </c>
      <c r="F516" s="52">
        <v>46002.510416666664</v>
      </c>
      <c r="G516" s="53">
        <f t="shared" si="28"/>
        <v>0.25347222221898846</v>
      </c>
      <c r="H516" s="1" t="s">
        <v>248</v>
      </c>
      <c r="J516" s="1" t="s">
        <v>249</v>
      </c>
      <c r="K516" s="1" t="str">
        <f>_xlfn.XLOOKUP(J516,REF!$D$2:$D$12,REF!$E$2:$E$12)</f>
        <v>Rede</v>
      </c>
      <c r="L516" s="1" t="s">
        <v>711</v>
      </c>
      <c r="M516" s="1" t="s">
        <v>251</v>
      </c>
      <c r="N516" s="1" t="s">
        <v>252</v>
      </c>
      <c r="O516" s="1" t="s">
        <v>712</v>
      </c>
      <c r="P516" s="1" t="str">
        <f t="shared" si="29"/>
        <v>Rio Monte IISG60KTL(COM1-002)_001_00546002,256944444446002,256944444446002,5104166667</v>
      </c>
      <c r="Q516" s="1" t="str">
        <f t="shared" si="30"/>
        <v>DAURDE</v>
      </c>
    </row>
    <row r="517" spans="2:17" hidden="1">
      <c r="B517" s="1" t="s">
        <v>773</v>
      </c>
      <c r="C517" s="1" t="s">
        <v>776</v>
      </c>
      <c r="D517" s="52">
        <v>46002.256944444445</v>
      </c>
      <c r="E517" s="52">
        <v>46002.256944444445</v>
      </c>
      <c r="F517" s="52">
        <v>46002.510416666664</v>
      </c>
      <c r="G517" s="53">
        <f t="shared" si="28"/>
        <v>0.25347222221898846</v>
      </c>
      <c r="H517" s="1" t="s">
        <v>248</v>
      </c>
      <c r="J517" s="1" t="s">
        <v>249</v>
      </c>
      <c r="K517" s="1" t="str">
        <f>_xlfn.XLOOKUP(J517,REF!$D$2:$D$12,REF!$E$2:$E$12)</f>
        <v>Rede</v>
      </c>
      <c r="L517" s="1" t="s">
        <v>711</v>
      </c>
      <c r="M517" s="1" t="s">
        <v>251</v>
      </c>
      <c r="N517" s="1" t="s">
        <v>252</v>
      </c>
      <c r="O517" s="1" t="s">
        <v>712</v>
      </c>
      <c r="P517" s="1" t="str">
        <f t="shared" si="29"/>
        <v>Rio Monte IISG60KTL(COM1-003)_001__01146002,256944444446002,256944444446002,5104166667</v>
      </c>
      <c r="Q517" s="1" t="str">
        <f t="shared" si="30"/>
        <v>DAURDE</v>
      </c>
    </row>
    <row r="518" spans="2:17" hidden="1">
      <c r="B518" s="1" t="s">
        <v>773</v>
      </c>
      <c r="C518" s="1" t="s">
        <v>777</v>
      </c>
      <c r="D518" s="52">
        <v>46002.256944444445</v>
      </c>
      <c r="E518" s="52">
        <v>46002.256944444445</v>
      </c>
      <c r="F518" s="52">
        <v>46002.510416666664</v>
      </c>
      <c r="G518" s="53">
        <f t="shared" si="28"/>
        <v>0.25347222221898846</v>
      </c>
      <c r="H518" s="1" t="s">
        <v>248</v>
      </c>
      <c r="J518" s="1" t="s">
        <v>249</v>
      </c>
      <c r="K518" s="1" t="str">
        <f>_xlfn.XLOOKUP(J518,REF!$D$2:$D$12,REF!$E$2:$E$12)</f>
        <v>Rede</v>
      </c>
      <c r="L518" s="1" t="s">
        <v>711</v>
      </c>
      <c r="M518" s="1" t="s">
        <v>251</v>
      </c>
      <c r="N518" s="1" t="s">
        <v>252</v>
      </c>
      <c r="O518" s="1" t="s">
        <v>712</v>
      </c>
      <c r="P518" s="1" t="str">
        <f t="shared" si="29"/>
        <v>Rio Monte IISG60KTL(COM1-004)_001_00746002,256944444446002,256944444446002,5104166667</v>
      </c>
      <c r="Q518" s="1" t="str">
        <f t="shared" si="30"/>
        <v>DAURDE</v>
      </c>
    </row>
    <row r="519" spans="2:17" hidden="1">
      <c r="B519" s="1" t="s">
        <v>773</v>
      </c>
      <c r="C519" s="1" t="s">
        <v>778</v>
      </c>
      <c r="D519" s="52">
        <v>46002.256944444445</v>
      </c>
      <c r="E519" s="52">
        <v>46002.256944444445</v>
      </c>
      <c r="F519" s="52">
        <v>46002.510416666664</v>
      </c>
      <c r="G519" s="53">
        <f t="shared" si="28"/>
        <v>0.25347222221898846</v>
      </c>
      <c r="H519" s="1" t="s">
        <v>248</v>
      </c>
      <c r="J519" s="1" t="s">
        <v>249</v>
      </c>
      <c r="K519" s="1" t="str">
        <f>_xlfn.XLOOKUP(J519,REF!$D$2:$D$12,REF!$E$2:$E$12)</f>
        <v>Rede</v>
      </c>
      <c r="L519" s="1" t="s">
        <v>711</v>
      </c>
      <c r="M519" s="1" t="s">
        <v>251</v>
      </c>
      <c r="N519" s="1" t="s">
        <v>252</v>
      </c>
      <c r="O519" s="1" t="s">
        <v>712</v>
      </c>
      <c r="P519" s="1" t="str">
        <f t="shared" si="29"/>
        <v>Rio Monte IISG60KTL(COM1-005)_001_00946002,256944444446002,256944444446002,5104166667</v>
      </c>
      <c r="Q519" s="1" t="str">
        <f t="shared" si="30"/>
        <v>DAURDE</v>
      </c>
    </row>
    <row r="520" spans="2:17" hidden="1">
      <c r="B520" s="1" t="s">
        <v>773</v>
      </c>
      <c r="C520" s="1" t="s">
        <v>779</v>
      </c>
      <c r="D520" s="52">
        <v>46002.256944444445</v>
      </c>
      <c r="E520" s="52">
        <v>46002.256944444445</v>
      </c>
      <c r="F520" s="52">
        <v>46002.510416666664</v>
      </c>
      <c r="G520" s="53">
        <f t="shared" si="28"/>
        <v>0.25347222221898846</v>
      </c>
      <c r="H520" s="1" t="s">
        <v>248</v>
      </c>
      <c r="J520" s="1" t="s">
        <v>249</v>
      </c>
      <c r="K520" s="1" t="str">
        <f>_xlfn.XLOOKUP(J520,REF!$D$2:$D$12,REF!$E$2:$E$12)</f>
        <v>Rede</v>
      </c>
      <c r="L520" s="1" t="s">
        <v>711</v>
      </c>
      <c r="M520" s="1" t="s">
        <v>251</v>
      </c>
      <c r="N520" s="1" t="s">
        <v>252</v>
      </c>
      <c r="O520" s="1" t="s">
        <v>712</v>
      </c>
      <c r="P520" s="1" t="str">
        <f t="shared" si="29"/>
        <v>Rio Monte IISG60KTL(COM1-006)_001_00646002,256944444446002,256944444446002,5104166667</v>
      </c>
      <c r="Q520" s="1" t="str">
        <f t="shared" si="30"/>
        <v>DAURDE</v>
      </c>
    </row>
    <row r="521" spans="2:17" hidden="1">
      <c r="B521" s="1" t="s">
        <v>782</v>
      </c>
      <c r="C521" s="1" t="s">
        <v>783</v>
      </c>
      <c r="D521" s="52">
        <v>46002.256944444445</v>
      </c>
      <c r="E521" s="52">
        <v>46002.256944444445</v>
      </c>
      <c r="F521" s="52">
        <v>46002.510416666664</v>
      </c>
      <c r="G521" s="53">
        <f t="shared" si="28"/>
        <v>0.25347222221898846</v>
      </c>
      <c r="H521" s="1" t="s">
        <v>248</v>
      </c>
      <c r="J521" s="1" t="s">
        <v>249</v>
      </c>
      <c r="K521" s="1" t="str">
        <f>_xlfn.XLOOKUP(J521,REF!$D$2:$D$12,REF!$E$2:$E$12)</f>
        <v>Rede</v>
      </c>
      <c r="L521" s="1" t="s">
        <v>711</v>
      </c>
      <c r="M521" s="1" t="s">
        <v>251</v>
      </c>
      <c r="N521" s="1" t="s">
        <v>252</v>
      </c>
      <c r="O521" s="1" t="s">
        <v>712</v>
      </c>
      <c r="P521" s="1" t="str">
        <f t="shared" si="29"/>
        <v>Rio Monte IIISG60KTL(COM1-008)_001_01646002,256944444446002,256944444446002,5104166667</v>
      </c>
      <c r="Q521" s="1" t="str">
        <f t="shared" si="30"/>
        <v>DAURDE</v>
      </c>
    </row>
    <row r="522" spans="2:17" hidden="1">
      <c r="B522" s="1" t="s">
        <v>782</v>
      </c>
      <c r="C522" s="1" t="s">
        <v>784</v>
      </c>
      <c r="D522" s="52">
        <v>46002.256944444445</v>
      </c>
      <c r="E522" s="52">
        <v>46002.256944444445</v>
      </c>
      <c r="F522" s="52">
        <v>46002.510416666664</v>
      </c>
      <c r="G522" s="53">
        <f t="shared" si="28"/>
        <v>0.25347222221898846</v>
      </c>
      <c r="H522" s="1" t="s">
        <v>248</v>
      </c>
      <c r="J522" s="1" t="s">
        <v>249</v>
      </c>
      <c r="K522" s="1" t="str">
        <f>_xlfn.XLOOKUP(J522,REF!$D$2:$D$12,REF!$E$2:$E$12)</f>
        <v>Rede</v>
      </c>
      <c r="L522" s="1" t="s">
        <v>711</v>
      </c>
      <c r="M522" s="1" t="s">
        <v>251</v>
      </c>
      <c r="N522" s="1" t="s">
        <v>252</v>
      </c>
      <c r="O522" s="1" t="s">
        <v>712</v>
      </c>
      <c r="P522" s="1" t="str">
        <f t="shared" si="29"/>
        <v>Rio Monte IIISG60KTL(COM1-009)_001_01046002,256944444446002,256944444446002,5104166667</v>
      </c>
      <c r="Q522" s="1" t="str">
        <f t="shared" si="30"/>
        <v>DAURDE</v>
      </c>
    </row>
    <row r="523" spans="2:17" hidden="1">
      <c r="B523" s="1" t="s">
        <v>782</v>
      </c>
      <c r="C523" s="1" t="s">
        <v>785</v>
      </c>
      <c r="D523" s="52">
        <v>46002.256944444445</v>
      </c>
      <c r="E523" s="52">
        <v>46002.256944444445</v>
      </c>
      <c r="F523" s="52">
        <v>46002.510416666664</v>
      </c>
      <c r="G523" s="53">
        <f t="shared" si="28"/>
        <v>0.25347222221898846</v>
      </c>
      <c r="H523" s="1" t="s">
        <v>248</v>
      </c>
      <c r="J523" s="1" t="s">
        <v>249</v>
      </c>
      <c r="K523" s="1" t="str">
        <f>_xlfn.XLOOKUP(J523,REF!$D$2:$D$12,REF!$E$2:$E$12)</f>
        <v>Rede</v>
      </c>
      <c r="L523" s="1" t="s">
        <v>711</v>
      </c>
      <c r="M523" s="1" t="s">
        <v>251</v>
      </c>
      <c r="N523" s="1" t="s">
        <v>252</v>
      </c>
      <c r="O523" s="1" t="s">
        <v>712</v>
      </c>
      <c r="P523" s="1" t="str">
        <f t="shared" si="29"/>
        <v>Rio Monte IIISG60KTL(COM1-010)_001_01246002,256944444446002,256944444446002,5104166667</v>
      </c>
      <c r="Q523" s="1" t="str">
        <f t="shared" si="30"/>
        <v>DAURDE</v>
      </c>
    </row>
    <row r="524" spans="2:17" hidden="1">
      <c r="B524" s="1" t="s">
        <v>782</v>
      </c>
      <c r="C524" s="1" t="s">
        <v>786</v>
      </c>
      <c r="D524" s="52">
        <v>46002.256944444445</v>
      </c>
      <c r="E524" s="52">
        <v>46002.256944444445</v>
      </c>
      <c r="F524" s="52">
        <v>46002.510416666664</v>
      </c>
      <c r="G524" s="53">
        <f t="shared" si="28"/>
        <v>0.25347222221898846</v>
      </c>
      <c r="H524" s="1" t="s">
        <v>248</v>
      </c>
      <c r="J524" s="1" t="s">
        <v>249</v>
      </c>
      <c r="K524" s="1" t="str">
        <f>_xlfn.XLOOKUP(J524,REF!$D$2:$D$12,REF!$E$2:$E$12)</f>
        <v>Rede</v>
      </c>
      <c r="L524" s="1" t="s">
        <v>711</v>
      </c>
      <c r="M524" s="1" t="s">
        <v>251</v>
      </c>
      <c r="N524" s="1" t="s">
        <v>252</v>
      </c>
      <c r="O524" s="1" t="s">
        <v>712</v>
      </c>
      <c r="P524" s="1" t="str">
        <f t="shared" si="29"/>
        <v>Rio Monte IIISG60KTL(COM1-011)_001_00246002,256944444446002,256944444446002,5104166667</v>
      </c>
      <c r="Q524" s="1" t="str">
        <f t="shared" si="30"/>
        <v>DAURDE</v>
      </c>
    </row>
    <row r="525" spans="2:17" hidden="1">
      <c r="B525" s="1" t="s">
        <v>782</v>
      </c>
      <c r="C525" s="1" t="s">
        <v>787</v>
      </c>
      <c r="D525" s="52">
        <v>46002.256944444445</v>
      </c>
      <c r="E525" s="52">
        <v>46002.256944444445</v>
      </c>
      <c r="F525" s="52">
        <v>46002.510416666664</v>
      </c>
      <c r="G525" s="53">
        <f t="shared" si="28"/>
        <v>0.25347222221898846</v>
      </c>
      <c r="H525" s="1" t="s">
        <v>248</v>
      </c>
      <c r="J525" s="1" t="s">
        <v>249</v>
      </c>
      <c r="K525" s="1" t="str">
        <f>_xlfn.XLOOKUP(J525,REF!$D$2:$D$12,REF!$E$2:$E$12)</f>
        <v>Rede</v>
      </c>
      <c r="L525" s="1" t="s">
        <v>711</v>
      </c>
      <c r="M525" s="1" t="s">
        <v>251</v>
      </c>
      <c r="N525" s="1" t="s">
        <v>252</v>
      </c>
      <c r="O525" s="1" t="s">
        <v>712</v>
      </c>
      <c r="P525" s="1" t="str">
        <f t="shared" si="29"/>
        <v>Rio Monte IIISG60KTL(COM1-012)_001_01546002,256944444446002,256944444446002,5104166667</v>
      </c>
      <c r="Q525" s="1" t="str">
        <f t="shared" si="30"/>
        <v>DAURDE</v>
      </c>
    </row>
    <row r="526" spans="2:17" hidden="1">
      <c r="B526" s="1" t="s">
        <v>782</v>
      </c>
      <c r="C526" s="1" t="s">
        <v>788</v>
      </c>
      <c r="D526" s="52">
        <v>46002.256944444445</v>
      </c>
      <c r="E526" s="52">
        <v>46002.256944444445</v>
      </c>
      <c r="F526" s="52">
        <v>46002.510416666664</v>
      </c>
      <c r="G526" s="53">
        <f t="shared" si="28"/>
        <v>0.25347222221898846</v>
      </c>
      <c r="H526" s="1" t="s">
        <v>248</v>
      </c>
      <c r="J526" s="1" t="s">
        <v>249</v>
      </c>
      <c r="K526" s="1" t="str">
        <f>_xlfn.XLOOKUP(J526,REF!$D$2:$D$12,REF!$E$2:$E$12)</f>
        <v>Rede</v>
      </c>
      <c r="L526" s="1" t="s">
        <v>711</v>
      </c>
      <c r="M526" s="1" t="s">
        <v>251</v>
      </c>
      <c r="N526" s="1" t="s">
        <v>252</v>
      </c>
      <c r="O526" s="1" t="s">
        <v>712</v>
      </c>
      <c r="P526" s="1" t="str">
        <f t="shared" si="29"/>
        <v>Rio Monte IIISG60KTL(COM1-013)_001_00346002,256944444446002,256944444446002,5104166667</v>
      </c>
      <c r="Q526" s="1" t="str">
        <f t="shared" si="30"/>
        <v>DAURDE</v>
      </c>
    </row>
    <row r="527" spans="2:17" hidden="1">
      <c r="B527" s="1" t="s">
        <v>782</v>
      </c>
      <c r="C527" s="1" t="s">
        <v>789</v>
      </c>
      <c r="D527" s="52">
        <v>46002.256944444445</v>
      </c>
      <c r="E527" s="52">
        <v>46002.256944444445</v>
      </c>
      <c r="F527" s="52">
        <v>46002.510416666664</v>
      </c>
      <c r="G527" s="53">
        <f t="shared" si="28"/>
        <v>0.25347222221898846</v>
      </c>
      <c r="H527" s="1" t="s">
        <v>248</v>
      </c>
      <c r="J527" s="1" t="s">
        <v>249</v>
      </c>
      <c r="K527" s="1" t="str">
        <f>_xlfn.XLOOKUP(J527,REF!$D$2:$D$12,REF!$E$2:$E$12)</f>
        <v>Rede</v>
      </c>
      <c r="L527" s="1" t="s">
        <v>711</v>
      </c>
      <c r="M527" s="1" t="s">
        <v>251</v>
      </c>
      <c r="N527" s="1" t="s">
        <v>252</v>
      </c>
      <c r="O527" s="1" t="s">
        <v>712</v>
      </c>
      <c r="P527" s="1" t="str">
        <f t="shared" si="29"/>
        <v>Rio Monte IIISG60KTL(COM1-014)_001_00446002,256944444446002,256944444446002,5104166667</v>
      </c>
      <c r="Q527" s="1" t="str">
        <f t="shared" si="30"/>
        <v>DAURDE</v>
      </c>
    </row>
    <row r="528" spans="2:17" hidden="1">
      <c r="B528" s="1" t="s">
        <v>782</v>
      </c>
      <c r="C528" s="1" t="s">
        <v>790</v>
      </c>
      <c r="D528" s="52">
        <v>46002.256944444445</v>
      </c>
      <c r="E528" s="52">
        <v>46002.256944444445</v>
      </c>
      <c r="F528" s="52">
        <v>46002.510416666664</v>
      </c>
      <c r="G528" s="53">
        <f t="shared" si="28"/>
        <v>0.25347222221898846</v>
      </c>
      <c r="H528" s="1" t="s">
        <v>248</v>
      </c>
      <c r="J528" s="1" t="s">
        <v>249</v>
      </c>
      <c r="K528" s="1" t="str">
        <f>_xlfn.XLOOKUP(J528,REF!$D$2:$D$12,REF!$E$2:$E$12)</f>
        <v>Rede</v>
      </c>
      <c r="L528" s="1" t="s">
        <v>711</v>
      </c>
      <c r="M528" s="1" t="s">
        <v>251</v>
      </c>
      <c r="N528" s="1" t="s">
        <v>252</v>
      </c>
      <c r="O528" s="1" t="s">
        <v>712</v>
      </c>
      <c r="P528" s="1" t="str">
        <f t="shared" si="29"/>
        <v>Rio Monte IIISG60KTL(COM1-015)_001_01346002,256944444446002,256944444446002,5104166667</v>
      </c>
      <c r="Q528" s="1" t="str">
        <f t="shared" si="30"/>
        <v>DAURDE</v>
      </c>
    </row>
    <row r="529" spans="2:17" hidden="1">
      <c r="B529" s="1" t="s">
        <v>782</v>
      </c>
      <c r="C529" s="1" t="s">
        <v>791</v>
      </c>
      <c r="D529" s="52">
        <v>46002.256944444445</v>
      </c>
      <c r="E529" s="52">
        <v>46002.256944444445</v>
      </c>
      <c r="F529" s="52">
        <v>46002.510416666664</v>
      </c>
      <c r="G529" s="53">
        <f t="shared" si="28"/>
        <v>0.25347222221898846</v>
      </c>
      <c r="H529" s="1" t="s">
        <v>248</v>
      </c>
      <c r="J529" s="1" t="s">
        <v>249</v>
      </c>
      <c r="K529" s="1" t="str">
        <f>_xlfn.XLOOKUP(J529,REF!$D$2:$D$12,REF!$E$2:$E$12)</f>
        <v>Rede</v>
      </c>
      <c r="L529" s="1" t="s">
        <v>711</v>
      </c>
      <c r="M529" s="1" t="s">
        <v>251</v>
      </c>
      <c r="N529" s="1" t="s">
        <v>252</v>
      </c>
      <c r="O529" s="1" t="s">
        <v>712</v>
      </c>
      <c r="P529" s="1" t="str">
        <f t="shared" si="29"/>
        <v>Rio Monte IIISG60KTL(COM1-016)_001_01446002,256944444446002,256944444446002,5104166667</v>
      </c>
      <c r="Q529" s="1" t="str">
        <f t="shared" si="30"/>
        <v>DAURDE</v>
      </c>
    </row>
    <row r="530" spans="2:17" hidden="1">
      <c r="B530" s="1" t="s">
        <v>782</v>
      </c>
      <c r="C530" s="1" t="s">
        <v>792</v>
      </c>
      <c r="D530" s="52">
        <v>46002.256944444445</v>
      </c>
      <c r="E530" s="52">
        <v>46002.256944444445</v>
      </c>
      <c r="F530" s="52">
        <v>46002.510416666664</v>
      </c>
      <c r="G530" s="53">
        <f t="shared" si="28"/>
        <v>0.25347222221898846</v>
      </c>
      <c r="H530" s="1" t="s">
        <v>248</v>
      </c>
      <c r="J530" s="1" t="s">
        <v>249</v>
      </c>
      <c r="K530" s="1" t="str">
        <f>_xlfn.XLOOKUP(J530,REF!$D$2:$D$12,REF!$E$2:$E$12)</f>
        <v>Rede</v>
      </c>
      <c r="L530" s="1" t="s">
        <v>711</v>
      </c>
      <c r="M530" s="1" t="s">
        <v>251</v>
      </c>
      <c r="N530" s="1" t="s">
        <v>252</v>
      </c>
      <c r="O530" s="1" t="s">
        <v>712</v>
      </c>
      <c r="P530" s="1" t="str">
        <f t="shared" si="29"/>
        <v>Rio Monte IIISG60KTL(COM1-017)_001_00846002,256944444446002,256944444446002,5104166667</v>
      </c>
      <c r="Q530" s="1" t="str">
        <f t="shared" si="30"/>
        <v>DAURDE</v>
      </c>
    </row>
    <row r="531" spans="2:17" hidden="1">
      <c r="B531" s="1" t="s">
        <v>764</v>
      </c>
      <c r="C531" s="1" t="s">
        <v>395</v>
      </c>
      <c r="D531" s="52">
        <v>46001.254166666666</v>
      </c>
      <c r="E531" s="52">
        <v>46001.254166666666</v>
      </c>
      <c r="F531" s="52">
        <v>46001.304166666669</v>
      </c>
      <c r="G531" s="53">
        <f t="shared" si="28"/>
        <v>5.0000000002910383E-2</v>
      </c>
      <c r="H531" s="1" t="s">
        <v>248</v>
      </c>
      <c r="J531" s="1" t="s">
        <v>249</v>
      </c>
      <c r="K531" s="1" t="str">
        <f>_xlfn.XLOOKUP(J531,REF!$D$2:$D$12,REF!$E$2:$E$12)</f>
        <v>Rede</v>
      </c>
      <c r="L531" s="1" t="s">
        <v>672</v>
      </c>
      <c r="M531" s="1" t="s">
        <v>251</v>
      </c>
      <c r="N531" s="1" t="s">
        <v>252</v>
      </c>
      <c r="O531" s="1" t="s">
        <v>723</v>
      </c>
      <c r="P531" s="1" t="str">
        <f t="shared" si="29"/>
        <v>CORUMBÁ I - UFV 1U01.I0146001,254166666746001,254166666746001,3041666667</v>
      </c>
      <c r="Q531" s="1" t="str">
        <f t="shared" si="30"/>
        <v>DAURDE</v>
      </c>
    </row>
    <row r="532" spans="2:17" hidden="1">
      <c r="B532" s="1" t="s">
        <v>764</v>
      </c>
      <c r="C532" s="1" t="s">
        <v>400</v>
      </c>
      <c r="D532" s="52">
        <v>46001.254166666666</v>
      </c>
      <c r="E532" s="52">
        <v>46001.254166666666</v>
      </c>
      <c r="F532" s="52">
        <v>46001.304166666669</v>
      </c>
      <c r="G532" s="53">
        <f t="shared" si="28"/>
        <v>5.0000000002910383E-2</v>
      </c>
      <c r="H532" s="1" t="s">
        <v>248</v>
      </c>
      <c r="J532" s="1" t="s">
        <v>249</v>
      </c>
      <c r="K532" s="1" t="str">
        <f>_xlfn.XLOOKUP(J532,REF!$D$2:$D$12,REF!$E$2:$E$12)</f>
        <v>Rede</v>
      </c>
      <c r="L532" s="1" t="s">
        <v>672</v>
      </c>
      <c r="M532" s="1" t="s">
        <v>251</v>
      </c>
      <c r="N532" s="1" t="s">
        <v>252</v>
      </c>
      <c r="O532" s="1" t="s">
        <v>723</v>
      </c>
      <c r="P532" s="1" t="str">
        <f t="shared" si="29"/>
        <v>CORUMBÁ I - UFV 1U01.I0246001,254166666746001,254166666746001,3041666667</v>
      </c>
      <c r="Q532" s="1" t="str">
        <f t="shared" si="30"/>
        <v>DAURDE</v>
      </c>
    </row>
    <row r="533" spans="2:17" hidden="1">
      <c r="B533" s="1" t="s">
        <v>764</v>
      </c>
      <c r="C533" s="1" t="s">
        <v>401</v>
      </c>
      <c r="D533" s="52">
        <v>46001.254166666666</v>
      </c>
      <c r="E533" s="52">
        <v>46001.254166666666</v>
      </c>
      <c r="F533" s="52">
        <v>46001.304166666669</v>
      </c>
      <c r="G533" s="53">
        <f t="shared" si="28"/>
        <v>5.0000000002910383E-2</v>
      </c>
      <c r="H533" s="1" t="s">
        <v>248</v>
      </c>
      <c r="J533" s="1" t="s">
        <v>249</v>
      </c>
      <c r="K533" s="1" t="str">
        <f>_xlfn.XLOOKUP(J533,REF!$D$2:$D$12,REF!$E$2:$E$12)</f>
        <v>Rede</v>
      </c>
      <c r="L533" s="1" t="s">
        <v>672</v>
      </c>
      <c r="M533" s="1" t="s">
        <v>251</v>
      </c>
      <c r="N533" s="1" t="s">
        <v>252</v>
      </c>
      <c r="O533" s="1" t="s">
        <v>723</v>
      </c>
      <c r="P533" s="1" t="str">
        <f t="shared" si="29"/>
        <v>CORUMBÁ I - UFV 1U01.I0346001,254166666746001,254166666746001,3041666667</v>
      </c>
      <c r="Q533" s="1" t="str">
        <f t="shared" si="30"/>
        <v>DAURDE</v>
      </c>
    </row>
    <row r="534" spans="2:17" hidden="1">
      <c r="B534" s="1" t="s">
        <v>764</v>
      </c>
      <c r="C534" s="1" t="s">
        <v>402</v>
      </c>
      <c r="D534" s="52">
        <v>46001.254166666666</v>
      </c>
      <c r="E534" s="52">
        <v>46001.254166666666</v>
      </c>
      <c r="F534" s="52">
        <v>46001.304166666669</v>
      </c>
      <c r="G534" s="53">
        <f t="shared" si="28"/>
        <v>5.0000000002910383E-2</v>
      </c>
      <c r="H534" s="1" t="s">
        <v>248</v>
      </c>
      <c r="J534" s="1" t="s">
        <v>249</v>
      </c>
      <c r="K534" s="1" t="str">
        <f>_xlfn.XLOOKUP(J534,REF!$D$2:$D$12,REF!$E$2:$E$12)</f>
        <v>Rede</v>
      </c>
      <c r="L534" s="1" t="s">
        <v>672</v>
      </c>
      <c r="M534" s="1" t="s">
        <v>251</v>
      </c>
      <c r="N534" s="1" t="s">
        <v>252</v>
      </c>
      <c r="O534" s="1" t="s">
        <v>723</v>
      </c>
      <c r="P534" s="1" t="str">
        <f t="shared" si="29"/>
        <v>CORUMBÁ I - UFV 1U01.I0446001,254166666746001,254166666746001,3041666667</v>
      </c>
      <c r="Q534" s="1" t="str">
        <f t="shared" si="30"/>
        <v>DAURDE</v>
      </c>
    </row>
    <row r="535" spans="2:17" hidden="1">
      <c r="B535" s="1" t="s">
        <v>764</v>
      </c>
      <c r="C535" s="1" t="s">
        <v>403</v>
      </c>
      <c r="D535" s="52">
        <v>46001.254166666666</v>
      </c>
      <c r="E535" s="52">
        <v>46001.254166666666</v>
      </c>
      <c r="F535" s="52">
        <v>46001.304166666669</v>
      </c>
      <c r="G535" s="53">
        <f t="shared" si="28"/>
        <v>5.0000000002910383E-2</v>
      </c>
      <c r="H535" s="1" t="s">
        <v>248</v>
      </c>
      <c r="J535" s="1" t="s">
        <v>249</v>
      </c>
      <c r="K535" s="1" t="str">
        <f>_xlfn.XLOOKUP(J535,REF!$D$2:$D$12,REF!$E$2:$E$12)</f>
        <v>Rede</v>
      </c>
      <c r="L535" s="1" t="s">
        <v>672</v>
      </c>
      <c r="M535" s="1" t="s">
        <v>251</v>
      </c>
      <c r="N535" s="1" t="s">
        <v>252</v>
      </c>
      <c r="O535" s="1" t="s">
        <v>723</v>
      </c>
      <c r="P535" s="1" t="str">
        <f t="shared" si="29"/>
        <v>CORUMBÁ I - UFV 1U01.I0546001,254166666746001,254166666746001,3041666667</v>
      </c>
      <c r="Q535" s="1" t="str">
        <f t="shared" si="30"/>
        <v>DAURDE</v>
      </c>
    </row>
    <row r="536" spans="2:17" hidden="1">
      <c r="B536" s="1" t="s">
        <v>765</v>
      </c>
      <c r="C536" s="1" t="s">
        <v>408</v>
      </c>
      <c r="D536" s="52">
        <v>46001.254166666666</v>
      </c>
      <c r="E536" s="52">
        <v>46001.254166666666</v>
      </c>
      <c r="F536" s="52">
        <v>46001.304166666669</v>
      </c>
      <c r="G536" s="53">
        <f t="shared" si="28"/>
        <v>5.0000000002910383E-2</v>
      </c>
      <c r="H536" s="1" t="s">
        <v>248</v>
      </c>
      <c r="J536" s="1" t="s">
        <v>249</v>
      </c>
      <c r="K536" s="1" t="str">
        <f>_xlfn.XLOOKUP(J536,REF!$D$2:$D$12,REF!$E$2:$E$12)</f>
        <v>Rede</v>
      </c>
      <c r="L536" s="1" t="s">
        <v>672</v>
      </c>
      <c r="M536" s="1" t="s">
        <v>251</v>
      </c>
      <c r="N536" s="1" t="s">
        <v>252</v>
      </c>
      <c r="O536" s="1" t="s">
        <v>723</v>
      </c>
      <c r="P536" s="1" t="str">
        <f t="shared" si="29"/>
        <v>CORUMBÁ I - UFV 2U02.I0246001,254166666746001,254166666746001,3041666667</v>
      </c>
      <c r="Q536" s="1" t="str">
        <f t="shared" si="30"/>
        <v>DAURDE</v>
      </c>
    </row>
    <row r="537" spans="2:17" hidden="1">
      <c r="B537" s="1" t="s">
        <v>765</v>
      </c>
      <c r="C537" s="1" t="s">
        <v>407</v>
      </c>
      <c r="D537" s="52">
        <v>46001.254166666666</v>
      </c>
      <c r="E537" s="52">
        <v>46001.254166666666</v>
      </c>
      <c r="F537" s="52">
        <v>46001.304166666669</v>
      </c>
      <c r="G537" s="53">
        <f t="shared" si="28"/>
        <v>5.0000000002910383E-2</v>
      </c>
      <c r="H537" s="1" t="s">
        <v>248</v>
      </c>
      <c r="J537" s="1" t="s">
        <v>249</v>
      </c>
      <c r="K537" s="1" t="str">
        <f>_xlfn.XLOOKUP(J537,REF!$D$2:$D$12,REF!$E$2:$E$12)</f>
        <v>Rede</v>
      </c>
      <c r="L537" s="1" t="s">
        <v>672</v>
      </c>
      <c r="M537" s="1" t="s">
        <v>251</v>
      </c>
      <c r="N537" s="1" t="s">
        <v>252</v>
      </c>
      <c r="O537" s="1" t="s">
        <v>723</v>
      </c>
      <c r="P537" s="1" t="str">
        <f t="shared" si="29"/>
        <v>CORUMBÁ I - UFV 2U02.I0146001,254166666746001,254166666746001,3041666667</v>
      </c>
      <c r="Q537" s="1" t="str">
        <f t="shared" si="30"/>
        <v>DAURDE</v>
      </c>
    </row>
    <row r="538" spans="2:17" hidden="1">
      <c r="B538" s="1" t="s">
        <v>765</v>
      </c>
      <c r="C538" s="1" t="s">
        <v>409</v>
      </c>
      <c r="D538" s="52">
        <v>46001.254166666666</v>
      </c>
      <c r="E538" s="52">
        <v>46001.254166666666</v>
      </c>
      <c r="F538" s="52">
        <v>46001.304166666669</v>
      </c>
      <c r="G538" s="53">
        <f t="shared" si="28"/>
        <v>5.0000000002910383E-2</v>
      </c>
      <c r="H538" s="1" t="s">
        <v>248</v>
      </c>
      <c r="J538" s="1" t="s">
        <v>249</v>
      </c>
      <c r="K538" s="1" t="str">
        <f>_xlfn.XLOOKUP(J538,REF!$D$2:$D$12,REF!$E$2:$E$12)</f>
        <v>Rede</v>
      </c>
      <c r="L538" s="1" t="s">
        <v>672</v>
      </c>
      <c r="M538" s="1" t="s">
        <v>251</v>
      </c>
      <c r="N538" s="1" t="s">
        <v>252</v>
      </c>
      <c r="O538" s="1" t="s">
        <v>723</v>
      </c>
      <c r="P538" s="1" t="str">
        <f t="shared" si="29"/>
        <v>CORUMBÁ I - UFV 2U02.I0346001,254166666746001,254166666746001,3041666667</v>
      </c>
      <c r="Q538" s="1" t="str">
        <f t="shared" si="30"/>
        <v>DAURDE</v>
      </c>
    </row>
    <row r="539" spans="2:17" hidden="1">
      <c r="B539" s="1" t="s">
        <v>765</v>
      </c>
      <c r="C539" s="1" t="s">
        <v>411</v>
      </c>
      <c r="D539" s="52">
        <v>46001.254166666666</v>
      </c>
      <c r="E539" s="52">
        <v>46001.254166666666</v>
      </c>
      <c r="F539" s="52">
        <v>46001.304166666669</v>
      </c>
      <c r="G539" s="53">
        <f t="shared" si="28"/>
        <v>5.0000000002910383E-2</v>
      </c>
      <c r="H539" s="1" t="s">
        <v>248</v>
      </c>
      <c r="J539" s="1" t="s">
        <v>249</v>
      </c>
      <c r="K539" s="1" t="str">
        <f>_xlfn.XLOOKUP(J539,REF!$D$2:$D$12,REF!$E$2:$E$12)</f>
        <v>Rede</v>
      </c>
      <c r="L539" s="1" t="s">
        <v>672</v>
      </c>
      <c r="M539" s="1" t="s">
        <v>251</v>
      </c>
      <c r="N539" s="1" t="s">
        <v>252</v>
      </c>
      <c r="O539" s="1" t="s">
        <v>723</v>
      </c>
      <c r="P539" s="1" t="str">
        <f t="shared" si="29"/>
        <v>CORUMBÁ I - UFV 2U02.I0546001,254166666746001,254166666746001,3041666667</v>
      </c>
      <c r="Q539" s="1" t="str">
        <f t="shared" si="30"/>
        <v>DAURDE</v>
      </c>
    </row>
    <row r="540" spans="2:17" hidden="1">
      <c r="B540" s="1" t="s">
        <v>765</v>
      </c>
      <c r="C540" s="1" t="s">
        <v>410</v>
      </c>
      <c r="D540" s="52">
        <v>46001.254166666666</v>
      </c>
      <c r="E540" s="52">
        <v>46001.254166666666</v>
      </c>
      <c r="F540" s="52">
        <v>46001.304166666669</v>
      </c>
      <c r="G540" s="53">
        <f t="shared" si="28"/>
        <v>5.0000000002910383E-2</v>
      </c>
      <c r="H540" s="1" t="s">
        <v>248</v>
      </c>
      <c r="J540" s="1" t="s">
        <v>249</v>
      </c>
      <c r="K540" s="1" t="str">
        <f>_xlfn.XLOOKUP(J540,REF!$D$2:$D$12,REF!$E$2:$E$12)</f>
        <v>Rede</v>
      </c>
      <c r="L540" s="1" t="s">
        <v>672</v>
      </c>
      <c r="M540" s="1" t="s">
        <v>251</v>
      </c>
      <c r="N540" s="1" t="s">
        <v>252</v>
      </c>
      <c r="O540" s="1" t="s">
        <v>723</v>
      </c>
      <c r="P540" s="1" t="str">
        <f t="shared" si="29"/>
        <v>CORUMBÁ I - UFV 2U02.I0446001,254166666746001,254166666746001,3041666667</v>
      </c>
      <c r="Q540" s="1" t="str">
        <f t="shared" si="30"/>
        <v>DAURDE</v>
      </c>
    </row>
    <row r="541" spans="2:17" hidden="1">
      <c r="B541" s="1" t="s">
        <v>766</v>
      </c>
      <c r="C541" s="1" t="s">
        <v>413</v>
      </c>
      <c r="D541" s="52">
        <v>46001.254166666666</v>
      </c>
      <c r="E541" s="52">
        <v>46001.254166666666</v>
      </c>
      <c r="F541" s="52">
        <v>46001.304166666669</v>
      </c>
      <c r="G541" s="53">
        <f t="shared" si="28"/>
        <v>5.0000000002910383E-2</v>
      </c>
      <c r="H541" s="1" t="s">
        <v>248</v>
      </c>
      <c r="J541" s="1" t="s">
        <v>249</v>
      </c>
      <c r="K541" s="1" t="str">
        <f>_xlfn.XLOOKUP(J541,REF!$D$2:$D$12,REF!$E$2:$E$12)</f>
        <v>Rede</v>
      </c>
      <c r="L541" s="1" t="s">
        <v>672</v>
      </c>
      <c r="M541" s="1" t="s">
        <v>251</v>
      </c>
      <c r="N541" s="1" t="s">
        <v>252</v>
      </c>
      <c r="O541" s="1" t="s">
        <v>723</v>
      </c>
      <c r="P541" s="1" t="str">
        <f t="shared" si="29"/>
        <v>CORUMBÁ I - UFV 3U03.I0146001,254166666746001,254166666746001,3041666667</v>
      </c>
      <c r="Q541" s="1" t="str">
        <f t="shared" si="30"/>
        <v>DAURDE</v>
      </c>
    </row>
    <row r="542" spans="2:17" hidden="1">
      <c r="B542" s="1" t="s">
        <v>766</v>
      </c>
      <c r="C542" s="1" t="s">
        <v>415</v>
      </c>
      <c r="D542" s="52">
        <v>46001.254166666666</v>
      </c>
      <c r="E542" s="52">
        <v>46001.254166666666</v>
      </c>
      <c r="F542" s="52">
        <v>46001.304166666669</v>
      </c>
      <c r="G542" s="53">
        <f t="shared" si="28"/>
        <v>5.0000000002910383E-2</v>
      </c>
      <c r="H542" s="1" t="s">
        <v>248</v>
      </c>
      <c r="J542" s="1" t="s">
        <v>249</v>
      </c>
      <c r="K542" s="1" t="str">
        <f>_xlfn.XLOOKUP(J542,REF!$D$2:$D$12,REF!$E$2:$E$12)</f>
        <v>Rede</v>
      </c>
      <c r="L542" s="1" t="s">
        <v>672</v>
      </c>
      <c r="M542" s="1" t="s">
        <v>251</v>
      </c>
      <c r="N542" s="1" t="s">
        <v>252</v>
      </c>
      <c r="O542" s="1" t="s">
        <v>723</v>
      </c>
      <c r="P542" s="1" t="str">
        <f t="shared" si="29"/>
        <v>CORUMBÁ I - UFV 3U03.I0346001,254166666746001,254166666746001,3041666667</v>
      </c>
      <c r="Q542" s="1" t="str">
        <f t="shared" si="30"/>
        <v>DAURDE</v>
      </c>
    </row>
    <row r="543" spans="2:17" hidden="1">
      <c r="B543" s="1" t="s">
        <v>766</v>
      </c>
      <c r="C543" s="1" t="s">
        <v>414</v>
      </c>
      <c r="D543" s="52">
        <v>46001.254166666666</v>
      </c>
      <c r="E543" s="52">
        <v>46001.254166666666</v>
      </c>
      <c r="F543" s="52">
        <v>46001.304166666669</v>
      </c>
      <c r="G543" s="53">
        <f t="shared" si="28"/>
        <v>5.0000000002910383E-2</v>
      </c>
      <c r="H543" s="1" t="s">
        <v>248</v>
      </c>
      <c r="J543" s="1" t="s">
        <v>249</v>
      </c>
      <c r="K543" s="1" t="str">
        <f>_xlfn.XLOOKUP(J543,REF!$D$2:$D$12,REF!$E$2:$E$12)</f>
        <v>Rede</v>
      </c>
      <c r="L543" s="1" t="s">
        <v>672</v>
      </c>
      <c r="M543" s="1" t="s">
        <v>251</v>
      </c>
      <c r="N543" s="1" t="s">
        <v>252</v>
      </c>
      <c r="O543" s="1" t="s">
        <v>723</v>
      </c>
      <c r="P543" s="1" t="str">
        <f t="shared" si="29"/>
        <v>CORUMBÁ I - UFV 3U03.I0246001,254166666746001,254166666746001,3041666667</v>
      </c>
      <c r="Q543" s="1" t="str">
        <f t="shared" si="30"/>
        <v>DAURDE</v>
      </c>
    </row>
    <row r="544" spans="2:17" hidden="1">
      <c r="B544" s="1" t="s">
        <v>767</v>
      </c>
      <c r="C544" s="1" t="s">
        <v>417</v>
      </c>
      <c r="D544" s="52">
        <v>46001.254166666666</v>
      </c>
      <c r="E544" s="52">
        <v>46001.254166666666</v>
      </c>
      <c r="F544" s="52">
        <v>46001.304166666669</v>
      </c>
      <c r="G544" s="53">
        <f t="shared" si="28"/>
        <v>5.0000000002910383E-2</v>
      </c>
      <c r="H544" s="1" t="s">
        <v>248</v>
      </c>
      <c r="J544" s="1" t="s">
        <v>249</v>
      </c>
      <c r="K544" s="1" t="str">
        <f>_xlfn.XLOOKUP(J544,REF!$D$2:$D$12,REF!$E$2:$E$12)</f>
        <v>Rede</v>
      </c>
      <c r="L544" s="1" t="s">
        <v>672</v>
      </c>
      <c r="M544" s="1" t="s">
        <v>251</v>
      </c>
      <c r="N544" s="1" t="s">
        <v>252</v>
      </c>
      <c r="O544" s="1" t="s">
        <v>723</v>
      </c>
      <c r="P544" s="1" t="str">
        <f t="shared" si="29"/>
        <v>CORUMBÁ II - UFV 1U01. I0146001,254166666746001,254166666746001,3041666667</v>
      </c>
      <c r="Q544" s="1" t="str">
        <f t="shared" si="30"/>
        <v>DAURDE</v>
      </c>
    </row>
    <row r="545" spans="2:17" hidden="1">
      <c r="B545" s="1" t="s">
        <v>767</v>
      </c>
      <c r="C545" s="1" t="s">
        <v>358</v>
      </c>
      <c r="D545" s="52">
        <v>46001.254166666666</v>
      </c>
      <c r="E545" s="52">
        <v>46001.254166666666</v>
      </c>
      <c r="F545" s="52">
        <v>46001.304166666669</v>
      </c>
      <c r="G545" s="53">
        <f t="shared" si="28"/>
        <v>5.0000000002910383E-2</v>
      </c>
      <c r="H545" s="1" t="s">
        <v>248</v>
      </c>
      <c r="J545" s="1" t="s">
        <v>249</v>
      </c>
      <c r="K545" s="1" t="str">
        <f>_xlfn.XLOOKUP(J545,REF!$D$2:$D$12,REF!$E$2:$E$12)</f>
        <v>Rede</v>
      </c>
      <c r="L545" s="1" t="s">
        <v>672</v>
      </c>
      <c r="M545" s="1" t="s">
        <v>251</v>
      </c>
      <c r="N545" s="1" t="s">
        <v>252</v>
      </c>
      <c r="O545" s="1" t="s">
        <v>723</v>
      </c>
      <c r="P545" s="1" t="str">
        <f t="shared" si="29"/>
        <v>CORUMBÁ II - UFV 1Inverter(MBUS-14)46001,254166666746001,254166666746001,3041666667</v>
      </c>
      <c r="Q545" s="1" t="str">
        <f t="shared" si="30"/>
        <v>DAURDE</v>
      </c>
    </row>
    <row r="546" spans="2:17" hidden="1">
      <c r="B546" s="1" t="s">
        <v>767</v>
      </c>
      <c r="C546" s="1" t="s">
        <v>386</v>
      </c>
      <c r="D546" s="52">
        <v>46001.254166666666</v>
      </c>
      <c r="E546" s="52">
        <v>46001.254166666666</v>
      </c>
      <c r="F546" s="52">
        <v>46001.304166666669</v>
      </c>
      <c r="G546" s="53">
        <f t="shared" si="28"/>
        <v>5.0000000002910383E-2</v>
      </c>
      <c r="H546" s="1" t="s">
        <v>248</v>
      </c>
      <c r="J546" s="1" t="s">
        <v>249</v>
      </c>
      <c r="K546" s="1" t="str">
        <f>_xlfn.XLOOKUP(J546,REF!$D$2:$D$12,REF!$E$2:$E$12)</f>
        <v>Rede</v>
      </c>
      <c r="L546" s="1" t="s">
        <v>672</v>
      </c>
      <c r="M546" s="1" t="s">
        <v>251</v>
      </c>
      <c r="N546" s="1" t="s">
        <v>252</v>
      </c>
      <c r="O546" s="1" t="s">
        <v>723</v>
      </c>
      <c r="P546" s="1" t="str">
        <f t="shared" si="29"/>
        <v>CORUMBÁ II - UFV 1Inverter(MBUS-16)46001,254166666746001,254166666746001,3041666667</v>
      </c>
      <c r="Q546" s="1" t="str">
        <f t="shared" si="30"/>
        <v>DAURDE</v>
      </c>
    </row>
    <row r="547" spans="2:17" hidden="1">
      <c r="B547" s="1" t="s">
        <v>767</v>
      </c>
      <c r="C547" s="1" t="s">
        <v>418</v>
      </c>
      <c r="D547" s="52">
        <v>46001.254166666666</v>
      </c>
      <c r="E547" s="52">
        <v>46001.254166666666</v>
      </c>
      <c r="F547" s="52">
        <v>46001.304166666669</v>
      </c>
      <c r="G547" s="53">
        <f t="shared" si="28"/>
        <v>5.0000000002910383E-2</v>
      </c>
      <c r="H547" s="1" t="s">
        <v>248</v>
      </c>
      <c r="J547" s="1" t="s">
        <v>249</v>
      </c>
      <c r="K547" s="1" t="str">
        <f>_xlfn.XLOOKUP(J547,REF!$D$2:$D$12,REF!$E$2:$E$12)</f>
        <v>Rede</v>
      </c>
      <c r="L547" s="1" t="s">
        <v>672</v>
      </c>
      <c r="M547" s="1" t="s">
        <v>251</v>
      </c>
      <c r="N547" s="1" t="s">
        <v>252</v>
      </c>
      <c r="O547" s="1" t="s">
        <v>723</v>
      </c>
      <c r="P547" s="1" t="str">
        <f t="shared" si="29"/>
        <v>CORUMBÁ II - UFV 1U01. I0246001,254166666746001,254166666746001,3041666667</v>
      </c>
      <c r="Q547" s="1" t="str">
        <f t="shared" si="30"/>
        <v>DAURDE</v>
      </c>
    </row>
    <row r="548" spans="2:17" hidden="1">
      <c r="B548" s="1" t="s">
        <v>767</v>
      </c>
      <c r="C548" s="1" t="s">
        <v>359</v>
      </c>
      <c r="D548" s="52">
        <v>46001.254166666666</v>
      </c>
      <c r="E548" s="52">
        <v>46001.254166666666</v>
      </c>
      <c r="F548" s="52">
        <v>46001.304166666669</v>
      </c>
      <c r="G548" s="53">
        <f t="shared" si="28"/>
        <v>5.0000000002910383E-2</v>
      </c>
      <c r="H548" s="1" t="s">
        <v>248</v>
      </c>
      <c r="J548" s="1" t="s">
        <v>249</v>
      </c>
      <c r="K548" s="1" t="str">
        <f>_xlfn.XLOOKUP(J548,REF!$D$2:$D$12,REF!$E$2:$E$12)</f>
        <v>Rede</v>
      </c>
      <c r="L548" s="1" t="s">
        <v>672</v>
      </c>
      <c r="M548" s="1" t="s">
        <v>251</v>
      </c>
      <c r="N548" s="1" t="s">
        <v>252</v>
      </c>
      <c r="O548" s="1" t="s">
        <v>723</v>
      </c>
      <c r="P548" s="1" t="str">
        <f t="shared" si="29"/>
        <v>CORUMBÁ II - UFV 1Inverter(MBUS-15)46001,254166666746001,254166666746001,3041666667</v>
      </c>
      <c r="Q548" s="1" t="str">
        <f t="shared" si="30"/>
        <v>DAURDE</v>
      </c>
    </row>
    <row r="549" spans="2:17" hidden="1">
      <c r="B549" s="1" t="s">
        <v>768</v>
      </c>
      <c r="C549" s="1" t="s">
        <v>410</v>
      </c>
      <c r="D549" s="52">
        <v>46001.254166666666</v>
      </c>
      <c r="E549" s="52">
        <v>46001.254166666666</v>
      </c>
      <c r="F549" s="52">
        <v>46001.304166666669</v>
      </c>
      <c r="G549" s="53">
        <f t="shared" si="28"/>
        <v>5.0000000002910383E-2</v>
      </c>
      <c r="H549" s="1" t="s">
        <v>248</v>
      </c>
      <c r="J549" s="1" t="s">
        <v>249</v>
      </c>
      <c r="K549" s="1" t="str">
        <f>_xlfn.XLOOKUP(J549,REF!$D$2:$D$12,REF!$E$2:$E$12)</f>
        <v>Rede</v>
      </c>
      <c r="L549" s="1" t="s">
        <v>672</v>
      </c>
      <c r="M549" s="1" t="s">
        <v>251</v>
      </c>
      <c r="N549" s="1" t="s">
        <v>252</v>
      </c>
      <c r="O549" s="1" t="s">
        <v>723</v>
      </c>
      <c r="P549" s="1" t="str">
        <f t="shared" si="29"/>
        <v>CORUMBÁ II - UFV 2U02.I0446001,254166666746001,254166666746001,3041666667</v>
      </c>
      <c r="Q549" s="1" t="str">
        <f t="shared" si="30"/>
        <v>DAURDE</v>
      </c>
    </row>
    <row r="550" spans="2:17" hidden="1">
      <c r="B550" s="1" t="s">
        <v>768</v>
      </c>
      <c r="C550" s="1" t="s">
        <v>411</v>
      </c>
      <c r="D550" s="52">
        <v>46001.254166666666</v>
      </c>
      <c r="E550" s="52">
        <v>46001.254166666666</v>
      </c>
      <c r="F550" s="52">
        <v>46001.304166666669</v>
      </c>
      <c r="G550" s="53">
        <f t="shared" si="28"/>
        <v>5.0000000002910383E-2</v>
      </c>
      <c r="H550" s="1" t="s">
        <v>248</v>
      </c>
      <c r="J550" s="1" t="s">
        <v>249</v>
      </c>
      <c r="K550" s="1" t="str">
        <f>_xlfn.XLOOKUP(J550,REF!$D$2:$D$12,REF!$E$2:$E$12)</f>
        <v>Rede</v>
      </c>
      <c r="L550" s="1" t="s">
        <v>672</v>
      </c>
      <c r="M550" s="1" t="s">
        <v>251</v>
      </c>
      <c r="N550" s="1" t="s">
        <v>252</v>
      </c>
      <c r="O550" s="1" t="s">
        <v>723</v>
      </c>
      <c r="P550" s="1" t="str">
        <f t="shared" si="29"/>
        <v>CORUMBÁ II - UFV 2U02.I0546001,254166666746001,254166666746001,3041666667</v>
      </c>
      <c r="Q550" s="1" t="str">
        <f t="shared" si="30"/>
        <v>DAURDE</v>
      </c>
    </row>
    <row r="551" spans="2:17" hidden="1">
      <c r="B551" s="1" t="s">
        <v>768</v>
      </c>
      <c r="C551" s="1" t="s">
        <v>409</v>
      </c>
      <c r="D551" s="52">
        <v>46001.254166666666</v>
      </c>
      <c r="E551" s="52">
        <v>46001.254166666666</v>
      </c>
      <c r="F551" s="52">
        <v>46001.304166666669</v>
      </c>
      <c r="G551" s="53">
        <f t="shared" si="28"/>
        <v>5.0000000002910383E-2</v>
      </c>
      <c r="H551" s="1" t="s">
        <v>248</v>
      </c>
      <c r="J551" s="1" t="s">
        <v>249</v>
      </c>
      <c r="K551" s="1" t="str">
        <f>_xlfn.XLOOKUP(J551,REF!$D$2:$D$12,REF!$E$2:$E$12)</f>
        <v>Rede</v>
      </c>
      <c r="L551" s="1" t="s">
        <v>672</v>
      </c>
      <c r="M551" s="1" t="s">
        <v>251</v>
      </c>
      <c r="N551" s="1" t="s">
        <v>252</v>
      </c>
      <c r="O551" s="1" t="s">
        <v>723</v>
      </c>
      <c r="P551" s="1" t="str">
        <f t="shared" si="29"/>
        <v>CORUMBÁ II - UFV 2U02.I0346001,254166666746001,254166666746001,3041666667</v>
      </c>
      <c r="Q551" s="1" t="str">
        <f t="shared" si="30"/>
        <v>DAURDE</v>
      </c>
    </row>
    <row r="552" spans="2:17" hidden="1">
      <c r="B552" s="1" t="s">
        <v>768</v>
      </c>
      <c r="C552" s="1" t="s">
        <v>407</v>
      </c>
      <c r="D552" s="52">
        <v>46001.254166666666</v>
      </c>
      <c r="E552" s="52">
        <v>46001.254166666666</v>
      </c>
      <c r="F552" s="52">
        <v>46001.304166666669</v>
      </c>
      <c r="G552" s="53">
        <f t="shared" si="28"/>
        <v>5.0000000002910383E-2</v>
      </c>
      <c r="H552" s="1" t="s">
        <v>248</v>
      </c>
      <c r="J552" s="1" t="s">
        <v>249</v>
      </c>
      <c r="K552" s="1" t="str">
        <f>_xlfn.XLOOKUP(J552,REF!$D$2:$D$12,REF!$E$2:$E$12)</f>
        <v>Rede</v>
      </c>
      <c r="L552" s="1" t="s">
        <v>672</v>
      </c>
      <c r="M552" s="1" t="s">
        <v>251</v>
      </c>
      <c r="N552" s="1" t="s">
        <v>252</v>
      </c>
      <c r="O552" s="1" t="s">
        <v>723</v>
      </c>
      <c r="P552" s="1" t="str">
        <f t="shared" si="29"/>
        <v>CORUMBÁ II - UFV 2U02.I0146001,254166666746001,254166666746001,3041666667</v>
      </c>
      <c r="Q552" s="1" t="str">
        <f t="shared" si="30"/>
        <v>DAURDE</v>
      </c>
    </row>
    <row r="553" spans="2:17" hidden="1">
      <c r="B553" s="1" t="s">
        <v>768</v>
      </c>
      <c r="C553" s="1" t="s">
        <v>408</v>
      </c>
      <c r="D553" s="52">
        <v>46001.254166666666</v>
      </c>
      <c r="E553" s="52">
        <v>46001.254166666666</v>
      </c>
      <c r="F553" s="52">
        <v>46001.304166666669</v>
      </c>
      <c r="G553" s="53">
        <f t="shared" si="28"/>
        <v>5.0000000002910383E-2</v>
      </c>
      <c r="H553" s="1" t="s">
        <v>248</v>
      </c>
      <c r="J553" s="1" t="s">
        <v>249</v>
      </c>
      <c r="K553" s="1" t="str">
        <f>_xlfn.XLOOKUP(J553,REF!$D$2:$D$12,REF!$E$2:$E$12)</f>
        <v>Rede</v>
      </c>
      <c r="L553" s="1" t="s">
        <v>672</v>
      </c>
      <c r="M553" s="1" t="s">
        <v>251</v>
      </c>
      <c r="N553" s="1" t="s">
        <v>252</v>
      </c>
      <c r="O553" s="1" t="s">
        <v>723</v>
      </c>
      <c r="P553" s="1" t="str">
        <f t="shared" si="29"/>
        <v>CORUMBÁ II - UFV 2U02.I0246001,254166666746001,254166666746001,3041666667</v>
      </c>
      <c r="Q553" s="1" t="str">
        <f t="shared" si="30"/>
        <v>DAURDE</v>
      </c>
    </row>
    <row r="554" spans="2:17" hidden="1">
      <c r="B554" s="1" t="s">
        <v>769</v>
      </c>
      <c r="C554" s="1" t="s">
        <v>415</v>
      </c>
      <c r="D554" s="52">
        <v>46001.254166666666</v>
      </c>
      <c r="E554" s="52">
        <v>46001.254166666666</v>
      </c>
      <c r="F554" s="52">
        <v>46001.304166666669</v>
      </c>
      <c r="G554" s="53">
        <f t="shared" si="28"/>
        <v>5.0000000002910383E-2</v>
      </c>
      <c r="H554" s="1" t="s">
        <v>248</v>
      </c>
      <c r="J554" s="1" t="s">
        <v>249</v>
      </c>
      <c r="K554" s="1" t="str">
        <f>_xlfn.XLOOKUP(J554,REF!$D$2:$D$12,REF!$E$2:$E$12)</f>
        <v>Rede</v>
      </c>
      <c r="L554" s="1" t="s">
        <v>672</v>
      </c>
      <c r="M554" s="1" t="s">
        <v>251</v>
      </c>
      <c r="N554" s="1" t="s">
        <v>252</v>
      </c>
      <c r="O554" s="1" t="s">
        <v>723</v>
      </c>
      <c r="P554" s="1" t="str">
        <f t="shared" si="29"/>
        <v>CORUMBÁ II - UFV 3U03.I0346001,254166666746001,254166666746001,3041666667</v>
      </c>
      <c r="Q554" s="1" t="str">
        <f t="shared" si="30"/>
        <v>DAURDE</v>
      </c>
    </row>
    <row r="555" spans="2:17" hidden="1">
      <c r="B555" s="1" t="s">
        <v>769</v>
      </c>
      <c r="C555" s="1" t="s">
        <v>414</v>
      </c>
      <c r="D555" s="52">
        <v>46001.254166666666</v>
      </c>
      <c r="E555" s="52">
        <v>46001.254166666666</v>
      </c>
      <c r="F555" s="52">
        <v>46001.304166666669</v>
      </c>
      <c r="G555" s="53">
        <f t="shared" si="28"/>
        <v>5.0000000002910383E-2</v>
      </c>
      <c r="H555" s="1" t="s">
        <v>248</v>
      </c>
      <c r="J555" s="1" t="s">
        <v>249</v>
      </c>
      <c r="K555" s="1" t="str">
        <f>_xlfn.XLOOKUP(J555,REF!$D$2:$D$12,REF!$E$2:$E$12)</f>
        <v>Rede</v>
      </c>
      <c r="L555" s="1" t="s">
        <v>672</v>
      </c>
      <c r="M555" s="1" t="s">
        <v>251</v>
      </c>
      <c r="N555" s="1" t="s">
        <v>252</v>
      </c>
      <c r="O555" s="1" t="s">
        <v>723</v>
      </c>
      <c r="P555" s="1" t="str">
        <f t="shared" si="29"/>
        <v>CORUMBÁ II - UFV 3U03.I0246001,254166666746001,254166666746001,3041666667</v>
      </c>
      <c r="Q555" s="1" t="str">
        <f t="shared" si="30"/>
        <v>DAURDE</v>
      </c>
    </row>
    <row r="556" spans="2:17" hidden="1">
      <c r="B556" s="1" t="s">
        <v>769</v>
      </c>
      <c r="C556" s="1" t="s">
        <v>413</v>
      </c>
      <c r="D556" s="52">
        <v>46001.254166666666</v>
      </c>
      <c r="E556" s="52">
        <v>46001.254166666666</v>
      </c>
      <c r="F556" s="52">
        <v>46001.304166666669</v>
      </c>
      <c r="G556" s="53">
        <f t="shared" si="28"/>
        <v>5.0000000002910383E-2</v>
      </c>
      <c r="H556" s="1" t="s">
        <v>248</v>
      </c>
      <c r="J556" s="1" t="s">
        <v>249</v>
      </c>
      <c r="K556" s="1" t="str">
        <f>_xlfn.XLOOKUP(J556,REF!$D$2:$D$12,REF!$E$2:$E$12)</f>
        <v>Rede</v>
      </c>
      <c r="L556" s="1" t="s">
        <v>672</v>
      </c>
      <c r="M556" s="1" t="s">
        <v>251</v>
      </c>
      <c r="N556" s="1" t="s">
        <v>252</v>
      </c>
      <c r="O556" s="1" t="s">
        <v>723</v>
      </c>
      <c r="P556" s="1" t="str">
        <f t="shared" si="29"/>
        <v>CORUMBÁ II - UFV 3U03.I0146001,254166666746001,254166666746001,3041666667</v>
      </c>
      <c r="Q556" s="1" t="str">
        <f t="shared" si="30"/>
        <v>DAURDE</v>
      </c>
    </row>
    <row r="557" spans="2:17" hidden="1">
      <c r="B557" s="1" t="s">
        <v>782</v>
      </c>
      <c r="C557" s="1" t="s">
        <v>783</v>
      </c>
      <c r="D557" s="52">
        <v>46000.509027777778</v>
      </c>
      <c r="E557" s="52">
        <v>46000.509027777778</v>
      </c>
      <c r="F557" s="52">
        <v>46000.627083333333</v>
      </c>
      <c r="G557" s="53">
        <f t="shared" si="28"/>
        <v>0.11805555555474712</v>
      </c>
      <c r="H557" s="1" t="s">
        <v>248</v>
      </c>
      <c r="J557" s="1" t="s">
        <v>249</v>
      </c>
      <c r="K557" s="1" t="str">
        <f>_xlfn.XLOOKUP(J557,REF!$D$2:$D$12,REF!$E$2:$E$12)</f>
        <v>Rede</v>
      </c>
      <c r="L557" s="1" t="s">
        <v>672</v>
      </c>
      <c r="M557" s="1" t="s">
        <v>251</v>
      </c>
      <c r="N557" s="1" t="s">
        <v>252</v>
      </c>
      <c r="O557" s="1" t="s">
        <v>723</v>
      </c>
      <c r="P557" s="1" t="str">
        <f t="shared" si="29"/>
        <v>Rio Monte IIISG60KTL(COM1-008)_001_01646000,509027777846000,509027777846000,6270833333</v>
      </c>
      <c r="Q557" s="1" t="str">
        <f t="shared" si="30"/>
        <v>DAURDE</v>
      </c>
    </row>
    <row r="558" spans="2:17" hidden="1">
      <c r="B558" s="1" t="s">
        <v>782</v>
      </c>
      <c r="C558" s="1" t="s">
        <v>784</v>
      </c>
      <c r="D558" s="52">
        <v>46000.509027777778</v>
      </c>
      <c r="E558" s="52">
        <v>46000.509027777778</v>
      </c>
      <c r="F558" s="52">
        <v>46000.627083333333</v>
      </c>
      <c r="G558" s="53">
        <f t="shared" si="28"/>
        <v>0.11805555555474712</v>
      </c>
      <c r="H558" s="1" t="s">
        <v>248</v>
      </c>
      <c r="J558" s="1" t="s">
        <v>249</v>
      </c>
      <c r="K558" s="1" t="str">
        <f>_xlfn.XLOOKUP(J558,REF!$D$2:$D$12,REF!$E$2:$E$12)</f>
        <v>Rede</v>
      </c>
      <c r="L558" s="1" t="s">
        <v>672</v>
      </c>
      <c r="M558" s="1" t="s">
        <v>251</v>
      </c>
      <c r="N558" s="1" t="s">
        <v>252</v>
      </c>
      <c r="O558" s="1" t="s">
        <v>723</v>
      </c>
      <c r="P558" s="1" t="str">
        <f t="shared" si="29"/>
        <v>Rio Monte IIISG60KTL(COM1-009)_001_01046000,509027777846000,509027777846000,6270833333</v>
      </c>
      <c r="Q558" s="1" t="str">
        <f t="shared" si="30"/>
        <v>DAURDE</v>
      </c>
    </row>
    <row r="559" spans="2:17" hidden="1">
      <c r="B559" s="1" t="s">
        <v>782</v>
      </c>
      <c r="C559" s="1" t="s">
        <v>785</v>
      </c>
      <c r="D559" s="52">
        <v>46000.509027777778</v>
      </c>
      <c r="E559" s="52">
        <v>46000.509027777778</v>
      </c>
      <c r="F559" s="52">
        <v>46000.627083333333</v>
      </c>
      <c r="G559" s="53">
        <f t="shared" si="28"/>
        <v>0.11805555555474712</v>
      </c>
      <c r="H559" s="1" t="s">
        <v>248</v>
      </c>
      <c r="J559" s="1" t="s">
        <v>249</v>
      </c>
      <c r="K559" s="1" t="str">
        <f>_xlfn.XLOOKUP(J559,REF!$D$2:$D$12,REF!$E$2:$E$12)</f>
        <v>Rede</v>
      </c>
      <c r="L559" s="1" t="s">
        <v>672</v>
      </c>
      <c r="M559" s="1" t="s">
        <v>251</v>
      </c>
      <c r="N559" s="1" t="s">
        <v>252</v>
      </c>
      <c r="O559" s="1" t="s">
        <v>723</v>
      </c>
      <c r="P559" s="1" t="str">
        <f t="shared" si="29"/>
        <v>Rio Monte IIISG60KTL(COM1-010)_001_01246000,509027777846000,509027777846000,6270833333</v>
      </c>
      <c r="Q559" s="1" t="str">
        <f t="shared" si="30"/>
        <v>DAURDE</v>
      </c>
    </row>
    <row r="560" spans="2:17" hidden="1">
      <c r="B560" s="1" t="s">
        <v>782</v>
      </c>
      <c r="C560" s="1" t="s">
        <v>786</v>
      </c>
      <c r="D560" s="52">
        <v>46000.509027777778</v>
      </c>
      <c r="E560" s="52">
        <v>46000.509027777778</v>
      </c>
      <c r="F560" s="52">
        <v>46000.627083333333</v>
      </c>
      <c r="G560" s="53">
        <f t="shared" si="28"/>
        <v>0.11805555555474712</v>
      </c>
      <c r="H560" s="1" t="s">
        <v>248</v>
      </c>
      <c r="J560" s="1" t="s">
        <v>249</v>
      </c>
      <c r="K560" s="1" t="str">
        <f>_xlfn.XLOOKUP(J560,REF!$D$2:$D$12,REF!$E$2:$E$12)</f>
        <v>Rede</v>
      </c>
      <c r="L560" s="1" t="s">
        <v>672</v>
      </c>
      <c r="M560" s="1" t="s">
        <v>251</v>
      </c>
      <c r="N560" s="1" t="s">
        <v>252</v>
      </c>
      <c r="O560" s="1" t="s">
        <v>723</v>
      </c>
      <c r="P560" s="1" t="str">
        <f t="shared" si="29"/>
        <v>Rio Monte IIISG60KTL(COM1-011)_001_00246000,509027777846000,509027777846000,6270833333</v>
      </c>
      <c r="Q560" s="1" t="str">
        <f t="shared" si="30"/>
        <v>DAURDE</v>
      </c>
    </row>
    <row r="561" spans="2:17" hidden="1">
      <c r="B561" s="1" t="s">
        <v>782</v>
      </c>
      <c r="C561" s="1" t="s">
        <v>787</v>
      </c>
      <c r="D561" s="52">
        <v>46000.509027777778</v>
      </c>
      <c r="E561" s="52">
        <v>46000.509027777778</v>
      </c>
      <c r="F561" s="52">
        <v>46000.627083333333</v>
      </c>
      <c r="G561" s="53">
        <f t="shared" si="28"/>
        <v>0.11805555555474712</v>
      </c>
      <c r="H561" s="1" t="s">
        <v>248</v>
      </c>
      <c r="J561" s="1" t="s">
        <v>249</v>
      </c>
      <c r="K561" s="1" t="str">
        <f>_xlfn.XLOOKUP(J561,REF!$D$2:$D$12,REF!$E$2:$E$12)</f>
        <v>Rede</v>
      </c>
      <c r="L561" s="1" t="s">
        <v>672</v>
      </c>
      <c r="M561" s="1" t="s">
        <v>251</v>
      </c>
      <c r="N561" s="1" t="s">
        <v>252</v>
      </c>
      <c r="O561" s="1" t="s">
        <v>723</v>
      </c>
      <c r="P561" s="1" t="str">
        <f t="shared" si="29"/>
        <v>Rio Monte IIISG60KTL(COM1-012)_001_01546000,509027777846000,509027777846000,6270833333</v>
      </c>
      <c r="Q561" s="1" t="str">
        <f t="shared" si="30"/>
        <v>DAURDE</v>
      </c>
    </row>
    <row r="562" spans="2:17" hidden="1">
      <c r="B562" s="1" t="s">
        <v>782</v>
      </c>
      <c r="C562" s="1" t="s">
        <v>788</v>
      </c>
      <c r="D562" s="52">
        <v>46000.509027777778</v>
      </c>
      <c r="E562" s="52">
        <v>46000.509027777778</v>
      </c>
      <c r="F562" s="52">
        <v>46000.627083333333</v>
      </c>
      <c r="G562" s="53">
        <f t="shared" si="28"/>
        <v>0.11805555555474712</v>
      </c>
      <c r="H562" s="1" t="s">
        <v>248</v>
      </c>
      <c r="J562" s="1" t="s">
        <v>249</v>
      </c>
      <c r="K562" s="1" t="str">
        <f>_xlfn.XLOOKUP(J562,REF!$D$2:$D$12,REF!$E$2:$E$12)</f>
        <v>Rede</v>
      </c>
      <c r="L562" s="1" t="s">
        <v>672</v>
      </c>
      <c r="M562" s="1" t="s">
        <v>251</v>
      </c>
      <c r="N562" s="1" t="s">
        <v>252</v>
      </c>
      <c r="O562" s="1" t="s">
        <v>723</v>
      </c>
      <c r="P562" s="1" t="str">
        <f t="shared" si="29"/>
        <v>Rio Monte IIISG60KTL(COM1-013)_001_00346000,509027777846000,509027777846000,6270833333</v>
      </c>
      <c r="Q562" s="1" t="str">
        <f t="shared" si="30"/>
        <v>DAURDE</v>
      </c>
    </row>
    <row r="563" spans="2:17" hidden="1">
      <c r="B563" s="1" t="s">
        <v>782</v>
      </c>
      <c r="C563" s="1" t="s">
        <v>789</v>
      </c>
      <c r="D563" s="52">
        <v>46000.509027777778</v>
      </c>
      <c r="E563" s="52">
        <v>46000.509027777778</v>
      </c>
      <c r="F563" s="52">
        <v>46000.627083333333</v>
      </c>
      <c r="G563" s="53">
        <f t="shared" si="28"/>
        <v>0.11805555555474712</v>
      </c>
      <c r="H563" s="1" t="s">
        <v>248</v>
      </c>
      <c r="J563" s="1" t="s">
        <v>249</v>
      </c>
      <c r="K563" s="1" t="str">
        <f>_xlfn.XLOOKUP(J563,REF!$D$2:$D$12,REF!$E$2:$E$12)</f>
        <v>Rede</v>
      </c>
      <c r="L563" s="1" t="s">
        <v>672</v>
      </c>
      <c r="M563" s="1" t="s">
        <v>251</v>
      </c>
      <c r="N563" s="1" t="s">
        <v>252</v>
      </c>
      <c r="O563" s="1" t="s">
        <v>723</v>
      </c>
      <c r="P563" s="1" t="str">
        <f t="shared" si="29"/>
        <v>Rio Monte IIISG60KTL(COM1-014)_001_00446000,509027777846000,509027777846000,6270833333</v>
      </c>
      <c r="Q563" s="1" t="str">
        <f t="shared" si="30"/>
        <v>DAURDE</v>
      </c>
    </row>
    <row r="564" spans="2:17" hidden="1">
      <c r="B564" s="1" t="s">
        <v>782</v>
      </c>
      <c r="C564" s="1" t="s">
        <v>790</v>
      </c>
      <c r="D564" s="52">
        <v>46000.509027777778</v>
      </c>
      <c r="E564" s="52">
        <v>46000.509027777778</v>
      </c>
      <c r="F564" s="52">
        <v>46000.627083333333</v>
      </c>
      <c r="G564" s="53">
        <f t="shared" si="28"/>
        <v>0.11805555555474712</v>
      </c>
      <c r="H564" s="1" t="s">
        <v>248</v>
      </c>
      <c r="J564" s="1" t="s">
        <v>249</v>
      </c>
      <c r="K564" s="1" t="str">
        <f>_xlfn.XLOOKUP(J564,REF!$D$2:$D$12,REF!$E$2:$E$12)</f>
        <v>Rede</v>
      </c>
      <c r="L564" s="1" t="s">
        <v>672</v>
      </c>
      <c r="M564" s="1" t="s">
        <v>251</v>
      </c>
      <c r="N564" s="1" t="s">
        <v>252</v>
      </c>
      <c r="O564" s="1" t="s">
        <v>723</v>
      </c>
      <c r="P564" s="1" t="str">
        <f t="shared" si="29"/>
        <v>Rio Monte IIISG60KTL(COM1-015)_001_01346000,509027777846000,509027777846000,6270833333</v>
      </c>
      <c r="Q564" s="1" t="str">
        <f t="shared" si="30"/>
        <v>DAURDE</v>
      </c>
    </row>
    <row r="565" spans="2:17" hidden="1">
      <c r="B565" s="1" t="s">
        <v>782</v>
      </c>
      <c r="C565" s="1" t="s">
        <v>791</v>
      </c>
      <c r="D565" s="52">
        <v>46000.509027777778</v>
      </c>
      <c r="E565" s="52">
        <v>46000.509027777778</v>
      </c>
      <c r="F565" s="52">
        <v>46000.627083333333</v>
      </c>
      <c r="G565" s="53">
        <f t="shared" si="28"/>
        <v>0.11805555555474712</v>
      </c>
      <c r="H565" s="1" t="s">
        <v>248</v>
      </c>
      <c r="J565" s="1" t="s">
        <v>249</v>
      </c>
      <c r="K565" s="1" t="str">
        <f>_xlfn.XLOOKUP(J565,REF!$D$2:$D$12,REF!$E$2:$E$12)</f>
        <v>Rede</v>
      </c>
      <c r="L565" s="1" t="s">
        <v>672</v>
      </c>
      <c r="M565" s="1" t="s">
        <v>251</v>
      </c>
      <c r="N565" s="1" t="s">
        <v>252</v>
      </c>
      <c r="O565" s="1" t="s">
        <v>723</v>
      </c>
      <c r="P565" s="1" t="str">
        <f t="shared" si="29"/>
        <v>Rio Monte IIISG60KTL(COM1-016)_001_01446000,509027777846000,509027777846000,6270833333</v>
      </c>
      <c r="Q565" s="1" t="str">
        <f t="shared" si="30"/>
        <v>DAURDE</v>
      </c>
    </row>
    <row r="566" spans="2:17" hidden="1">
      <c r="B566" s="1" t="s">
        <v>782</v>
      </c>
      <c r="C566" s="1" t="s">
        <v>792</v>
      </c>
      <c r="D566" s="52">
        <v>46000.509027777778</v>
      </c>
      <c r="E566" s="52">
        <v>46000.509027777778</v>
      </c>
      <c r="F566" s="52">
        <v>46000.627083333333</v>
      </c>
      <c r="G566" s="53">
        <f t="shared" si="28"/>
        <v>0.11805555555474712</v>
      </c>
      <c r="H566" s="1" t="s">
        <v>248</v>
      </c>
      <c r="J566" s="1" t="s">
        <v>249</v>
      </c>
      <c r="K566" s="1" t="str">
        <f>_xlfn.XLOOKUP(J566,REF!$D$2:$D$12,REF!$E$2:$E$12)</f>
        <v>Rede</v>
      </c>
      <c r="L566" s="1" t="s">
        <v>672</v>
      </c>
      <c r="M566" s="1" t="s">
        <v>251</v>
      </c>
      <c r="N566" s="1" t="s">
        <v>252</v>
      </c>
      <c r="O566" s="1" t="s">
        <v>723</v>
      </c>
      <c r="P566" s="1" t="str">
        <f t="shared" si="29"/>
        <v>Rio Monte IIISG60KTL(COM1-017)_001_00846000,509027777846000,509027777846000,6270833333</v>
      </c>
      <c r="Q566" s="1" t="str">
        <f t="shared" si="30"/>
        <v>DAURDE</v>
      </c>
    </row>
    <row r="567" spans="2:17" hidden="1">
      <c r="B567" s="1" t="s">
        <v>780</v>
      </c>
      <c r="C567" s="1" t="s">
        <v>269</v>
      </c>
      <c r="D567" s="52">
        <v>46002.000694444447</v>
      </c>
      <c r="E567" s="52">
        <v>46002.000694444447</v>
      </c>
      <c r="F567" s="52">
        <v>46002.3125</v>
      </c>
      <c r="G567" s="53">
        <f t="shared" si="28"/>
        <v>0.31180555555329192</v>
      </c>
      <c r="H567" s="1" t="s">
        <v>248</v>
      </c>
      <c r="J567" s="1" t="s">
        <v>249</v>
      </c>
      <c r="K567" s="1" t="str">
        <f>_xlfn.XLOOKUP(J567,REF!$D$2:$D$12,REF!$E$2:$E$12)</f>
        <v>Rede</v>
      </c>
      <c r="L567" s="1" t="s">
        <v>793</v>
      </c>
      <c r="M567" s="1" t="s">
        <v>251</v>
      </c>
      <c r="N567" s="1" t="s">
        <v>330</v>
      </c>
      <c r="O567" s="1" t="s">
        <v>331</v>
      </c>
      <c r="P567" s="1" t="str">
        <f t="shared" si="29"/>
        <v>Caiaponia ISG60KTL(COM1-001)_001_00746002,000694444446002,000694444446002,3125</v>
      </c>
      <c r="Q567" s="1" t="str">
        <f t="shared" si="30"/>
        <v>DAURDE</v>
      </c>
    </row>
    <row r="568" spans="2:17" hidden="1">
      <c r="B568" s="1" t="s">
        <v>780</v>
      </c>
      <c r="C568" s="1" t="s">
        <v>270</v>
      </c>
      <c r="D568" s="52">
        <v>46002.000694444447</v>
      </c>
      <c r="E568" s="52">
        <v>46002.000694444447</v>
      </c>
      <c r="F568" s="52">
        <v>46002.3125</v>
      </c>
      <c r="G568" s="53">
        <f t="shared" ref="G568:G610" si="31">F568-E568</f>
        <v>0.31180555555329192</v>
      </c>
      <c r="H568" s="1" t="s">
        <v>248</v>
      </c>
      <c r="J568" s="1" t="s">
        <v>249</v>
      </c>
      <c r="K568" s="1" t="str">
        <f>_xlfn.XLOOKUP(J568,REF!$D$2:$D$12,REF!$E$2:$E$12)</f>
        <v>Rede</v>
      </c>
      <c r="L568" s="1" t="s">
        <v>793</v>
      </c>
      <c r="M568" s="1" t="s">
        <v>251</v>
      </c>
      <c r="N568" s="1" t="s">
        <v>330</v>
      </c>
      <c r="O568" s="1" t="s">
        <v>331</v>
      </c>
      <c r="P568" s="1" t="str">
        <f t="shared" si="29"/>
        <v>Caiaponia ISG60KTL(COM1-002)_001_01046002,000694444446002,000694444446002,3125</v>
      </c>
      <c r="Q568" s="1" t="str">
        <f t="shared" si="30"/>
        <v>DAURDE</v>
      </c>
    </row>
    <row r="569" spans="2:17" hidden="1">
      <c r="B569" s="1" t="s">
        <v>780</v>
      </c>
      <c r="C569" s="1" t="s">
        <v>271</v>
      </c>
      <c r="D569" s="52">
        <v>46002.000694444447</v>
      </c>
      <c r="E569" s="52">
        <v>46002.000694444447</v>
      </c>
      <c r="F569" s="52">
        <v>46002.3125</v>
      </c>
      <c r="G569" s="53">
        <f t="shared" si="31"/>
        <v>0.31180555555329192</v>
      </c>
      <c r="H569" s="1" t="s">
        <v>248</v>
      </c>
      <c r="J569" s="1" t="s">
        <v>249</v>
      </c>
      <c r="K569" s="1" t="str">
        <f>_xlfn.XLOOKUP(J569,REF!$D$2:$D$12,REF!$E$2:$E$12)</f>
        <v>Rede</v>
      </c>
      <c r="L569" s="1" t="s">
        <v>793</v>
      </c>
      <c r="M569" s="1" t="s">
        <v>251</v>
      </c>
      <c r="N569" s="1" t="s">
        <v>330</v>
      </c>
      <c r="O569" s="1" t="s">
        <v>331</v>
      </c>
      <c r="P569" s="1" t="str">
        <f t="shared" si="29"/>
        <v>Caiaponia ISG60KTL(COM1-003)_001_01146002,000694444446002,000694444446002,3125</v>
      </c>
      <c r="Q569" s="1" t="str">
        <f t="shared" si="30"/>
        <v>DAURDE</v>
      </c>
    </row>
    <row r="570" spans="2:17" hidden="1">
      <c r="B570" s="1" t="s">
        <v>780</v>
      </c>
      <c r="C570" s="1" t="s">
        <v>272</v>
      </c>
      <c r="D570" s="52">
        <v>46002.000694444447</v>
      </c>
      <c r="E570" s="52">
        <v>46002.000694444447</v>
      </c>
      <c r="F570" s="52">
        <v>46002.3125</v>
      </c>
      <c r="G570" s="53">
        <f t="shared" si="31"/>
        <v>0.31180555555329192</v>
      </c>
      <c r="H570" s="1" t="s">
        <v>248</v>
      </c>
      <c r="J570" s="1" t="s">
        <v>249</v>
      </c>
      <c r="K570" s="1" t="str">
        <f>_xlfn.XLOOKUP(J570,REF!$D$2:$D$12,REF!$E$2:$E$12)</f>
        <v>Rede</v>
      </c>
      <c r="L570" s="1" t="s">
        <v>793</v>
      </c>
      <c r="M570" s="1" t="s">
        <v>251</v>
      </c>
      <c r="N570" s="1" t="s">
        <v>330</v>
      </c>
      <c r="O570" s="1" t="s">
        <v>331</v>
      </c>
      <c r="P570" s="1" t="str">
        <f t="shared" si="29"/>
        <v>Caiaponia ISG60KTL(COM1-004)_001_01446002,000694444446002,000694444446002,3125</v>
      </c>
      <c r="Q570" s="1" t="str">
        <f t="shared" si="30"/>
        <v>DAURDE</v>
      </c>
    </row>
    <row r="571" spans="2:17" hidden="1">
      <c r="B571" s="1" t="s">
        <v>780</v>
      </c>
      <c r="C571" s="1" t="s">
        <v>273</v>
      </c>
      <c r="D571" s="52">
        <v>46002.000694444447</v>
      </c>
      <c r="E571" s="52">
        <v>46002.000694444447</v>
      </c>
      <c r="F571" s="52">
        <v>46002.3125</v>
      </c>
      <c r="G571" s="53">
        <f t="shared" si="31"/>
        <v>0.31180555555329192</v>
      </c>
      <c r="H571" s="1" t="s">
        <v>248</v>
      </c>
      <c r="J571" s="1" t="s">
        <v>249</v>
      </c>
      <c r="K571" s="1" t="str">
        <f>_xlfn.XLOOKUP(J571,REF!$D$2:$D$12,REF!$E$2:$E$12)</f>
        <v>Rede</v>
      </c>
      <c r="L571" s="1" t="s">
        <v>793</v>
      </c>
      <c r="M571" s="1" t="s">
        <v>251</v>
      </c>
      <c r="N571" s="1" t="s">
        <v>330</v>
      </c>
      <c r="O571" s="1" t="s">
        <v>331</v>
      </c>
      <c r="P571" s="1" t="str">
        <f t="shared" si="29"/>
        <v>Caiaponia ISG60KTL(COM1-005)_001_01746002,000694444446002,000694444446002,3125</v>
      </c>
      <c r="Q571" s="1" t="str">
        <f t="shared" si="30"/>
        <v>DAURDE</v>
      </c>
    </row>
    <row r="572" spans="2:17" hidden="1">
      <c r="B572" s="1" t="s">
        <v>780</v>
      </c>
      <c r="C572" s="1" t="s">
        <v>274</v>
      </c>
      <c r="D572" s="52">
        <v>46002.000694444447</v>
      </c>
      <c r="E572" s="52">
        <v>46002.000694444447</v>
      </c>
      <c r="F572" s="52">
        <v>46002.3125</v>
      </c>
      <c r="G572" s="53">
        <f t="shared" si="31"/>
        <v>0.31180555555329192</v>
      </c>
      <c r="H572" s="1" t="s">
        <v>248</v>
      </c>
      <c r="J572" s="1" t="s">
        <v>249</v>
      </c>
      <c r="K572" s="1" t="str">
        <f>_xlfn.XLOOKUP(J572,REF!$D$2:$D$12,REF!$E$2:$E$12)</f>
        <v>Rede</v>
      </c>
      <c r="L572" s="1" t="s">
        <v>793</v>
      </c>
      <c r="M572" s="1" t="s">
        <v>251</v>
      </c>
      <c r="N572" s="1" t="s">
        <v>330</v>
      </c>
      <c r="O572" s="1" t="s">
        <v>331</v>
      </c>
      <c r="P572" s="1" t="str">
        <f t="shared" si="29"/>
        <v>Caiaponia ISG60KTL(COM1-006)_001_01646002,000694444446002,000694444446002,3125</v>
      </c>
      <c r="Q572" s="1" t="str">
        <f t="shared" si="30"/>
        <v>DAURDE</v>
      </c>
    </row>
    <row r="573" spans="2:17" hidden="1">
      <c r="B573" s="1" t="s">
        <v>780</v>
      </c>
      <c r="C573" s="1" t="s">
        <v>275</v>
      </c>
      <c r="D573" s="52">
        <v>46002.000694444447</v>
      </c>
      <c r="E573" s="52">
        <v>46002.000694444447</v>
      </c>
      <c r="F573" s="52">
        <v>46002.3125</v>
      </c>
      <c r="G573" s="53">
        <f t="shared" si="31"/>
        <v>0.31180555555329192</v>
      </c>
      <c r="H573" s="1" t="s">
        <v>248</v>
      </c>
      <c r="J573" s="1" t="s">
        <v>249</v>
      </c>
      <c r="K573" s="1" t="str">
        <f>_xlfn.XLOOKUP(J573,REF!$D$2:$D$12,REF!$E$2:$E$12)</f>
        <v>Rede</v>
      </c>
      <c r="L573" s="1" t="s">
        <v>793</v>
      </c>
      <c r="M573" s="1" t="s">
        <v>251</v>
      </c>
      <c r="N573" s="1" t="s">
        <v>330</v>
      </c>
      <c r="O573" s="1" t="s">
        <v>331</v>
      </c>
      <c r="P573" s="1" t="str">
        <f t="shared" si="29"/>
        <v>Caiaponia ISG60KTL(COM1-007)_001_01346002,000694444446002,000694444446002,3125</v>
      </c>
      <c r="Q573" s="1" t="str">
        <f t="shared" si="30"/>
        <v>DAURDE</v>
      </c>
    </row>
    <row r="574" spans="2:17" hidden="1">
      <c r="B574" s="1" t="s">
        <v>780</v>
      </c>
      <c r="C574" s="1" t="s">
        <v>276</v>
      </c>
      <c r="D574" s="52">
        <v>46002.000694444447</v>
      </c>
      <c r="E574" s="52">
        <v>46002.000694444447</v>
      </c>
      <c r="F574" s="52">
        <v>46002.3125</v>
      </c>
      <c r="G574" s="53">
        <f t="shared" si="31"/>
        <v>0.31180555555329192</v>
      </c>
      <c r="H574" s="1" t="s">
        <v>248</v>
      </c>
      <c r="J574" s="1" t="s">
        <v>249</v>
      </c>
      <c r="K574" s="1" t="str">
        <f>_xlfn.XLOOKUP(J574,REF!$D$2:$D$12,REF!$E$2:$E$12)</f>
        <v>Rede</v>
      </c>
      <c r="L574" s="1" t="s">
        <v>793</v>
      </c>
      <c r="M574" s="1" t="s">
        <v>251</v>
      </c>
      <c r="N574" s="1" t="s">
        <v>330</v>
      </c>
      <c r="O574" s="1" t="s">
        <v>331</v>
      </c>
      <c r="P574" s="1" t="str">
        <f t="shared" si="29"/>
        <v>Caiaponia ISG60KTL(COM1-008)_001_00146002,000694444446002,000694444446002,3125</v>
      </c>
      <c r="Q574" s="1" t="str">
        <f t="shared" si="30"/>
        <v>DAURDE</v>
      </c>
    </row>
    <row r="575" spans="2:17" hidden="1">
      <c r="B575" s="1" t="s">
        <v>781</v>
      </c>
      <c r="C575" s="1" t="s">
        <v>277</v>
      </c>
      <c r="D575" s="52">
        <v>46002.000694444447</v>
      </c>
      <c r="E575" s="52">
        <v>46002.000694444447</v>
      </c>
      <c r="F575" s="52">
        <v>46002.3125</v>
      </c>
      <c r="G575" s="53">
        <f t="shared" si="31"/>
        <v>0.31180555555329192</v>
      </c>
      <c r="H575" s="1" t="s">
        <v>248</v>
      </c>
      <c r="J575" s="1" t="s">
        <v>249</v>
      </c>
      <c r="K575" s="1" t="str">
        <f>_xlfn.XLOOKUP(J575,REF!$D$2:$D$12,REF!$E$2:$E$12)</f>
        <v>Rede</v>
      </c>
      <c r="L575" s="1" t="s">
        <v>793</v>
      </c>
      <c r="M575" s="1" t="s">
        <v>251</v>
      </c>
      <c r="N575" s="1" t="s">
        <v>330</v>
      </c>
      <c r="O575" s="1" t="s">
        <v>331</v>
      </c>
      <c r="P575" s="1" t="str">
        <f t="shared" si="29"/>
        <v>Caiaponia IISG60KTL(COM1-009)46002,000694444446002,000694444446002,3125</v>
      </c>
      <c r="Q575" s="1" t="str">
        <f t="shared" si="30"/>
        <v>DAURDE</v>
      </c>
    </row>
    <row r="576" spans="2:17" hidden="1">
      <c r="B576" s="1" t="s">
        <v>781</v>
      </c>
      <c r="C576" s="1" t="s">
        <v>278</v>
      </c>
      <c r="D576" s="52">
        <v>46002.000694444447</v>
      </c>
      <c r="E576" s="52">
        <v>46002.000694444447</v>
      </c>
      <c r="F576" s="52">
        <v>46002.3125</v>
      </c>
      <c r="G576" s="53">
        <f t="shared" si="31"/>
        <v>0.31180555555329192</v>
      </c>
      <c r="H576" s="1" t="s">
        <v>248</v>
      </c>
      <c r="J576" s="1" t="s">
        <v>249</v>
      </c>
      <c r="K576" s="1" t="str">
        <f>_xlfn.XLOOKUP(J576,REF!$D$2:$D$12,REF!$E$2:$E$12)</f>
        <v>Rede</v>
      </c>
      <c r="L576" s="1" t="s">
        <v>793</v>
      </c>
      <c r="M576" s="1" t="s">
        <v>251</v>
      </c>
      <c r="N576" s="1" t="s">
        <v>330</v>
      </c>
      <c r="O576" s="1" t="s">
        <v>331</v>
      </c>
      <c r="P576" s="1" t="str">
        <f t="shared" si="29"/>
        <v>Caiaponia IISG60KTL(COM1-010)46002,000694444446002,000694444446002,3125</v>
      </c>
      <c r="Q576" s="1" t="str">
        <f t="shared" si="30"/>
        <v>DAURDE</v>
      </c>
    </row>
    <row r="577" spans="2:17" hidden="1">
      <c r="B577" s="1" t="s">
        <v>781</v>
      </c>
      <c r="C577" s="1" t="s">
        <v>279</v>
      </c>
      <c r="D577" s="52">
        <v>46002.000694444447</v>
      </c>
      <c r="E577" s="52">
        <v>46002.000694444447</v>
      </c>
      <c r="F577" s="52">
        <v>46002.3125</v>
      </c>
      <c r="G577" s="53">
        <f t="shared" si="31"/>
        <v>0.31180555555329192</v>
      </c>
      <c r="H577" s="1" t="s">
        <v>248</v>
      </c>
      <c r="J577" s="1" t="s">
        <v>249</v>
      </c>
      <c r="K577" s="1" t="str">
        <f>_xlfn.XLOOKUP(J577,REF!$D$2:$D$12,REF!$E$2:$E$12)</f>
        <v>Rede</v>
      </c>
      <c r="L577" s="1" t="s">
        <v>793</v>
      </c>
      <c r="M577" s="1" t="s">
        <v>251</v>
      </c>
      <c r="N577" s="1" t="s">
        <v>330</v>
      </c>
      <c r="O577" s="1" t="s">
        <v>331</v>
      </c>
      <c r="P577" s="1" t="str">
        <f t="shared" si="29"/>
        <v>Caiaponia IISG60KTL(COM1-011)46002,000694444446002,000694444446002,3125</v>
      </c>
      <c r="Q577" s="1" t="str">
        <f t="shared" si="30"/>
        <v>DAURDE</v>
      </c>
    </row>
    <row r="578" spans="2:17" hidden="1">
      <c r="B578" s="1" t="s">
        <v>781</v>
      </c>
      <c r="C578" s="1" t="s">
        <v>280</v>
      </c>
      <c r="D578" s="52">
        <v>46002.000694444447</v>
      </c>
      <c r="E578" s="52">
        <v>46002.000694444447</v>
      </c>
      <c r="F578" s="52">
        <v>46002.3125</v>
      </c>
      <c r="G578" s="53">
        <f t="shared" si="31"/>
        <v>0.31180555555329192</v>
      </c>
      <c r="H578" s="1" t="s">
        <v>248</v>
      </c>
      <c r="J578" s="1" t="s">
        <v>249</v>
      </c>
      <c r="K578" s="1" t="str">
        <f>_xlfn.XLOOKUP(J578,REF!$D$2:$D$12,REF!$E$2:$E$12)</f>
        <v>Rede</v>
      </c>
      <c r="L578" s="1" t="s">
        <v>793</v>
      </c>
      <c r="M578" s="1" t="s">
        <v>251</v>
      </c>
      <c r="N578" s="1" t="s">
        <v>330</v>
      </c>
      <c r="O578" s="1" t="s">
        <v>331</v>
      </c>
      <c r="P578" s="1" t="str">
        <f t="shared" si="29"/>
        <v>Caiaponia IISG60KTL(COM1-012)46002,000694444446002,000694444446002,3125</v>
      </c>
      <c r="Q578" s="1" t="str">
        <f t="shared" si="30"/>
        <v>DAURDE</v>
      </c>
    </row>
    <row r="579" spans="2:17" hidden="1">
      <c r="B579" s="1" t="s">
        <v>781</v>
      </c>
      <c r="C579" s="1" t="s">
        <v>281</v>
      </c>
      <c r="D579" s="52">
        <v>46002.000694444447</v>
      </c>
      <c r="E579" s="52">
        <v>46002.000694444447</v>
      </c>
      <c r="F579" s="52">
        <v>46002.3125</v>
      </c>
      <c r="G579" s="53">
        <f t="shared" si="31"/>
        <v>0.31180555555329192</v>
      </c>
      <c r="H579" s="1" t="s">
        <v>248</v>
      </c>
      <c r="J579" s="1" t="s">
        <v>249</v>
      </c>
      <c r="K579" s="1" t="str">
        <f>_xlfn.XLOOKUP(J579,REF!$D$2:$D$12,REF!$E$2:$E$12)</f>
        <v>Rede</v>
      </c>
      <c r="L579" s="1" t="s">
        <v>793</v>
      </c>
      <c r="M579" s="1" t="s">
        <v>251</v>
      </c>
      <c r="N579" s="1" t="s">
        <v>330</v>
      </c>
      <c r="O579" s="1" t="s">
        <v>331</v>
      </c>
      <c r="P579" s="1" t="str">
        <f t="shared" ref="P579:P642" si="32">_xlfn.CONCAT(B579,C579,D579,E579,F579)</f>
        <v>Caiaponia IISG60KTL(COM1-013)46002,000694444446002,000694444446002,3125</v>
      </c>
      <c r="Q579" s="1" t="str">
        <f t="shared" ref="Q579:Q642" si="33">_xlfn.CONCAT(H579,I579,J579)</f>
        <v>DAURDE</v>
      </c>
    </row>
    <row r="580" spans="2:17" hidden="1">
      <c r="B580" s="1" t="s">
        <v>781</v>
      </c>
      <c r="C580" s="1" t="s">
        <v>282</v>
      </c>
      <c r="D580" s="52">
        <v>46002.000694444447</v>
      </c>
      <c r="E580" s="52">
        <v>46002.000694444447</v>
      </c>
      <c r="F580" s="52">
        <v>46002.3125</v>
      </c>
      <c r="G580" s="53">
        <f t="shared" si="31"/>
        <v>0.31180555555329192</v>
      </c>
      <c r="H580" s="1" t="s">
        <v>248</v>
      </c>
      <c r="J580" s="1" t="s">
        <v>249</v>
      </c>
      <c r="K580" s="1" t="str">
        <f>_xlfn.XLOOKUP(J580,REF!$D$2:$D$12,REF!$E$2:$E$12)</f>
        <v>Rede</v>
      </c>
      <c r="L580" s="1" t="s">
        <v>793</v>
      </c>
      <c r="M580" s="1" t="s">
        <v>251</v>
      </c>
      <c r="N580" s="1" t="s">
        <v>330</v>
      </c>
      <c r="O580" s="1" t="s">
        <v>331</v>
      </c>
      <c r="P580" s="1" t="str">
        <f t="shared" si="32"/>
        <v>Caiaponia IISG60KTL(COM1-014)46002,000694444446002,000694444446002,3125</v>
      </c>
      <c r="Q580" s="1" t="str">
        <f t="shared" si="33"/>
        <v>DAURDE</v>
      </c>
    </row>
    <row r="581" spans="2:17" hidden="1">
      <c r="B581" s="1" t="s">
        <v>781</v>
      </c>
      <c r="C581" s="1" t="s">
        <v>283</v>
      </c>
      <c r="D581" s="52">
        <v>46002.000694444447</v>
      </c>
      <c r="E581" s="52">
        <v>46002.000694444447</v>
      </c>
      <c r="F581" s="52">
        <v>46002.3125</v>
      </c>
      <c r="G581" s="53">
        <f t="shared" si="31"/>
        <v>0.31180555555329192</v>
      </c>
      <c r="H581" s="1" t="s">
        <v>248</v>
      </c>
      <c r="J581" s="1" t="s">
        <v>249</v>
      </c>
      <c r="K581" s="1" t="str">
        <f>_xlfn.XLOOKUP(J581,REF!$D$2:$D$12,REF!$E$2:$E$12)</f>
        <v>Rede</v>
      </c>
      <c r="L581" s="1" t="s">
        <v>793</v>
      </c>
      <c r="M581" s="1" t="s">
        <v>251</v>
      </c>
      <c r="N581" s="1" t="s">
        <v>330</v>
      </c>
      <c r="O581" s="1" t="s">
        <v>331</v>
      </c>
      <c r="P581" s="1" t="str">
        <f t="shared" si="32"/>
        <v>Caiaponia IISG60KTL(COM1-015)46002,000694444446002,000694444446002,3125</v>
      </c>
      <c r="Q581" s="1" t="str">
        <f t="shared" si="33"/>
        <v>DAURDE</v>
      </c>
    </row>
    <row r="582" spans="2:17" hidden="1">
      <c r="B582" s="1" t="s">
        <v>794</v>
      </c>
      <c r="C582" s="1" t="s">
        <v>284</v>
      </c>
      <c r="D582" s="52">
        <v>46002.000694444447</v>
      </c>
      <c r="E582" s="52">
        <v>46002.000694444447</v>
      </c>
      <c r="F582" s="52">
        <v>46002.3125</v>
      </c>
      <c r="G582" s="53">
        <f t="shared" si="31"/>
        <v>0.31180555555329192</v>
      </c>
      <c r="H582" s="1" t="s">
        <v>248</v>
      </c>
      <c r="J582" s="1" t="s">
        <v>249</v>
      </c>
      <c r="K582" s="1" t="str">
        <f>_xlfn.XLOOKUP(J582,REF!$D$2:$D$12,REF!$E$2:$E$12)</f>
        <v>Rede</v>
      </c>
      <c r="L582" s="1" t="s">
        <v>793</v>
      </c>
      <c r="M582" s="1" t="s">
        <v>251</v>
      </c>
      <c r="N582" s="1" t="s">
        <v>330</v>
      </c>
      <c r="O582" s="1" t="s">
        <v>331</v>
      </c>
      <c r="P582" s="1" t="str">
        <f t="shared" si="32"/>
        <v>Caiaponia IIISG60KTL(COM3-016)_001_00946002,000694444446002,000694444446002,3125</v>
      </c>
      <c r="Q582" s="1" t="str">
        <f t="shared" si="33"/>
        <v>DAURDE</v>
      </c>
    </row>
    <row r="583" spans="2:17" hidden="1">
      <c r="B583" s="1" t="s">
        <v>794</v>
      </c>
      <c r="C583" s="1" t="s">
        <v>285</v>
      </c>
      <c r="D583" s="52">
        <v>46002.000694444447</v>
      </c>
      <c r="E583" s="52">
        <v>46002.000694444447</v>
      </c>
      <c r="F583" s="52">
        <v>46002.3125</v>
      </c>
      <c r="G583" s="53">
        <f t="shared" si="31"/>
        <v>0.31180555555329192</v>
      </c>
      <c r="H583" s="1" t="s">
        <v>248</v>
      </c>
      <c r="J583" s="1" t="s">
        <v>249</v>
      </c>
      <c r="K583" s="1" t="str">
        <f>_xlfn.XLOOKUP(J583,REF!$D$2:$D$12,REF!$E$2:$E$12)</f>
        <v>Rede</v>
      </c>
      <c r="L583" s="1" t="s">
        <v>793</v>
      </c>
      <c r="M583" s="1" t="s">
        <v>251</v>
      </c>
      <c r="N583" s="1" t="s">
        <v>330</v>
      </c>
      <c r="O583" s="1" t="s">
        <v>331</v>
      </c>
      <c r="P583" s="1" t="str">
        <f t="shared" si="32"/>
        <v>Caiaponia IIISG60KTL(COM3-017)_001_01246002,000694444446002,000694444446002,3125</v>
      </c>
      <c r="Q583" s="1" t="str">
        <f t="shared" si="33"/>
        <v>DAURDE</v>
      </c>
    </row>
    <row r="584" spans="2:17" hidden="1">
      <c r="B584" s="1" t="s">
        <v>794</v>
      </c>
      <c r="C584" s="1" t="s">
        <v>286</v>
      </c>
      <c r="D584" s="52">
        <v>46002.000694444447</v>
      </c>
      <c r="E584" s="52">
        <v>46002.000694444447</v>
      </c>
      <c r="F584" s="52">
        <v>46002.3125</v>
      </c>
      <c r="G584" s="53">
        <f t="shared" si="31"/>
        <v>0.31180555555329192</v>
      </c>
      <c r="H584" s="1" t="s">
        <v>248</v>
      </c>
      <c r="J584" s="1" t="s">
        <v>249</v>
      </c>
      <c r="K584" s="1" t="str">
        <f>_xlfn.XLOOKUP(J584,REF!$D$2:$D$12,REF!$E$2:$E$12)</f>
        <v>Rede</v>
      </c>
      <c r="L584" s="1" t="s">
        <v>793</v>
      </c>
      <c r="M584" s="1" t="s">
        <v>251</v>
      </c>
      <c r="N584" s="1" t="s">
        <v>330</v>
      </c>
      <c r="O584" s="1" t="s">
        <v>331</v>
      </c>
      <c r="P584" s="1" t="str">
        <f t="shared" si="32"/>
        <v>Caiaponia IIISG60KTL(COM3-018)_001_00846002,000694444446002,000694444446002,3125</v>
      </c>
      <c r="Q584" s="1" t="str">
        <f t="shared" si="33"/>
        <v>DAURDE</v>
      </c>
    </row>
    <row r="585" spans="2:17" hidden="1">
      <c r="B585" s="1" t="s">
        <v>794</v>
      </c>
      <c r="C585" s="1" t="s">
        <v>287</v>
      </c>
      <c r="D585" s="52">
        <v>46002.000694444447</v>
      </c>
      <c r="E585" s="52">
        <v>46002.000694444447</v>
      </c>
      <c r="F585" s="52">
        <v>46002.3125</v>
      </c>
      <c r="G585" s="53">
        <f t="shared" si="31"/>
        <v>0.31180555555329192</v>
      </c>
      <c r="H585" s="1" t="s">
        <v>248</v>
      </c>
      <c r="J585" s="1" t="s">
        <v>249</v>
      </c>
      <c r="K585" s="1" t="str">
        <f>_xlfn.XLOOKUP(J585,REF!$D$2:$D$12,REF!$E$2:$E$12)</f>
        <v>Rede</v>
      </c>
      <c r="L585" s="1" t="s">
        <v>793</v>
      </c>
      <c r="M585" s="1" t="s">
        <v>251</v>
      </c>
      <c r="N585" s="1" t="s">
        <v>330</v>
      </c>
      <c r="O585" s="1" t="s">
        <v>331</v>
      </c>
      <c r="P585" s="1" t="str">
        <f t="shared" si="32"/>
        <v>Caiaponia IIISG60KTL(COM3-019)_001_01946002,000694444446002,000694444446002,3125</v>
      </c>
      <c r="Q585" s="1" t="str">
        <f t="shared" si="33"/>
        <v>DAURDE</v>
      </c>
    </row>
    <row r="586" spans="2:17" hidden="1">
      <c r="B586" s="1" t="s">
        <v>794</v>
      </c>
      <c r="C586" s="1" t="s">
        <v>288</v>
      </c>
      <c r="D586" s="52">
        <v>46002.000694444447</v>
      </c>
      <c r="E586" s="52">
        <v>46002.000694444447</v>
      </c>
      <c r="F586" s="52">
        <v>46002.3125</v>
      </c>
      <c r="G586" s="53">
        <f t="shared" si="31"/>
        <v>0.31180555555329192</v>
      </c>
      <c r="H586" s="1" t="s">
        <v>248</v>
      </c>
      <c r="J586" s="1" t="s">
        <v>249</v>
      </c>
      <c r="K586" s="1" t="str">
        <f>_xlfn.XLOOKUP(J586,REF!$D$2:$D$12,REF!$E$2:$E$12)</f>
        <v>Rede</v>
      </c>
      <c r="L586" s="1" t="s">
        <v>793</v>
      </c>
      <c r="M586" s="1" t="s">
        <v>251</v>
      </c>
      <c r="N586" s="1" t="s">
        <v>330</v>
      </c>
      <c r="O586" s="1" t="s">
        <v>331</v>
      </c>
      <c r="P586" s="1" t="str">
        <f t="shared" si="32"/>
        <v>Caiaponia IIISG60KTL(COM3-020)_001_02046002,000694444446002,000694444446002,3125</v>
      </c>
      <c r="Q586" s="1" t="str">
        <f t="shared" si="33"/>
        <v>DAURDE</v>
      </c>
    </row>
    <row r="587" spans="2:17" hidden="1">
      <c r="B587" s="1" t="s">
        <v>795</v>
      </c>
      <c r="C587" s="1" t="s">
        <v>289</v>
      </c>
      <c r="D587" s="52">
        <v>46002.000694444447</v>
      </c>
      <c r="E587" s="52">
        <v>46002.000694444447</v>
      </c>
      <c r="F587" s="52">
        <v>46002.3125</v>
      </c>
      <c r="G587" s="53">
        <f t="shared" si="31"/>
        <v>0.31180555555329192</v>
      </c>
      <c r="H587" s="1" t="s">
        <v>248</v>
      </c>
      <c r="J587" s="1" t="s">
        <v>249</v>
      </c>
      <c r="K587" s="1" t="str">
        <f>_xlfn.XLOOKUP(J587,REF!$D$2:$D$12,REF!$E$2:$E$12)</f>
        <v>Rede</v>
      </c>
      <c r="L587" s="1" t="s">
        <v>793</v>
      </c>
      <c r="M587" s="1" t="s">
        <v>251</v>
      </c>
      <c r="N587" s="1" t="s">
        <v>330</v>
      </c>
      <c r="O587" s="1" t="s">
        <v>331</v>
      </c>
      <c r="P587" s="1" t="str">
        <f t="shared" si="32"/>
        <v>Caiaponia IVSG60KTL(COM2-026)46002,000694444446002,000694444446002,3125</v>
      </c>
      <c r="Q587" s="1" t="str">
        <f t="shared" si="33"/>
        <v>DAURDE</v>
      </c>
    </row>
    <row r="588" spans="2:17" hidden="1">
      <c r="B588" s="1" t="s">
        <v>795</v>
      </c>
      <c r="C588" s="1" t="s">
        <v>290</v>
      </c>
      <c r="D588" s="52">
        <v>46002.000694444447</v>
      </c>
      <c r="E588" s="52">
        <v>46002.000694444447</v>
      </c>
      <c r="F588" s="52">
        <v>46002.3125</v>
      </c>
      <c r="G588" s="53">
        <f t="shared" si="31"/>
        <v>0.31180555555329192</v>
      </c>
      <c r="H588" s="1" t="s">
        <v>248</v>
      </c>
      <c r="J588" s="1" t="s">
        <v>249</v>
      </c>
      <c r="K588" s="1" t="str">
        <f>_xlfn.XLOOKUP(J588,REF!$D$2:$D$12,REF!$E$2:$E$12)</f>
        <v>Rede</v>
      </c>
      <c r="L588" s="1" t="s">
        <v>793</v>
      </c>
      <c r="M588" s="1" t="s">
        <v>251</v>
      </c>
      <c r="N588" s="1" t="s">
        <v>330</v>
      </c>
      <c r="O588" s="1" t="s">
        <v>331</v>
      </c>
      <c r="P588" s="1" t="str">
        <f t="shared" si="32"/>
        <v>Caiaponia IVSG60KTL(COM2-027)46002,000694444446002,000694444446002,3125</v>
      </c>
      <c r="Q588" s="1" t="str">
        <f t="shared" si="33"/>
        <v>DAURDE</v>
      </c>
    </row>
    <row r="589" spans="2:17" hidden="1">
      <c r="B589" s="1" t="s">
        <v>795</v>
      </c>
      <c r="C589" s="1" t="s">
        <v>291</v>
      </c>
      <c r="D589" s="52">
        <v>46002.000694444447</v>
      </c>
      <c r="E589" s="52">
        <v>46002.000694444447</v>
      </c>
      <c r="F589" s="52">
        <v>46002.3125</v>
      </c>
      <c r="G589" s="53">
        <f t="shared" si="31"/>
        <v>0.31180555555329192</v>
      </c>
      <c r="H589" s="1" t="s">
        <v>248</v>
      </c>
      <c r="J589" s="1" t="s">
        <v>249</v>
      </c>
      <c r="K589" s="1" t="str">
        <f>_xlfn.XLOOKUP(J589,REF!$D$2:$D$12,REF!$E$2:$E$12)</f>
        <v>Rede</v>
      </c>
      <c r="L589" s="1" t="s">
        <v>793</v>
      </c>
      <c r="M589" s="1" t="s">
        <v>251</v>
      </c>
      <c r="N589" s="1" t="s">
        <v>330</v>
      </c>
      <c r="O589" s="1" t="s">
        <v>331</v>
      </c>
      <c r="P589" s="1" t="str">
        <f t="shared" si="32"/>
        <v>Caiaponia IVSG60KTL(COM2-028)46002,000694444446002,000694444446002,3125</v>
      </c>
      <c r="Q589" s="1" t="str">
        <f t="shared" si="33"/>
        <v>DAURDE</v>
      </c>
    </row>
    <row r="590" spans="2:17" hidden="1">
      <c r="B590" s="1" t="s">
        <v>795</v>
      </c>
      <c r="C590" s="1" t="s">
        <v>292</v>
      </c>
      <c r="D590" s="52">
        <v>46002.000694444447</v>
      </c>
      <c r="E590" s="52">
        <v>46002.000694444447</v>
      </c>
      <c r="F590" s="52">
        <v>46002.3125</v>
      </c>
      <c r="G590" s="53">
        <f t="shared" si="31"/>
        <v>0.31180555555329192</v>
      </c>
      <c r="H590" s="1" t="s">
        <v>248</v>
      </c>
      <c r="J590" s="1" t="s">
        <v>249</v>
      </c>
      <c r="K590" s="1" t="str">
        <f>_xlfn.XLOOKUP(J590,REF!$D$2:$D$12,REF!$E$2:$E$12)</f>
        <v>Rede</v>
      </c>
      <c r="L590" s="1" t="s">
        <v>793</v>
      </c>
      <c r="M590" s="1" t="s">
        <v>251</v>
      </c>
      <c r="N590" s="1" t="s">
        <v>330</v>
      </c>
      <c r="O590" s="1" t="s">
        <v>331</v>
      </c>
      <c r="P590" s="1" t="str">
        <f t="shared" si="32"/>
        <v>Caiaponia IVSG60KTL(COM2-029)46002,000694444446002,000694444446002,3125</v>
      </c>
      <c r="Q590" s="1" t="str">
        <f t="shared" si="33"/>
        <v>DAURDE</v>
      </c>
    </row>
    <row r="591" spans="2:17" hidden="1">
      <c r="B591" s="1" t="s">
        <v>796</v>
      </c>
      <c r="C591" s="1" t="s">
        <v>293</v>
      </c>
      <c r="D591" s="52">
        <v>46002.000694444447</v>
      </c>
      <c r="E591" s="52">
        <v>46002.000694444447</v>
      </c>
      <c r="F591" s="52">
        <v>46002.3125</v>
      </c>
      <c r="G591" s="53">
        <f t="shared" si="31"/>
        <v>0.31180555555329192</v>
      </c>
      <c r="H591" s="1" t="s">
        <v>248</v>
      </c>
      <c r="J591" s="1" t="s">
        <v>249</v>
      </c>
      <c r="K591" s="1" t="str">
        <f>_xlfn.XLOOKUP(J591,REF!$D$2:$D$12,REF!$E$2:$E$12)</f>
        <v>Rede</v>
      </c>
      <c r="L591" s="1" t="s">
        <v>793</v>
      </c>
      <c r="M591" s="1" t="s">
        <v>251</v>
      </c>
      <c r="N591" s="1" t="s">
        <v>330</v>
      </c>
      <c r="O591" s="1" t="s">
        <v>331</v>
      </c>
      <c r="P591" s="1" t="str">
        <f t="shared" si="32"/>
        <v>Caiaponia VSG50CX(COM1-021)46002,000694444446002,000694444446002,3125</v>
      </c>
      <c r="Q591" s="1" t="str">
        <f t="shared" si="33"/>
        <v>DAURDE</v>
      </c>
    </row>
    <row r="592" spans="2:17" hidden="1">
      <c r="B592" s="1" t="s">
        <v>796</v>
      </c>
      <c r="C592" s="1" t="s">
        <v>294</v>
      </c>
      <c r="D592" s="52">
        <v>46002.000694444447</v>
      </c>
      <c r="E592" s="52">
        <v>46002.000694444447</v>
      </c>
      <c r="F592" s="52">
        <v>46002.3125</v>
      </c>
      <c r="G592" s="53">
        <f t="shared" si="31"/>
        <v>0.31180555555329192</v>
      </c>
      <c r="H592" s="1" t="s">
        <v>248</v>
      </c>
      <c r="J592" s="1" t="s">
        <v>249</v>
      </c>
      <c r="K592" s="1" t="str">
        <f>_xlfn.XLOOKUP(J592,REF!$D$2:$D$12,REF!$E$2:$E$12)</f>
        <v>Rede</v>
      </c>
      <c r="L592" s="1" t="s">
        <v>793</v>
      </c>
      <c r="M592" s="1" t="s">
        <v>251</v>
      </c>
      <c r="N592" s="1" t="s">
        <v>330</v>
      </c>
      <c r="O592" s="1" t="s">
        <v>331</v>
      </c>
      <c r="P592" s="1" t="str">
        <f t="shared" si="32"/>
        <v>Caiaponia VSG50CX(COM1-022)46002,000694444446002,000694444446002,3125</v>
      </c>
      <c r="Q592" s="1" t="str">
        <f t="shared" si="33"/>
        <v>DAURDE</v>
      </c>
    </row>
    <row r="593" spans="2:17" hidden="1">
      <c r="B593" s="1" t="s">
        <v>796</v>
      </c>
      <c r="C593" s="1" t="s">
        <v>295</v>
      </c>
      <c r="D593" s="52">
        <v>46002.000694444447</v>
      </c>
      <c r="E593" s="52">
        <v>46002.000694444447</v>
      </c>
      <c r="F593" s="52">
        <v>46002.3125</v>
      </c>
      <c r="G593" s="53">
        <f t="shared" si="31"/>
        <v>0.31180555555329192</v>
      </c>
      <c r="H593" s="1" t="s">
        <v>248</v>
      </c>
      <c r="J593" s="1" t="s">
        <v>249</v>
      </c>
      <c r="K593" s="1" t="str">
        <f>_xlfn.XLOOKUP(J593,REF!$D$2:$D$12,REF!$E$2:$E$12)</f>
        <v>Rede</v>
      </c>
      <c r="L593" s="1" t="s">
        <v>793</v>
      </c>
      <c r="M593" s="1" t="s">
        <v>251</v>
      </c>
      <c r="N593" s="1" t="s">
        <v>330</v>
      </c>
      <c r="O593" s="1" t="s">
        <v>331</v>
      </c>
      <c r="P593" s="1" t="str">
        <f t="shared" si="32"/>
        <v>Caiaponia VSG50CX(COM1-023)46002,000694444446002,000694444446002,3125</v>
      </c>
      <c r="Q593" s="1" t="str">
        <f t="shared" si="33"/>
        <v>DAURDE</v>
      </c>
    </row>
    <row r="594" spans="2:17" hidden="1">
      <c r="B594" s="1" t="s">
        <v>796</v>
      </c>
      <c r="C594" s="1" t="s">
        <v>296</v>
      </c>
      <c r="D594" s="52">
        <v>46002.000694444447</v>
      </c>
      <c r="E594" s="52">
        <v>46002.000694444447</v>
      </c>
      <c r="F594" s="52">
        <v>46002.3125</v>
      </c>
      <c r="G594" s="53">
        <f t="shared" si="31"/>
        <v>0.31180555555329192</v>
      </c>
      <c r="H594" s="1" t="s">
        <v>248</v>
      </c>
      <c r="J594" s="1" t="s">
        <v>249</v>
      </c>
      <c r="K594" s="1" t="str">
        <f>_xlfn.XLOOKUP(J594,REF!$D$2:$D$12,REF!$E$2:$E$12)</f>
        <v>Rede</v>
      </c>
      <c r="L594" s="1" t="s">
        <v>793</v>
      </c>
      <c r="M594" s="1" t="s">
        <v>251</v>
      </c>
      <c r="N594" s="1" t="s">
        <v>330</v>
      </c>
      <c r="O594" s="1" t="s">
        <v>331</v>
      </c>
      <c r="P594" s="1" t="str">
        <f t="shared" si="32"/>
        <v>Caiaponia VSG50CX(COM1-024)46002,000694444446002,000694444446002,3125</v>
      </c>
      <c r="Q594" s="1" t="str">
        <f t="shared" si="33"/>
        <v>DAURDE</v>
      </c>
    </row>
    <row r="595" spans="2:17" hidden="1">
      <c r="B595" s="1" t="s">
        <v>796</v>
      </c>
      <c r="C595" s="1" t="s">
        <v>297</v>
      </c>
      <c r="D595" s="52">
        <v>46002.000694444447</v>
      </c>
      <c r="E595" s="52">
        <v>46002.000694444447</v>
      </c>
      <c r="F595" s="52">
        <v>46002.3125</v>
      </c>
      <c r="G595" s="53">
        <f t="shared" si="31"/>
        <v>0.31180555555329192</v>
      </c>
      <c r="H595" s="1" t="s">
        <v>248</v>
      </c>
      <c r="J595" s="1" t="s">
        <v>249</v>
      </c>
      <c r="K595" s="1" t="str">
        <f>_xlfn.XLOOKUP(J595,REF!$D$2:$D$12,REF!$E$2:$E$12)</f>
        <v>Rede</v>
      </c>
      <c r="L595" s="1" t="s">
        <v>793</v>
      </c>
      <c r="M595" s="1" t="s">
        <v>251</v>
      </c>
      <c r="N595" s="1" t="s">
        <v>330</v>
      </c>
      <c r="O595" s="1" t="s">
        <v>331</v>
      </c>
      <c r="P595" s="1" t="str">
        <f t="shared" si="32"/>
        <v>Caiaponia VSG50CX(COM1-025)46002,000694444446002,000694444446002,3125</v>
      </c>
      <c r="Q595" s="1" t="str">
        <f t="shared" si="33"/>
        <v>DAURDE</v>
      </c>
    </row>
    <row r="596" spans="2:17" hidden="1">
      <c r="B596" s="1" t="s">
        <v>797</v>
      </c>
      <c r="C596" s="1" t="s">
        <v>255</v>
      </c>
      <c r="D596" s="52">
        <v>46002.000694444447</v>
      </c>
      <c r="E596" s="52">
        <v>46002.000694444447</v>
      </c>
      <c r="F596" s="52">
        <v>46002.3125</v>
      </c>
      <c r="G596" s="53">
        <f t="shared" si="31"/>
        <v>0.31180555555329192</v>
      </c>
      <c r="H596" s="1" t="s">
        <v>248</v>
      </c>
      <c r="J596" s="1" t="s">
        <v>249</v>
      </c>
      <c r="K596" s="1" t="str">
        <f>_xlfn.XLOOKUP(J596,REF!$D$2:$D$12,REF!$E$2:$E$12)</f>
        <v>Rede</v>
      </c>
      <c r="L596" s="1" t="s">
        <v>793</v>
      </c>
      <c r="M596" s="1" t="s">
        <v>251</v>
      </c>
      <c r="N596" s="1" t="s">
        <v>330</v>
      </c>
      <c r="O596" s="1" t="s">
        <v>331</v>
      </c>
      <c r="P596" s="1" t="str">
        <f t="shared" si="32"/>
        <v>UFV CAIAPONIA II - UC 1215KTL-H3(MBUS-14)46002,000694444446002,000694444446002,3125</v>
      </c>
      <c r="Q596" s="1" t="str">
        <f t="shared" si="33"/>
        <v>DAURDE</v>
      </c>
    </row>
    <row r="597" spans="2:17" hidden="1">
      <c r="B597" s="1" t="s">
        <v>797</v>
      </c>
      <c r="C597" s="1" t="s">
        <v>254</v>
      </c>
      <c r="D597" s="52">
        <v>46002.000694444447</v>
      </c>
      <c r="E597" s="52">
        <v>46002.000694444447</v>
      </c>
      <c r="F597" s="52">
        <v>46002.3125</v>
      </c>
      <c r="G597" s="53">
        <f t="shared" si="31"/>
        <v>0.31180555555329192</v>
      </c>
      <c r="H597" s="1" t="s">
        <v>248</v>
      </c>
      <c r="J597" s="1" t="s">
        <v>249</v>
      </c>
      <c r="K597" s="1" t="str">
        <f>_xlfn.XLOOKUP(J597,REF!$D$2:$D$12,REF!$E$2:$E$12)</f>
        <v>Rede</v>
      </c>
      <c r="L597" s="1" t="s">
        <v>793</v>
      </c>
      <c r="M597" s="1" t="s">
        <v>251</v>
      </c>
      <c r="N597" s="1" t="s">
        <v>330</v>
      </c>
      <c r="O597" s="1" t="s">
        <v>331</v>
      </c>
      <c r="P597" s="1" t="str">
        <f t="shared" si="32"/>
        <v>UFV CAIAPONIA II - UC 1215KTL-H3(MBUS-13)46002,000694444446002,000694444446002,3125</v>
      </c>
      <c r="Q597" s="1" t="str">
        <f t="shared" si="33"/>
        <v>DAURDE</v>
      </c>
    </row>
    <row r="598" spans="2:17" hidden="1">
      <c r="B598" s="1" t="s">
        <v>797</v>
      </c>
      <c r="C598" s="1" t="s">
        <v>247</v>
      </c>
      <c r="D598" s="52">
        <v>46002.000694444447</v>
      </c>
      <c r="E598" s="52">
        <v>46002.000694444447</v>
      </c>
      <c r="F598" s="52">
        <v>46002.3125</v>
      </c>
      <c r="G598" s="53">
        <f t="shared" si="31"/>
        <v>0.31180555555329192</v>
      </c>
      <c r="H598" s="1" t="s">
        <v>248</v>
      </c>
      <c r="J598" s="1" t="s">
        <v>249</v>
      </c>
      <c r="K598" s="1" t="str">
        <f>_xlfn.XLOOKUP(J598,REF!$D$2:$D$12,REF!$E$2:$E$12)</f>
        <v>Rede</v>
      </c>
      <c r="L598" s="1" t="s">
        <v>793</v>
      </c>
      <c r="M598" s="1" t="s">
        <v>251</v>
      </c>
      <c r="N598" s="1" t="s">
        <v>330</v>
      </c>
      <c r="O598" s="1" t="s">
        <v>331</v>
      </c>
      <c r="P598" s="1" t="str">
        <f t="shared" si="32"/>
        <v>UFV CAIAPONIA II - UC 1215KTL-H3(MBUS-12)46002,000694444446002,000694444446002,3125</v>
      </c>
      <c r="Q598" s="1" t="str">
        <f t="shared" si="33"/>
        <v>DAURDE</v>
      </c>
    </row>
    <row r="599" spans="2:17" hidden="1">
      <c r="B599" s="1" t="s">
        <v>797</v>
      </c>
      <c r="C599" s="1" t="s">
        <v>256</v>
      </c>
      <c r="D599" s="52">
        <v>46002.000694444447</v>
      </c>
      <c r="E599" s="52">
        <v>46002.000694444447</v>
      </c>
      <c r="F599" s="52">
        <v>46002.3125</v>
      </c>
      <c r="G599" s="53">
        <f t="shared" si="31"/>
        <v>0.31180555555329192</v>
      </c>
      <c r="H599" s="1" t="s">
        <v>248</v>
      </c>
      <c r="J599" s="1" t="s">
        <v>249</v>
      </c>
      <c r="K599" s="1" t="str">
        <f>_xlfn.XLOOKUP(J599,REF!$D$2:$D$12,REF!$E$2:$E$12)</f>
        <v>Rede</v>
      </c>
      <c r="L599" s="1" t="s">
        <v>793</v>
      </c>
      <c r="M599" s="1" t="s">
        <v>251</v>
      </c>
      <c r="N599" s="1" t="s">
        <v>330</v>
      </c>
      <c r="O599" s="1" t="s">
        <v>331</v>
      </c>
      <c r="P599" s="1" t="str">
        <f t="shared" si="32"/>
        <v>UFV CAIAPONIA II - UC 1215KTL-H3(MBUS-15)46002,000694444446002,000694444446002,3125</v>
      </c>
      <c r="Q599" s="1" t="str">
        <f t="shared" si="33"/>
        <v>DAURDE</v>
      </c>
    </row>
    <row r="600" spans="2:17" hidden="1">
      <c r="B600" s="1" t="s">
        <v>797</v>
      </c>
      <c r="C600" s="1" t="s">
        <v>257</v>
      </c>
      <c r="D600" s="52">
        <v>46002.000694444447</v>
      </c>
      <c r="E600" s="52">
        <v>46002.000694444447</v>
      </c>
      <c r="F600" s="52">
        <v>46002.3125</v>
      </c>
      <c r="G600" s="53">
        <f t="shared" si="31"/>
        <v>0.31180555555329192</v>
      </c>
      <c r="H600" s="1" t="s">
        <v>248</v>
      </c>
      <c r="J600" s="1" t="s">
        <v>249</v>
      </c>
      <c r="K600" s="1" t="str">
        <f>_xlfn.XLOOKUP(J600,REF!$D$2:$D$12,REF!$E$2:$E$12)</f>
        <v>Rede</v>
      </c>
      <c r="L600" s="1" t="s">
        <v>793</v>
      </c>
      <c r="M600" s="1" t="s">
        <v>251</v>
      </c>
      <c r="N600" s="1" t="s">
        <v>330</v>
      </c>
      <c r="O600" s="1" t="s">
        <v>331</v>
      </c>
      <c r="P600" s="1" t="str">
        <f t="shared" si="32"/>
        <v>UFV CAIAPONIA II - UC 1215KTL-H3(MBUS-16)46002,000694444446002,000694444446002,3125</v>
      </c>
      <c r="Q600" s="1" t="str">
        <f t="shared" si="33"/>
        <v>DAURDE</v>
      </c>
    </row>
    <row r="601" spans="2:17" hidden="1">
      <c r="B601" s="1" t="s">
        <v>798</v>
      </c>
      <c r="C601" s="1" t="s">
        <v>255</v>
      </c>
      <c r="D601" s="52">
        <v>46002.000694444447</v>
      </c>
      <c r="E601" s="52">
        <v>46002.000694444447</v>
      </c>
      <c r="F601" s="52">
        <v>46002.3125</v>
      </c>
      <c r="G601" s="53">
        <f t="shared" si="31"/>
        <v>0.31180555555329192</v>
      </c>
      <c r="H601" s="1" t="s">
        <v>248</v>
      </c>
      <c r="J601" s="1" t="s">
        <v>249</v>
      </c>
      <c r="K601" s="1" t="str">
        <f>_xlfn.XLOOKUP(J601,REF!$D$2:$D$12,REF!$E$2:$E$12)</f>
        <v>Rede</v>
      </c>
      <c r="L601" s="1" t="s">
        <v>793</v>
      </c>
      <c r="M601" s="1" t="s">
        <v>251</v>
      </c>
      <c r="N601" s="1" t="s">
        <v>330</v>
      </c>
      <c r="O601" s="1" t="s">
        <v>331</v>
      </c>
      <c r="P601" s="1" t="str">
        <f t="shared" si="32"/>
        <v>UFV CAIAPONIA II - UC 2215KTL-H3(MBUS-14)46002,000694444446002,000694444446002,3125</v>
      </c>
      <c r="Q601" s="1" t="str">
        <f t="shared" si="33"/>
        <v>DAURDE</v>
      </c>
    </row>
    <row r="602" spans="2:17" hidden="1">
      <c r="B602" s="1" t="s">
        <v>798</v>
      </c>
      <c r="C602" s="1" t="s">
        <v>256</v>
      </c>
      <c r="D602" s="52">
        <v>46002.000694444447</v>
      </c>
      <c r="E602" s="52">
        <v>46002.000694444447</v>
      </c>
      <c r="F602" s="52">
        <v>46002.3125</v>
      </c>
      <c r="G602" s="53">
        <f t="shared" si="31"/>
        <v>0.31180555555329192</v>
      </c>
      <c r="H602" s="1" t="s">
        <v>248</v>
      </c>
      <c r="J602" s="1" t="s">
        <v>249</v>
      </c>
      <c r="K602" s="1" t="str">
        <f>_xlfn.XLOOKUP(J602,REF!$D$2:$D$12,REF!$E$2:$E$12)</f>
        <v>Rede</v>
      </c>
      <c r="L602" s="1" t="s">
        <v>793</v>
      </c>
      <c r="M602" s="1" t="s">
        <v>251</v>
      </c>
      <c r="N602" s="1" t="s">
        <v>330</v>
      </c>
      <c r="O602" s="1" t="s">
        <v>331</v>
      </c>
      <c r="P602" s="1" t="str">
        <f t="shared" si="32"/>
        <v>UFV CAIAPONIA II - UC 2215KTL-H3(MBUS-15)46002,000694444446002,000694444446002,3125</v>
      </c>
      <c r="Q602" s="1" t="str">
        <f t="shared" si="33"/>
        <v>DAURDE</v>
      </c>
    </row>
    <row r="603" spans="2:17" hidden="1">
      <c r="B603" s="1" t="s">
        <v>798</v>
      </c>
      <c r="C603" s="1" t="s">
        <v>247</v>
      </c>
      <c r="D603" s="52">
        <v>46002.000694444447</v>
      </c>
      <c r="E603" s="52">
        <v>46002.000694444447</v>
      </c>
      <c r="F603" s="52">
        <v>46002.3125</v>
      </c>
      <c r="G603" s="53">
        <f t="shared" si="31"/>
        <v>0.31180555555329192</v>
      </c>
      <c r="H603" s="1" t="s">
        <v>248</v>
      </c>
      <c r="J603" s="1" t="s">
        <v>249</v>
      </c>
      <c r="K603" s="1" t="str">
        <f>_xlfn.XLOOKUP(J603,REF!$D$2:$D$12,REF!$E$2:$E$12)</f>
        <v>Rede</v>
      </c>
      <c r="L603" s="1" t="s">
        <v>793</v>
      </c>
      <c r="M603" s="1" t="s">
        <v>251</v>
      </c>
      <c r="N603" s="1" t="s">
        <v>330</v>
      </c>
      <c r="O603" s="1" t="s">
        <v>331</v>
      </c>
      <c r="P603" s="1" t="str">
        <f t="shared" si="32"/>
        <v>UFV CAIAPONIA II - UC 2215KTL-H3(MBUS-12)46002,000694444446002,000694444446002,3125</v>
      </c>
      <c r="Q603" s="1" t="str">
        <f t="shared" si="33"/>
        <v>DAURDE</v>
      </c>
    </row>
    <row r="604" spans="2:17" hidden="1">
      <c r="B604" s="1" t="s">
        <v>798</v>
      </c>
      <c r="C604" s="1" t="s">
        <v>254</v>
      </c>
      <c r="D604" s="52">
        <v>46002.000694444447</v>
      </c>
      <c r="E604" s="52">
        <v>46002.000694444447</v>
      </c>
      <c r="F604" s="52">
        <v>46002.3125</v>
      </c>
      <c r="G604" s="53">
        <f t="shared" si="31"/>
        <v>0.31180555555329192</v>
      </c>
      <c r="H604" s="1" t="s">
        <v>248</v>
      </c>
      <c r="J604" s="1" t="s">
        <v>249</v>
      </c>
      <c r="K604" s="1" t="str">
        <f>_xlfn.XLOOKUP(J604,REF!$D$2:$D$12,REF!$E$2:$E$12)</f>
        <v>Rede</v>
      </c>
      <c r="L604" s="1" t="s">
        <v>793</v>
      </c>
      <c r="M604" s="1" t="s">
        <v>251</v>
      </c>
      <c r="N604" s="1" t="s">
        <v>330</v>
      </c>
      <c r="O604" s="1" t="s">
        <v>331</v>
      </c>
      <c r="P604" s="1" t="str">
        <f t="shared" si="32"/>
        <v>UFV CAIAPONIA II - UC 2215KTL-H3(MBUS-13)46002,000694444446002,000694444446002,3125</v>
      </c>
      <c r="Q604" s="1" t="str">
        <f t="shared" si="33"/>
        <v>DAURDE</v>
      </c>
    </row>
    <row r="605" spans="2:17" hidden="1">
      <c r="B605" s="1" t="s">
        <v>798</v>
      </c>
      <c r="C605" s="1" t="s">
        <v>257</v>
      </c>
      <c r="D605" s="52">
        <v>46002.000694444447</v>
      </c>
      <c r="E605" s="52">
        <v>46002.000694444447</v>
      </c>
      <c r="F605" s="52">
        <v>46002.3125</v>
      </c>
      <c r="G605" s="53">
        <f t="shared" si="31"/>
        <v>0.31180555555329192</v>
      </c>
      <c r="H605" s="1" t="s">
        <v>248</v>
      </c>
      <c r="J605" s="1" t="s">
        <v>249</v>
      </c>
      <c r="K605" s="1" t="str">
        <f>_xlfn.XLOOKUP(J605,REF!$D$2:$D$12,REF!$E$2:$E$12)</f>
        <v>Rede</v>
      </c>
      <c r="L605" s="1" t="s">
        <v>793</v>
      </c>
      <c r="M605" s="1" t="s">
        <v>251</v>
      </c>
      <c r="N605" s="1" t="s">
        <v>330</v>
      </c>
      <c r="O605" s="1" t="s">
        <v>331</v>
      </c>
      <c r="P605" s="1" t="str">
        <f t="shared" si="32"/>
        <v>UFV CAIAPONIA II - UC 2215KTL-H3(MBUS-16)46002,000694444446002,000694444446002,3125</v>
      </c>
      <c r="Q605" s="1" t="str">
        <f t="shared" si="33"/>
        <v>DAURDE</v>
      </c>
    </row>
    <row r="606" spans="2:17" hidden="1">
      <c r="B606" s="1" t="s">
        <v>799</v>
      </c>
      <c r="C606" s="1" t="s">
        <v>255</v>
      </c>
      <c r="D606" s="52">
        <v>46002.000694444447</v>
      </c>
      <c r="E606" s="52">
        <v>46002.000694444447</v>
      </c>
      <c r="F606" s="52">
        <v>46002.3125</v>
      </c>
      <c r="G606" s="53">
        <f t="shared" si="31"/>
        <v>0.31180555555329192</v>
      </c>
      <c r="H606" s="1" t="s">
        <v>248</v>
      </c>
      <c r="J606" s="1" t="s">
        <v>249</v>
      </c>
      <c r="K606" s="1" t="str">
        <f>_xlfn.XLOOKUP(J606,REF!$D$2:$D$12,REF!$E$2:$E$12)</f>
        <v>Rede</v>
      </c>
      <c r="L606" s="1" t="s">
        <v>793</v>
      </c>
      <c r="M606" s="1" t="s">
        <v>251</v>
      </c>
      <c r="N606" s="1" t="s">
        <v>330</v>
      </c>
      <c r="O606" s="1" t="s">
        <v>331</v>
      </c>
      <c r="P606" s="1" t="str">
        <f t="shared" si="32"/>
        <v>UFV CAIAPONIA II - UC 3215KTL-H3(MBUS-14)46002,000694444446002,000694444446002,3125</v>
      </c>
      <c r="Q606" s="1" t="str">
        <f t="shared" si="33"/>
        <v>DAURDE</v>
      </c>
    </row>
    <row r="607" spans="2:17" hidden="1">
      <c r="B607" s="1" t="s">
        <v>799</v>
      </c>
      <c r="C607" s="1" t="s">
        <v>256</v>
      </c>
      <c r="D607" s="52">
        <v>46002.000694444447</v>
      </c>
      <c r="E607" s="52">
        <v>46002.000694444447</v>
      </c>
      <c r="F607" s="52">
        <v>46002.3125</v>
      </c>
      <c r="G607" s="53">
        <f t="shared" si="31"/>
        <v>0.31180555555329192</v>
      </c>
      <c r="H607" s="1" t="s">
        <v>248</v>
      </c>
      <c r="J607" s="1" t="s">
        <v>249</v>
      </c>
      <c r="K607" s="1" t="str">
        <f>_xlfn.XLOOKUP(J607,REF!$D$2:$D$12,REF!$E$2:$E$12)</f>
        <v>Rede</v>
      </c>
      <c r="L607" s="1" t="s">
        <v>793</v>
      </c>
      <c r="M607" s="1" t="s">
        <v>251</v>
      </c>
      <c r="N607" s="1" t="s">
        <v>330</v>
      </c>
      <c r="O607" s="1" t="s">
        <v>331</v>
      </c>
      <c r="P607" s="1" t="str">
        <f t="shared" si="32"/>
        <v>UFV CAIAPONIA II - UC 3215KTL-H3(MBUS-15)46002,000694444446002,000694444446002,3125</v>
      </c>
      <c r="Q607" s="1" t="str">
        <f t="shared" si="33"/>
        <v>DAURDE</v>
      </c>
    </row>
    <row r="608" spans="2:17" hidden="1">
      <c r="B608" s="1" t="s">
        <v>799</v>
      </c>
      <c r="C608" s="1" t="s">
        <v>247</v>
      </c>
      <c r="D608" s="52">
        <v>46002.000694444447</v>
      </c>
      <c r="E608" s="52">
        <v>46002.000694444447</v>
      </c>
      <c r="F608" s="52">
        <v>46002.3125</v>
      </c>
      <c r="G608" s="53">
        <f t="shared" si="31"/>
        <v>0.31180555555329192</v>
      </c>
      <c r="H608" s="1" t="s">
        <v>248</v>
      </c>
      <c r="J608" s="1" t="s">
        <v>249</v>
      </c>
      <c r="K608" s="1" t="str">
        <f>_xlfn.XLOOKUP(J608,REF!$D$2:$D$12,REF!$E$2:$E$12)</f>
        <v>Rede</v>
      </c>
      <c r="L608" s="1" t="s">
        <v>793</v>
      </c>
      <c r="M608" s="1" t="s">
        <v>251</v>
      </c>
      <c r="N608" s="1" t="s">
        <v>330</v>
      </c>
      <c r="O608" s="1" t="s">
        <v>331</v>
      </c>
      <c r="P608" s="1" t="str">
        <f t="shared" si="32"/>
        <v>UFV CAIAPONIA II - UC 3215KTL-H3(MBUS-12)46002,000694444446002,000694444446002,3125</v>
      </c>
      <c r="Q608" s="1" t="str">
        <f t="shared" si="33"/>
        <v>DAURDE</v>
      </c>
    </row>
    <row r="609" spans="2:17" hidden="1">
      <c r="B609" s="1" t="s">
        <v>799</v>
      </c>
      <c r="C609" s="1" t="s">
        <v>254</v>
      </c>
      <c r="D609" s="52">
        <v>46002.000694444447</v>
      </c>
      <c r="E609" s="52">
        <v>46002.000694444447</v>
      </c>
      <c r="F609" s="52">
        <v>46002.3125</v>
      </c>
      <c r="G609" s="53">
        <f t="shared" si="31"/>
        <v>0.31180555555329192</v>
      </c>
      <c r="H609" s="1" t="s">
        <v>248</v>
      </c>
      <c r="J609" s="1" t="s">
        <v>249</v>
      </c>
      <c r="K609" s="1" t="str">
        <f>_xlfn.XLOOKUP(J609,REF!$D$2:$D$12,REF!$E$2:$E$12)</f>
        <v>Rede</v>
      </c>
      <c r="L609" s="1" t="s">
        <v>793</v>
      </c>
      <c r="M609" s="1" t="s">
        <v>251</v>
      </c>
      <c r="N609" s="1" t="s">
        <v>330</v>
      </c>
      <c r="O609" s="1" t="s">
        <v>331</v>
      </c>
      <c r="P609" s="1" t="str">
        <f t="shared" si="32"/>
        <v>UFV CAIAPONIA II - UC 3215KTL-H3(MBUS-13)46002,000694444446002,000694444446002,3125</v>
      </c>
      <c r="Q609" s="1" t="str">
        <f t="shared" si="33"/>
        <v>DAURDE</v>
      </c>
    </row>
    <row r="610" spans="2:17" hidden="1">
      <c r="B610" s="1" t="s">
        <v>799</v>
      </c>
      <c r="C610" s="1" t="s">
        <v>257</v>
      </c>
      <c r="D610" s="52">
        <v>46002.000694444447</v>
      </c>
      <c r="E610" s="52">
        <v>46002.000694444447</v>
      </c>
      <c r="F610" s="52">
        <v>46002.3125</v>
      </c>
      <c r="G610" s="53">
        <f t="shared" si="31"/>
        <v>0.31180555555329192</v>
      </c>
      <c r="H610" s="1" t="s">
        <v>248</v>
      </c>
      <c r="J610" s="1" t="s">
        <v>249</v>
      </c>
      <c r="K610" s="1" t="str">
        <f>_xlfn.XLOOKUP(J610,REF!$D$2:$D$12,REF!$E$2:$E$12)</f>
        <v>Rede</v>
      </c>
      <c r="L610" s="1" t="s">
        <v>793</v>
      </c>
      <c r="M610" s="1" t="s">
        <v>251</v>
      </c>
      <c r="N610" s="1" t="s">
        <v>330</v>
      </c>
      <c r="O610" s="1" t="s">
        <v>331</v>
      </c>
      <c r="P610" s="1" t="str">
        <f t="shared" si="32"/>
        <v>UFV CAIAPONIA II - UC 3215KTL-H3(MBUS-16)46002,000694444446002,000694444446002,3125</v>
      </c>
      <c r="Q610" s="1" t="str">
        <f t="shared" si="33"/>
        <v>DAURDE</v>
      </c>
    </row>
    <row r="611" spans="2:17" hidden="1">
      <c r="B611" s="1" t="s">
        <v>353</v>
      </c>
      <c r="C611" s="1" t="s">
        <v>354</v>
      </c>
      <c r="D611" s="52">
        <v>46002.907638888886</v>
      </c>
      <c r="E611" s="52">
        <v>46002.907638888886</v>
      </c>
      <c r="F611" s="52">
        <v>46002.941666666666</v>
      </c>
      <c r="G611" s="53">
        <f t="shared" ref="G572:G635" si="34">F611-E611</f>
        <v>3.4027777779556345E-2</v>
      </c>
      <c r="H611" s="1" t="s">
        <v>248</v>
      </c>
      <c r="J611" s="1" t="s">
        <v>249</v>
      </c>
      <c r="K611" s="1" t="str">
        <f>_xlfn.XLOOKUP(J611,REF!$D$2:$D$12,REF!$E$2:$E$12)</f>
        <v>Rede</v>
      </c>
      <c r="L611" s="1" t="s">
        <v>800</v>
      </c>
      <c r="M611" s="1" t="s">
        <v>251</v>
      </c>
      <c r="N611" s="1" t="s">
        <v>330</v>
      </c>
      <c r="O611" s="1" t="s">
        <v>331</v>
      </c>
      <c r="P611" s="1" t="str">
        <f t="shared" si="32"/>
        <v>ARAGUATINS 1.1Inverter(MBUS-12)46002,907638888946002,907638888946002,9416666667</v>
      </c>
      <c r="Q611" s="1" t="str">
        <f t="shared" si="33"/>
        <v>DAURDE</v>
      </c>
    </row>
    <row r="612" spans="2:17" hidden="1">
      <c r="B612" s="1" t="s">
        <v>353</v>
      </c>
      <c r="C612" s="1" t="s">
        <v>357</v>
      </c>
      <c r="D612" s="52">
        <v>46002.907638888886</v>
      </c>
      <c r="E612" s="52">
        <v>46002.907638888886</v>
      </c>
      <c r="F612" s="52">
        <v>46002.941666666666</v>
      </c>
      <c r="G612" s="53">
        <f t="shared" si="34"/>
        <v>3.4027777779556345E-2</v>
      </c>
      <c r="H612" s="1" t="s">
        <v>248</v>
      </c>
      <c r="J612" s="1" t="s">
        <v>249</v>
      </c>
      <c r="K612" s="1" t="str">
        <f>_xlfn.XLOOKUP(J612,REF!$D$2:$D$12,REF!$E$2:$E$12)</f>
        <v>Rede</v>
      </c>
      <c r="L612" s="1" t="s">
        <v>800</v>
      </c>
      <c r="M612" s="1" t="s">
        <v>251</v>
      </c>
      <c r="N612" s="1" t="s">
        <v>330</v>
      </c>
      <c r="O612" s="1" t="s">
        <v>331</v>
      </c>
      <c r="P612" s="1" t="str">
        <f t="shared" si="32"/>
        <v>ARAGUATINS 1.1Inverter(MBUS-13)46002,907638888946002,907638888946002,9416666667</v>
      </c>
      <c r="Q612" s="1" t="str">
        <f t="shared" si="33"/>
        <v>DAURDE</v>
      </c>
    </row>
    <row r="613" spans="2:17" hidden="1">
      <c r="B613" s="1" t="s">
        <v>353</v>
      </c>
      <c r="C613" s="1" t="s">
        <v>358</v>
      </c>
      <c r="D613" s="52">
        <v>46002.907638888886</v>
      </c>
      <c r="E613" s="52">
        <v>46002.907638888886</v>
      </c>
      <c r="F613" s="52">
        <v>46002.941666666666</v>
      </c>
      <c r="G613" s="53">
        <f t="shared" si="34"/>
        <v>3.4027777779556345E-2</v>
      </c>
      <c r="H613" s="1" t="s">
        <v>248</v>
      </c>
      <c r="J613" s="1" t="s">
        <v>249</v>
      </c>
      <c r="K613" s="1" t="str">
        <f>_xlfn.XLOOKUP(J613,REF!$D$2:$D$12,REF!$E$2:$E$12)</f>
        <v>Rede</v>
      </c>
      <c r="L613" s="1" t="s">
        <v>800</v>
      </c>
      <c r="M613" s="1" t="s">
        <v>251</v>
      </c>
      <c r="N613" s="1" t="s">
        <v>330</v>
      </c>
      <c r="O613" s="1" t="s">
        <v>331</v>
      </c>
      <c r="P613" s="1" t="str">
        <f t="shared" si="32"/>
        <v>ARAGUATINS 1.1Inverter(MBUS-14)46002,907638888946002,907638888946002,9416666667</v>
      </c>
      <c r="Q613" s="1" t="str">
        <f t="shared" si="33"/>
        <v>DAURDE</v>
      </c>
    </row>
    <row r="614" spans="2:17" hidden="1">
      <c r="B614" s="1" t="s">
        <v>353</v>
      </c>
      <c r="C614" s="1" t="s">
        <v>359</v>
      </c>
      <c r="D614" s="52">
        <v>46002.907638888886</v>
      </c>
      <c r="E614" s="52">
        <v>46002.907638888886</v>
      </c>
      <c r="F614" s="52">
        <v>46002.941666666666</v>
      </c>
      <c r="G614" s="53">
        <f t="shared" si="34"/>
        <v>3.4027777779556345E-2</v>
      </c>
      <c r="H614" s="1" t="s">
        <v>248</v>
      </c>
      <c r="J614" s="1" t="s">
        <v>249</v>
      </c>
      <c r="K614" s="1" t="str">
        <f>_xlfn.XLOOKUP(J614,REF!$D$2:$D$12,REF!$E$2:$E$12)</f>
        <v>Rede</v>
      </c>
      <c r="L614" s="1" t="s">
        <v>800</v>
      </c>
      <c r="M614" s="1" t="s">
        <v>251</v>
      </c>
      <c r="N614" s="1" t="s">
        <v>330</v>
      </c>
      <c r="O614" s="1" t="s">
        <v>331</v>
      </c>
      <c r="P614" s="1" t="str">
        <f t="shared" si="32"/>
        <v>ARAGUATINS 1.1Inverter(MBUS-15)46002,907638888946002,907638888946002,9416666667</v>
      </c>
      <c r="Q614" s="1" t="str">
        <f t="shared" si="33"/>
        <v>DAURDE</v>
      </c>
    </row>
    <row r="615" spans="2:17" hidden="1">
      <c r="B615" s="1" t="s">
        <v>353</v>
      </c>
      <c r="C615" s="1" t="s">
        <v>354</v>
      </c>
      <c r="D615" s="52">
        <v>46003.982638888891</v>
      </c>
      <c r="E615" s="52">
        <v>46003.982638888891</v>
      </c>
      <c r="F615" s="52">
        <v>46004.003472222219</v>
      </c>
      <c r="G615" s="53">
        <f t="shared" si="34"/>
        <v>2.0833333328482695E-2</v>
      </c>
      <c r="H615" s="1" t="s">
        <v>248</v>
      </c>
      <c r="J615" s="1" t="s">
        <v>249</v>
      </c>
      <c r="K615" s="1" t="str">
        <f>_xlfn.XLOOKUP(J615,REF!$D$2:$D$12,REF!$E$2:$E$12)</f>
        <v>Rede</v>
      </c>
      <c r="L615" s="1" t="s">
        <v>801</v>
      </c>
      <c r="M615" s="1" t="s">
        <v>251</v>
      </c>
      <c r="N615" s="1" t="s">
        <v>330</v>
      </c>
      <c r="O615" s="1" t="s">
        <v>331</v>
      </c>
      <c r="P615" s="1" t="str">
        <f t="shared" si="32"/>
        <v>ARAGUATINS 1.1Inverter(MBUS-12)46003,982638888946003,982638888946004,0034722222</v>
      </c>
      <c r="Q615" s="1" t="str">
        <f t="shared" si="33"/>
        <v>DAURDE</v>
      </c>
    </row>
    <row r="616" spans="2:17" hidden="1">
      <c r="B616" s="1" t="s">
        <v>353</v>
      </c>
      <c r="C616" s="1" t="s">
        <v>357</v>
      </c>
      <c r="D616" s="52">
        <v>46003.982638888891</v>
      </c>
      <c r="E616" s="52">
        <v>46003.982638888891</v>
      </c>
      <c r="F616" s="52">
        <v>46004.003472222219</v>
      </c>
      <c r="G616" s="53">
        <f t="shared" si="34"/>
        <v>2.0833333328482695E-2</v>
      </c>
      <c r="H616" s="1" t="s">
        <v>248</v>
      </c>
      <c r="J616" s="1" t="s">
        <v>249</v>
      </c>
      <c r="K616" s="1" t="str">
        <f>_xlfn.XLOOKUP(J616,REF!$D$2:$D$12,REF!$E$2:$E$12)</f>
        <v>Rede</v>
      </c>
      <c r="L616" s="1" t="s">
        <v>801</v>
      </c>
      <c r="M616" s="1" t="s">
        <v>251</v>
      </c>
      <c r="N616" s="1" t="s">
        <v>330</v>
      </c>
      <c r="O616" s="1" t="s">
        <v>331</v>
      </c>
      <c r="P616" s="1" t="str">
        <f t="shared" si="32"/>
        <v>ARAGUATINS 1.1Inverter(MBUS-13)46003,982638888946003,982638888946004,0034722222</v>
      </c>
      <c r="Q616" s="1" t="str">
        <f t="shared" si="33"/>
        <v>DAURDE</v>
      </c>
    </row>
    <row r="617" spans="2:17" hidden="1">
      <c r="B617" s="1" t="s">
        <v>353</v>
      </c>
      <c r="C617" s="1" t="s">
        <v>358</v>
      </c>
      <c r="D617" s="52">
        <v>46003.982638888891</v>
      </c>
      <c r="E617" s="52">
        <v>46003.982638888891</v>
      </c>
      <c r="F617" s="52">
        <v>46004.003472222219</v>
      </c>
      <c r="G617" s="53">
        <f t="shared" si="34"/>
        <v>2.0833333328482695E-2</v>
      </c>
      <c r="H617" s="1" t="s">
        <v>248</v>
      </c>
      <c r="J617" s="1" t="s">
        <v>249</v>
      </c>
      <c r="K617" s="1" t="str">
        <f>_xlfn.XLOOKUP(J617,REF!$D$2:$D$12,REF!$E$2:$E$12)</f>
        <v>Rede</v>
      </c>
      <c r="L617" s="1" t="s">
        <v>801</v>
      </c>
      <c r="M617" s="1" t="s">
        <v>251</v>
      </c>
      <c r="N617" s="1" t="s">
        <v>330</v>
      </c>
      <c r="O617" s="1" t="s">
        <v>331</v>
      </c>
      <c r="P617" s="1" t="str">
        <f t="shared" si="32"/>
        <v>ARAGUATINS 1.1Inverter(MBUS-14)46003,982638888946003,982638888946004,0034722222</v>
      </c>
      <c r="Q617" s="1" t="str">
        <f t="shared" si="33"/>
        <v>DAURDE</v>
      </c>
    </row>
    <row r="618" spans="2:17" hidden="1">
      <c r="B618" s="1" t="s">
        <v>353</v>
      </c>
      <c r="C618" s="1" t="s">
        <v>359</v>
      </c>
      <c r="D618" s="52">
        <v>46003.982638888891</v>
      </c>
      <c r="E618" s="52">
        <v>46003.982638888891</v>
      </c>
      <c r="F618" s="52">
        <v>46004.003472222219</v>
      </c>
      <c r="G618" s="53">
        <f t="shared" si="34"/>
        <v>2.0833333328482695E-2</v>
      </c>
      <c r="H618" s="1" t="s">
        <v>248</v>
      </c>
      <c r="J618" s="1" t="s">
        <v>249</v>
      </c>
      <c r="K618" s="1" t="str">
        <f>_xlfn.XLOOKUP(J618,REF!$D$2:$D$12,REF!$E$2:$E$12)</f>
        <v>Rede</v>
      </c>
      <c r="L618" s="1" t="s">
        <v>801</v>
      </c>
      <c r="M618" s="1" t="s">
        <v>251</v>
      </c>
      <c r="N618" s="1" t="s">
        <v>330</v>
      </c>
      <c r="O618" s="1" t="s">
        <v>331</v>
      </c>
      <c r="P618" s="1" t="str">
        <f t="shared" si="32"/>
        <v>ARAGUATINS 1.1Inverter(MBUS-15)46003,982638888946003,982638888946004,0034722222</v>
      </c>
      <c r="Q618" s="1" t="str">
        <f t="shared" si="33"/>
        <v>DAURDE</v>
      </c>
    </row>
    <row r="619" spans="2:17" hidden="1">
      <c r="B619" s="1" t="s">
        <v>360</v>
      </c>
      <c r="C619" s="1" t="s">
        <v>354</v>
      </c>
      <c r="D619" s="52">
        <v>46003.982638888891</v>
      </c>
      <c r="E619" s="52">
        <v>46003.982638888891</v>
      </c>
      <c r="F619" s="52">
        <v>46004.003472222219</v>
      </c>
      <c r="G619" s="53">
        <f t="shared" si="34"/>
        <v>2.0833333328482695E-2</v>
      </c>
      <c r="H619" s="1" t="s">
        <v>248</v>
      </c>
      <c r="J619" s="1" t="s">
        <v>249</v>
      </c>
      <c r="K619" s="1" t="str">
        <f>_xlfn.XLOOKUP(J619,REF!$D$2:$D$12,REF!$E$2:$E$12)</f>
        <v>Rede</v>
      </c>
      <c r="L619" s="1" t="s">
        <v>801</v>
      </c>
      <c r="M619" s="1" t="s">
        <v>251</v>
      </c>
      <c r="N619" s="1" t="s">
        <v>330</v>
      </c>
      <c r="O619" s="1" t="s">
        <v>331</v>
      </c>
      <c r="P619" s="1" t="str">
        <f t="shared" si="32"/>
        <v>ARAGUATINS 1.2Inverter(MBUS-12)46003,982638888946003,982638888946004,0034722222</v>
      </c>
      <c r="Q619" s="1" t="str">
        <f t="shared" si="33"/>
        <v>DAURDE</v>
      </c>
    </row>
    <row r="620" spans="2:17" hidden="1">
      <c r="B620" s="1" t="s">
        <v>360</v>
      </c>
      <c r="C620" s="1" t="s">
        <v>357</v>
      </c>
      <c r="D620" s="52">
        <v>46003.982638888891</v>
      </c>
      <c r="E620" s="52">
        <v>46003.982638888891</v>
      </c>
      <c r="F620" s="52">
        <v>46004.003472222219</v>
      </c>
      <c r="G620" s="53">
        <f t="shared" si="34"/>
        <v>2.0833333328482695E-2</v>
      </c>
      <c r="H620" s="1" t="s">
        <v>248</v>
      </c>
      <c r="J620" s="1" t="s">
        <v>249</v>
      </c>
      <c r="K620" s="1" t="str">
        <f>_xlfn.XLOOKUP(J620,REF!$D$2:$D$12,REF!$E$2:$E$12)</f>
        <v>Rede</v>
      </c>
      <c r="L620" s="1" t="s">
        <v>801</v>
      </c>
      <c r="M620" s="1" t="s">
        <v>251</v>
      </c>
      <c r="N620" s="1" t="s">
        <v>330</v>
      </c>
      <c r="O620" s="1" t="s">
        <v>331</v>
      </c>
      <c r="P620" s="1" t="str">
        <f t="shared" si="32"/>
        <v>ARAGUATINS 1.2Inverter(MBUS-13)46003,982638888946003,982638888946004,0034722222</v>
      </c>
      <c r="Q620" s="1" t="str">
        <f t="shared" si="33"/>
        <v>DAURDE</v>
      </c>
    </row>
    <row r="621" spans="2:17" hidden="1">
      <c r="B621" s="1" t="s">
        <v>360</v>
      </c>
      <c r="C621" s="1" t="s">
        <v>358</v>
      </c>
      <c r="D621" s="52">
        <v>46003.982638888891</v>
      </c>
      <c r="E621" s="52">
        <v>46003.982638888891</v>
      </c>
      <c r="F621" s="52">
        <v>46004.003472222219</v>
      </c>
      <c r="G621" s="53">
        <f t="shared" si="34"/>
        <v>2.0833333328482695E-2</v>
      </c>
      <c r="H621" s="1" t="s">
        <v>248</v>
      </c>
      <c r="J621" s="1" t="s">
        <v>249</v>
      </c>
      <c r="K621" s="1" t="str">
        <f>_xlfn.XLOOKUP(J621,REF!$D$2:$D$12,REF!$E$2:$E$12)</f>
        <v>Rede</v>
      </c>
      <c r="L621" s="1" t="s">
        <v>801</v>
      </c>
      <c r="M621" s="1" t="s">
        <v>251</v>
      </c>
      <c r="N621" s="1" t="s">
        <v>330</v>
      </c>
      <c r="O621" s="1" t="s">
        <v>331</v>
      </c>
      <c r="P621" s="1" t="str">
        <f t="shared" si="32"/>
        <v>ARAGUATINS 1.2Inverter(MBUS-14)46003,982638888946003,982638888946004,0034722222</v>
      </c>
      <c r="Q621" s="1" t="str">
        <f t="shared" si="33"/>
        <v>DAURDE</v>
      </c>
    </row>
    <row r="622" spans="2:17" hidden="1">
      <c r="B622" s="1" t="s">
        <v>360</v>
      </c>
      <c r="C622" s="1" t="s">
        <v>359</v>
      </c>
      <c r="D622" s="52">
        <v>46003.982638888891</v>
      </c>
      <c r="E622" s="52">
        <v>46003.982638888891</v>
      </c>
      <c r="F622" s="52">
        <v>46004.003472222219</v>
      </c>
      <c r="G622" s="53">
        <f t="shared" si="34"/>
        <v>2.0833333328482695E-2</v>
      </c>
      <c r="H622" s="1" t="s">
        <v>248</v>
      </c>
      <c r="J622" s="1" t="s">
        <v>249</v>
      </c>
      <c r="K622" s="1" t="str">
        <f>_xlfn.XLOOKUP(J622,REF!$D$2:$D$12,REF!$E$2:$E$12)</f>
        <v>Rede</v>
      </c>
      <c r="L622" s="1" t="s">
        <v>801</v>
      </c>
      <c r="M622" s="1" t="s">
        <v>251</v>
      </c>
      <c r="N622" s="1" t="s">
        <v>330</v>
      </c>
      <c r="O622" s="1" t="s">
        <v>331</v>
      </c>
      <c r="P622" s="1" t="str">
        <f t="shared" si="32"/>
        <v>ARAGUATINS 1.2Inverter(MBUS-15)46003,982638888946003,982638888946004,0034722222</v>
      </c>
      <c r="Q622" s="1" t="str">
        <f t="shared" si="33"/>
        <v>DAURDE</v>
      </c>
    </row>
    <row r="623" spans="2:17" hidden="1">
      <c r="B623" s="1" t="s">
        <v>361</v>
      </c>
      <c r="C623" s="1" t="s">
        <v>362</v>
      </c>
      <c r="D623" s="52">
        <v>46003.982638888891</v>
      </c>
      <c r="E623" s="52">
        <v>46003.982638888891</v>
      </c>
      <c r="F623" s="52">
        <v>46004.003472222219</v>
      </c>
      <c r="G623" s="53">
        <f t="shared" si="34"/>
        <v>2.0833333328482695E-2</v>
      </c>
      <c r="H623" s="1" t="s">
        <v>248</v>
      </c>
      <c r="J623" s="1" t="s">
        <v>249</v>
      </c>
      <c r="K623" s="1" t="str">
        <f>_xlfn.XLOOKUP(J623,REF!$D$2:$D$12,REF!$E$2:$E$12)</f>
        <v>Rede</v>
      </c>
      <c r="L623" s="1" t="s">
        <v>801</v>
      </c>
      <c r="M623" s="1" t="s">
        <v>251</v>
      </c>
      <c r="N623" s="1" t="s">
        <v>330</v>
      </c>
      <c r="O623" s="1" t="s">
        <v>331</v>
      </c>
      <c r="P623" s="1" t="str">
        <f t="shared" si="32"/>
        <v>ARAGUATINS 1.3Inverter(MBUS-20)46003,982638888946003,982638888946004,0034722222</v>
      </c>
      <c r="Q623" s="1" t="str">
        <f t="shared" si="33"/>
        <v>DAURDE</v>
      </c>
    </row>
    <row r="624" spans="2:17" hidden="1">
      <c r="B624" s="1" t="s">
        <v>361</v>
      </c>
      <c r="C624" s="1" t="s">
        <v>328</v>
      </c>
      <c r="D624" s="52">
        <v>46003.982638888891</v>
      </c>
      <c r="E624" s="52">
        <v>46003.982638888891</v>
      </c>
      <c r="F624" s="52">
        <v>46004.003472222219</v>
      </c>
      <c r="G624" s="53">
        <f t="shared" si="34"/>
        <v>2.0833333328482695E-2</v>
      </c>
      <c r="H624" s="1" t="s">
        <v>248</v>
      </c>
      <c r="J624" s="1" t="s">
        <v>249</v>
      </c>
      <c r="K624" s="1" t="str">
        <f>_xlfn.XLOOKUP(J624,REF!$D$2:$D$12,REF!$E$2:$E$12)</f>
        <v>Rede</v>
      </c>
      <c r="L624" s="1" t="s">
        <v>801</v>
      </c>
      <c r="M624" s="1" t="s">
        <v>251</v>
      </c>
      <c r="N624" s="1" t="s">
        <v>330</v>
      </c>
      <c r="O624" s="1" t="s">
        <v>331</v>
      </c>
      <c r="P624" s="1" t="str">
        <f t="shared" si="32"/>
        <v>ARAGUATINS 1.3Inverter(MBUS-1)46003,982638888946003,982638888946004,0034722222</v>
      </c>
      <c r="Q624" s="1" t="str">
        <f t="shared" si="33"/>
        <v>DAURDE</v>
      </c>
    </row>
    <row r="625" spans="2:17" hidden="1">
      <c r="B625" s="1" t="s">
        <v>363</v>
      </c>
      <c r="C625" s="1" t="s">
        <v>354</v>
      </c>
      <c r="D625" s="52">
        <v>46003.982638888891</v>
      </c>
      <c r="E625" s="52">
        <v>46003.982638888891</v>
      </c>
      <c r="F625" s="52">
        <v>46004.003472222219</v>
      </c>
      <c r="G625" s="53">
        <f t="shared" si="34"/>
        <v>2.0833333328482695E-2</v>
      </c>
      <c r="H625" s="1" t="s">
        <v>248</v>
      </c>
      <c r="J625" s="1" t="s">
        <v>249</v>
      </c>
      <c r="K625" s="1" t="str">
        <f>_xlfn.XLOOKUP(J625,REF!$D$2:$D$12,REF!$E$2:$E$12)</f>
        <v>Rede</v>
      </c>
      <c r="L625" s="1" t="s">
        <v>801</v>
      </c>
      <c r="M625" s="1" t="s">
        <v>251</v>
      </c>
      <c r="N625" s="1" t="s">
        <v>330</v>
      </c>
      <c r="O625" s="1" t="s">
        <v>331</v>
      </c>
      <c r="P625" s="1" t="str">
        <f t="shared" si="32"/>
        <v>ARAGUATINS 2.1Inverter(MBUS-12)46003,982638888946003,982638888946004,0034722222</v>
      </c>
      <c r="Q625" s="1" t="str">
        <f t="shared" si="33"/>
        <v>DAURDE</v>
      </c>
    </row>
    <row r="626" spans="2:17" hidden="1">
      <c r="B626" s="1" t="s">
        <v>363</v>
      </c>
      <c r="C626" s="1" t="s">
        <v>359</v>
      </c>
      <c r="D626" s="52">
        <v>46003.982638888891</v>
      </c>
      <c r="E626" s="52">
        <v>46003.982638888891</v>
      </c>
      <c r="F626" s="52">
        <v>46004.003472222219</v>
      </c>
      <c r="G626" s="53">
        <f t="shared" si="34"/>
        <v>2.0833333328482695E-2</v>
      </c>
      <c r="H626" s="1" t="s">
        <v>248</v>
      </c>
      <c r="J626" s="1" t="s">
        <v>249</v>
      </c>
      <c r="K626" s="1" t="str">
        <f>_xlfn.XLOOKUP(J626,REF!$D$2:$D$12,REF!$E$2:$E$12)</f>
        <v>Rede</v>
      </c>
      <c r="L626" s="1" t="s">
        <v>801</v>
      </c>
      <c r="M626" s="1" t="s">
        <v>251</v>
      </c>
      <c r="N626" s="1" t="s">
        <v>330</v>
      </c>
      <c r="O626" s="1" t="s">
        <v>331</v>
      </c>
      <c r="P626" s="1" t="str">
        <f t="shared" si="32"/>
        <v>ARAGUATINS 2.1Inverter(MBUS-15)46003,982638888946003,982638888946004,0034722222</v>
      </c>
      <c r="Q626" s="1" t="str">
        <f t="shared" si="33"/>
        <v>DAURDE</v>
      </c>
    </row>
    <row r="627" spans="2:17" hidden="1">
      <c r="B627" s="1" t="s">
        <v>363</v>
      </c>
      <c r="C627" s="1" t="s">
        <v>358</v>
      </c>
      <c r="D627" s="52">
        <v>46003.982638888891</v>
      </c>
      <c r="E627" s="52">
        <v>46003.982638888891</v>
      </c>
      <c r="F627" s="52">
        <v>46004.003472222219</v>
      </c>
      <c r="G627" s="53">
        <f t="shared" si="34"/>
        <v>2.0833333328482695E-2</v>
      </c>
      <c r="H627" s="1" t="s">
        <v>248</v>
      </c>
      <c r="J627" s="1" t="s">
        <v>249</v>
      </c>
      <c r="K627" s="1" t="str">
        <f>_xlfn.XLOOKUP(J627,REF!$D$2:$D$12,REF!$E$2:$E$12)</f>
        <v>Rede</v>
      </c>
      <c r="L627" s="1" t="s">
        <v>801</v>
      </c>
      <c r="M627" s="1" t="s">
        <v>251</v>
      </c>
      <c r="N627" s="1" t="s">
        <v>330</v>
      </c>
      <c r="O627" s="1" t="s">
        <v>331</v>
      </c>
      <c r="P627" s="1" t="str">
        <f t="shared" si="32"/>
        <v>ARAGUATINS 2.1Inverter(MBUS-14)46003,982638888946003,982638888946004,0034722222</v>
      </c>
      <c r="Q627" s="1" t="str">
        <f t="shared" si="33"/>
        <v>DAURDE</v>
      </c>
    </row>
    <row r="628" spans="2:17" hidden="1">
      <c r="B628" s="1" t="s">
        <v>363</v>
      </c>
      <c r="C628" s="1" t="s">
        <v>328</v>
      </c>
      <c r="D628" s="52">
        <v>46003.982638888891</v>
      </c>
      <c r="E628" s="52">
        <v>46003.982638888891</v>
      </c>
      <c r="F628" s="52">
        <v>46004.003472222219</v>
      </c>
      <c r="G628" s="53">
        <f t="shared" si="34"/>
        <v>2.0833333328482695E-2</v>
      </c>
      <c r="H628" s="1" t="s">
        <v>248</v>
      </c>
      <c r="J628" s="1" t="s">
        <v>249</v>
      </c>
      <c r="K628" s="1" t="str">
        <f>_xlfn.XLOOKUP(J628,REF!$D$2:$D$12,REF!$E$2:$E$12)</f>
        <v>Rede</v>
      </c>
      <c r="L628" s="1" t="s">
        <v>801</v>
      </c>
      <c r="M628" s="1" t="s">
        <v>251</v>
      </c>
      <c r="N628" s="1" t="s">
        <v>330</v>
      </c>
      <c r="O628" s="1" t="s">
        <v>331</v>
      </c>
      <c r="P628" s="1" t="str">
        <f t="shared" si="32"/>
        <v>ARAGUATINS 2.1Inverter(MBUS-1)46003,982638888946003,982638888946004,0034722222</v>
      </c>
      <c r="Q628" s="1" t="str">
        <f t="shared" si="33"/>
        <v>DAURDE</v>
      </c>
    </row>
    <row r="629" spans="2:17" hidden="1">
      <c r="B629" s="1" t="s">
        <v>369</v>
      </c>
      <c r="C629" s="1" t="s">
        <v>359</v>
      </c>
      <c r="D629" s="52">
        <v>46003.982638888891</v>
      </c>
      <c r="E629" s="52">
        <v>46003.982638888891</v>
      </c>
      <c r="F629" s="52">
        <v>46004.003472222219</v>
      </c>
      <c r="G629" s="53">
        <f t="shared" si="34"/>
        <v>2.0833333328482695E-2</v>
      </c>
      <c r="H629" s="1" t="s">
        <v>248</v>
      </c>
      <c r="J629" s="1" t="s">
        <v>249</v>
      </c>
      <c r="K629" s="1" t="str">
        <f>_xlfn.XLOOKUP(J629,REF!$D$2:$D$12,REF!$E$2:$E$12)</f>
        <v>Rede</v>
      </c>
      <c r="L629" s="1" t="s">
        <v>801</v>
      </c>
      <c r="M629" s="1" t="s">
        <v>251</v>
      </c>
      <c r="N629" s="1" t="s">
        <v>330</v>
      </c>
      <c r="O629" s="1" t="s">
        <v>331</v>
      </c>
      <c r="P629" s="1" t="str">
        <f t="shared" si="32"/>
        <v>ARAGUATINS 2.2Inverter(MBUS-15)46003,982638888946003,982638888946004,0034722222</v>
      </c>
      <c r="Q629" s="1" t="str">
        <f t="shared" si="33"/>
        <v>DAURDE</v>
      </c>
    </row>
    <row r="630" spans="2:17" hidden="1">
      <c r="B630" s="1" t="s">
        <v>369</v>
      </c>
      <c r="C630" s="1" t="s">
        <v>357</v>
      </c>
      <c r="D630" s="52">
        <v>46003.982638888891</v>
      </c>
      <c r="E630" s="52">
        <v>46003.982638888891</v>
      </c>
      <c r="F630" s="52">
        <v>46004.003472222219</v>
      </c>
      <c r="G630" s="53">
        <f t="shared" si="34"/>
        <v>2.0833333328482695E-2</v>
      </c>
      <c r="H630" s="1" t="s">
        <v>248</v>
      </c>
      <c r="J630" s="1" t="s">
        <v>249</v>
      </c>
      <c r="K630" s="1" t="str">
        <f>_xlfn.XLOOKUP(J630,REF!$D$2:$D$12,REF!$E$2:$E$12)</f>
        <v>Rede</v>
      </c>
      <c r="L630" s="1" t="s">
        <v>801</v>
      </c>
      <c r="M630" s="1" t="s">
        <v>251</v>
      </c>
      <c r="N630" s="1" t="s">
        <v>330</v>
      </c>
      <c r="O630" s="1" t="s">
        <v>331</v>
      </c>
      <c r="P630" s="1" t="str">
        <f t="shared" si="32"/>
        <v>ARAGUATINS 2.2Inverter(MBUS-13)46003,982638888946003,982638888946004,0034722222</v>
      </c>
      <c r="Q630" s="1" t="str">
        <f t="shared" si="33"/>
        <v>DAURDE</v>
      </c>
    </row>
    <row r="631" spans="2:17" hidden="1">
      <c r="B631" s="1" t="s">
        <v>369</v>
      </c>
      <c r="C631" s="1" t="s">
        <v>358</v>
      </c>
      <c r="D631" s="52">
        <v>46003.982638888891</v>
      </c>
      <c r="E631" s="52">
        <v>46003.982638888891</v>
      </c>
      <c r="F631" s="52">
        <v>46004.003472222219</v>
      </c>
      <c r="G631" s="53">
        <f t="shared" si="34"/>
        <v>2.0833333328482695E-2</v>
      </c>
      <c r="H631" s="1" t="s">
        <v>248</v>
      </c>
      <c r="J631" s="1" t="s">
        <v>249</v>
      </c>
      <c r="K631" s="1" t="str">
        <f>_xlfn.XLOOKUP(J631,REF!$D$2:$D$12,REF!$E$2:$E$12)</f>
        <v>Rede</v>
      </c>
      <c r="L631" s="1" t="s">
        <v>801</v>
      </c>
      <c r="M631" s="1" t="s">
        <v>251</v>
      </c>
      <c r="N631" s="1" t="s">
        <v>330</v>
      </c>
      <c r="O631" s="1" t="s">
        <v>331</v>
      </c>
      <c r="P631" s="1" t="str">
        <f t="shared" si="32"/>
        <v>ARAGUATINS 2.2Inverter(MBUS-14)46003,982638888946003,982638888946004,0034722222</v>
      </c>
      <c r="Q631" s="1" t="str">
        <f t="shared" si="33"/>
        <v>DAURDE</v>
      </c>
    </row>
    <row r="632" spans="2:17" hidden="1">
      <c r="B632" s="1" t="s">
        <v>369</v>
      </c>
      <c r="C632" s="1" t="s">
        <v>354</v>
      </c>
      <c r="D632" s="52">
        <v>46003.982638888891</v>
      </c>
      <c r="E632" s="52">
        <v>46003.982638888891</v>
      </c>
      <c r="F632" s="52">
        <v>46004.003472222219</v>
      </c>
      <c r="G632" s="53">
        <f t="shared" si="34"/>
        <v>2.0833333328482695E-2</v>
      </c>
      <c r="H632" s="1" t="s">
        <v>248</v>
      </c>
      <c r="J632" s="1" t="s">
        <v>249</v>
      </c>
      <c r="K632" s="1" t="str">
        <f>_xlfn.XLOOKUP(J632,REF!$D$2:$D$12,REF!$E$2:$E$12)</f>
        <v>Rede</v>
      </c>
      <c r="L632" s="1" t="s">
        <v>801</v>
      </c>
      <c r="M632" s="1" t="s">
        <v>251</v>
      </c>
      <c r="N632" s="1" t="s">
        <v>330</v>
      </c>
      <c r="O632" s="1" t="s">
        <v>331</v>
      </c>
      <c r="P632" s="1" t="str">
        <f t="shared" si="32"/>
        <v>ARAGUATINS 2.2Inverter(MBUS-12)46003,982638888946003,982638888946004,0034722222</v>
      </c>
      <c r="Q632" s="1" t="str">
        <f t="shared" si="33"/>
        <v>DAURDE</v>
      </c>
    </row>
    <row r="633" spans="2:17" hidden="1">
      <c r="B633" s="1" t="s">
        <v>370</v>
      </c>
      <c r="C633" s="1" t="s">
        <v>354</v>
      </c>
      <c r="D633" s="52">
        <v>46003.982638888891</v>
      </c>
      <c r="E633" s="52">
        <v>46003.982638888891</v>
      </c>
      <c r="F633" s="52">
        <v>46004.003472222219</v>
      </c>
      <c r="G633" s="53">
        <f t="shared" si="34"/>
        <v>2.0833333328482695E-2</v>
      </c>
      <c r="H633" s="1" t="s">
        <v>248</v>
      </c>
      <c r="J633" s="1" t="s">
        <v>249</v>
      </c>
      <c r="K633" s="1" t="str">
        <f>_xlfn.XLOOKUP(J633,REF!$D$2:$D$12,REF!$E$2:$E$12)</f>
        <v>Rede</v>
      </c>
      <c r="L633" s="1" t="s">
        <v>801</v>
      </c>
      <c r="M633" s="1" t="s">
        <v>251</v>
      </c>
      <c r="N633" s="1" t="s">
        <v>330</v>
      </c>
      <c r="O633" s="1" t="s">
        <v>331</v>
      </c>
      <c r="P633" s="1" t="str">
        <f t="shared" si="32"/>
        <v>ARAGUATINS 2.3Inverter(MBUS-12)46003,982638888946003,982638888946004,0034722222</v>
      </c>
      <c r="Q633" s="1" t="str">
        <f t="shared" si="33"/>
        <v>DAURDE</v>
      </c>
    </row>
    <row r="634" spans="2:17" hidden="1">
      <c r="B634" s="1" t="s">
        <v>370</v>
      </c>
      <c r="C634" s="1" t="s">
        <v>357</v>
      </c>
      <c r="D634" s="52">
        <v>46003.982638888891</v>
      </c>
      <c r="E634" s="52">
        <v>46003.982638888891</v>
      </c>
      <c r="F634" s="52">
        <v>46004.003472222219</v>
      </c>
      <c r="G634" s="53">
        <f t="shared" si="34"/>
        <v>2.0833333328482695E-2</v>
      </c>
      <c r="H634" s="1" t="s">
        <v>248</v>
      </c>
      <c r="J634" s="1" t="s">
        <v>249</v>
      </c>
      <c r="K634" s="1" t="str">
        <f>_xlfn.XLOOKUP(J634,REF!$D$2:$D$12,REF!$E$2:$E$12)</f>
        <v>Rede</v>
      </c>
      <c r="L634" s="1" t="s">
        <v>801</v>
      </c>
      <c r="M634" s="1" t="s">
        <v>251</v>
      </c>
      <c r="N634" s="1" t="s">
        <v>330</v>
      </c>
      <c r="O634" s="1" t="s">
        <v>331</v>
      </c>
      <c r="P634" s="1" t="str">
        <f t="shared" si="32"/>
        <v>ARAGUATINS 2.3Inverter(MBUS-13)46003,982638888946003,982638888946004,0034722222</v>
      </c>
      <c r="Q634" s="1" t="str">
        <f t="shared" si="33"/>
        <v>DAURDE</v>
      </c>
    </row>
    <row r="635" spans="2:17" hidden="1">
      <c r="B635" s="1" t="s">
        <v>742</v>
      </c>
      <c r="C635" s="1" t="s">
        <v>567</v>
      </c>
      <c r="D635" s="52">
        <v>46008.486111111109</v>
      </c>
      <c r="E635" s="52">
        <v>46008.486111111109</v>
      </c>
      <c r="F635" s="52">
        <v>46008.503472222219</v>
      </c>
      <c r="G635" s="53">
        <f t="shared" si="34"/>
        <v>1.7361111109494232E-2</v>
      </c>
      <c r="H635" s="1" t="s">
        <v>248</v>
      </c>
      <c r="J635" s="1" t="s">
        <v>249</v>
      </c>
      <c r="K635" s="1" t="str">
        <f>_xlfn.XLOOKUP(J635,REF!$D$2:$D$12,REF!$E$2:$E$12)</f>
        <v>Rede</v>
      </c>
      <c r="L635" s="1" t="s">
        <v>329</v>
      </c>
      <c r="M635" s="1" t="s">
        <v>251</v>
      </c>
      <c r="N635" s="1" t="s">
        <v>330</v>
      </c>
      <c r="O635" s="1" t="s">
        <v>331</v>
      </c>
      <c r="P635" s="1" t="str">
        <f t="shared" si="32"/>
        <v>Araçu IVSG75CX(COM1-018)_001_01846008,486111111146008,486111111146008,5034722222</v>
      </c>
      <c r="Q635" s="1" t="str">
        <f t="shared" si="33"/>
        <v>DAURDE</v>
      </c>
    </row>
    <row r="636" spans="2:17" hidden="1">
      <c r="B636" s="1" t="s">
        <v>742</v>
      </c>
      <c r="C636" s="1" t="s">
        <v>568</v>
      </c>
      <c r="D636" s="52">
        <v>46008.486111111109</v>
      </c>
      <c r="E636" s="52">
        <v>46008.486111111109</v>
      </c>
      <c r="F636" s="52">
        <v>46008.503472222219</v>
      </c>
      <c r="G636" s="53">
        <f t="shared" ref="G636:G699" si="35">F636-E636</f>
        <v>1.7361111109494232E-2</v>
      </c>
      <c r="H636" s="1" t="s">
        <v>248</v>
      </c>
      <c r="J636" s="1" t="s">
        <v>249</v>
      </c>
      <c r="K636" s="1" t="str">
        <f>_xlfn.XLOOKUP(J636,REF!$D$2:$D$12,REF!$E$2:$E$12)</f>
        <v>Rede</v>
      </c>
      <c r="L636" s="1" t="s">
        <v>329</v>
      </c>
      <c r="M636" s="1" t="s">
        <v>251</v>
      </c>
      <c r="N636" s="1" t="s">
        <v>330</v>
      </c>
      <c r="O636" s="1" t="s">
        <v>331</v>
      </c>
      <c r="P636" s="1" t="str">
        <f t="shared" si="32"/>
        <v>Araçu IVSG75CX(COM1-019)_001_01946008,486111111146008,486111111146008,5034722222</v>
      </c>
      <c r="Q636" s="1" t="str">
        <f t="shared" si="33"/>
        <v>DAURDE</v>
      </c>
    </row>
    <row r="637" spans="2:17" hidden="1">
      <c r="B637" s="1" t="s">
        <v>742</v>
      </c>
      <c r="C637" s="1" t="s">
        <v>569</v>
      </c>
      <c r="D637" s="52">
        <v>46008.486111111109</v>
      </c>
      <c r="E637" s="52">
        <v>46008.486111111109</v>
      </c>
      <c r="F637" s="52">
        <v>46008.503472222219</v>
      </c>
      <c r="G637" s="53">
        <f t="shared" si="35"/>
        <v>1.7361111109494232E-2</v>
      </c>
      <c r="H637" s="1" t="s">
        <v>248</v>
      </c>
      <c r="J637" s="1" t="s">
        <v>249</v>
      </c>
      <c r="K637" s="1" t="str">
        <f>_xlfn.XLOOKUP(J637,REF!$D$2:$D$12,REF!$E$2:$E$12)</f>
        <v>Rede</v>
      </c>
      <c r="L637" s="1" t="s">
        <v>329</v>
      </c>
      <c r="M637" s="1" t="s">
        <v>251</v>
      </c>
      <c r="N637" s="1" t="s">
        <v>330</v>
      </c>
      <c r="O637" s="1" t="s">
        <v>331</v>
      </c>
      <c r="P637" s="1" t="str">
        <f t="shared" si="32"/>
        <v>Araçu IVSG75CX(COM1-020)_001_02046008,486111111146008,486111111146008,5034722222</v>
      </c>
      <c r="Q637" s="1" t="str">
        <f t="shared" si="33"/>
        <v>DAURDE</v>
      </c>
    </row>
    <row r="638" spans="2:17" hidden="1">
      <c r="B638" s="1" t="s">
        <v>742</v>
      </c>
      <c r="C638" s="1" t="s">
        <v>570</v>
      </c>
      <c r="D638" s="52">
        <v>46008.486111111109</v>
      </c>
      <c r="E638" s="52">
        <v>46008.486111111109</v>
      </c>
      <c r="F638" s="52">
        <v>46008.503472222219</v>
      </c>
      <c r="G638" s="53">
        <f t="shared" si="35"/>
        <v>1.7361111109494232E-2</v>
      </c>
      <c r="H638" s="1" t="s">
        <v>248</v>
      </c>
      <c r="J638" s="1" t="s">
        <v>249</v>
      </c>
      <c r="K638" s="1" t="str">
        <f>_xlfn.XLOOKUP(J638,REF!$D$2:$D$12,REF!$E$2:$E$12)</f>
        <v>Rede</v>
      </c>
      <c r="L638" s="1" t="s">
        <v>329</v>
      </c>
      <c r="M638" s="1" t="s">
        <v>251</v>
      </c>
      <c r="N638" s="1" t="s">
        <v>330</v>
      </c>
      <c r="O638" s="1" t="s">
        <v>331</v>
      </c>
      <c r="P638" s="1" t="str">
        <f t="shared" si="32"/>
        <v>Araçu IVSG75CX(COM1-021)_001_02146008,486111111146008,486111111146008,5034722222</v>
      </c>
      <c r="Q638" s="1" t="str">
        <f t="shared" si="33"/>
        <v>DAURDE</v>
      </c>
    </row>
    <row r="639" spans="2:17" hidden="1">
      <c r="B639" s="1" t="s">
        <v>423</v>
      </c>
      <c r="C639" s="1" t="s">
        <v>354</v>
      </c>
      <c r="D639" s="52">
        <v>46009.364583333336</v>
      </c>
      <c r="E639" s="52">
        <v>46009.364583333336</v>
      </c>
      <c r="F639" s="52">
        <v>46009.38958333333</v>
      </c>
      <c r="G639" s="53">
        <f t="shared" si="35"/>
        <v>2.4999999994179234E-2</v>
      </c>
      <c r="H639" s="1" t="s">
        <v>248</v>
      </c>
      <c r="J639" s="1" t="s">
        <v>249</v>
      </c>
      <c r="K639" s="1" t="str">
        <f>_xlfn.XLOOKUP(J639,REF!$D$2:$D$12,REF!$E$2:$E$12)</f>
        <v>Rede</v>
      </c>
      <c r="L639" s="1" t="s">
        <v>711</v>
      </c>
      <c r="M639" s="1" t="s">
        <v>251</v>
      </c>
      <c r="N639" s="1" t="s">
        <v>252</v>
      </c>
      <c r="O639" s="1" t="s">
        <v>712</v>
      </c>
      <c r="P639" s="1" t="str">
        <f t="shared" si="32"/>
        <v>BC Formoso2.1Inverter(MBUS-12)46009,364583333346009,364583333346009,3895833333</v>
      </c>
      <c r="Q639" s="1" t="str">
        <f t="shared" si="33"/>
        <v>DAURDE</v>
      </c>
    </row>
    <row r="640" spans="2:17" hidden="1">
      <c r="B640" s="1" t="s">
        <v>423</v>
      </c>
      <c r="C640" s="1" t="s">
        <v>358</v>
      </c>
      <c r="D640" s="52">
        <v>46009.364583333336</v>
      </c>
      <c r="E640" s="52">
        <v>46009.364583333336</v>
      </c>
      <c r="F640" s="52">
        <v>46009.38958333333</v>
      </c>
      <c r="G640" s="53">
        <f t="shared" si="35"/>
        <v>2.4999999994179234E-2</v>
      </c>
      <c r="H640" s="1" t="s">
        <v>248</v>
      </c>
      <c r="J640" s="1" t="s">
        <v>249</v>
      </c>
      <c r="K640" s="1" t="str">
        <f>_xlfn.XLOOKUP(J640,REF!$D$2:$D$12,REF!$E$2:$E$12)</f>
        <v>Rede</v>
      </c>
      <c r="L640" s="1" t="s">
        <v>711</v>
      </c>
      <c r="M640" s="1" t="s">
        <v>251</v>
      </c>
      <c r="N640" s="1" t="s">
        <v>252</v>
      </c>
      <c r="O640" s="1" t="s">
        <v>712</v>
      </c>
      <c r="P640" s="1" t="str">
        <f t="shared" si="32"/>
        <v>BC Formoso2.1Inverter(MBUS-14)46009,364583333346009,364583333346009,3895833333</v>
      </c>
      <c r="Q640" s="1" t="str">
        <f t="shared" si="33"/>
        <v>DAURDE</v>
      </c>
    </row>
    <row r="641" spans="2:17" hidden="1">
      <c r="B641" s="1" t="s">
        <v>423</v>
      </c>
      <c r="C641" s="1" t="s">
        <v>357</v>
      </c>
      <c r="D641" s="52">
        <v>46009.364583333336</v>
      </c>
      <c r="E641" s="52">
        <v>46009.364583333336</v>
      </c>
      <c r="F641" s="52">
        <v>46009.38958333333</v>
      </c>
      <c r="G641" s="53">
        <f t="shared" si="35"/>
        <v>2.4999999994179234E-2</v>
      </c>
      <c r="H641" s="1" t="s">
        <v>248</v>
      </c>
      <c r="J641" s="1" t="s">
        <v>249</v>
      </c>
      <c r="K641" s="1" t="str">
        <f>_xlfn.XLOOKUP(J641,REF!$D$2:$D$12,REF!$E$2:$E$12)</f>
        <v>Rede</v>
      </c>
      <c r="L641" s="1" t="s">
        <v>711</v>
      </c>
      <c r="M641" s="1" t="s">
        <v>251</v>
      </c>
      <c r="N641" s="1" t="s">
        <v>252</v>
      </c>
      <c r="O641" s="1" t="s">
        <v>712</v>
      </c>
      <c r="P641" s="1" t="str">
        <f t="shared" si="32"/>
        <v>BC Formoso2.1Inverter(MBUS-13)46009,364583333346009,364583333346009,3895833333</v>
      </c>
      <c r="Q641" s="1" t="str">
        <f t="shared" si="33"/>
        <v>DAURDE</v>
      </c>
    </row>
    <row r="642" spans="2:17" hidden="1">
      <c r="B642" s="1" t="s">
        <v>423</v>
      </c>
      <c r="C642" s="1" t="s">
        <v>328</v>
      </c>
      <c r="D642" s="52">
        <v>46009.364583333336</v>
      </c>
      <c r="E642" s="52">
        <v>46009.364583333336</v>
      </c>
      <c r="F642" s="52">
        <v>46009.38958333333</v>
      </c>
      <c r="G642" s="53">
        <f t="shared" si="35"/>
        <v>2.4999999994179234E-2</v>
      </c>
      <c r="H642" s="1" t="s">
        <v>248</v>
      </c>
      <c r="J642" s="1" t="s">
        <v>249</v>
      </c>
      <c r="K642" s="1" t="str">
        <f>_xlfn.XLOOKUP(J642,REF!$D$2:$D$12,REF!$E$2:$E$12)</f>
        <v>Rede</v>
      </c>
      <c r="L642" s="1" t="s">
        <v>711</v>
      </c>
      <c r="M642" s="1" t="s">
        <v>251</v>
      </c>
      <c r="N642" s="1" t="s">
        <v>252</v>
      </c>
      <c r="O642" s="1" t="s">
        <v>712</v>
      </c>
      <c r="P642" s="1" t="str">
        <f t="shared" si="32"/>
        <v>BC Formoso2.1Inverter(MBUS-1)46009,364583333346009,364583333346009,3895833333</v>
      </c>
      <c r="Q642" s="1" t="str">
        <f t="shared" si="33"/>
        <v>DAURDE</v>
      </c>
    </row>
    <row r="643" spans="2:17" hidden="1">
      <c r="B643" s="1" t="s">
        <v>424</v>
      </c>
      <c r="C643" s="1" t="s">
        <v>358</v>
      </c>
      <c r="D643" s="52">
        <v>46009.364583333336</v>
      </c>
      <c r="E643" s="52">
        <v>46009.364583333336</v>
      </c>
      <c r="F643" s="52">
        <v>46009.38958333333</v>
      </c>
      <c r="G643" s="53">
        <f t="shared" si="35"/>
        <v>2.4999999994179234E-2</v>
      </c>
      <c r="H643" s="1" t="s">
        <v>248</v>
      </c>
      <c r="J643" s="1" t="s">
        <v>249</v>
      </c>
      <c r="K643" s="1" t="str">
        <f>_xlfn.XLOOKUP(J643,REF!$D$2:$D$12,REF!$E$2:$E$12)</f>
        <v>Rede</v>
      </c>
      <c r="L643" s="1" t="s">
        <v>711</v>
      </c>
      <c r="M643" s="1" t="s">
        <v>251</v>
      </c>
      <c r="N643" s="1" t="s">
        <v>252</v>
      </c>
      <c r="O643" s="1" t="s">
        <v>712</v>
      </c>
      <c r="P643" s="1" t="str">
        <f t="shared" ref="P643:P706" si="36">_xlfn.CONCAT(B643,C643,D643,E643,F643)</f>
        <v>BC Formoso2.2Inverter(MBUS-14)46009,364583333346009,364583333346009,3895833333</v>
      </c>
      <c r="Q643" s="1" t="str">
        <f t="shared" ref="Q643:Q706" si="37">_xlfn.CONCAT(H643,I643,J643)</f>
        <v>DAURDE</v>
      </c>
    </row>
    <row r="644" spans="2:17" hidden="1">
      <c r="B644" s="1" t="s">
        <v>424</v>
      </c>
      <c r="C644" s="1" t="s">
        <v>357</v>
      </c>
      <c r="D644" s="52">
        <v>46009.364583333336</v>
      </c>
      <c r="E644" s="52">
        <v>46009.364583333336</v>
      </c>
      <c r="F644" s="52">
        <v>46009.38958333333</v>
      </c>
      <c r="G644" s="53">
        <f t="shared" si="35"/>
        <v>2.4999999994179234E-2</v>
      </c>
      <c r="H644" s="1" t="s">
        <v>248</v>
      </c>
      <c r="J644" s="1" t="s">
        <v>249</v>
      </c>
      <c r="K644" s="1" t="str">
        <f>_xlfn.XLOOKUP(J644,REF!$D$2:$D$12,REF!$E$2:$E$12)</f>
        <v>Rede</v>
      </c>
      <c r="L644" s="1" t="s">
        <v>711</v>
      </c>
      <c r="M644" s="1" t="s">
        <v>251</v>
      </c>
      <c r="N644" s="1" t="s">
        <v>252</v>
      </c>
      <c r="O644" s="1" t="s">
        <v>712</v>
      </c>
      <c r="P644" s="1" t="str">
        <f t="shared" si="36"/>
        <v>BC Formoso2.2Inverter(MBUS-13)46009,364583333346009,364583333346009,3895833333</v>
      </c>
      <c r="Q644" s="1" t="str">
        <f t="shared" si="37"/>
        <v>DAURDE</v>
      </c>
    </row>
    <row r="645" spans="2:17" hidden="1">
      <c r="B645" s="1" t="s">
        <v>424</v>
      </c>
      <c r="C645" s="1" t="s">
        <v>354</v>
      </c>
      <c r="D645" s="52">
        <v>46009.364583333336</v>
      </c>
      <c r="E645" s="52">
        <v>46009.364583333336</v>
      </c>
      <c r="F645" s="52">
        <v>46009.38958333333</v>
      </c>
      <c r="G645" s="53">
        <f t="shared" si="35"/>
        <v>2.4999999994179234E-2</v>
      </c>
      <c r="H645" s="1" t="s">
        <v>248</v>
      </c>
      <c r="J645" s="1" t="s">
        <v>249</v>
      </c>
      <c r="K645" s="1" t="str">
        <f>_xlfn.XLOOKUP(J645,REF!$D$2:$D$12,REF!$E$2:$E$12)</f>
        <v>Rede</v>
      </c>
      <c r="L645" s="1" t="s">
        <v>711</v>
      </c>
      <c r="M645" s="1" t="s">
        <v>251</v>
      </c>
      <c r="N645" s="1" t="s">
        <v>252</v>
      </c>
      <c r="O645" s="1" t="s">
        <v>712</v>
      </c>
      <c r="P645" s="1" t="str">
        <f t="shared" si="36"/>
        <v>BC Formoso2.2Inverter(MBUS-12)46009,364583333346009,364583333346009,3895833333</v>
      </c>
      <c r="Q645" s="1" t="str">
        <f t="shared" si="37"/>
        <v>DAURDE</v>
      </c>
    </row>
    <row r="646" spans="2:17" hidden="1">
      <c r="B646" s="1" t="s">
        <v>424</v>
      </c>
      <c r="C646" s="1" t="s">
        <v>328</v>
      </c>
      <c r="D646" s="52">
        <v>46009.364583333336</v>
      </c>
      <c r="E646" s="52">
        <v>46009.364583333336</v>
      </c>
      <c r="F646" s="52">
        <v>46009.38958333333</v>
      </c>
      <c r="G646" s="53">
        <f t="shared" si="35"/>
        <v>2.4999999994179234E-2</v>
      </c>
      <c r="H646" s="1" t="s">
        <v>248</v>
      </c>
      <c r="J646" s="1" t="s">
        <v>249</v>
      </c>
      <c r="K646" s="1" t="str">
        <f>_xlfn.XLOOKUP(J646,REF!$D$2:$D$12,REF!$E$2:$E$12)</f>
        <v>Rede</v>
      </c>
      <c r="L646" s="1" t="s">
        <v>711</v>
      </c>
      <c r="M646" s="1" t="s">
        <v>251</v>
      </c>
      <c r="N646" s="1" t="s">
        <v>252</v>
      </c>
      <c r="O646" s="1" t="s">
        <v>712</v>
      </c>
      <c r="P646" s="1" t="str">
        <f t="shared" si="36"/>
        <v>BC Formoso2.2Inverter(MBUS-1)46009,364583333346009,364583333346009,3895833333</v>
      </c>
      <c r="Q646" s="1" t="str">
        <f t="shared" si="37"/>
        <v>DAURDE</v>
      </c>
    </row>
    <row r="647" spans="2:17" hidden="1">
      <c r="B647" s="1" t="s">
        <v>425</v>
      </c>
      <c r="C647" s="1" t="s">
        <v>357</v>
      </c>
      <c r="D647" s="52">
        <v>46009.364583333336</v>
      </c>
      <c r="E647" s="52">
        <v>46009.364583333336</v>
      </c>
      <c r="F647" s="52">
        <v>46009.38958333333</v>
      </c>
      <c r="G647" s="53">
        <f t="shared" si="35"/>
        <v>2.4999999994179234E-2</v>
      </c>
      <c r="H647" s="1" t="s">
        <v>248</v>
      </c>
      <c r="J647" s="1" t="s">
        <v>249</v>
      </c>
      <c r="K647" s="1" t="str">
        <f>_xlfn.XLOOKUP(J647,REF!$D$2:$D$12,REF!$E$2:$E$12)</f>
        <v>Rede</v>
      </c>
      <c r="L647" s="1" t="s">
        <v>711</v>
      </c>
      <c r="M647" s="1" t="s">
        <v>251</v>
      </c>
      <c r="N647" s="1" t="s">
        <v>252</v>
      </c>
      <c r="O647" s="1" t="s">
        <v>712</v>
      </c>
      <c r="P647" s="1" t="str">
        <f t="shared" si="36"/>
        <v>BC Formoso2.3Inverter(MBUS-13)46009,364583333346009,364583333346009,3895833333</v>
      </c>
      <c r="Q647" s="1" t="str">
        <f t="shared" si="37"/>
        <v>DAURDE</v>
      </c>
    </row>
    <row r="648" spans="2:17" hidden="1">
      <c r="B648" s="1" t="s">
        <v>425</v>
      </c>
      <c r="C648" s="1" t="s">
        <v>354</v>
      </c>
      <c r="D648" s="52">
        <v>46009.364583333336</v>
      </c>
      <c r="E648" s="52">
        <v>46009.364583333336</v>
      </c>
      <c r="F648" s="52">
        <v>46009.38958333333</v>
      </c>
      <c r="G648" s="53">
        <f t="shared" si="35"/>
        <v>2.4999999994179234E-2</v>
      </c>
      <c r="H648" s="1" t="s">
        <v>248</v>
      </c>
      <c r="J648" s="1" t="s">
        <v>249</v>
      </c>
      <c r="K648" s="1" t="str">
        <f>_xlfn.XLOOKUP(J648,REF!$D$2:$D$12,REF!$E$2:$E$12)</f>
        <v>Rede</v>
      </c>
      <c r="L648" s="1" t="s">
        <v>711</v>
      </c>
      <c r="M648" s="1" t="s">
        <v>251</v>
      </c>
      <c r="N648" s="1" t="s">
        <v>252</v>
      </c>
      <c r="O648" s="1" t="s">
        <v>712</v>
      </c>
      <c r="P648" s="1" t="str">
        <f t="shared" si="36"/>
        <v>BC Formoso2.3Inverter(MBUS-12)46009,364583333346009,364583333346009,3895833333</v>
      </c>
      <c r="Q648" s="1" t="str">
        <f t="shared" si="37"/>
        <v>DAURDE</v>
      </c>
    </row>
    <row r="649" spans="2:17" hidden="1">
      <c r="B649" s="1" t="s">
        <v>423</v>
      </c>
      <c r="C649" s="1" t="s">
        <v>354</v>
      </c>
      <c r="D649" s="52">
        <v>46009.875</v>
      </c>
      <c r="E649" s="52">
        <v>46009.875</v>
      </c>
      <c r="F649" s="52">
        <v>46010.305555555555</v>
      </c>
      <c r="G649" s="53">
        <f t="shared" si="35"/>
        <v>0.43055555555474712</v>
      </c>
      <c r="H649" s="1" t="s">
        <v>248</v>
      </c>
      <c r="J649" s="1" t="s">
        <v>249</v>
      </c>
      <c r="K649" s="1" t="str">
        <f>_xlfn.XLOOKUP(J649,REF!$D$2:$D$12,REF!$E$2:$E$12)</f>
        <v>Rede</v>
      </c>
      <c r="L649" s="1" t="s">
        <v>745</v>
      </c>
      <c r="M649" s="1" t="s">
        <v>251</v>
      </c>
      <c r="N649" s="1" t="s">
        <v>252</v>
      </c>
      <c r="O649" s="1" t="s">
        <v>712</v>
      </c>
      <c r="P649" s="1" t="str">
        <f t="shared" si="36"/>
        <v>BC Formoso2.1Inverter(MBUS-12)46009,87546009,87546010,3055555556</v>
      </c>
      <c r="Q649" s="1" t="str">
        <f t="shared" si="37"/>
        <v>DAURDE</v>
      </c>
    </row>
    <row r="650" spans="2:17" hidden="1">
      <c r="B650" s="1" t="s">
        <v>423</v>
      </c>
      <c r="C650" s="1" t="s">
        <v>358</v>
      </c>
      <c r="D650" s="52">
        <v>46009.875</v>
      </c>
      <c r="E650" s="52">
        <v>46009.875</v>
      </c>
      <c r="F650" s="52">
        <v>46010.305555555555</v>
      </c>
      <c r="G650" s="53">
        <f t="shared" si="35"/>
        <v>0.43055555555474712</v>
      </c>
      <c r="H650" s="1" t="s">
        <v>248</v>
      </c>
      <c r="J650" s="1" t="s">
        <v>249</v>
      </c>
      <c r="K650" s="1" t="str">
        <f>_xlfn.XLOOKUP(J650,REF!$D$2:$D$12,REF!$E$2:$E$12)</f>
        <v>Rede</v>
      </c>
      <c r="L650" s="1" t="s">
        <v>745</v>
      </c>
      <c r="M650" s="1" t="s">
        <v>251</v>
      </c>
      <c r="N650" s="1" t="s">
        <v>252</v>
      </c>
      <c r="O650" s="1" t="s">
        <v>712</v>
      </c>
      <c r="P650" s="1" t="str">
        <f t="shared" si="36"/>
        <v>BC Formoso2.1Inverter(MBUS-14)46009,87546009,87546010,3055555556</v>
      </c>
      <c r="Q650" s="1" t="str">
        <f t="shared" si="37"/>
        <v>DAURDE</v>
      </c>
    </row>
    <row r="651" spans="2:17" hidden="1">
      <c r="B651" s="1" t="s">
        <v>423</v>
      </c>
      <c r="C651" s="1" t="s">
        <v>357</v>
      </c>
      <c r="D651" s="52">
        <v>46009.875</v>
      </c>
      <c r="E651" s="52">
        <v>46009.875</v>
      </c>
      <c r="F651" s="52">
        <v>46010.305555555555</v>
      </c>
      <c r="G651" s="53">
        <f t="shared" si="35"/>
        <v>0.43055555555474712</v>
      </c>
      <c r="H651" s="1" t="s">
        <v>248</v>
      </c>
      <c r="J651" s="1" t="s">
        <v>249</v>
      </c>
      <c r="K651" s="1" t="str">
        <f>_xlfn.XLOOKUP(J651,REF!$D$2:$D$12,REF!$E$2:$E$12)</f>
        <v>Rede</v>
      </c>
      <c r="L651" s="1" t="s">
        <v>745</v>
      </c>
      <c r="M651" s="1" t="s">
        <v>251</v>
      </c>
      <c r="N651" s="1" t="s">
        <v>252</v>
      </c>
      <c r="O651" s="1" t="s">
        <v>712</v>
      </c>
      <c r="P651" s="1" t="str">
        <f t="shared" si="36"/>
        <v>BC Formoso2.1Inverter(MBUS-13)46009,87546009,87546010,3055555556</v>
      </c>
      <c r="Q651" s="1" t="str">
        <f t="shared" si="37"/>
        <v>DAURDE</v>
      </c>
    </row>
    <row r="652" spans="2:17" hidden="1">
      <c r="B652" s="1" t="s">
        <v>423</v>
      </c>
      <c r="C652" s="1" t="s">
        <v>328</v>
      </c>
      <c r="D652" s="52">
        <v>46009.875</v>
      </c>
      <c r="E652" s="52">
        <v>46009.875</v>
      </c>
      <c r="F652" s="52">
        <v>46010.305555555555</v>
      </c>
      <c r="G652" s="53">
        <f t="shared" si="35"/>
        <v>0.43055555555474712</v>
      </c>
      <c r="H652" s="1" t="s">
        <v>248</v>
      </c>
      <c r="J652" s="1" t="s">
        <v>249</v>
      </c>
      <c r="K652" s="1" t="str">
        <f>_xlfn.XLOOKUP(J652,REF!$D$2:$D$12,REF!$E$2:$E$12)</f>
        <v>Rede</v>
      </c>
      <c r="L652" s="1" t="s">
        <v>745</v>
      </c>
      <c r="M652" s="1" t="s">
        <v>251</v>
      </c>
      <c r="N652" s="1" t="s">
        <v>252</v>
      </c>
      <c r="O652" s="1" t="s">
        <v>712</v>
      </c>
      <c r="P652" s="1" t="str">
        <f t="shared" si="36"/>
        <v>BC Formoso2.1Inverter(MBUS-1)46009,87546009,87546010,3055555556</v>
      </c>
      <c r="Q652" s="1" t="str">
        <f t="shared" si="37"/>
        <v>DAURDE</v>
      </c>
    </row>
    <row r="653" spans="2:17" hidden="1">
      <c r="B653" s="1" t="s">
        <v>424</v>
      </c>
      <c r="C653" s="1" t="s">
        <v>358</v>
      </c>
      <c r="D653" s="52">
        <v>46009.875</v>
      </c>
      <c r="E653" s="52">
        <v>46009.875</v>
      </c>
      <c r="F653" s="52">
        <v>46010.305555555555</v>
      </c>
      <c r="G653" s="53">
        <f t="shared" si="35"/>
        <v>0.43055555555474712</v>
      </c>
      <c r="H653" s="1" t="s">
        <v>248</v>
      </c>
      <c r="J653" s="1" t="s">
        <v>249</v>
      </c>
      <c r="K653" s="1" t="str">
        <f>_xlfn.XLOOKUP(J653,REF!$D$2:$D$12,REF!$E$2:$E$12)</f>
        <v>Rede</v>
      </c>
      <c r="L653" s="1" t="s">
        <v>745</v>
      </c>
      <c r="M653" s="1" t="s">
        <v>251</v>
      </c>
      <c r="N653" s="1" t="s">
        <v>252</v>
      </c>
      <c r="O653" s="1" t="s">
        <v>712</v>
      </c>
      <c r="P653" s="1" t="str">
        <f t="shared" si="36"/>
        <v>BC Formoso2.2Inverter(MBUS-14)46009,87546009,87546010,3055555556</v>
      </c>
      <c r="Q653" s="1" t="str">
        <f t="shared" si="37"/>
        <v>DAURDE</v>
      </c>
    </row>
    <row r="654" spans="2:17" hidden="1">
      <c r="B654" s="1" t="s">
        <v>424</v>
      </c>
      <c r="C654" s="1" t="s">
        <v>357</v>
      </c>
      <c r="D654" s="52">
        <v>46009.875</v>
      </c>
      <c r="E654" s="52">
        <v>46009.875</v>
      </c>
      <c r="F654" s="52">
        <v>46010.305555555555</v>
      </c>
      <c r="G654" s="53">
        <f t="shared" si="35"/>
        <v>0.43055555555474712</v>
      </c>
      <c r="H654" s="1" t="s">
        <v>248</v>
      </c>
      <c r="J654" s="1" t="s">
        <v>249</v>
      </c>
      <c r="K654" s="1" t="str">
        <f>_xlfn.XLOOKUP(J654,REF!$D$2:$D$12,REF!$E$2:$E$12)</f>
        <v>Rede</v>
      </c>
      <c r="L654" s="1" t="s">
        <v>745</v>
      </c>
      <c r="M654" s="1" t="s">
        <v>251</v>
      </c>
      <c r="N654" s="1" t="s">
        <v>252</v>
      </c>
      <c r="O654" s="1" t="s">
        <v>712</v>
      </c>
      <c r="P654" s="1" t="str">
        <f t="shared" si="36"/>
        <v>BC Formoso2.2Inverter(MBUS-13)46009,87546009,87546010,3055555556</v>
      </c>
      <c r="Q654" s="1" t="str">
        <f t="shared" si="37"/>
        <v>DAURDE</v>
      </c>
    </row>
    <row r="655" spans="2:17" hidden="1">
      <c r="B655" s="1" t="s">
        <v>424</v>
      </c>
      <c r="C655" s="1" t="s">
        <v>354</v>
      </c>
      <c r="D655" s="52">
        <v>46009.875</v>
      </c>
      <c r="E655" s="52">
        <v>46009.875</v>
      </c>
      <c r="F655" s="52">
        <v>46010.305555555555</v>
      </c>
      <c r="G655" s="53">
        <f t="shared" si="35"/>
        <v>0.43055555555474712</v>
      </c>
      <c r="H655" s="1" t="s">
        <v>248</v>
      </c>
      <c r="J655" s="1" t="s">
        <v>249</v>
      </c>
      <c r="K655" s="1" t="str">
        <f>_xlfn.XLOOKUP(J655,REF!$D$2:$D$12,REF!$E$2:$E$12)</f>
        <v>Rede</v>
      </c>
      <c r="L655" s="1" t="s">
        <v>745</v>
      </c>
      <c r="M655" s="1" t="s">
        <v>251</v>
      </c>
      <c r="N655" s="1" t="s">
        <v>252</v>
      </c>
      <c r="O655" s="1" t="s">
        <v>712</v>
      </c>
      <c r="P655" s="1" t="str">
        <f t="shared" si="36"/>
        <v>BC Formoso2.2Inverter(MBUS-12)46009,87546009,87546010,3055555556</v>
      </c>
      <c r="Q655" s="1" t="str">
        <f t="shared" si="37"/>
        <v>DAURDE</v>
      </c>
    </row>
    <row r="656" spans="2:17" hidden="1">
      <c r="B656" s="1" t="s">
        <v>424</v>
      </c>
      <c r="C656" s="1" t="s">
        <v>328</v>
      </c>
      <c r="D656" s="52">
        <v>46009.875</v>
      </c>
      <c r="E656" s="52">
        <v>46009.875</v>
      </c>
      <c r="F656" s="52">
        <v>46010.305555555555</v>
      </c>
      <c r="G656" s="53">
        <f t="shared" si="35"/>
        <v>0.43055555555474712</v>
      </c>
      <c r="H656" s="1" t="s">
        <v>248</v>
      </c>
      <c r="J656" s="1" t="s">
        <v>249</v>
      </c>
      <c r="K656" s="1" t="str">
        <f>_xlfn.XLOOKUP(J656,REF!$D$2:$D$12,REF!$E$2:$E$12)</f>
        <v>Rede</v>
      </c>
      <c r="L656" s="1" t="s">
        <v>745</v>
      </c>
      <c r="M656" s="1" t="s">
        <v>251</v>
      </c>
      <c r="N656" s="1" t="s">
        <v>252</v>
      </c>
      <c r="O656" s="1" t="s">
        <v>712</v>
      </c>
      <c r="P656" s="1" t="str">
        <f t="shared" si="36"/>
        <v>BC Formoso2.2Inverter(MBUS-1)46009,87546009,87546010,3055555556</v>
      </c>
      <c r="Q656" s="1" t="str">
        <f t="shared" si="37"/>
        <v>DAURDE</v>
      </c>
    </row>
    <row r="657" spans="2:17" hidden="1">
      <c r="B657" s="1" t="s">
        <v>425</v>
      </c>
      <c r="C657" s="1" t="s">
        <v>357</v>
      </c>
      <c r="D657" s="52">
        <v>46009.875</v>
      </c>
      <c r="E657" s="52">
        <v>46009.875</v>
      </c>
      <c r="F657" s="52">
        <v>46010.305555555555</v>
      </c>
      <c r="G657" s="53">
        <f t="shared" si="35"/>
        <v>0.43055555555474712</v>
      </c>
      <c r="H657" s="1" t="s">
        <v>248</v>
      </c>
      <c r="J657" s="1" t="s">
        <v>249</v>
      </c>
      <c r="K657" s="1" t="str">
        <f>_xlfn.XLOOKUP(J657,REF!$D$2:$D$12,REF!$E$2:$E$12)</f>
        <v>Rede</v>
      </c>
      <c r="L657" s="1" t="s">
        <v>745</v>
      </c>
      <c r="M657" s="1" t="s">
        <v>251</v>
      </c>
      <c r="N657" s="1" t="s">
        <v>252</v>
      </c>
      <c r="O657" s="1" t="s">
        <v>712</v>
      </c>
      <c r="P657" s="1" t="str">
        <f t="shared" si="36"/>
        <v>BC Formoso2.3Inverter(MBUS-13)46009,87546009,87546010,3055555556</v>
      </c>
      <c r="Q657" s="1" t="str">
        <f t="shared" si="37"/>
        <v>DAURDE</v>
      </c>
    </row>
    <row r="658" spans="2:17" hidden="1">
      <c r="B658" s="1" t="s">
        <v>425</v>
      </c>
      <c r="C658" s="1" t="s">
        <v>354</v>
      </c>
      <c r="D658" s="52">
        <v>46009.875</v>
      </c>
      <c r="E658" s="52">
        <v>46009.875</v>
      </c>
      <c r="F658" s="52">
        <v>46010.305555555555</v>
      </c>
      <c r="G658" s="53">
        <f t="shared" si="35"/>
        <v>0.43055555555474712</v>
      </c>
      <c r="H658" s="1" t="s">
        <v>248</v>
      </c>
      <c r="J658" s="1" t="s">
        <v>249</v>
      </c>
      <c r="K658" s="1" t="str">
        <f>_xlfn.XLOOKUP(J658,REF!$D$2:$D$12,REF!$E$2:$E$12)</f>
        <v>Rede</v>
      </c>
      <c r="L658" s="1" t="s">
        <v>745</v>
      </c>
      <c r="M658" s="1" t="s">
        <v>251</v>
      </c>
      <c r="N658" s="1" t="s">
        <v>252</v>
      </c>
      <c r="O658" s="1" t="s">
        <v>712</v>
      </c>
      <c r="P658" s="1" t="str">
        <f t="shared" si="36"/>
        <v>BC Formoso2.3Inverter(MBUS-12)46009,87546009,87546010,3055555556</v>
      </c>
      <c r="Q658" s="1" t="str">
        <f t="shared" si="37"/>
        <v>DAURDE</v>
      </c>
    </row>
    <row r="659" spans="2:17" hidden="1">
      <c r="B659" s="1" t="s">
        <v>353</v>
      </c>
      <c r="C659" s="1" t="s">
        <v>354</v>
      </c>
      <c r="D659" s="52">
        <v>46010.655555555553</v>
      </c>
      <c r="E659" s="52">
        <v>46010.655555555553</v>
      </c>
      <c r="F659" s="52">
        <v>46010.686805555553</v>
      </c>
      <c r="G659" s="53">
        <f t="shared" si="35"/>
        <v>3.125E-2</v>
      </c>
      <c r="H659" s="1" t="s">
        <v>248</v>
      </c>
      <c r="J659" s="1" t="s">
        <v>249</v>
      </c>
      <c r="K659" s="1" t="str">
        <f>_xlfn.XLOOKUP(J659,REF!$D$2:$D$12,REF!$E$2:$E$12)</f>
        <v>Rede</v>
      </c>
      <c r="L659" s="1" t="s">
        <v>802</v>
      </c>
      <c r="M659" s="1" t="s">
        <v>251</v>
      </c>
      <c r="N659" s="1" t="s">
        <v>252</v>
      </c>
      <c r="O659" s="1" t="s">
        <v>712</v>
      </c>
      <c r="P659" s="1" t="str">
        <f t="shared" si="36"/>
        <v>ARAGUATINS 1.1Inverter(MBUS-12)46010,655555555646010,655555555646010,6868055556</v>
      </c>
      <c r="Q659" s="1" t="str">
        <f t="shared" si="37"/>
        <v>DAURDE</v>
      </c>
    </row>
    <row r="660" spans="2:17" hidden="1">
      <c r="B660" s="1" t="s">
        <v>353</v>
      </c>
      <c r="C660" s="1" t="s">
        <v>357</v>
      </c>
      <c r="D660" s="52">
        <v>46010.655555555553</v>
      </c>
      <c r="E660" s="52">
        <v>46010.655555555553</v>
      </c>
      <c r="F660" s="52">
        <v>46010.686805555553</v>
      </c>
      <c r="G660" s="53">
        <f t="shared" si="35"/>
        <v>3.125E-2</v>
      </c>
      <c r="H660" s="1" t="s">
        <v>248</v>
      </c>
      <c r="J660" s="1" t="s">
        <v>249</v>
      </c>
      <c r="K660" s="1" t="str">
        <f>_xlfn.XLOOKUP(J660,REF!$D$2:$D$12,REF!$E$2:$E$12)</f>
        <v>Rede</v>
      </c>
      <c r="L660" s="1" t="s">
        <v>802</v>
      </c>
      <c r="M660" s="1" t="s">
        <v>251</v>
      </c>
      <c r="N660" s="1" t="s">
        <v>252</v>
      </c>
      <c r="O660" s="1" t="s">
        <v>712</v>
      </c>
      <c r="P660" s="1" t="str">
        <f t="shared" si="36"/>
        <v>ARAGUATINS 1.1Inverter(MBUS-13)46010,655555555646010,655555555646010,6868055556</v>
      </c>
      <c r="Q660" s="1" t="str">
        <f t="shared" si="37"/>
        <v>DAURDE</v>
      </c>
    </row>
    <row r="661" spans="2:17" hidden="1">
      <c r="B661" s="1" t="s">
        <v>353</v>
      </c>
      <c r="C661" s="1" t="s">
        <v>358</v>
      </c>
      <c r="D661" s="52">
        <v>46010.655555555553</v>
      </c>
      <c r="E661" s="52">
        <v>46010.655555555553</v>
      </c>
      <c r="F661" s="52">
        <v>46010.686805555553</v>
      </c>
      <c r="G661" s="53">
        <f t="shared" si="35"/>
        <v>3.125E-2</v>
      </c>
      <c r="H661" s="1" t="s">
        <v>248</v>
      </c>
      <c r="J661" s="1" t="s">
        <v>249</v>
      </c>
      <c r="K661" s="1" t="str">
        <f>_xlfn.XLOOKUP(J661,REF!$D$2:$D$12,REF!$E$2:$E$12)</f>
        <v>Rede</v>
      </c>
      <c r="L661" s="1" t="s">
        <v>802</v>
      </c>
      <c r="M661" s="1" t="s">
        <v>251</v>
      </c>
      <c r="N661" s="1" t="s">
        <v>252</v>
      </c>
      <c r="O661" s="1" t="s">
        <v>712</v>
      </c>
      <c r="P661" s="1" t="str">
        <f t="shared" si="36"/>
        <v>ARAGUATINS 1.1Inverter(MBUS-14)46010,655555555646010,655555555646010,6868055556</v>
      </c>
      <c r="Q661" s="1" t="str">
        <f t="shared" si="37"/>
        <v>DAURDE</v>
      </c>
    </row>
    <row r="662" spans="2:17" hidden="1">
      <c r="B662" s="1" t="s">
        <v>353</v>
      </c>
      <c r="C662" s="1" t="s">
        <v>359</v>
      </c>
      <c r="D662" s="52">
        <v>46010.655555555553</v>
      </c>
      <c r="E662" s="52">
        <v>46010.655555555553</v>
      </c>
      <c r="F662" s="52">
        <v>46010.686805555553</v>
      </c>
      <c r="G662" s="53">
        <f t="shared" si="35"/>
        <v>3.125E-2</v>
      </c>
      <c r="H662" s="1" t="s">
        <v>248</v>
      </c>
      <c r="J662" s="1" t="s">
        <v>249</v>
      </c>
      <c r="K662" s="1" t="str">
        <f>_xlfn.XLOOKUP(J662,REF!$D$2:$D$12,REF!$E$2:$E$12)</f>
        <v>Rede</v>
      </c>
      <c r="L662" s="1" t="s">
        <v>802</v>
      </c>
      <c r="M662" s="1" t="s">
        <v>251</v>
      </c>
      <c r="N662" s="1" t="s">
        <v>252</v>
      </c>
      <c r="O662" s="1" t="s">
        <v>712</v>
      </c>
      <c r="P662" s="1" t="str">
        <f t="shared" si="36"/>
        <v>ARAGUATINS 1.1Inverter(MBUS-15)46010,655555555646010,655555555646010,6868055556</v>
      </c>
      <c r="Q662" s="1" t="str">
        <f t="shared" si="37"/>
        <v>DAURDE</v>
      </c>
    </row>
    <row r="663" spans="2:17" hidden="1">
      <c r="B663" s="1" t="s">
        <v>360</v>
      </c>
      <c r="C663" s="1" t="s">
        <v>354</v>
      </c>
      <c r="D663" s="52">
        <v>46010.655555555553</v>
      </c>
      <c r="E663" s="52">
        <v>46010.655555555553</v>
      </c>
      <c r="F663" s="52">
        <v>46010.686805555553</v>
      </c>
      <c r="G663" s="53">
        <f t="shared" si="35"/>
        <v>3.125E-2</v>
      </c>
      <c r="H663" s="1" t="s">
        <v>248</v>
      </c>
      <c r="J663" s="1" t="s">
        <v>249</v>
      </c>
      <c r="K663" s="1" t="str">
        <f>_xlfn.XLOOKUP(J663,REF!$D$2:$D$12,REF!$E$2:$E$12)</f>
        <v>Rede</v>
      </c>
      <c r="L663" s="1" t="s">
        <v>802</v>
      </c>
      <c r="M663" s="1" t="s">
        <v>251</v>
      </c>
      <c r="N663" s="1" t="s">
        <v>252</v>
      </c>
      <c r="O663" s="1" t="s">
        <v>712</v>
      </c>
      <c r="P663" s="1" t="str">
        <f t="shared" si="36"/>
        <v>ARAGUATINS 1.2Inverter(MBUS-12)46010,655555555646010,655555555646010,6868055556</v>
      </c>
      <c r="Q663" s="1" t="str">
        <f t="shared" si="37"/>
        <v>DAURDE</v>
      </c>
    </row>
    <row r="664" spans="2:17" hidden="1">
      <c r="B664" s="1" t="s">
        <v>360</v>
      </c>
      <c r="C664" s="1" t="s">
        <v>357</v>
      </c>
      <c r="D664" s="52">
        <v>46010.655555555553</v>
      </c>
      <c r="E664" s="52">
        <v>46010.655555555553</v>
      </c>
      <c r="F664" s="52">
        <v>46010.686805555553</v>
      </c>
      <c r="G664" s="53">
        <f t="shared" si="35"/>
        <v>3.125E-2</v>
      </c>
      <c r="H664" s="1" t="s">
        <v>248</v>
      </c>
      <c r="J664" s="1" t="s">
        <v>249</v>
      </c>
      <c r="K664" s="1" t="str">
        <f>_xlfn.XLOOKUP(J664,REF!$D$2:$D$12,REF!$E$2:$E$12)</f>
        <v>Rede</v>
      </c>
      <c r="L664" s="1" t="s">
        <v>802</v>
      </c>
      <c r="M664" s="1" t="s">
        <v>251</v>
      </c>
      <c r="N664" s="1" t="s">
        <v>252</v>
      </c>
      <c r="O664" s="1" t="s">
        <v>712</v>
      </c>
      <c r="P664" s="1" t="str">
        <f t="shared" si="36"/>
        <v>ARAGUATINS 1.2Inverter(MBUS-13)46010,655555555646010,655555555646010,6868055556</v>
      </c>
      <c r="Q664" s="1" t="str">
        <f t="shared" si="37"/>
        <v>DAURDE</v>
      </c>
    </row>
    <row r="665" spans="2:17" hidden="1">
      <c r="B665" s="1" t="s">
        <v>360</v>
      </c>
      <c r="C665" s="1" t="s">
        <v>358</v>
      </c>
      <c r="D665" s="52">
        <v>46010.655555555553</v>
      </c>
      <c r="E665" s="52">
        <v>46010.655555555553</v>
      </c>
      <c r="F665" s="52">
        <v>46010.686805555553</v>
      </c>
      <c r="G665" s="53">
        <f t="shared" si="35"/>
        <v>3.125E-2</v>
      </c>
      <c r="H665" s="1" t="s">
        <v>248</v>
      </c>
      <c r="J665" s="1" t="s">
        <v>249</v>
      </c>
      <c r="K665" s="1" t="str">
        <f>_xlfn.XLOOKUP(J665,REF!$D$2:$D$12,REF!$E$2:$E$12)</f>
        <v>Rede</v>
      </c>
      <c r="L665" s="1" t="s">
        <v>802</v>
      </c>
      <c r="M665" s="1" t="s">
        <v>251</v>
      </c>
      <c r="N665" s="1" t="s">
        <v>252</v>
      </c>
      <c r="O665" s="1" t="s">
        <v>712</v>
      </c>
      <c r="P665" s="1" t="str">
        <f t="shared" si="36"/>
        <v>ARAGUATINS 1.2Inverter(MBUS-14)46010,655555555646010,655555555646010,6868055556</v>
      </c>
      <c r="Q665" s="1" t="str">
        <f t="shared" si="37"/>
        <v>DAURDE</v>
      </c>
    </row>
    <row r="666" spans="2:17" hidden="1">
      <c r="B666" s="1" t="s">
        <v>360</v>
      </c>
      <c r="C666" s="1" t="s">
        <v>359</v>
      </c>
      <c r="D666" s="52">
        <v>46010.655555555553</v>
      </c>
      <c r="E666" s="52">
        <v>46010.655555555553</v>
      </c>
      <c r="F666" s="52">
        <v>46010.686805555553</v>
      </c>
      <c r="G666" s="53">
        <f t="shared" si="35"/>
        <v>3.125E-2</v>
      </c>
      <c r="H666" s="1" t="s">
        <v>248</v>
      </c>
      <c r="J666" s="1" t="s">
        <v>249</v>
      </c>
      <c r="K666" s="1" t="str">
        <f>_xlfn.XLOOKUP(J666,REF!$D$2:$D$12,REF!$E$2:$E$12)</f>
        <v>Rede</v>
      </c>
      <c r="L666" s="1" t="s">
        <v>802</v>
      </c>
      <c r="M666" s="1" t="s">
        <v>251</v>
      </c>
      <c r="N666" s="1" t="s">
        <v>252</v>
      </c>
      <c r="O666" s="1" t="s">
        <v>712</v>
      </c>
      <c r="P666" s="1" t="str">
        <f t="shared" si="36"/>
        <v>ARAGUATINS 1.2Inverter(MBUS-15)46010,655555555646010,655555555646010,6868055556</v>
      </c>
      <c r="Q666" s="1" t="str">
        <f t="shared" si="37"/>
        <v>DAURDE</v>
      </c>
    </row>
    <row r="667" spans="2:17" hidden="1">
      <c r="B667" s="1" t="s">
        <v>361</v>
      </c>
      <c r="C667" s="1" t="s">
        <v>362</v>
      </c>
      <c r="D667" s="52">
        <v>46010.655555555553</v>
      </c>
      <c r="E667" s="52">
        <v>46010.655555555553</v>
      </c>
      <c r="F667" s="52">
        <v>46010.686805555553</v>
      </c>
      <c r="G667" s="53">
        <f t="shared" si="35"/>
        <v>3.125E-2</v>
      </c>
      <c r="H667" s="1" t="s">
        <v>248</v>
      </c>
      <c r="J667" s="1" t="s">
        <v>249</v>
      </c>
      <c r="K667" s="1" t="str">
        <f>_xlfn.XLOOKUP(J667,REF!$D$2:$D$12,REF!$E$2:$E$12)</f>
        <v>Rede</v>
      </c>
      <c r="L667" s="1" t="s">
        <v>802</v>
      </c>
      <c r="M667" s="1" t="s">
        <v>251</v>
      </c>
      <c r="N667" s="1" t="s">
        <v>252</v>
      </c>
      <c r="O667" s="1" t="s">
        <v>712</v>
      </c>
      <c r="P667" s="1" t="str">
        <f t="shared" si="36"/>
        <v>ARAGUATINS 1.3Inverter(MBUS-20)46010,655555555646010,655555555646010,6868055556</v>
      </c>
      <c r="Q667" s="1" t="str">
        <f t="shared" si="37"/>
        <v>DAURDE</v>
      </c>
    </row>
    <row r="668" spans="2:17" hidden="1">
      <c r="B668" s="1" t="s">
        <v>361</v>
      </c>
      <c r="C668" s="1" t="s">
        <v>328</v>
      </c>
      <c r="D668" s="52">
        <v>46010.655555555553</v>
      </c>
      <c r="E668" s="52">
        <v>46010.655555555553</v>
      </c>
      <c r="F668" s="52">
        <v>46010.686805555553</v>
      </c>
      <c r="G668" s="53">
        <f t="shared" si="35"/>
        <v>3.125E-2</v>
      </c>
      <c r="H668" s="1" t="s">
        <v>248</v>
      </c>
      <c r="J668" s="1" t="s">
        <v>249</v>
      </c>
      <c r="K668" s="1" t="str">
        <f>_xlfn.XLOOKUP(J668,REF!$D$2:$D$12,REF!$E$2:$E$12)</f>
        <v>Rede</v>
      </c>
      <c r="L668" s="1" t="s">
        <v>802</v>
      </c>
      <c r="M668" s="1" t="s">
        <v>251</v>
      </c>
      <c r="N668" s="1" t="s">
        <v>252</v>
      </c>
      <c r="O668" s="1" t="s">
        <v>712</v>
      </c>
      <c r="P668" s="1" t="str">
        <f t="shared" si="36"/>
        <v>ARAGUATINS 1.3Inverter(MBUS-1)46010,655555555646010,655555555646010,6868055556</v>
      </c>
      <c r="Q668" s="1" t="str">
        <f t="shared" si="37"/>
        <v>DAURDE</v>
      </c>
    </row>
    <row r="669" spans="2:17" hidden="1">
      <c r="B669" s="1" t="s">
        <v>363</v>
      </c>
      <c r="C669" s="1" t="s">
        <v>354</v>
      </c>
      <c r="D669" s="52">
        <v>46010.655555555553</v>
      </c>
      <c r="E669" s="52">
        <v>46010.655555555553</v>
      </c>
      <c r="F669" s="52">
        <v>46010.686805555553</v>
      </c>
      <c r="G669" s="53">
        <f t="shared" si="35"/>
        <v>3.125E-2</v>
      </c>
      <c r="H669" s="1" t="s">
        <v>248</v>
      </c>
      <c r="J669" s="1" t="s">
        <v>249</v>
      </c>
      <c r="K669" s="1" t="str">
        <f>_xlfn.XLOOKUP(J669,REF!$D$2:$D$12,REF!$E$2:$E$12)</f>
        <v>Rede</v>
      </c>
      <c r="L669" s="1" t="s">
        <v>802</v>
      </c>
      <c r="M669" s="1" t="s">
        <v>251</v>
      </c>
      <c r="N669" s="1" t="s">
        <v>252</v>
      </c>
      <c r="O669" s="1" t="s">
        <v>712</v>
      </c>
      <c r="P669" s="1" t="str">
        <f t="shared" si="36"/>
        <v>ARAGUATINS 2.1Inverter(MBUS-12)46010,655555555646010,655555555646010,6868055556</v>
      </c>
      <c r="Q669" s="1" t="str">
        <f t="shared" si="37"/>
        <v>DAURDE</v>
      </c>
    </row>
    <row r="670" spans="2:17" hidden="1">
      <c r="B670" s="1" t="s">
        <v>363</v>
      </c>
      <c r="C670" s="1" t="s">
        <v>359</v>
      </c>
      <c r="D670" s="52">
        <v>46010.655555555553</v>
      </c>
      <c r="E670" s="52">
        <v>46010.655555555553</v>
      </c>
      <c r="F670" s="52">
        <v>46010.686805555553</v>
      </c>
      <c r="G670" s="53">
        <f t="shared" si="35"/>
        <v>3.125E-2</v>
      </c>
      <c r="H670" s="1" t="s">
        <v>248</v>
      </c>
      <c r="J670" s="1" t="s">
        <v>249</v>
      </c>
      <c r="K670" s="1" t="str">
        <f>_xlfn.XLOOKUP(J670,REF!$D$2:$D$12,REF!$E$2:$E$12)</f>
        <v>Rede</v>
      </c>
      <c r="L670" s="1" t="s">
        <v>802</v>
      </c>
      <c r="M670" s="1" t="s">
        <v>251</v>
      </c>
      <c r="N670" s="1" t="s">
        <v>252</v>
      </c>
      <c r="O670" s="1" t="s">
        <v>712</v>
      </c>
      <c r="P670" s="1" t="str">
        <f t="shared" si="36"/>
        <v>ARAGUATINS 2.1Inverter(MBUS-15)46010,655555555646010,655555555646010,6868055556</v>
      </c>
      <c r="Q670" s="1" t="str">
        <f t="shared" si="37"/>
        <v>DAURDE</v>
      </c>
    </row>
    <row r="671" spans="2:17" hidden="1">
      <c r="B671" s="1" t="s">
        <v>363</v>
      </c>
      <c r="C671" s="1" t="s">
        <v>358</v>
      </c>
      <c r="D671" s="52">
        <v>46010.655555555553</v>
      </c>
      <c r="E671" s="52">
        <v>46010.655555555553</v>
      </c>
      <c r="F671" s="52">
        <v>46010.686805555553</v>
      </c>
      <c r="G671" s="53">
        <f t="shared" si="35"/>
        <v>3.125E-2</v>
      </c>
      <c r="H671" s="1" t="s">
        <v>248</v>
      </c>
      <c r="J671" s="1" t="s">
        <v>249</v>
      </c>
      <c r="K671" s="1" t="str">
        <f>_xlfn.XLOOKUP(J671,REF!$D$2:$D$12,REF!$E$2:$E$12)</f>
        <v>Rede</v>
      </c>
      <c r="L671" s="1" t="s">
        <v>802</v>
      </c>
      <c r="M671" s="1" t="s">
        <v>251</v>
      </c>
      <c r="N671" s="1" t="s">
        <v>252</v>
      </c>
      <c r="O671" s="1" t="s">
        <v>712</v>
      </c>
      <c r="P671" s="1" t="str">
        <f t="shared" si="36"/>
        <v>ARAGUATINS 2.1Inverter(MBUS-14)46010,655555555646010,655555555646010,6868055556</v>
      </c>
      <c r="Q671" s="1" t="str">
        <f t="shared" si="37"/>
        <v>DAURDE</v>
      </c>
    </row>
    <row r="672" spans="2:17" hidden="1">
      <c r="B672" s="1" t="s">
        <v>363</v>
      </c>
      <c r="C672" s="1" t="s">
        <v>328</v>
      </c>
      <c r="D672" s="52">
        <v>46010.655555555553</v>
      </c>
      <c r="E672" s="52">
        <v>46010.655555555553</v>
      </c>
      <c r="F672" s="52">
        <v>46010.686805555553</v>
      </c>
      <c r="G672" s="53">
        <f t="shared" si="35"/>
        <v>3.125E-2</v>
      </c>
      <c r="H672" s="1" t="s">
        <v>248</v>
      </c>
      <c r="J672" s="1" t="s">
        <v>249</v>
      </c>
      <c r="K672" s="1" t="str">
        <f>_xlfn.XLOOKUP(J672,REF!$D$2:$D$12,REF!$E$2:$E$12)</f>
        <v>Rede</v>
      </c>
      <c r="L672" s="1" t="s">
        <v>802</v>
      </c>
      <c r="M672" s="1" t="s">
        <v>251</v>
      </c>
      <c r="N672" s="1" t="s">
        <v>252</v>
      </c>
      <c r="O672" s="1" t="s">
        <v>712</v>
      </c>
      <c r="P672" s="1" t="str">
        <f t="shared" si="36"/>
        <v>ARAGUATINS 2.1Inverter(MBUS-1)46010,655555555646010,655555555646010,6868055556</v>
      </c>
      <c r="Q672" s="1" t="str">
        <f t="shared" si="37"/>
        <v>DAURDE</v>
      </c>
    </row>
    <row r="673" spans="2:17" hidden="1">
      <c r="B673" s="1" t="s">
        <v>369</v>
      </c>
      <c r="C673" s="1" t="s">
        <v>359</v>
      </c>
      <c r="D673" s="52">
        <v>46010.655555555553</v>
      </c>
      <c r="E673" s="52">
        <v>46010.655555555553</v>
      </c>
      <c r="F673" s="52">
        <v>46010.686805555553</v>
      </c>
      <c r="G673" s="53">
        <f t="shared" si="35"/>
        <v>3.125E-2</v>
      </c>
      <c r="H673" s="1" t="s">
        <v>248</v>
      </c>
      <c r="J673" s="1" t="s">
        <v>249</v>
      </c>
      <c r="K673" s="1" t="str">
        <f>_xlfn.XLOOKUP(J673,REF!$D$2:$D$12,REF!$E$2:$E$12)</f>
        <v>Rede</v>
      </c>
      <c r="L673" s="1" t="s">
        <v>802</v>
      </c>
      <c r="M673" s="1" t="s">
        <v>251</v>
      </c>
      <c r="N673" s="1" t="s">
        <v>252</v>
      </c>
      <c r="O673" s="1" t="s">
        <v>712</v>
      </c>
      <c r="P673" s="1" t="str">
        <f t="shared" si="36"/>
        <v>ARAGUATINS 2.2Inverter(MBUS-15)46010,655555555646010,655555555646010,6868055556</v>
      </c>
      <c r="Q673" s="1" t="str">
        <f t="shared" si="37"/>
        <v>DAURDE</v>
      </c>
    </row>
    <row r="674" spans="2:17" hidden="1">
      <c r="B674" s="1" t="s">
        <v>369</v>
      </c>
      <c r="C674" s="1" t="s">
        <v>357</v>
      </c>
      <c r="D674" s="52">
        <v>46010.655555555553</v>
      </c>
      <c r="E674" s="52">
        <v>46010.655555555553</v>
      </c>
      <c r="F674" s="52">
        <v>46010.686805555553</v>
      </c>
      <c r="G674" s="53">
        <f t="shared" si="35"/>
        <v>3.125E-2</v>
      </c>
      <c r="H674" s="1" t="s">
        <v>248</v>
      </c>
      <c r="J674" s="1" t="s">
        <v>249</v>
      </c>
      <c r="K674" s="1" t="str">
        <f>_xlfn.XLOOKUP(J674,REF!$D$2:$D$12,REF!$E$2:$E$12)</f>
        <v>Rede</v>
      </c>
      <c r="L674" s="1" t="s">
        <v>802</v>
      </c>
      <c r="M674" s="1" t="s">
        <v>251</v>
      </c>
      <c r="N674" s="1" t="s">
        <v>252</v>
      </c>
      <c r="O674" s="1" t="s">
        <v>712</v>
      </c>
      <c r="P674" s="1" t="str">
        <f t="shared" si="36"/>
        <v>ARAGUATINS 2.2Inverter(MBUS-13)46010,655555555646010,655555555646010,6868055556</v>
      </c>
      <c r="Q674" s="1" t="str">
        <f t="shared" si="37"/>
        <v>DAURDE</v>
      </c>
    </row>
    <row r="675" spans="2:17" hidden="1">
      <c r="B675" s="1" t="s">
        <v>369</v>
      </c>
      <c r="C675" s="1" t="s">
        <v>358</v>
      </c>
      <c r="D675" s="52">
        <v>46010.655555555553</v>
      </c>
      <c r="E675" s="52">
        <v>46010.655555555553</v>
      </c>
      <c r="F675" s="52">
        <v>46010.686805555553</v>
      </c>
      <c r="G675" s="53">
        <f t="shared" si="35"/>
        <v>3.125E-2</v>
      </c>
      <c r="H675" s="1" t="s">
        <v>248</v>
      </c>
      <c r="J675" s="1" t="s">
        <v>249</v>
      </c>
      <c r="K675" s="1" t="str">
        <f>_xlfn.XLOOKUP(J675,REF!$D$2:$D$12,REF!$E$2:$E$12)</f>
        <v>Rede</v>
      </c>
      <c r="L675" s="1" t="s">
        <v>802</v>
      </c>
      <c r="M675" s="1" t="s">
        <v>251</v>
      </c>
      <c r="N675" s="1" t="s">
        <v>252</v>
      </c>
      <c r="O675" s="1" t="s">
        <v>712</v>
      </c>
      <c r="P675" s="1" t="str">
        <f t="shared" si="36"/>
        <v>ARAGUATINS 2.2Inverter(MBUS-14)46010,655555555646010,655555555646010,6868055556</v>
      </c>
      <c r="Q675" s="1" t="str">
        <f t="shared" si="37"/>
        <v>DAURDE</v>
      </c>
    </row>
    <row r="676" spans="2:17" hidden="1">
      <c r="B676" s="1" t="s">
        <v>369</v>
      </c>
      <c r="C676" s="1" t="s">
        <v>354</v>
      </c>
      <c r="D676" s="52">
        <v>46010.655555555553</v>
      </c>
      <c r="E676" s="52">
        <v>46010.655555555553</v>
      </c>
      <c r="F676" s="52">
        <v>46010.686805555553</v>
      </c>
      <c r="G676" s="53">
        <f t="shared" si="35"/>
        <v>3.125E-2</v>
      </c>
      <c r="H676" s="1" t="s">
        <v>248</v>
      </c>
      <c r="J676" s="1" t="s">
        <v>249</v>
      </c>
      <c r="K676" s="1" t="str">
        <f>_xlfn.XLOOKUP(J676,REF!$D$2:$D$12,REF!$E$2:$E$12)</f>
        <v>Rede</v>
      </c>
      <c r="L676" s="1" t="s">
        <v>802</v>
      </c>
      <c r="M676" s="1" t="s">
        <v>251</v>
      </c>
      <c r="N676" s="1" t="s">
        <v>252</v>
      </c>
      <c r="O676" s="1" t="s">
        <v>712</v>
      </c>
      <c r="P676" s="1" t="str">
        <f t="shared" si="36"/>
        <v>ARAGUATINS 2.2Inverter(MBUS-12)46010,655555555646010,655555555646010,6868055556</v>
      </c>
      <c r="Q676" s="1" t="str">
        <f t="shared" si="37"/>
        <v>DAURDE</v>
      </c>
    </row>
    <row r="677" spans="2:17" hidden="1">
      <c r="B677" s="1" t="s">
        <v>327</v>
      </c>
      <c r="C677" s="1" t="s">
        <v>328</v>
      </c>
      <c r="D677" s="52">
        <v>46005.453472222223</v>
      </c>
      <c r="E677" s="52">
        <v>46005.453472222223</v>
      </c>
      <c r="F677" s="52">
        <v>46005.612500000003</v>
      </c>
      <c r="G677" s="53">
        <f t="shared" si="35"/>
        <v>0.15902777777955635</v>
      </c>
      <c r="H677" s="1" t="s">
        <v>248</v>
      </c>
      <c r="J677" s="1" t="s">
        <v>249</v>
      </c>
      <c r="K677" s="1" t="str">
        <f>_xlfn.XLOOKUP(J677,REF!$D$2:$D$12,REF!$E$2:$E$12)</f>
        <v>Rede</v>
      </c>
      <c r="L677" s="1" t="s">
        <v>329</v>
      </c>
      <c r="M677" s="1" t="s">
        <v>251</v>
      </c>
      <c r="N677" s="1" t="s">
        <v>330</v>
      </c>
      <c r="O677" s="1" t="s">
        <v>331</v>
      </c>
      <c r="P677" s="1" t="str">
        <f t="shared" si="36"/>
        <v>BC Aracu5.1Inverter(MBUS-1)46005,453472222246005,453472222246005,6125</v>
      </c>
      <c r="Q677" s="1" t="str">
        <f t="shared" si="37"/>
        <v>DAURDE</v>
      </c>
    </row>
    <row r="678" spans="2:17" hidden="1">
      <c r="B678" s="1" t="s">
        <v>332</v>
      </c>
      <c r="C678" s="1" t="s">
        <v>328</v>
      </c>
      <c r="D678" s="52">
        <v>46005.453472222223</v>
      </c>
      <c r="E678" s="52">
        <v>46005.453472222223</v>
      </c>
      <c r="F678" s="52">
        <v>46005.612500000003</v>
      </c>
      <c r="G678" s="53">
        <f t="shared" si="35"/>
        <v>0.15902777777955635</v>
      </c>
      <c r="H678" s="1" t="s">
        <v>248</v>
      </c>
      <c r="J678" s="1" t="s">
        <v>249</v>
      </c>
      <c r="K678" s="1" t="str">
        <f>_xlfn.XLOOKUP(J678,REF!$D$2:$D$12,REF!$E$2:$E$12)</f>
        <v>Rede</v>
      </c>
      <c r="L678" s="1" t="s">
        <v>329</v>
      </c>
      <c r="M678" s="1" t="s">
        <v>251</v>
      </c>
      <c r="N678" s="1" t="s">
        <v>330</v>
      </c>
      <c r="O678" s="1" t="s">
        <v>331</v>
      </c>
      <c r="P678" s="1" t="str">
        <f t="shared" si="36"/>
        <v>BC Aracu5.2Inverter(MBUS-1)46005,453472222246005,453472222246005,6125</v>
      </c>
      <c r="Q678" s="1" t="str">
        <f t="shared" si="37"/>
        <v>DAURDE</v>
      </c>
    </row>
    <row r="679" spans="2:17" hidden="1">
      <c r="B679" s="1" t="s">
        <v>333</v>
      </c>
      <c r="C679" s="1" t="s">
        <v>328</v>
      </c>
      <c r="D679" s="52">
        <v>46005.453472222223</v>
      </c>
      <c r="E679" s="52">
        <v>46005.453472222223</v>
      </c>
      <c r="F679" s="52">
        <v>46005.612500000003</v>
      </c>
      <c r="G679" s="53">
        <f t="shared" si="35"/>
        <v>0.15902777777955635</v>
      </c>
      <c r="H679" s="1" t="s">
        <v>248</v>
      </c>
      <c r="J679" s="1" t="s">
        <v>249</v>
      </c>
      <c r="K679" s="1" t="str">
        <f>_xlfn.XLOOKUP(J679,REF!$D$2:$D$12,REF!$E$2:$E$12)</f>
        <v>Rede</v>
      </c>
      <c r="L679" s="1" t="s">
        <v>329</v>
      </c>
      <c r="M679" s="1" t="s">
        <v>251</v>
      </c>
      <c r="N679" s="1" t="s">
        <v>330</v>
      </c>
      <c r="O679" s="1" t="s">
        <v>331</v>
      </c>
      <c r="P679" s="1" t="str">
        <f t="shared" si="36"/>
        <v>BC Aracu5.3Inverter(MBUS-1)46005,453472222246005,453472222246005,6125</v>
      </c>
      <c r="Q679" s="1" t="str">
        <f t="shared" si="37"/>
        <v>DAURDE</v>
      </c>
    </row>
    <row r="680" spans="2:17" hidden="1">
      <c r="B680" s="1" t="s">
        <v>334</v>
      </c>
      <c r="C680" s="1" t="s">
        <v>328</v>
      </c>
      <c r="D680" s="52">
        <v>46005.453472222223</v>
      </c>
      <c r="E680" s="52">
        <v>46005.453472222223</v>
      </c>
      <c r="F680" s="52">
        <v>46005.612500000003</v>
      </c>
      <c r="G680" s="53">
        <f t="shared" si="35"/>
        <v>0.15902777777955635</v>
      </c>
      <c r="H680" s="1" t="s">
        <v>248</v>
      </c>
      <c r="J680" s="1" t="s">
        <v>249</v>
      </c>
      <c r="K680" s="1" t="str">
        <f>_xlfn.XLOOKUP(J680,REF!$D$2:$D$12,REF!$E$2:$E$12)</f>
        <v>Rede</v>
      </c>
      <c r="L680" s="1" t="s">
        <v>329</v>
      </c>
      <c r="M680" s="1" t="s">
        <v>251</v>
      </c>
      <c r="N680" s="1" t="s">
        <v>330</v>
      </c>
      <c r="O680" s="1" t="s">
        <v>331</v>
      </c>
      <c r="P680" s="1" t="str">
        <f t="shared" si="36"/>
        <v>BC Aracu5.4Inverter(MBUS-1)46005,453472222246005,453472222246005,6125</v>
      </c>
      <c r="Q680" s="1" t="str">
        <f t="shared" si="37"/>
        <v>DAURDE</v>
      </c>
    </row>
    <row r="681" spans="2:17" hidden="1">
      <c r="B681" s="1" t="s">
        <v>335</v>
      </c>
      <c r="C681" s="1" t="s">
        <v>328</v>
      </c>
      <c r="D681" s="52">
        <v>46005.453472222223</v>
      </c>
      <c r="E681" s="52">
        <v>46005.453472222223</v>
      </c>
      <c r="F681" s="52">
        <v>46005.612500000003</v>
      </c>
      <c r="G681" s="53">
        <f t="shared" si="35"/>
        <v>0.15902777777955635</v>
      </c>
      <c r="H681" s="1" t="s">
        <v>248</v>
      </c>
      <c r="J681" s="1" t="s">
        <v>249</v>
      </c>
      <c r="K681" s="1" t="str">
        <f>_xlfn.XLOOKUP(J681,REF!$D$2:$D$12,REF!$E$2:$E$12)</f>
        <v>Rede</v>
      </c>
      <c r="L681" s="1" t="s">
        <v>329</v>
      </c>
      <c r="M681" s="1" t="s">
        <v>251</v>
      </c>
      <c r="N681" s="1" t="s">
        <v>330</v>
      </c>
      <c r="O681" s="1" t="s">
        <v>331</v>
      </c>
      <c r="P681" s="1" t="str">
        <f t="shared" si="36"/>
        <v>BC Aracu5.5Inverter(MBUS-1)46005,453472222246005,453472222246005,6125</v>
      </c>
      <c r="Q681" s="1" t="str">
        <f t="shared" si="37"/>
        <v>DAURDE</v>
      </c>
    </row>
    <row r="682" spans="2:17" hidden="1">
      <c r="B682" s="1" t="s">
        <v>353</v>
      </c>
      <c r="C682" s="1" t="s">
        <v>354</v>
      </c>
      <c r="D682" s="52">
        <v>46007.6875</v>
      </c>
      <c r="E682" s="52">
        <v>46007.6875</v>
      </c>
      <c r="F682" s="52">
        <v>46007.71875</v>
      </c>
      <c r="G682" s="53">
        <f t="shared" si="35"/>
        <v>3.125E-2</v>
      </c>
      <c r="H682" s="1" t="s">
        <v>248</v>
      </c>
      <c r="J682" s="1" t="s">
        <v>249</v>
      </c>
      <c r="K682" s="1" t="str">
        <f>_xlfn.XLOOKUP(J682,REF!$D$2:$D$12,REF!$E$2:$E$12)</f>
        <v>Rede</v>
      </c>
      <c r="L682" s="1" t="s">
        <v>801</v>
      </c>
      <c r="M682" s="1" t="s">
        <v>251</v>
      </c>
      <c r="N682" s="1" t="s">
        <v>330</v>
      </c>
      <c r="O682" s="1" t="s">
        <v>331</v>
      </c>
      <c r="P682" s="1" t="str">
        <f t="shared" si="36"/>
        <v>ARAGUATINS 1.1Inverter(MBUS-12)46007,687546007,687546007,71875</v>
      </c>
      <c r="Q682" s="1" t="str">
        <f t="shared" si="37"/>
        <v>DAURDE</v>
      </c>
    </row>
    <row r="683" spans="2:17" hidden="1">
      <c r="B683" s="1" t="s">
        <v>353</v>
      </c>
      <c r="C683" s="1" t="s">
        <v>357</v>
      </c>
      <c r="D683" s="52">
        <v>46007.6875</v>
      </c>
      <c r="E683" s="52">
        <v>46007.6875</v>
      </c>
      <c r="F683" s="52">
        <v>46007.71875</v>
      </c>
      <c r="G683" s="53">
        <f t="shared" si="35"/>
        <v>3.125E-2</v>
      </c>
      <c r="H683" s="1" t="s">
        <v>248</v>
      </c>
      <c r="J683" s="1" t="s">
        <v>249</v>
      </c>
      <c r="K683" s="1" t="str">
        <f>_xlfn.XLOOKUP(J683,REF!$D$2:$D$12,REF!$E$2:$E$12)</f>
        <v>Rede</v>
      </c>
      <c r="L683" s="1" t="s">
        <v>801</v>
      </c>
      <c r="M683" s="1" t="s">
        <v>251</v>
      </c>
      <c r="N683" s="1" t="s">
        <v>330</v>
      </c>
      <c r="O683" s="1" t="s">
        <v>331</v>
      </c>
      <c r="P683" s="1" t="str">
        <f t="shared" si="36"/>
        <v>ARAGUATINS 1.1Inverter(MBUS-13)46007,687546007,687546007,71875</v>
      </c>
      <c r="Q683" s="1" t="str">
        <f t="shared" si="37"/>
        <v>DAURDE</v>
      </c>
    </row>
    <row r="684" spans="2:17" hidden="1">
      <c r="B684" s="1" t="s">
        <v>353</v>
      </c>
      <c r="C684" s="1" t="s">
        <v>358</v>
      </c>
      <c r="D684" s="52">
        <v>46007.6875</v>
      </c>
      <c r="E684" s="52">
        <v>46007.6875</v>
      </c>
      <c r="F684" s="52">
        <v>46007.71875</v>
      </c>
      <c r="G684" s="53">
        <f t="shared" si="35"/>
        <v>3.125E-2</v>
      </c>
      <c r="H684" s="1" t="s">
        <v>248</v>
      </c>
      <c r="J684" s="1" t="s">
        <v>249</v>
      </c>
      <c r="K684" s="1" t="str">
        <f>_xlfn.XLOOKUP(J684,REF!$D$2:$D$12,REF!$E$2:$E$12)</f>
        <v>Rede</v>
      </c>
      <c r="L684" s="1" t="s">
        <v>801</v>
      </c>
      <c r="M684" s="1" t="s">
        <v>251</v>
      </c>
      <c r="N684" s="1" t="s">
        <v>330</v>
      </c>
      <c r="O684" s="1" t="s">
        <v>331</v>
      </c>
      <c r="P684" s="1" t="str">
        <f t="shared" si="36"/>
        <v>ARAGUATINS 1.1Inverter(MBUS-14)46007,687546007,687546007,71875</v>
      </c>
      <c r="Q684" s="1" t="str">
        <f t="shared" si="37"/>
        <v>DAURDE</v>
      </c>
    </row>
    <row r="685" spans="2:17" hidden="1">
      <c r="B685" s="1" t="s">
        <v>353</v>
      </c>
      <c r="C685" s="1" t="s">
        <v>359</v>
      </c>
      <c r="D685" s="52">
        <v>46007.6875</v>
      </c>
      <c r="E685" s="52">
        <v>46007.6875</v>
      </c>
      <c r="F685" s="52">
        <v>46007.71875</v>
      </c>
      <c r="G685" s="53">
        <f t="shared" si="35"/>
        <v>3.125E-2</v>
      </c>
      <c r="H685" s="1" t="s">
        <v>248</v>
      </c>
      <c r="J685" s="1" t="s">
        <v>249</v>
      </c>
      <c r="K685" s="1" t="str">
        <f>_xlfn.XLOOKUP(J685,REF!$D$2:$D$12,REF!$E$2:$E$12)</f>
        <v>Rede</v>
      </c>
      <c r="L685" s="1" t="s">
        <v>801</v>
      </c>
      <c r="M685" s="1" t="s">
        <v>251</v>
      </c>
      <c r="N685" s="1" t="s">
        <v>330</v>
      </c>
      <c r="O685" s="1" t="s">
        <v>331</v>
      </c>
      <c r="P685" s="1" t="str">
        <f t="shared" si="36"/>
        <v>ARAGUATINS 1.1Inverter(MBUS-15)46007,687546007,687546007,71875</v>
      </c>
      <c r="Q685" s="1" t="str">
        <f t="shared" si="37"/>
        <v>DAURDE</v>
      </c>
    </row>
    <row r="686" spans="2:17" hidden="1">
      <c r="B686" s="1" t="s">
        <v>360</v>
      </c>
      <c r="C686" s="1" t="s">
        <v>354</v>
      </c>
      <c r="D686" s="52">
        <v>46007.6875</v>
      </c>
      <c r="E686" s="52">
        <v>46007.6875</v>
      </c>
      <c r="F686" s="52">
        <v>46007.71875</v>
      </c>
      <c r="G686" s="53">
        <f t="shared" si="35"/>
        <v>3.125E-2</v>
      </c>
      <c r="H686" s="1" t="s">
        <v>248</v>
      </c>
      <c r="J686" s="1" t="s">
        <v>249</v>
      </c>
      <c r="K686" s="1" t="str">
        <f>_xlfn.XLOOKUP(J686,REF!$D$2:$D$12,REF!$E$2:$E$12)</f>
        <v>Rede</v>
      </c>
      <c r="L686" s="1" t="s">
        <v>801</v>
      </c>
      <c r="M686" s="1" t="s">
        <v>251</v>
      </c>
      <c r="N686" s="1" t="s">
        <v>330</v>
      </c>
      <c r="O686" s="1" t="s">
        <v>331</v>
      </c>
      <c r="P686" s="1" t="str">
        <f t="shared" si="36"/>
        <v>ARAGUATINS 1.2Inverter(MBUS-12)46007,687546007,687546007,71875</v>
      </c>
      <c r="Q686" s="1" t="str">
        <f t="shared" si="37"/>
        <v>DAURDE</v>
      </c>
    </row>
    <row r="687" spans="2:17" hidden="1">
      <c r="B687" s="1" t="s">
        <v>360</v>
      </c>
      <c r="C687" s="1" t="s">
        <v>357</v>
      </c>
      <c r="D687" s="52">
        <v>46007.6875</v>
      </c>
      <c r="E687" s="52">
        <v>46007.6875</v>
      </c>
      <c r="F687" s="52">
        <v>46007.71875</v>
      </c>
      <c r="G687" s="53">
        <f t="shared" si="35"/>
        <v>3.125E-2</v>
      </c>
      <c r="H687" s="1" t="s">
        <v>248</v>
      </c>
      <c r="J687" s="1" t="s">
        <v>249</v>
      </c>
      <c r="K687" s="1" t="str">
        <f>_xlfn.XLOOKUP(J687,REF!$D$2:$D$12,REF!$E$2:$E$12)</f>
        <v>Rede</v>
      </c>
      <c r="L687" s="1" t="s">
        <v>801</v>
      </c>
      <c r="M687" s="1" t="s">
        <v>251</v>
      </c>
      <c r="N687" s="1" t="s">
        <v>330</v>
      </c>
      <c r="O687" s="1" t="s">
        <v>331</v>
      </c>
      <c r="P687" s="1" t="str">
        <f t="shared" si="36"/>
        <v>ARAGUATINS 1.2Inverter(MBUS-13)46007,687546007,687546007,71875</v>
      </c>
      <c r="Q687" s="1" t="str">
        <f t="shared" si="37"/>
        <v>DAURDE</v>
      </c>
    </row>
    <row r="688" spans="2:17" hidden="1">
      <c r="B688" s="1" t="s">
        <v>360</v>
      </c>
      <c r="C688" s="1" t="s">
        <v>358</v>
      </c>
      <c r="D688" s="52">
        <v>46007.6875</v>
      </c>
      <c r="E688" s="52">
        <v>46007.6875</v>
      </c>
      <c r="F688" s="52">
        <v>46007.71875</v>
      </c>
      <c r="G688" s="53">
        <f t="shared" si="35"/>
        <v>3.125E-2</v>
      </c>
      <c r="H688" s="1" t="s">
        <v>248</v>
      </c>
      <c r="J688" s="1" t="s">
        <v>249</v>
      </c>
      <c r="K688" s="1" t="str">
        <f>_xlfn.XLOOKUP(J688,REF!$D$2:$D$12,REF!$E$2:$E$12)</f>
        <v>Rede</v>
      </c>
      <c r="L688" s="1" t="s">
        <v>801</v>
      </c>
      <c r="M688" s="1" t="s">
        <v>251</v>
      </c>
      <c r="N688" s="1" t="s">
        <v>330</v>
      </c>
      <c r="O688" s="1" t="s">
        <v>331</v>
      </c>
      <c r="P688" s="1" t="str">
        <f t="shared" si="36"/>
        <v>ARAGUATINS 1.2Inverter(MBUS-14)46007,687546007,687546007,71875</v>
      </c>
      <c r="Q688" s="1" t="str">
        <f t="shared" si="37"/>
        <v>DAURDE</v>
      </c>
    </row>
    <row r="689" spans="2:17" hidden="1">
      <c r="B689" s="1" t="s">
        <v>360</v>
      </c>
      <c r="C689" s="1" t="s">
        <v>359</v>
      </c>
      <c r="D689" s="52">
        <v>46007.6875</v>
      </c>
      <c r="E689" s="52">
        <v>46007.6875</v>
      </c>
      <c r="F689" s="52">
        <v>46007.71875</v>
      </c>
      <c r="G689" s="53">
        <f t="shared" si="35"/>
        <v>3.125E-2</v>
      </c>
      <c r="H689" s="1" t="s">
        <v>248</v>
      </c>
      <c r="J689" s="1" t="s">
        <v>249</v>
      </c>
      <c r="K689" s="1" t="str">
        <f>_xlfn.XLOOKUP(J689,REF!$D$2:$D$12,REF!$E$2:$E$12)</f>
        <v>Rede</v>
      </c>
      <c r="L689" s="1" t="s">
        <v>801</v>
      </c>
      <c r="M689" s="1" t="s">
        <v>251</v>
      </c>
      <c r="N689" s="1" t="s">
        <v>330</v>
      </c>
      <c r="O689" s="1" t="s">
        <v>331</v>
      </c>
      <c r="P689" s="1" t="str">
        <f t="shared" si="36"/>
        <v>ARAGUATINS 1.2Inverter(MBUS-15)46007,687546007,687546007,71875</v>
      </c>
      <c r="Q689" s="1" t="str">
        <f t="shared" si="37"/>
        <v>DAURDE</v>
      </c>
    </row>
    <row r="690" spans="2:17" hidden="1">
      <c r="B690" s="1" t="s">
        <v>361</v>
      </c>
      <c r="C690" s="1" t="s">
        <v>362</v>
      </c>
      <c r="D690" s="52">
        <v>46007.6875</v>
      </c>
      <c r="E690" s="52">
        <v>46007.6875</v>
      </c>
      <c r="F690" s="52">
        <v>46007.71875</v>
      </c>
      <c r="G690" s="53">
        <f t="shared" si="35"/>
        <v>3.125E-2</v>
      </c>
      <c r="H690" s="1" t="s">
        <v>248</v>
      </c>
      <c r="J690" s="1" t="s">
        <v>249</v>
      </c>
      <c r="K690" s="1" t="str">
        <f>_xlfn.XLOOKUP(J690,REF!$D$2:$D$12,REF!$E$2:$E$12)</f>
        <v>Rede</v>
      </c>
      <c r="L690" s="1" t="s">
        <v>801</v>
      </c>
      <c r="M690" s="1" t="s">
        <v>251</v>
      </c>
      <c r="N690" s="1" t="s">
        <v>330</v>
      </c>
      <c r="O690" s="1" t="s">
        <v>331</v>
      </c>
      <c r="P690" s="1" t="str">
        <f t="shared" si="36"/>
        <v>ARAGUATINS 1.3Inverter(MBUS-20)46007,687546007,687546007,71875</v>
      </c>
      <c r="Q690" s="1" t="str">
        <f t="shared" si="37"/>
        <v>DAURDE</v>
      </c>
    </row>
    <row r="691" spans="2:17" hidden="1">
      <c r="B691" s="1" t="s">
        <v>361</v>
      </c>
      <c r="C691" s="1" t="s">
        <v>328</v>
      </c>
      <c r="D691" s="52">
        <v>46007.6875</v>
      </c>
      <c r="E691" s="52">
        <v>46007.6875</v>
      </c>
      <c r="F691" s="52">
        <v>46007.71875</v>
      </c>
      <c r="G691" s="53">
        <f t="shared" si="35"/>
        <v>3.125E-2</v>
      </c>
      <c r="H691" s="1" t="s">
        <v>248</v>
      </c>
      <c r="J691" s="1" t="s">
        <v>249</v>
      </c>
      <c r="K691" s="1" t="str">
        <f>_xlfn.XLOOKUP(J691,REF!$D$2:$D$12,REF!$E$2:$E$12)</f>
        <v>Rede</v>
      </c>
      <c r="L691" s="1" t="s">
        <v>801</v>
      </c>
      <c r="M691" s="1" t="s">
        <v>251</v>
      </c>
      <c r="N691" s="1" t="s">
        <v>330</v>
      </c>
      <c r="O691" s="1" t="s">
        <v>331</v>
      </c>
      <c r="P691" s="1" t="str">
        <f t="shared" si="36"/>
        <v>ARAGUATINS 1.3Inverter(MBUS-1)46007,687546007,687546007,71875</v>
      </c>
      <c r="Q691" s="1" t="str">
        <f t="shared" si="37"/>
        <v>DAURDE</v>
      </c>
    </row>
    <row r="692" spans="2:17" hidden="1">
      <c r="B692" s="1" t="s">
        <v>353</v>
      </c>
      <c r="C692" s="1" t="s">
        <v>354</v>
      </c>
      <c r="D692" s="52">
        <v>45997.531944444447</v>
      </c>
      <c r="E692" s="52">
        <v>45997.531944444447</v>
      </c>
      <c r="F692" s="52">
        <v>45997.579861111109</v>
      </c>
      <c r="G692" s="53">
        <f t="shared" si="35"/>
        <v>4.7916666662786156E-2</v>
      </c>
      <c r="H692" s="1" t="s">
        <v>248</v>
      </c>
      <c r="J692" s="1" t="s">
        <v>249</v>
      </c>
      <c r="K692" s="1" t="str">
        <f>_xlfn.XLOOKUP(J692,REF!$D$2:$D$12,REF!$E$2:$E$12)</f>
        <v>Rede</v>
      </c>
      <c r="L692" s="1" t="s">
        <v>803</v>
      </c>
      <c r="M692" s="1" t="s">
        <v>251</v>
      </c>
      <c r="N692" s="1" t="s">
        <v>330</v>
      </c>
      <c r="O692" s="1" t="s">
        <v>331</v>
      </c>
      <c r="P692" s="1" t="str">
        <f t="shared" si="36"/>
        <v>ARAGUATINS 1.1Inverter(MBUS-12)45997,531944444445997,531944444445997,5798611111</v>
      </c>
      <c r="Q692" s="1" t="str">
        <f t="shared" si="37"/>
        <v>DAURDE</v>
      </c>
    </row>
    <row r="693" spans="2:17" hidden="1">
      <c r="B693" s="1" t="s">
        <v>353</v>
      </c>
      <c r="C693" s="1" t="s">
        <v>357</v>
      </c>
      <c r="D693" s="52">
        <v>45997.531944444447</v>
      </c>
      <c r="E693" s="52">
        <v>45997.531944444447</v>
      </c>
      <c r="F693" s="52">
        <v>45997.579861111109</v>
      </c>
      <c r="G693" s="53">
        <f t="shared" si="35"/>
        <v>4.7916666662786156E-2</v>
      </c>
      <c r="H693" s="1" t="s">
        <v>248</v>
      </c>
      <c r="J693" s="1" t="s">
        <v>249</v>
      </c>
      <c r="K693" s="1" t="str">
        <f>_xlfn.XLOOKUP(J693,REF!$D$2:$D$12,REF!$E$2:$E$12)</f>
        <v>Rede</v>
      </c>
      <c r="L693" s="1" t="s">
        <v>803</v>
      </c>
      <c r="M693" s="1" t="s">
        <v>251</v>
      </c>
      <c r="N693" s="1" t="s">
        <v>330</v>
      </c>
      <c r="O693" s="1" t="s">
        <v>331</v>
      </c>
      <c r="P693" s="1" t="str">
        <f t="shared" si="36"/>
        <v>ARAGUATINS 1.1Inverter(MBUS-13)45997,531944444445997,531944444445997,5798611111</v>
      </c>
      <c r="Q693" s="1" t="str">
        <f t="shared" si="37"/>
        <v>DAURDE</v>
      </c>
    </row>
    <row r="694" spans="2:17" hidden="1">
      <c r="B694" s="1" t="s">
        <v>353</v>
      </c>
      <c r="C694" s="1" t="s">
        <v>358</v>
      </c>
      <c r="D694" s="52">
        <v>45997.531944444447</v>
      </c>
      <c r="E694" s="52">
        <v>45997.531944444447</v>
      </c>
      <c r="F694" s="52">
        <v>45997.579861111109</v>
      </c>
      <c r="G694" s="53">
        <f t="shared" si="35"/>
        <v>4.7916666662786156E-2</v>
      </c>
      <c r="H694" s="1" t="s">
        <v>248</v>
      </c>
      <c r="J694" s="1" t="s">
        <v>249</v>
      </c>
      <c r="K694" s="1" t="str">
        <f>_xlfn.XLOOKUP(J694,REF!$D$2:$D$12,REF!$E$2:$E$12)</f>
        <v>Rede</v>
      </c>
      <c r="L694" s="1" t="s">
        <v>803</v>
      </c>
      <c r="M694" s="1" t="s">
        <v>251</v>
      </c>
      <c r="N694" s="1" t="s">
        <v>330</v>
      </c>
      <c r="O694" s="1" t="s">
        <v>331</v>
      </c>
      <c r="P694" s="1" t="str">
        <f t="shared" si="36"/>
        <v>ARAGUATINS 1.1Inverter(MBUS-14)45997,531944444445997,531944444445997,5798611111</v>
      </c>
      <c r="Q694" s="1" t="str">
        <f t="shared" si="37"/>
        <v>DAURDE</v>
      </c>
    </row>
    <row r="695" spans="2:17" hidden="1">
      <c r="B695" s="1" t="s">
        <v>353</v>
      </c>
      <c r="C695" s="1" t="s">
        <v>359</v>
      </c>
      <c r="D695" s="52">
        <v>45997.531944444447</v>
      </c>
      <c r="E695" s="52">
        <v>45997.531944444447</v>
      </c>
      <c r="F695" s="52">
        <v>45997.579861111109</v>
      </c>
      <c r="G695" s="53">
        <f t="shared" si="35"/>
        <v>4.7916666662786156E-2</v>
      </c>
      <c r="H695" s="1" t="s">
        <v>248</v>
      </c>
      <c r="J695" s="1" t="s">
        <v>249</v>
      </c>
      <c r="K695" s="1" t="str">
        <f>_xlfn.XLOOKUP(J695,REF!$D$2:$D$12,REF!$E$2:$E$12)</f>
        <v>Rede</v>
      </c>
      <c r="L695" s="1" t="s">
        <v>803</v>
      </c>
      <c r="M695" s="1" t="s">
        <v>251</v>
      </c>
      <c r="N695" s="1" t="s">
        <v>330</v>
      </c>
      <c r="O695" s="1" t="s">
        <v>331</v>
      </c>
      <c r="P695" s="1" t="str">
        <f t="shared" si="36"/>
        <v>ARAGUATINS 1.1Inverter(MBUS-15)45997,531944444445997,531944444445997,5798611111</v>
      </c>
      <c r="Q695" s="1" t="str">
        <f t="shared" si="37"/>
        <v>DAURDE</v>
      </c>
    </row>
    <row r="696" spans="2:17" hidden="1">
      <c r="B696" s="1" t="s">
        <v>360</v>
      </c>
      <c r="C696" s="1" t="s">
        <v>354</v>
      </c>
      <c r="D696" s="52">
        <v>45997.531944444447</v>
      </c>
      <c r="E696" s="52">
        <v>45997.531944444447</v>
      </c>
      <c r="F696" s="52">
        <v>45997.579861111109</v>
      </c>
      <c r="G696" s="53">
        <f t="shared" si="35"/>
        <v>4.7916666662786156E-2</v>
      </c>
      <c r="H696" s="1" t="s">
        <v>248</v>
      </c>
      <c r="J696" s="1" t="s">
        <v>249</v>
      </c>
      <c r="K696" s="1" t="str">
        <f>_xlfn.XLOOKUP(J696,REF!$D$2:$D$12,REF!$E$2:$E$12)</f>
        <v>Rede</v>
      </c>
      <c r="L696" s="1" t="s">
        <v>803</v>
      </c>
      <c r="M696" s="1" t="s">
        <v>251</v>
      </c>
      <c r="N696" s="1" t="s">
        <v>330</v>
      </c>
      <c r="O696" s="1" t="s">
        <v>331</v>
      </c>
      <c r="P696" s="1" t="str">
        <f t="shared" si="36"/>
        <v>ARAGUATINS 1.2Inverter(MBUS-12)45997,531944444445997,531944444445997,5798611111</v>
      </c>
      <c r="Q696" s="1" t="str">
        <f t="shared" si="37"/>
        <v>DAURDE</v>
      </c>
    </row>
    <row r="697" spans="2:17" hidden="1">
      <c r="B697" s="1" t="s">
        <v>360</v>
      </c>
      <c r="C697" s="1" t="s">
        <v>357</v>
      </c>
      <c r="D697" s="52">
        <v>45997.531944444447</v>
      </c>
      <c r="E697" s="52">
        <v>45997.531944444447</v>
      </c>
      <c r="F697" s="52">
        <v>45997.579861111109</v>
      </c>
      <c r="G697" s="53">
        <f t="shared" si="35"/>
        <v>4.7916666662786156E-2</v>
      </c>
      <c r="H697" s="1" t="s">
        <v>248</v>
      </c>
      <c r="J697" s="1" t="s">
        <v>249</v>
      </c>
      <c r="K697" s="1" t="str">
        <f>_xlfn.XLOOKUP(J697,REF!$D$2:$D$12,REF!$E$2:$E$12)</f>
        <v>Rede</v>
      </c>
      <c r="L697" s="1" t="s">
        <v>803</v>
      </c>
      <c r="M697" s="1" t="s">
        <v>251</v>
      </c>
      <c r="N697" s="1" t="s">
        <v>330</v>
      </c>
      <c r="O697" s="1" t="s">
        <v>331</v>
      </c>
      <c r="P697" s="1" t="str">
        <f t="shared" si="36"/>
        <v>ARAGUATINS 1.2Inverter(MBUS-13)45997,531944444445997,531944444445997,5798611111</v>
      </c>
      <c r="Q697" s="1" t="str">
        <f t="shared" si="37"/>
        <v>DAURDE</v>
      </c>
    </row>
    <row r="698" spans="2:17" hidden="1">
      <c r="B698" s="1" t="s">
        <v>360</v>
      </c>
      <c r="C698" s="1" t="s">
        <v>358</v>
      </c>
      <c r="D698" s="52">
        <v>45997.531944444447</v>
      </c>
      <c r="E698" s="52">
        <v>45997.531944444447</v>
      </c>
      <c r="F698" s="52">
        <v>45997.579861111109</v>
      </c>
      <c r="G698" s="53">
        <f t="shared" si="35"/>
        <v>4.7916666662786156E-2</v>
      </c>
      <c r="H698" s="1" t="s">
        <v>248</v>
      </c>
      <c r="J698" s="1" t="s">
        <v>249</v>
      </c>
      <c r="K698" s="1" t="str">
        <f>_xlfn.XLOOKUP(J698,REF!$D$2:$D$12,REF!$E$2:$E$12)</f>
        <v>Rede</v>
      </c>
      <c r="L698" s="1" t="s">
        <v>803</v>
      </c>
      <c r="M698" s="1" t="s">
        <v>251</v>
      </c>
      <c r="N698" s="1" t="s">
        <v>330</v>
      </c>
      <c r="O698" s="1" t="s">
        <v>331</v>
      </c>
      <c r="P698" s="1" t="str">
        <f t="shared" si="36"/>
        <v>ARAGUATINS 1.2Inverter(MBUS-14)45997,531944444445997,531944444445997,5798611111</v>
      </c>
      <c r="Q698" s="1" t="str">
        <f t="shared" si="37"/>
        <v>DAURDE</v>
      </c>
    </row>
    <row r="699" spans="2:17" hidden="1">
      <c r="B699" s="1" t="s">
        <v>360</v>
      </c>
      <c r="C699" s="1" t="s">
        <v>359</v>
      </c>
      <c r="D699" s="52">
        <v>45997.531944444447</v>
      </c>
      <c r="E699" s="52">
        <v>45997.531944444447</v>
      </c>
      <c r="F699" s="52">
        <v>45997.579861111109</v>
      </c>
      <c r="G699" s="53">
        <f t="shared" si="35"/>
        <v>4.7916666662786156E-2</v>
      </c>
      <c r="H699" s="1" t="s">
        <v>248</v>
      </c>
      <c r="J699" s="1" t="s">
        <v>249</v>
      </c>
      <c r="K699" s="1" t="str">
        <f>_xlfn.XLOOKUP(J699,REF!$D$2:$D$12,REF!$E$2:$E$12)</f>
        <v>Rede</v>
      </c>
      <c r="L699" s="1" t="s">
        <v>803</v>
      </c>
      <c r="M699" s="1" t="s">
        <v>251</v>
      </c>
      <c r="N699" s="1" t="s">
        <v>330</v>
      </c>
      <c r="O699" s="1" t="s">
        <v>331</v>
      </c>
      <c r="P699" s="1" t="str">
        <f t="shared" si="36"/>
        <v>ARAGUATINS 1.2Inverter(MBUS-15)45997,531944444445997,531944444445997,5798611111</v>
      </c>
      <c r="Q699" s="1" t="str">
        <f t="shared" si="37"/>
        <v>DAURDE</v>
      </c>
    </row>
    <row r="700" spans="2:17" hidden="1">
      <c r="B700" s="1" t="s">
        <v>361</v>
      </c>
      <c r="C700" s="1" t="s">
        <v>362</v>
      </c>
      <c r="D700" s="52">
        <v>45997.531944444447</v>
      </c>
      <c r="E700" s="52">
        <v>45997.531944444447</v>
      </c>
      <c r="F700" s="52">
        <v>45997.579861111109</v>
      </c>
      <c r="G700" s="53">
        <f t="shared" ref="G700:G763" si="38">F700-E700</f>
        <v>4.7916666662786156E-2</v>
      </c>
      <c r="H700" s="1" t="s">
        <v>248</v>
      </c>
      <c r="J700" s="1" t="s">
        <v>249</v>
      </c>
      <c r="K700" s="1" t="str">
        <f>_xlfn.XLOOKUP(J700,REF!$D$2:$D$12,REF!$E$2:$E$12)</f>
        <v>Rede</v>
      </c>
      <c r="L700" s="1" t="s">
        <v>803</v>
      </c>
      <c r="M700" s="1" t="s">
        <v>251</v>
      </c>
      <c r="N700" s="1" t="s">
        <v>330</v>
      </c>
      <c r="O700" s="1" t="s">
        <v>331</v>
      </c>
      <c r="P700" s="1" t="str">
        <f t="shared" si="36"/>
        <v>ARAGUATINS 1.3Inverter(MBUS-20)45997,531944444445997,531944444445997,5798611111</v>
      </c>
      <c r="Q700" s="1" t="str">
        <f t="shared" si="37"/>
        <v>DAURDE</v>
      </c>
    </row>
    <row r="701" spans="2:17" hidden="1">
      <c r="B701" s="1" t="s">
        <v>361</v>
      </c>
      <c r="C701" s="1" t="s">
        <v>328</v>
      </c>
      <c r="D701" s="52">
        <v>45997.531944444447</v>
      </c>
      <c r="E701" s="52">
        <v>45997.531944444447</v>
      </c>
      <c r="F701" s="52">
        <v>45997.579861111109</v>
      </c>
      <c r="G701" s="53">
        <f t="shared" si="38"/>
        <v>4.7916666662786156E-2</v>
      </c>
      <c r="H701" s="1" t="s">
        <v>248</v>
      </c>
      <c r="J701" s="1" t="s">
        <v>249</v>
      </c>
      <c r="K701" s="1" t="str">
        <f>_xlfn.XLOOKUP(J701,REF!$D$2:$D$12,REF!$E$2:$E$12)</f>
        <v>Rede</v>
      </c>
      <c r="L701" s="1" t="s">
        <v>803</v>
      </c>
      <c r="M701" s="1" t="s">
        <v>251</v>
      </c>
      <c r="N701" s="1" t="s">
        <v>330</v>
      </c>
      <c r="O701" s="1" t="s">
        <v>331</v>
      </c>
      <c r="P701" s="1" t="str">
        <f t="shared" si="36"/>
        <v>ARAGUATINS 1.3Inverter(MBUS-1)45997,531944444445997,531944444445997,5798611111</v>
      </c>
      <c r="Q701" s="1" t="str">
        <f t="shared" si="37"/>
        <v>DAURDE</v>
      </c>
    </row>
    <row r="702" spans="2:17" hidden="1">
      <c r="B702" s="1" t="s">
        <v>363</v>
      </c>
      <c r="C702" s="1" t="s">
        <v>354</v>
      </c>
      <c r="D702" s="52">
        <v>45997.531944444447</v>
      </c>
      <c r="E702" s="52">
        <v>45997.531944444447</v>
      </c>
      <c r="F702" s="52">
        <v>45997.579861111109</v>
      </c>
      <c r="G702" s="53">
        <f t="shared" si="38"/>
        <v>4.7916666662786156E-2</v>
      </c>
      <c r="H702" s="1" t="s">
        <v>248</v>
      </c>
      <c r="J702" s="1" t="s">
        <v>249</v>
      </c>
      <c r="K702" s="1" t="str">
        <f>_xlfn.XLOOKUP(J702,REF!$D$2:$D$12,REF!$E$2:$E$12)</f>
        <v>Rede</v>
      </c>
      <c r="L702" s="1" t="s">
        <v>803</v>
      </c>
      <c r="M702" s="1" t="s">
        <v>251</v>
      </c>
      <c r="N702" s="1" t="s">
        <v>330</v>
      </c>
      <c r="O702" s="1" t="s">
        <v>331</v>
      </c>
      <c r="P702" s="1" t="str">
        <f t="shared" si="36"/>
        <v>ARAGUATINS 2.1Inverter(MBUS-12)45997,531944444445997,531944444445997,5798611111</v>
      </c>
      <c r="Q702" s="1" t="str">
        <f t="shared" si="37"/>
        <v>DAURDE</v>
      </c>
    </row>
    <row r="703" spans="2:17" hidden="1">
      <c r="B703" s="1" t="s">
        <v>363</v>
      </c>
      <c r="C703" s="1" t="s">
        <v>359</v>
      </c>
      <c r="D703" s="52">
        <v>45997.531944444447</v>
      </c>
      <c r="E703" s="52">
        <v>45997.531944444447</v>
      </c>
      <c r="F703" s="52">
        <v>45997.579861111109</v>
      </c>
      <c r="G703" s="53">
        <f t="shared" si="38"/>
        <v>4.7916666662786156E-2</v>
      </c>
      <c r="H703" s="1" t="s">
        <v>248</v>
      </c>
      <c r="J703" s="1" t="s">
        <v>249</v>
      </c>
      <c r="K703" s="1" t="str">
        <f>_xlfn.XLOOKUP(J703,REF!$D$2:$D$12,REF!$E$2:$E$12)</f>
        <v>Rede</v>
      </c>
      <c r="L703" s="1" t="s">
        <v>803</v>
      </c>
      <c r="M703" s="1" t="s">
        <v>251</v>
      </c>
      <c r="N703" s="1" t="s">
        <v>330</v>
      </c>
      <c r="O703" s="1" t="s">
        <v>331</v>
      </c>
      <c r="P703" s="1" t="str">
        <f t="shared" si="36"/>
        <v>ARAGUATINS 2.1Inverter(MBUS-15)45997,531944444445997,531944444445997,5798611111</v>
      </c>
      <c r="Q703" s="1" t="str">
        <f t="shared" si="37"/>
        <v>DAURDE</v>
      </c>
    </row>
    <row r="704" spans="2:17" hidden="1">
      <c r="B704" s="1" t="s">
        <v>363</v>
      </c>
      <c r="C704" s="1" t="s">
        <v>358</v>
      </c>
      <c r="D704" s="52">
        <v>45997.531944444447</v>
      </c>
      <c r="E704" s="52">
        <v>45997.531944444447</v>
      </c>
      <c r="F704" s="52">
        <v>45997.579861111109</v>
      </c>
      <c r="G704" s="53">
        <f t="shared" si="38"/>
        <v>4.7916666662786156E-2</v>
      </c>
      <c r="H704" s="1" t="s">
        <v>248</v>
      </c>
      <c r="J704" s="1" t="s">
        <v>249</v>
      </c>
      <c r="K704" s="1" t="str">
        <f>_xlfn.XLOOKUP(J704,REF!$D$2:$D$12,REF!$E$2:$E$12)</f>
        <v>Rede</v>
      </c>
      <c r="L704" s="1" t="s">
        <v>803</v>
      </c>
      <c r="M704" s="1" t="s">
        <v>251</v>
      </c>
      <c r="N704" s="1" t="s">
        <v>330</v>
      </c>
      <c r="O704" s="1" t="s">
        <v>331</v>
      </c>
      <c r="P704" s="1" t="str">
        <f t="shared" si="36"/>
        <v>ARAGUATINS 2.1Inverter(MBUS-14)45997,531944444445997,531944444445997,5798611111</v>
      </c>
      <c r="Q704" s="1" t="str">
        <f t="shared" si="37"/>
        <v>DAURDE</v>
      </c>
    </row>
    <row r="705" spans="2:17" hidden="1">
      <c r="B705" s="1" t="s">
        <v>363</v>
      </c>
      <c r="C705" s="1" t="s">
        <v>328</v>
      </c>
      <c r="D705" s="52">
        <v>45997.531944444447</v>
      </c>
      <c r="E705" s="52">
        <v>45997.531944444447</v>
      </c>
      <c r="F705" s="52">
        <v>45997.579861111109</v>
      </c>
      <c r="G705" s="53">
        <f t="shared" si="38"/>
        <v>4.7916666662786156E-2</v>
      </c>
      <c r="H705" s="1" t="s">
        <v>248</v>
      </c>
      <c r="J705" s="1" t="s">
        <v>249</v>
      </c>
      <c r="K705" s="1" t="str">
        <f>_xlfn.XLOOKUP(J705,REF!$D$2:$D$12,REF!$E$2:$E$12)</f>
        <v>Rede</v>
      </c>
      <c r="L705" s="1" t="s">
        <v>803</v>
      </c>
      <c r="M705" s="1" t="s">
        <v>251</v>
      </c>
      <c r="N705" s="1" t="s">
        <v>330</v>
      </c>
      <c r="O705" s="1" t="s">
        <v>331</v>
      </c>
      <c r="P705" s="1" t="str">
        <f t="shared" si="36"/>
        <v>ARAGUATINS 2.1Inverter(MBUS-1)45997,531944444445997,531944444445997,5798611111</v>
      </c>
      <c r="Q705" s="1" t="str">
        <f t="shared" si="37"/>
        <v>DAURDE</v>
      </c>
    </row>
    <row r="706" spans="2:17" hidden="1">
      <c r="B706" s="1" t="s">
        <v>369</v>
      </c>
      <c r="C706" s="1" t="s">
        <v>359</v>
      </c>
      <c r="D706" s="52">
        <v>45997.531944444447</v>
      </c>
      <c r="E706" s="52">
        <v>45997.531944444447</v>
      </c>
      <c r="F706" s="52">
        <v>45997.579861111109</v>
      </c>
      <c r="G706" s="53">
        <f t="shared" si="38"/>
        <v>4.7916666662786156E-2</v>
      </c>
      <c r="H706" s="1" t="s">
        <v>248</v>
      </c>
      <c r="J706" s="1" t="s">
        <v>249</v>
      </c>
      <c r="K706" s="1" t="str">
        <f>_xlfn.XLOOKUP(J706,REF!$D$2:$D$12,REF!$E$2:$E$12)</f>
        <v>Rede</v>
      </c>
      <c r="L706" s="1" t="s">
        <v>803</v>
      </c>
      <c r="M706" s="1" t="s">
        <v>251</v>
      </c>
      <c r="N706" s="1" t="s">
        <v>330</v>
      </c>
      <c r="O706" s="1" t="s">
        <v>331</v>
      </c>
      <c r="P706" s="1" t="str">
        <f t="shared" si="36"/>
        <v>ARAGUATINS 2.2Inverter(MBUS-15)45997,531944444445997,531944444445997,5798611111</v>
      </c>
      <c r="Q706" s="1" t="str">
        <f t="shared" si="37"/>
        <v>DAURDE</v>
      </c>
    </row>
    <row r="707" spans="2:17" hidden="1">
      <c r="B707" s="1" t="s">
        <v>369</v>
      </c>
      <c r="C707" s="1" t="s">
        <v>357</v>
      </c>
      <c r="D707" s="52">
        <v>45997.531944444447</v>
      </c>
      <c r="E707" s="52">
        <v>45997.531944444447</v>
      </c>
      <c r="F707" s="52">
        <v>45997.579861111109</v>
      </c>
      <c r="G707" s="53">
        <f t="shared" si="38"/>
        <v>4.7916666662786156E-2</v>
      </c>
      <c r="H707" s="1" t="s">
        <v>248</v>
      </c>
      <c r="J707" s="1" t="s">
        <v>249</v>
      </c>
      <c r="K707" s="1" t="str">
        <f>_xlfn.XLOOKUP(J707,REF!$D$2:$D$12,REF!$E$2:$E$12)</f>
        <v>Rede</v>
      </c>
      <c r="L707" s="1" t="s">
        <v>803</v>
      </c>
      <c r="M707" s="1" t="s">
        <v>251</v>
      </c>
      <c r="N707" s="1" t="s">
        <v>330</v>
      </c>
      <c r="O707" s="1" t="s">
        <v>331</v>
      </c>
      <c r="P707" s="1" t="str">
        <f t="shared" ref="P707:P770" si="39">_xlfn.CONCAT(B707,C707,D707,E707,F707)</f>
        <v>ARAGUATINS 2.2Inverter(MBUS-13)45997,531944444445997,531944444445997,5798611111</v>
      </c>
      <c r="Q707" s="1" t="str">
        <f t="shared" ref="Q707:Q770" si="40">_xlfn.CONCAT(H707,I707,J707)</f>
        <v>DAURDE</v>
      </c>
    </row>
    <row r="708" spans="2:17" hidden="1">
      <c r="B708" s="1" t="s">
        <v>369</v>
      </c>
      <c r="C708" s="1" t="s">
        <v>358</v>
      </c>
      <c r="D708" s="52">
        <v>45997.531944444447</v>
      </c>
      <c r="E708" s="52">
        <v>45997.531944444447</v>
      </c>
      <c r="F708" s="52">
        <v>45997.579861111109</v>
      </c>
      <c r="G708" s="53">
        <f t="shared" si="38"/>
        <v>4.7916666662786156E-2</v>
      </c>
      <c r="H708" s="1" t="s">
        <v>248</v>
      </c>
      <c r="J708" s="1" t="s">
        <v>249</v>
      </c>
      <c r="K708" s="1" t="str">
        <f>_xlfn.XLOOKUP(J708,REF!$D$2:$D$12,REF!$E$2:$E$12)</f>
        <v>Rede</v>
      </c>
      <c r="L708" s="1" t="s">
        <v>803</v>
      </c>
      <c r="M708" s="1" t="s">
        <v>251</v>
      </c>
      <c r="N708" s="1" t="s">
        <v>330</v>
      </c>
      <c r="O708" s="1" t="s">
        <v>331</v>
      </c>
      <c r="P708" s="1" t="str">
        <f t="shared" si="39"/>
        <v>ARAGUATINS 2.2Inverter(MBUS-14)45997,531944444445997,531944444445997,5798611111</v>
      </c>
      <c r="Q708" s="1" t="str">
        <f t="shared" si="40"/>
        <v>DAURDE</v>
      </c>
    </row>
    <row r="709" spans="2:17" hidden="1">
      <c r="B709" s="1" t="s">
        <v>369</v>
      </c>
      <c r="C709" s="1" t="s">
        <v>354</v>
      </c>
      <c r="D709" s="52">
        <v>45997.531944444447</v>
      </c>
      <c r="E709" s="52">
        <v>45997.531944444447</v>
      </c>
      <c r="F709" s="52">
        <v>45997.579861111109</v>
      </c>
      <c r="G709" s="53">
        <f t="shared" si="38"/>
        <v>4.7916666662786156E-2</v>
      </c>
      <c r="H709" s="1" t="s">
        <v>248</v>
      </c>
      <c r="J709" s="1" t="s">
        <v>249</v>
      </c>
      <c r="K709" s="1" t="str">
        <f>_xlfn.XLOOKUP(J709,REF!$D$2:$D$12,REF!$E$2:$E$12)</f>
        <v>Rede</v>
      </c>
      <c r="L709" s="1" t="s">
        <v>803</v>
      </c>
      <c r="M709" s="1" t="s">
        <v>251</v>
      </c>
      <c r="N709" s="1" t="s">
        <v>330</v>
      </c>
      <c r="O709" s="1" t="s">
        <v>331</v>
      </c>
      <c r="P709" s="1" t="str">
        <f t="shared" si="39"/>
        <v>ARAGUATINS 2.2Inverter(MBUS-12)45997,531944444445997,531944444445997,5798611111</v>
      </c>
      <c r="Q709" s="1" t="str">
        <f t="shared" si="40"/>
        <v>DAURDE</v>
      </c>
    </row>
    <row r="710" spans="2:17" hidden="1">
      <c r="B710" s="1" t="s">
        <v>370</v>
      </c>
      <c r="C710" s="1" t="s">
        <v>354</v>
      </c>
      <c r="D710" s="52">
        <v>45997.531944444447</v>
      </c>
      <c r="E710" s="52">
        <v>45997.531944444447</v>
      </c>
      <c r="F710" s="52">
        <v>45997.579861111109</v>
      </c>
      <c r="G710" s="53">
        <f t="shared" si="38"/>
        <v>4.7916666662786156E-2</v>
      </c>
      <c r="H710" s="1" t="s">
        <v>248</v>
      </c>
      <c r="J710" s="1" t="s">
        <v>249</v>
      </c>
      <c r="K710" s="1" t="str">
        <f>_xlfn.XLOOKUP(J710,REF!$D$2:$D$12,REF!$E$2:$E$12)</f>
        <v>Rede</v>
      </c>
      <c r="L710" s="1" t="s">
        <v>803</v>
      </c>
      <c r="M710" s="1" t="s">
        <v>251</v>
      </c>
      <c r="N710" s="1" t="s">
        <v>330</v>
      </c>
      <c r="O710" s="1" t="s">
        <v>331</v>
      </c>
      <c r="P710" s="1" t="str">
        <f t="shared" si="39"/>
        <v>ARAGUATINS 2.3Inverter(MBUS-12)45997,531944444445997,531944444445997,5798611111</v>
      </c>
      <c r="Q710" s="1" t="str">
        <f t="shared" si="40"/>
        <v>DAURDE</v>
      </c>
    </row>
    <row r="711" spans="2:17" hidden="1">
      <c r="B711" s="1" t="s">
        <v>370</v>
      </c>
      <c r="C711" s="1" t="s">
        <v>357</v>
      </c>
      <c r="D711" s="52">
        <v>45997.531944444447</v>
      </c>
      <c r="E711" s="52">
        <v>45997.531944444447</v>
      </c>
      <c r="F711" s="52">
        <v>45997.579861111109</v>
      </c>
      <c r="G711" s="53">
        <f t="shared" si="38"/>
        <v>4.7916666662786156E-2</v>
      </c>
      <c r="H711" s="1" t="s">
        <v>248</v>
      </c>
      <c r="J711" s="1" t="s">
        <v>249</v>
      </c>
      <c r="K711" s="1" t="str">
        <f>_xlfn.XLOOKUP(J711,REF!$D$2:$D$12,REF!$E$2:$E$12)</f>
        <v>Rede</v>
      </c>
      <c r="L711" s="1" t="s">
        <v>803</v>
      </c>
      <c r="M711" s="1" t="s">
        <v>251</v>
      </c>
      <c r="N711" s="1" t="s">
        <v>330</v>
      </c>
      <c r="O711" s="1" t="s">
        <v>331</v>
      </c>
      <c r="P711" s="1" t="str">
        <f t="shared" si="39"/>
        <v>ARAGUATINS 2.3Inverter(MBUS-13)45997,531944444445997,531944444445997,5798611111</v>
      </c>
      <c r="Q711" s="1" t="str">
        <f t="shared" si="40"/>
        <v>DAURDE</v>
      </c>
    </row>
    <row r="712" spans="2:17">
      <c r="B712" s="1" t="s">
        <v>742</v>
      </c>
      <c r="C712" s="1" t="s">
        <v>567</v>
      </c>
      <c r="D712" s="52">
        <v>46008.736111111109</v>
      </c>
      <c r="E712" s="52">
        <v>46008.736111111109</v>
      </c>
      <c r="F712" s="52">
        <v>46008.763888888891</v>
      </c>
      <c r="G712" s="53">
        <f t="shared" si="38"/>
        <v>2.7777777781011537E-2</v>
      </c>
      <c r="H712" s="1" t="s">
        <v>260</v>
      </c>
      <c r="I712" s="1" t="s">
        <v>261</v>
      </c>
      <c r="J712" s="1" t="s">
        <v>262</v>
      </c>
      <c r="K712" s="1" t="str">
        <f>_xlfn.XLOOKUP(J712,REF!$D$2:$D$12,REF!$E$2:$E$12)</f>
        <v>Comunicação</v>
      </c>
      <c r="L712" s="1" t="s">
        <v>390</v>
      </c>
      <c r="M712" s="1" t="s">
        <v>391</v>
      </c>
      <c r="N712" s="1" t="s">
        <v>266</v>
      </c>
      <c r="O712" s="1" t="s">
        <v>392</v>
      </c>
      <c r="P712" s="1" t="str">
        <f t="shared" si="39"/>
        <v>Araçu IVSG75CX(COM1-018)_001_01846008,736111111146008,736111111146008,7638888889</v>
      </c>
      <c r="Q712" s="1" t="str">
        <f t="shared" si="40"/>
        <v>LIGRFOCOM</v>
      </c>
    </row>
    <row r="713" spans="2:17">
      <c r="B713" s="1" t="s">
        <v>742</v>
      </c>
      <c r="C713" s="1" t="s">
        <v>568</v>
      </c>
      <c r="D713" s="52">
        <v>46008.736111111109</v>
      </c>
      <c r="E713" s="52">
        <v>46008.736111111109</v>
      </c>
      <c r="F713" s="52">
        <v>46008.763888888891</v>
      </c>
      <c r="G713" s="53">
        <f t="shared" si="38"/>
        <v>2.7777777781011537E-2</v>
      </c>
      <c r="H713" s="1" t="s">
        <v>260</v>
      </c>
      <c r="I713" s="1" t="s">
        <v>261</v>
      </c>
      <c r="J713" s="1" t="s">
        <v>262</v>
      </c>
      <c r="K713" s="1" t="str">
        <f>_xlfn.XLOOKUP(J713,REF!$D$2:$D$12,REF!$E$2:$E$12)</f>
        <v>Comunicação</v>
      </c>
      <c r="L713" s="1" t="s">
        <v>390</v>
      </c>
      <c r="M713" s="1" t="s">
        <v>391</v>
      </c>
      <c r="N713" s="1" t="s">
        <v>266</v>
      </c>
      <c r="O713" s="1" t="s">
        <v>392</v>
      </c>
      <c r="P713" s="1" t="str">
        <f t="shared" si="39"/>
        <v>Araçu IVSG75CX(COM1-019)_001_01946008,736111111146008,736111111146008,7638888889</v>
      </c>
      <c r="Q713" s="1" t="str">
        <f t="shared" si="40"/>
        <v>LIGRFOCOM</v>
      </c>
    </row>
    <row r="714" spans="2:17">
      <c r="B714" s="1" t="s">
        <v>742</v>
      </c>
      <c r="C714" s="1" t="s">
        <v>569</v>
      </c>
      <c r="D714" s="52">
        <v>46008.736111111109</v>
      </c>
      <c r="E714" s="52">
        <v>46008.736111111109</v>
      </c>
      <c r="F714" s="52">
        <v>46008.763888888891</v>
      </c>
      <c r="G714" s="53">
        <f t="shared" si="38"/>
        <v>2.7777777781011537E-2</v>
      </c>
      <c r="H714" s="1" t="s">
        <v>260</v>
      </c>
      <c r="I714" s="1" t="s">
        <v>261</v>
      </c>
      <c r="J714" s="1" t="s">
        <v>262</v>
      </c>
      <c r="K714" s="1" t="str">
        <f>_xlfn.XLOOKUP(J714,REF!$D$2:$D$12,REF!$E$2:$E$12)</f>
        <v>Comunicação</v>
      </c>
      <c r="L714" s="1" t="s">
        <v>390</v>
      </c>
      <c r="M714" s="1" t="s">
        <v>391</v>
      </c>
      <c r="N714" s="1" t="s">
        <v>266</v>
      </c>
      <c r="O714" s="1" t="s">
        <v>392</v>
      </c>
      <c r="P714" s="1" t="str">
        <f t="shared" si="39"/>
        <v>Araçu IVSG75CX(COM1-020)_001_02046008,736111111146008,736111111146008,7638888889</v>
      </c>
      <c r="Q714" s="1" t="str">
        <f t="shared" si="40"/>
        <v>LIGRFOCOM</v>
      </c>
    </row>
    <row r="715" spans="2:17">
      <c r="B715" s="1" t="s">
        <v>742</v>
      </c>
      <c r="C715" s="1" t="s">
        <v>570</v>
      </c>
      <c r="D715" s="52">
        <v>46008.736111111109</v>
      </c>
      <c r="E715" s="52">
        <v>46008.736111111109</v>
      </c>
      <c r="F715" s="52">
        <v>46008.763888888891</v>
      </c>
      <c r="G715" s="53">
        <f t="shared" si="38"/>
        <v>2.7777777781011537E-2</v>
      </c>
      <c r="H715" s="1" t="s">
        <v>260</v>
      </c>
      <c r="I715" s="1" t="s">
        <v>261</v>
      </c>
      <c r="J715" s="1" t="s">
        <v>262</v>
      </c>
      <c r="K715" s="1" t="str">
        <f>_xlfn.XLOOKUP(J715,REF!$D$2:$D$12,REF!$E$2:$E$12)</f>
        <v>Comunicação</v>
      </c>
      <c r="L715" s="1" t="s">
        <v>390</v>
      </c>
      <c r="M715" s="1" t="s">
        <v>391</v>
      </c>
      <c r="N715" s="1" t="s">
        <v>266</v>
      </c>
      <c r="O715" s="1" t="s">
        <v>392</v>
      </c>
      <c r="P715" s="1" t="str">
        <f t="shared" si="39"/>
        <v>Araçu IVSG75CX(COM1-021)_001_02146008,736111111146008,736111111146008,7638888889</v>
      </c>
      <c r="Q715" s="1" t="str">
        <f t="shared" si="40"/>
        <v>LIGRFOCOM</v>
      </c>
    </row>
    <row r="716" spans="2:17">
      <c r="B716" s="1" t="s">
        <v>804</v>
      </c>
      <c r="C716" s="1" t="s">
        <v>805</v>
      </c>
      <c r="D716" s="52">
        <v>46008.729166666664</v>
      </c>
      <c r="E716" s="52">
        <v>46008.729166666664</v>
      </c>
      <c r="F716" s="52">
        <v>46008.763888888891</v>
      </c>
      <c r="G716" s="53">
        <f t="shared" si="38"/>
        <v>3.4722222226264421E-2</v>
      </c>
      <c r="H716" s="1" t="s">
        <v>260</v>
      </c>
      <c r="I716" s="1" t="s">
        <v>261</v>
      </c>
      <c r="J716" s="1" t="s">
        <v>262</v>
      </c>
      <c r="K716" s="1" t="str">
        <f>_xlfn.XLOOKUP(J716,REF!$D$2:$D$12,REF!$E$2:$E$12)</f>
        <v>Comunicação</v>
      </c>
      <c r="L716" s="1" t="s">
        <v>390</v>
      </c>
      <c r="M716" s="1" t="s">
        <v>391</v>
      </c>
      <c r="N716" s="1" t="s">
        <v>266</v>
      </c>
      <c r="O716" s="1" t="s">
        <v>392</v>
      </c>
      <c r="P716" s="1" t="str">
        <f t="shared" si="39"/>
        <v>Araçu IIAraçu 2.1 inv 146008,729166666746008,729166666746008,7638888889</v>
      </c>
      <c r="Q716" s="1" t="str">
        <f t="shared" si="40"/>
        <v>LIGRFOCOM</v>
      </c>
    </row>
    <row r="717" spans="2:17">
      <c r="B717" s="1" t="s">
        <v>804</v>
      </c>
      <c r="C717" s="1" t="s">
        <v>806</v>
      </c>
      <c r="D717" s="52">
        <v>46008.729166666664</v>
      </c>
      <c r="E717" s="52">
        <v>46008.729166666664</v>
      </c>
      <c r="F717" s="52">
        <v>46008.763888888891</v>
      </c>
      <c r="G717" s="53">
        <f t="shared" si="38"/>
        <v>3.4722222226264421E-2</v>
      </c>
      <c r="H717" s="1" t="s">
        <v>260</v>
      </c>
      <c r="I717" s="1" t="s">
        <v>261</v>
      </c>
      <c r="J717" s="1" t="s">
        <v>262</v>
      </c>
      <c r="K717" s="1" t="str">
        <f>_xlfn.XLOOKUP(J717,REF!$D$2:$D$12,REF!$E$2:$E$12)</f>
        <v>Comunicação</v>
      </c>
      <c r="L717" s="1" t="s">
        <v>390</v>
      </c>
      <c r="M717" s="1" t="s">
        <v>391</v>
      </c>
      <c r="N717" s="1" t="s">
        <v>266</v>
      </c>
      <c r="O717" s="1" t="s">
        <v>392</v>
      </c>
      <c r="P717" s="1" t="str">
        <f t="shared" si="39"/>
        <v>Araçu IIAraçu 2.1 inv 246008,729166666746008,729166666746008,7638888889</v>
      </c>
      <c r="Q717" s="1" t="str">
        <f t="shared" si="40"/>
        <v>LIGRFOCOM</v>
      </c>
    </row>
    <row r="718" spans="2:17">
      <c r="B718" s="1" t="s">
        <v>804</v>
      </c>
      <c r="C718" s="1" t="s">
        <v>807</v>
      </c>
      <c r="D718" s="52">
        <v>46008.729166666664</v>
      </c>
      <c r="E718" s="52">
        <v>46008.729166666664</v>
      </c>
      <c r="F718" s="52">
        <v>46008.763888888891</v>
      </c>
      <c r="G718" s="53">
        <f t="shared" si="38"/>
        <v>3.4722222226264421E-2</v>
      </c>
      <c r="H718" s="1" t="s">
        <v>260</v>
      </c>
      <c r="I718" s="1" t="s">
        <v>261</v>
      </c>
      <c r="J718" s="1" t="s">
        <v>262</v>
      </c>
      <c r="K718" s="1" t="str">
        <f>_xlfn.XLOOKUP(J718,REF!$D$2:$D$12,REF!$E$2:$E$12)</f>
        <v>Comunicação</v>
      </c>
      <c r="L718" s="1" t="s">
        <v>390</v>
      </c>
      <c r="M718" s="1" t="s">
        <v>391</v>
      </c>
      <c r="N718" s="1" t="s">
        <v>266</v>
      </c>
      <c r="O718" s="1" t="s">
        <v>392</v>
      </c>
      <c r="P718" s="1" t="str">
        <f t="shared" si="39"/>
        <v>Araçu IIAraçu 2.1 inv 346008,729166666746008,729166666746008,7638888889</v>
      </c>
      <c r="Q718" s="1" t="str">
        <f t="shared" si="40"/>
        <v>LIGRFOCOM</v>
      </c>
    </row>
    <row r="719" spans="2:17">
      <c r="B719" s="1" t="s">
        <v>804</v>
      </c>
      <c r="C719" s="1" t="s">
        <v>808</v>
      </c>
      <c r="D719" s="52">
        <v>46008.729166666664</v>
      </c>
      <c r="E719" s="52">
        <v>46008.729166666664</v>
      </c>
      <c r="F719" s="52">
        <v>46008.763888888891</v>
      </c>
      <c r="G719" s="53">
        <f t="shared" si="38"/>
        <v>3.4722222226264421E-2</v>
      </c>
      <c r="H719" s="1" t="s">
        <v>260</v>
      </c>
      <c r="I719" s="1" t="s">
        <v>261</v>
      </c>
      <c r="J719" s="1" t="s">
        <v>262</v>
      </c>
      <c r="K719" s="1" t="str">
        <f>_xlfn.XLOOKUP(J719,REF!$D$2:$D$12,REF!$E$2:$E$12)</f>
        <v>Comunicação</v>
      </c>
      <c r="L719" s="1" t="s">
        <v>390</v>
      </c>
      <c r="M719" s="1" t="s">
        <v>391</v>
      </c>
      <c r="N719" s="1" t="s">
        <v>266</v>
      </c>
      <c r="O719" s="1" t="s">
        <v>392</v>
      </c>
      <c r="P719" s="1" t="str">
        <f t="shared" si="39"/>
        <v>Araçu IIAraçu 2.2 inv.146008,729166666746008,729166666746008,7638888889</v>
      </c>
      <c r="Q719" s="1" t="str">
        <f t="shared" si="40"/>
        <v>LIGRFOCOM</v>
      </c>
    </row>
    <row r="720" spans="2:17">
      <c r="B720" s="1" t="s">
        <v>804</v>
      </c>
      <c r="C720" s="1" t="s">
        <v>809</v>
      </c>
      <c r="D720" s="52">
        <v>46008.729166666664</v>
      </c>
      <c r="E720" s="52">
        <v>46008.729166666664</v>
      </c>
      <c r="F720" s="52">
        <v>46008.763888888891</v>
      </c>
      <c r="G720" s="53">
        <f t="shared" si="38"/>
        <v>3.4722222226264421E-2</v>
      </c>
      <c r="H720" s="1" t="s">
        <v>260</v>
      </c>
      <c r="I720" s="1" t="s">
        <v>261</v>
      </c>
      <c r="J720" s="1" t="s">
        <v>262</v>
      </c>
      <c r="K720" s="1" t="str">
        <f>_xlfn.XLOOKUP(J720,REF!$D$2:$D$12,REF!$E$2:$E$12)</f>
        <v>Comunicação</v>
      </c>
      <c r="L720" s="1" t="s">
        <v>390</v>
      </c>
      <c r="M720" s="1" t="s">
        <v>391</v>
      </c>
      <c r="N720" s="1" t="s">
        <v>266</v>
      </c>
      <c r="O720" s="1" t="s">
        <v>392</v>
      </c>
      <c r="P720" s="1" t="str">
        <f t="shared" si="39"/>
        <v>Araçu IIAraçu 2.2 inv .246008,729166666746008,729166666746008,7638888889</v>
      </c>
      <c r="Q720" s="1" t="str">
        <f t="shared" si="40"/>
        <v>LIGRFOCOM</v>
      </c>
    </row>
    <row r="721" spans="2:17">
      <c r="B721" s="1" t="s">
        <v>804</v>
      </c>
      <c r="C721" s="1" t="s">
        <v>810</v>
      </c>
      <c r="D721" s="52">
        <v>46008.729166666664</v>
      </c>
      <c r="E721" s="52">
        <v>46008.729166666664</v>
      </c>
      <c r="F721" s="52">
        <v>46008.763888888891</v>
      </c>
      <c r="G721" s="53">
        <f t="shared" si="38"/>
        <v>3.4722222226264421E-2</v>
      </c>
      <c r="H721" s="1" t="s">
        <v>260</v>
      </c>
      <c r="I721" s="1" t="s">
        <v>261</v>
      </c>
      <c r="J721" s="1" t="s">
        <v>262</v>
      </c>
      <c r="K721" s="1" t="str">
        <f>_xlfn.XLOOKUP(J721,REF!$D$2:$D$12,REF!$E$2:$E$12)</f>
        <v>Comunicação</v>
      </c>
      <c r="L721" s="1" t="s">
        <v>390</v>
      </c>
      <c r="M721" s="1" t="s">
        <v>391</v>
      </c>
      <c r="N721" s="1" t="s">
        <v>266</v>
      </c>
      <c r="O721" s="1" t="s">
        <v>392</v>
      </c>
      <c r="P721" s="1" t="str">
        <f t="shared" si="39"/>
        <v>Araçu IIAraçu 2.2 inv 346008,729166666746008,729166666746008,7638888889</v>
      </c>
      <c r="Q721" s="1" t="str">
        <f t="shared" si="40"/>
        <v>LIGRFOCOM</v>
      </c>
    </row>
    <row r="722" spans="2:17">
      <c r="B722" s="1" t="s">
        <v>804</v>
      </c>
      <c r="C722" s="1" t="s">
        <v>811</v>
      </c>
      <c r="D722" s="52">
        <v>46008.729166666664</v>
      </c>
      <c r="E722" s="52">
        <v>46008.729166666664</v>
      </c>
      <c r="F722" s="52">
        <v>46008.763888888891</v>
      </c>
      <c r="G722" s="53">
        <f t="shared" si="38"/>
        <v>3.4722222226264421E-2</v>
      </c>
      <c r="H722" s="1" t="s">
        <v>260</v>
      </c>
      <c r="I722" s="1" t="s">
        <v>261</v>
      </c>
      <c r="J722" s="1" t="s">
        <v>262</v>
      </c>
      <c r="K722" s="1" t="str">
        <f>_xlfn.XLOOKUP(J722,REF!$D$2:$D$12,REF!$E$2:$E$12)</f>
        <v>Comunicação</v>
      </c>
      <c r="L722" s="1" t="s">
        <v>390</v>
      </c>
      <c r="M722" s="1" t="s">
        <v>391</v>
      </c>
      <c r="N722" s="1" t="s">
        <v>266</v>
      </c>
      <c r="O722" s="1" t="s">
        <v>392</v>
      </c>
      <c r="P722" s="1" t="str">
        <f t="shared" si="39"/>
        <v>Araçu IIAraçu 2.3inv 146008,729166666746008,729166666746008,7638888889</v>
      </c>
      <c r="Q722" s="1" t="str">
        <f t="shared" si="40"/>
        <v>LIGRFOCOM</v>
      </c>
    </row>
    <row r="723" spans="2:17">
      <c r="B723" s="1" t="s">
        <v>804</v>
      </c>
      <c r="C723" s="1" t="s">
        <v>812</v>
      </c>
      <c r="D723" s="52">
        <v>46008.729166666664</v>
      </c>
      <c r="E723" s="52">
        <v>46008.729166666664</v>
      </c>
      <c r="F723" s="52">
        <v>46008.763888888891</v>
      </c>
      <c r="G723" s="53">
        <f t="shared" si="38"/>
        <v>3.4722222226264421E-2</v>
      </c>
      <c r="H723" s="1" t="s">
        <v>260</v>
      </c>
      <c r="I723" s="1" t="s">
        <v>261</v>
      </c>
      <c r="J723" s="1" t="s">
        <v>262</v>
      </c>
      <c r="K723" s="1" t="str">
        <f>_xlfn.XLOOKUP(J723,REF!$D$2:$D$12,REF!$E$2:$E$12)</f>
        <v>Comunicação</v>
      </c>
      <c r="L723" s="1" t="s">
        <v>390</v>
      </c>
      <c r="M723" s="1" t="s">
        <v>391</v>
      </c>
      <c r="N723" s="1" t="s">
        <v>266</v>
      </c>
      <c r="O723" s="1" t="s">
        <v>392</v>
      </c>
      <c r="P723" s="1" t="str">
        <f t="shared" si="39"/>
        <v>Araçu IIAraçu 2.3 inv 246008,729166666746008,729166666746008,7638888889</v>
      </c>
      <c r="Q723" s="1" t="str">
        <f t="shared" si="40"/>
        <v>LIGRFOCOM</v>
      </c>
    </row>
    <row r="724" spans="2:17">
      <c r="B724" s="1" t="s">
        <v>804</v>
      </c>
      <c r="C724" s="1" t="s">
        <v>813</v>
      </c>
      <c r="D724" s="52">
        <v>46008.729166666664</v>
      </c>
      <c r="E724" s="52">
        <v>46008.729166666664</v>
      </c>
      <c r="F724" s="52">
        <v>46008.763888888891</v>
      </c>
      <c r="G724" s="53">
        <f t="shared" si="38"/>
        <v>3.4722222226264421E-2</v>
      </c>
      <c r="H724" s="1" t="s">
        <v>260</v>
      </c>
      <c r="I724" s="1" t="s">
        <v>261</v>
      </c>
      <c r="J724" s="1" t="s">
        <v>262</v>
      </c>
      <c r="K724" s="1" t="str">
        <f>_xlfn.XLOOKUP(J724,REF!$D$2:$D$12,REF!$E$2:$E$12)</f>
        <v>Comunicação</v>
      </c>
      <c r="L724" s="1" t="s">
        <v>390</v>
      </c>
      <c r="M724" s="1" t="s">
        <v>391</v>
      </c>
      <c r="N724" s="1" t="s">
        <v>266</v>
      </c>
      <c r="O724" s="1" t="s">
        <v>392</v>
      </c>
      <c r="P724" s="1" t="str">
        <f t="shared" si="39"/>
        <v>Araçu IIAraçu 2.3 inv 446008,729166666746008,729166666746008,7638888889</v>
      </c>
      <c r="Q724" s="1" t="str">
        <f t="shared" si="40"/>
        <v>LIGRFOCOM</v>
      </c>
    </row>
    <row r="725" spans="2:17">
      <c r="B725" s="1" t="s">
        <v>804</v>
      </c>
      <c r="C725" s="1" t="s">
        <v>814</v>
      </c>
      <c r="D725" s="52">
        <v>46008.729166666664</v>
      </c>
      <c r="E725" s="52">
        <v>46008.729166666664</v>
      </c>
      <c r="F725" s="52">
        <v>46008.763888888891</v>
      </c>
      <c r="G725" s="53">
        <f t="shared" si="38"/>
        <v>3.4722222226264421E-2</v>
      </c>
      <c r="H725" s="1" t="s">
        <v>260</v>
      </c>
      <c r="I725" s="1" t="s">
        <v>261</v>
      </c>
      <c r="J725" s="1" t="s">
        <v>262</v>
      </c>
      <c r="K725" s="1" t="str">
        <f>_xlfn.XLOOKUP(J725,REF!$D$2:$D$12,REF!$E$2:$E$12)</f>
        <v>Comunicação</v>
      </c>
      <c r="L725" s="1" t="s">
        <v>390</v>
      </c>
      <c r="M725" s="1" t="s">
        <v>391</v>
      </c>
      <c r="N725" s="1" t="s">
        <v>266</v>
      </c>
      <c r="O725" s="1" t="s">
        <v>392</v>
      </c>
      <c r="P725" s="1" t="str">
        <f t="shared" si="39"/>
        <v>Araçu IIAraçu.2.3 inv 546008,729166666746008,729166666746008,7638888889</v>
      </c>
      <c r="Q725" s="1" t="str">
        <f t="shared" si="40"/>
        <v>LIGRFOCOM</v>
      </c>
    </row>
    <row r="726" spans="2:17">
      <c r="B726" s="1" t="s">
        <v>804</v>
      </c>
      <c r="C726" s="1" t="s">
        <v>815</v>
      </c>
      <c r="D726" s="52">
        <v>46008.729166666664</v>
      </c>
      <c r="E726" s="52">
        <v>46008.729166666664</v>
      </c>
      <c r="F726" s="52">
        <v>46008.763888888891</v>
      </c>
      <c r="G726" s="53">
        <f t="shared" si="38"/>
        <v>3.4722222226264421E-2</v>
      </c>
      <c r="H726" s="1" t="s">
        <v>260</v>
      </c>
      <c r="I726" s="1" t="s">
        <v>261</v>
      </c>
      <c r="J726" s="1" t="s">
        <v>262</v>
      </c>
      <c r="K726" s="1" t="str">
        <f>_xlfn.XLOOKUP(J726,REF!$D$2:$D$12,REF!$E$2:$E$12)</f>
        <v>Comunicação</v>
      </c>
      <c r="L726" s="1" t="s">
        <v>390</v>
      </c>
      <c r="M726" s="1" t="s">
        <v>391</v>
      </c>
      <c r="N726" s="1" t="s">
        <v>266</v>
      </c>
      <c r="O726" s="1" t="s">
        <v>392</v>
      </c>
      <c r="P726" s="1" t="str">
        <f t="shared" si="39"/>
        <v>Araçu IIAraçu 2.3 inv46008,729166666746008,729166666746008,7638888889</v>
      </c>
      <c r="Q726" s="1" t="str">
        <f t="shared" si="40"/>
        <v>LIGRFOCOM</v>
      </c>
    </row>
    <row r="727" spans="2:17">
      <c r="B727" s="1" t="s">
        <v>804</v>
      </c>
      <c r="C727" s="1" t="s">
        <v>816</v>
      </c>
      <c r="D727" s="52">
        <v>46008.729166666664</v>
      </c>
      <c r="E727" s="52">
        <v>46008.729166666664</v>
      </c>
      <c r="F727" s="52">
        <v>46008.763888888891</v>
      </c>
      <c r="G727" s="53">
        <f t="shared" si="38"/>
        <v>3.4722222226264421E-2</v>
      </c>
      <c r="H727" s="1" t="s">
        <v>260</v>
      </c>
      <c r="I727" s="1" t="s">
        <v>261</v>
      </c>
      <c r="J727" s="1" t="s">
        <v>262</v>
      </c>
      <c r="K727" s="1" t="str">
        <f>_xlfn.XLOOKUP(J727,REF!$D$2:$D$12,REF!$E$2:$E$12)</f>
        <v>Comunicação</v>
      </c>
      <c r="L727" s="1" t="s">
        <v>390</v>
      </c>
      <c r="M727" s="1" t="s">
        <v>391</v>
      </c>
      <c r="N727" s="1" t="s">
        <v>266</v>
      </c>
      <c r="O727" s="1" t="s">
        <v>392</v>
      </c>
      <c r="P727" s="1" t="str">
        <f t="shared" si="39"/>
        <v>Araçu IIAraçu 2.3 inv 646008,729166666746008,729166666746008,7638888889</v>
      </c>
      <c r="Q727" s="1" t="str">
        <f t="shared" si="40"/>
        <v>LIGRFOCOM</v>
      </c>
    </row>
    <row r="728" spans="2:17">
      <c r="B728" s="1" t="s">
        <v>804</v>
      </c>
      <c r="C728" s="1" t="s">
        <v>817</v>
      </c>
      <c r="D728" s="52">
        <v>46008.729166666664</v>
      </c>
      <c r="E728" s="52">
        <v>46008.729166666664</v>
      </c>
      <c r="F728" s="52">
        <v>46008.763888888891</v>
      </c>
      <c r="G728" s="53">
        <f t="shared" si="38"/>
        <v>3.4722222226264421E-2</v>
      </c>
      <c r="H728" s="1" t="s">
        <v>260</v>
      </c>
      <c r="I728" s="1" t="s">
        <v>261</v>
      </c>
      <c r="J728" s="1" t="s">
        <v>262</v>
      </c>
      <c r="K728" s="1" t="str">
        <f>_xlfn.XLOOKUP(J728,REF!$D$2:$D$12,REF!$E$2:$E$12)</f>
        <v>Comunicação</v>
      </c>
      <c r="L728" s="1" t="s">
        <v>390</v>
      </c>
      <c r="M728" s="1" t="s">
        <v>391</v>
      </c>
      <c r="N728" s="1" t="s">
        <v>266</v>
      </c>
      <c r="O728" s="1" t="s">
        <v>392</v>
      </c>
      <c r="P728" s="1" t="str">
        <f t="shared" si="39"/>
        <v>Araçu IIARAÇU.2.4.INV.246008,729166666746008,729166666746008,7638888889</v>
      </c>
      <c r="Q728" s="1" t="str">
        <f t="shared" si="40"/>
        <v>LIGRFOCOM</v>
      </c>
    </row>
    <row r="729" spans="2:17">
      <c r="B729" s="1" t="s">
        <v>804</v>
      </c>
      <c r="C729" s="1" t="s">
        <v>818</v>
      </c>
      <c r="D729" s="52">
        <v>46008.729166666664</v>
      </c>
      <c r="E729" s="52">
        <v>46008.729166666664</v>
      </c>
      <c r="F729" s="52">
        <v>46008.763888888891</v>
      </c>
      <c r="G729" s="53">
        <f t="shared" si="38"/>
        <v>3.4722222226264421E-2</v>
      </c>
      <c r="H729" s="1" t="s">
        <v>260</v>
      </c>
      <c r="I729" s="1" t="s">
        <v>261</v>
      </c>
      <c r="J729" s="1" t="s">
        <v>262</v>
      </c>
      <c r="K729" s="1" t="str">
        <f>_xlfn.XLOOKUP(J729,REF!$D$2:$D$12,REF!$E$2:$E$12)</f>
        <v>Comunicação</v>
      </c>
      <c r="L729" s="1" t="s">
        <v>390</v>
      </c>
      <c r="M729" s="1" t="s">
        <v>391</v>
      </c>
      <c r="N729" s="1" t="s">
        <v>266</v>
      </c>
      <c r="O729" s="1" t="s">
        <v>392</v>
      </c>
      <c r="P729" s="1" t="str">
        <f t="shared" si="39"/>
        <v>Araçu IIAraçu.2.4 inv 346008,729166666746008,729166666746008,7638888889</v>
      </c>
      <c r="Q729" s="1" t="str">
        <f t="shared" si="40"/>
        <v>LIGRFOCOM</v>
      </c>
    </row>
    <row r="730" spans="2:17">
      <c r="B730" s="1" t="s">
        <v>804</v>
      </c>
      <c r="C730" s="1" t="s">
        <v>819</v>
      </c>
      <c r="D730" s="52">
        <v>46008.729166666664</v>
      </c>
      <c r="E730" s="52">
        <v>46008.729166666664</v>
      </c>
      <c r="F730" s="52">
        <v>46008.763888888891</v>
      </c>
      <c r="G730" s="53">
        <f t="shared" si="38"/>
        <v>3.4722222226264421E-2</v>
      </c>
      <c r="H730" s="1" t="s">
        <v>260</v>
      </c>
      <c r="I730" s="1" t="s">
        <v>261</v>
      </c>
      <c r="J730" s="1" t="s">
        <v>262</v>
      </c>
      <c r="K730" s="1" t="str">
        <f>_xlfn.XLOOKUP(J730,REF!$D$2:$D$12,REF!$E$2:$E$12)</f>
        <v>Comunicação</v>
      </c>
      <c r="L730" s="1" t="s">
        <v>390</v>
      </c>
      <c r="M730" s="1" t="s">
        <v>391</v>
      </c>
      <c r="N730" s="1" t="s">
        <v>266</v>
      </c>
      <c r="O730" s="1" t="s">
        <v>392</v>
      </c>
      <c r="P730" s="1" t="str">
        <f t="shared" si="39"/>
        <v>Araçu IIAraçu 2.4 inv 646008,729166666746008,729166666746008,7638888889</v>
      </c>
      <c r="Q730" s="1" t="str">
        <f t="shared" si="40"/>
        <v>LIGRFOCOM</v>
      </c>
    </row>
    <row r="731" spans="2:17">
      <c r="B731" s="1" t="s">
        <v>804</v>
      </c>
      <c r="C731" s="1" t="s">
        <v>820</v>
      </c>
      <c r="D731" s="52">
        <v>46008.729166666664</v>
      </c>
      <c r="E731" s="52">
        <v>46008.729166666664</v>
      </c>
      <c r="F731" s="52">
        <v>46008.763888888891</v>
      </c>
      <c r="G731" s="53">
        <f t="shared" si="38"/>
        <v>3.4722222226264421E-2</v>
      </c>
      <c r="H731" s="1" t="s">
        <v>260</v>
      </c>
      <c r="I731" s="1" t="s">
        <v>261</v>
      </c>
      <c r="J731" s="1" t="s">
        <v>262</v>
      </c>
      <c r="K731" s="1" t="str">
        <f>_xlfn.XLOOKUP(J731,REF!$D$2:$D$12,REF!$E$2:$E$12)</f>
        <v>Comunicação</v>
      </c>
      <c r="L731" s="1" t="s">
        <v>390</v>
      </c>
      <c r="M731" s="1" t="s">
        <v>391</v>
      </c>
      <c r="N731" s="1" t="s">
        <v>266</v>
      </c>
      <c r="O731" s="1" t="s">
        <v>392</v>
      </c>
      <c r="P731" s="1" t="str">
        <f t="shared" si="39"/>
        <v>Araçu IIAraçu 2.4 inv 146008,729166666746008,729166666746008,7638888889</v>
      </c>
      <c r="Q731" s="1" t="str">
        <f t="shared" si="40"/>
        <v>LIGRFOCOM</v>
      </c>
    </row>
    <row r="732" spans="2:17">
      <c r="B732" s="1" t="s">
        <v>804</v>
      </c>
      <c r="C732" s="1" t="s">
        <v>821</v>
      </c>
      <c r="D732" s="52">
        <v>46008.729166666664</v>
      </c>
      <c r="E732" s="52">
        <v>46008.729166666664</v>
      </c>
      <c r="F732" s="52">
        <v>46008.763888888891</v>
      </c>
      <c r="G732" s="53">
        <f t="shared" si="38"/>
        <v>3.4722222226264421E-2</v>
      </c>
      <c r="H732" s="1" t="s">
        <v>260</v>
      </c>
      <c r="I732" s="1" t="s">
        <v>261</v>
      </c>
      <c r="J732" s="1" t="s">
        <v>262</v>
      </c>
      <c r="K732" s="1" t="str">
        <f>_xlfn.XLOOKUP(J732,REF!$D$2:$D$12,REF!$E$2:$E$12)</f>
        <v>Comunicação</v>
      </c>
      <c r="L732" s="1" t="s">
        <v>390</v>
      </c>
      <c r="M732" s="1" t="s">
        <v>391</v>
      </c>
      <c r="N732" s="1" t="s">
        <v>266</v>
      </c>
      <c r="O732" s="1" t="s">
        <v>392</v>
      </c>
      <c r="P732" s="1" t="str">
        <f t="shared" si="39"/>
        <v>Araçu IIAraçu 2.4 inv 446008,729166666746008,729166666746008,7638888889</v>
      </c>
      <c r="Q732" s="1" t="str">
        <f t="shared" si="40"/>
        <v>LIGRFOCOM</v>
      </c>
    </row>
    <row r="733" spans="2:17">
      <c r="B733" s="1" t="s">
        <v>804</v>
      </c>
      <c r="C733" s="1" t="s">
        <v>822</v>
      </c>
      <c r="D733" s="52">
        <v>46008.729166666664</v>
      </c>
      <c r="E733" s="52">
        <v>46008.729166666664</v>
      </c>
      <c r="F733" s="52">
        <v>46008.763888888891</v>
      </c>
      <c r="G733" s="53">
        <f t="shared" si="38"/>
        <v>3.4722222226264421E-2</v>
      </c>
      <c r="H733" s="1" t="s">
        <v>260</v>
      </c>
      <c r="I733" s="1" t="s">
        <v>261</v>
      </c>
      <c r="J733" s="1" t="s">
        <v>262</v>
      </c>
      <c r="K733" s="1" t="str">
        <f>_xlfn.XLOOKUP(J733,REF!$D$2:$D$12,REF!$E$2:$E$12)</f>
        <v>Comunicação</v>
      </c>
      <c r="L733" s="1" t="s">
        <v>390</v>
      </c>
      <c r="M733" s="1" t="s">
        <v>391</v>
      </c>
      <c r="N733" s="1" t="s">
        <v>266</v>
      </c>
      <c r="O733" s="1" t="s">
        <v>392</v>
      </c>
      <c r="P733" s="1" t="str">
        <f t="shared" si="39"/>
        <v>Araçu IIAraçu 2.4 inv 546008,729166666746008,729166666746008,7638888889</v>
      </c>
      <c r="Q733" s="1" t="str">
        <f t="shared" si="40"/>
        <v>LIGRFOCOM</v>
      </c>
    </row>
    <row r="734" spans="2:17" hidden="1">
      <c r="B734" s="1" t="s">
        <v>780</v>
      </c>
      <c r="C734" s="1" t="s">
        <v>269</v>
      </c>
      <c r="D734" s="52">
        <v>46004.267361111109</v>
      </c>
      <c r="E734" s="52">
        <v>46004.267361111109</v>
      </c>
      <c r="F734" s="52">
        <v>46004.330555555556</v>
      </c>
      <c r="G734" s="53">
        <f t="shared" si="38"/>
        <v>6.3194444446708076E-2</v>
      </c>
      <c r="H734" s="1" t="s">
        <v>248</v>
      </c>
      <c r="J734" s="1" t="s">
        <v>249</v>
      </c>
      <c r="K734" s="1" t="str">
        <f>_xlfn.XLOOKUP(J734,REF!$D$2:$D$12,REF!$E$2:$E$12)</f>
        <v>Rede</v>
      </c>
      <c r="L734" s="1" t="s">
        <v>672</v>
      </c>
      <c r="M734" s="1" t="s">
        <v>251</v>
      </c>
      <c r="N734" s="1" t="s">
        <v>252</v>
      </c>
      <c r="O734" s="1" t="s">
        <v>723</v>
      </c>
      <c r="P734" s="1" t="str">
        <f t="shared" si="39"/>
        <v>Caiaponia ISG60KTL(COM1-001)_001_00746004,267361111146004,267361111146004,3305555556</v>
      </c>
      <c r="Q734" s="1" t="str">
        <f t="shared" si="40"/>
        <v>DAURDE</v>
      </c>
    </row>
    <row r="735" spans="2:17" hidden="1">
      <c r="B735" s="1" t="s">
        <v>780</v>
      </c>
      <c r="C735" s="1" t="s">
        <v>270</v>
      </c>
      <c r="D735" s="52">
        <v>46004.267361111109</v>
      </c>
      <c r="E735" s="52">
        <v>46004.267361111109</v>
      </c>
      <c r="F735" s="52">
        <v>46004.330555555556</v>
      </c>
      <c r="G735" s="53">
        <f t="shared" si="38"/>
        <v>6.3194444446708076E-2</v>
      </c>
      <c r="H735" s="1" t="s">
        <v>248</v>
      </c>
      <c r="J735" s="1" t="s">
        <v>249</v>
      </c>
      <c r="K735" s="1" t="str">
        <f>_xlfn.XLOOKUP(J735,REF!$D$2:$D$12,REF!$E$2:$E$12)</f>
        <v>Rede</v>
      </c>
      <c r="L735" s="1" t="s">
        <v>672</v>
      </c>
      <c r="M735" s="1" t="s">
        <v>251</v>
      </c>
      <c r="N735" s="1" t="s">
        <v>252</v>
      </c>
      <c r="O735" s="1" t="s">
        <v>723</v>
      </c>
      <c r="P735" s="1" t="str">
        <f t="shared" si="39"/>
        <v>Caiaponia ISG60KTL(COM1-002)_001_01046004,267361111146004,267361111146004,3305555556</v>
      </c>
      <c r="Q735" s="1" t="str">
        <f t="shared" si="40"/>
        <v>DAURDE</v>
      </c>
    </row>
    <row r="736" spans="2:17" hidden="1">
      <c r="B736" s="1" t="s">
        <v>780</v>
      </c>
      <c r="C736" s="1" t="s">
        <v>271</v>
      </c>
      <c r="D736" s="52">
        <v>46004.267361111109</v>
      </c>
      <c r="E736" s="52">
        <v>46004.267361111109</v>
      </c>
      <c r="F736" s="52">
        <v>46004.330555555556</v>
      </c>
      <c r="G736" s="53">
        <f t="shared" si="38"/>
        <v>6.3194444446708076E-2</v>
      </c>
      <c r="H736" s="1" t="s">
        <v>248</v>
      </c>
      <c r="J736" s="1" t="s">
        <v>249</v>
      </c>
      <c r="K736" s="1" t="str">
        <f>_xlfn.XLOOKUP(J736,REF!$D$2:$D$12,REF!$E$2:$E$12)</f>
        <v>Rede</v>
      </c>
      <c r="L736" s="1" t="s">
        <v>672</v>
      </c>
      <c r="M736" s="1" t="s">
        <v>251</v>
      </c>
      <c r="N736" s="1" t="s">
        <v>252</v>
      </c>
      <c r="O736" s="1" t="s">
        <v>723</v>
      </c>
      <c r="P736" s="1" t="str">
        <f t="shared" si="39"/>
        <v>Caiaponia ISG60KTL(COM1-003)_001_01146004,267361111146004,267361111146004,3305555556</v>
      </c>
      <c r="Q736" s="1" t="str">
        <f t="shared" si="40"/>
        <v>DAURDE</v>
      </c>
    </row>
    <row r="737" spans="2:17" hidden="1">
      <c r="B737" s="1" t="s">
        <v>780</v>
      </c>
      <c r="C737" s="1" t="s">
        <v>272</v>
      </c>
      <c r="D737" s="52">
        <v>46004.267361111109</v>
      </c>
      <c r="E737" s="52">
        <v>46004.267361111109</v>
      </c>
      <c r="F737" s="52">
        <v>46004.330555555556</v>
      </c>
      <c r="G737" s="53">
        <f t="shared" si="38"/>
        <v>6.3194444446708076E-2</v>
      </c>
      <c r="H737" s="1" t="s">
        <v>248</v>
      </c>
      <c r="J737" s="1" t="s">
        <v>249</v>
      </c>
      <c r="K737" s="1" t="str">
        <f>_xlfn.XLOOKUP(J737,REF!$D$2:$D$12,REF!$E$2:$E$12)</f>
        <v>Rede</v>
      </c>
      <c r="L737" s="1" t="s">
        <v>672</v>
      </c>
      <c r="M737" s="1" t="s">
        <v>251</v>
      </c>
      <c r="N737" s="1" t="s">
        <v>252</v>
      </c>
      <c r="O737" s="1" t="s">
        <v>723</v>
      </c>
      <c r="P737" s="1" t="str">
        <f t="shared" si="39"/>
        <v>Caiaponia ISG60KTL(COM1-004)_001_01446004,267361111146004,267361111146004,3305555556</v>
      </c>
      <c r="Q737" s="1" t="str">
        <f t="shared" si="40"/>
        <v>DAURDE</v>
      </c>
    </row>
    <row r="738" spans="2:17" hidden="1">
      <c r="B738" s="1" t="s">
        <v>780</v>
      </c>
      <c r="C738" s="1" t="s">
        <v>273</v>
      </c>
      <c r="D738" s="52">
        <v>46004.267361111109</v>
      </c>
      <c r="E738" s="52">
        <v>46004.267361111109</v>
      </c>
      <c r="F738" s="52">
        <v>46004.330555555556</v>
      </c>
      <c r="G738" s="53">
        <f t="shared" si="38"/>
        <v>6.3194444446708076E-2</v>
      </c>
      <c r="H738" s="1" t="s">
        <v>248</v>
      </c>
      <c r="J738" s="1" t="s">
        <v>249</v>
      </c>
      <c r="K738" s="1" t="str">
        <f>_xlfn.XLOOKUP(J738,REF!$D$2:$D$12,REF!$E$2:$E$12)</f>
        <v>Rede</v>
      </c>
      <c r="L738" s="1" t="s">
        <v>672</v>
      </c>
      <c r="M738" s="1" t="s">
        <v>251</v>
      </c>
      <c r="N738" s="1" t="s">
        <v>252</v>
      </c>
      <c r="O738" s="1" t="s">
        <v>723</v>
      </c>
      <c r="P738" s="1" t="str">
        <f t="shared" si="39"/>
        <v>Caiaponia ISG60KTL(COM1-005)_001_01746004,267361111146004,267361111146004,3305555556</v>
      </c>
      <c r="Q738" s="1" t="str">
        <f t="shared" si="40"/>
        <v>DAURDE</v>
      </c>
    </row>
    <row r="739" spans="2:17" hidden="1">
      <c r="B739" s="1" t="s">
        <v>780</v>
      </c>
      <c r="C739" s="1" t="s">
        <v>274</v>
      </c>
      <c r="D739" s="52">
        <v>46004.267361111109</v>
      </c>
      <c r="E739" s="52">
        <v>46004.267361111109</v>
      </c>
      <c r="F739" s="52">
        <v>46004.330555555556</v>
      </c>
      <c r="G739" s="53">
        <f t="shared" si="38"/>
        <v>6.3194444446708076E-2</v>
      </c>
      <c r="H739" s="1" t="s">
        <v>248</v>
      </c>
      <c r="J739" s="1" t="s">
        <v>249</v>
      </c>
      <c r="K739" s="1" t="str">
        <f>_xlfn.XLOOKUP(J739,REF!$D$2:$D$12,REF!$E$2:$E$12)</f>
        <v>Rede</v>
      </c>
      <c r="L739" s="1" t="s">
        <v>672</v>
      </c>
      <c r="M739" s="1" t="s">
        <v>251</v>
      </c>
      <c r="N739" s="1" t="s">
        <v>252</v>
      </c>
      <c r="O739" s="1" t="s">
        <v>723</v>
      </c>
      <c r="P739" s="1" t="str">
        <f t="shared" si="39"/>
        <v>Caiaponia ISG60KTL(COM1-006)_001_01646004,267361111146004,267361111146004,3305555556</v>
      </c>
      <c r="Q739" s="1" t="str">
        <f t="shared" si="40"/>
        <v>DAURDE</v>
      </c>
    </row>
    <row r="740" spans="2:17" hidden="1">
      <c r="B740" s="1" t="s">
        <v>780</v>
      </c>
      <c r="C740" s="1" t="s">
        <v>275</v>
      </c>
      <c r="D740" s="52">
        <v>46004.267361111109</v>
      </c>
      <c r="E740" s="52">
        <v>46004.267361111109</v>
      </c>
      <c r="F740" s="52">
        <v>46004.330555555556</v>
      </c>
      <c r="G740" s="53">
        <f t="shared" si="38"/>
        <v>6.3194444446708076E-2</v>
      </c>
      <c r="H740" s="1" t="s">
        <v>248</v>
      </c>
      <c r="J740" s="1" t="s">
        <v>249</v>
      </c>
      <c r="K740" s="1" t="str">
        <f>_xlfn.XLOOKUP(J740,REF!$D$2:$D$12,REF!$E$2:$E$12)</f>
        <v>Rede</v>
      </c>
      <c r="L740" s="1" t="s">
        <v>672</v>
      </c>
      <c r="M740" s="1" t="s">
        <v>251</v>
      </c>
      <c r="N740" s="1" t="s">
        <v>252</v>
      </c>
      <c r="O740" s="1" t="s">
        <v>723</v>
      </c>
      <c r="P740" s="1" t="str">
        <f t="shared" si="39"/>
        <v>Caiaponia ISG60KTL(COM1-007)_001_01346004,267361111146004,267361111146004,3305555556</v>
      </c>
      <c r="Q740" s="1" t="str">
        <f t="shared" si="40"/>
        <v>DAURDE</v>
      </c>
    </row>
    <row r="741" spans="2:17" hidden="1">
      <c r="B741" s="1" t="s">
        <v>780</v>
      </c>
      <c r="C741" s="1" t="s">
        <v>276</v>
      </c>
      <c r="D741" s="52">
        <v>46004.267361111109</v>
      </c>
      <c r="E741" s="52">
        <v>46004.267361111109</v>
      </c>
      <c r="F741" s="52">
        <v>46004.330555555556</v>
      </c>
      <c r="G741" s="53">
        <f t="shared" si="38"/>
        <v>6.3194444446708076E-2</v>
      </c>
      <c r="H741" s="1" t="s">
        <v>248</v>
      </c>
      <c r="J741" s="1" t="s">
        <v>249</v>
      </c>
      <c r="K741" s="1" t="str">
        <f>_xlfn.XLOOKUP(J741,REF!$D$2:$D$12,REF!$E$2:$E$12)</f>
        <v>Rede</v>
      </c>
      <c r="L741" s="1" t="s">
        <v>672</v>
      </c>
      <c r="M741" s="1" t="s">
        <v>251</v>
      </c>
      <c r="N741" s="1" t="s">
        <v>252</v>
      </c>
      <c r="O741" s="1" t="s">
        <v>723</v>
      </c>
      <c r="P741" s="1" t="str">
        <f t="shared" si="39"/>
        <v>Caiaponia ISG60KTL(COM1-008)_001_00146004,267361111146004,267361111146004,3305555556</v>
      </c>
      <c r="Q741" s="1" t="str">
        <f t="shared" si="40"/>
        <v>DAURDE</v>
      </c>
    </row>
    <row r="742" spans="2:17" hidden="1">
      <c r="B742" s="1" t="s">
        <v>780</v>
      </c>
      <c r="C742" s="1" t="s">
        <v>277</v>
      </c>
      <c r="D742" s="52">
        <v>46004.267361111109</v>
      </c>
      <c r="E742" s="52">
        <v>46004.267361111109</v>
      </c>
      <c r="F742" s="52">
        <v>46004.330555555556</v>
      </c>
      <c r="G742" s="53">
        <f t="shared" si="38"/>
        <v>6.3194444446708076E-2</v>
      </c>
      <c r="H742" s="1" t="s">
        <v>248</v>
      </c>
      <c r="J742" s="1" t="s">
        <v>249</v>
      </c>
      <c r="K742" s="1" t="str">
        <f>_xlfn.XLOOKUP(J742,REF!$D$2:$D$12,REF!$E$2:$E$12)</f>
        <v>Rede</v>
      </c>
      <c r="L742" s="1" t="s">
        <v>672</v>
      </c>
      <c r="M742" s="1" t="s">
        <v>251</v>
      </c>
      <c r="N742" s="1" t="s">
        <v>252</v>
      </c>
      <c r="O742" s="1" t="s">
        <v>723</v>
      </c>
      <c r="P742" s="1" t="str">
        <f t="shared" si="39"/>
        <v>Caiaponia ISG60KTL(COM1-009)46004,267361111146004,267361111146004,3305555556</v>
      </c>
      <c r="Q742" s="1" t="str">
        <f t="shared" si="40"/>
        <v>DAURDE</v>
      </c>
    </row>
    <row r="743" spans="2:17" hidden="1">
      <c r="B743" s="1" t="s">
        <v>780</v>
      </c>
      <c r="C743" s="1" t="s">
        <v>278</v>
      </c>
      <c r="D743" s="52">
        <v>46004.267361111109</v>
      </c>
      <c r="E743" s="52">
        <v>46004.267361111109</v>
      </c>
      <c r="F743" s="52">
        <v>46004.330555555556</v>
      </c>
      <c r="G743" s="53">
        <f t="shared" si="38"/>
        <v>6.3194444446708076E-2</v>
      </c>
      <c r="H743" s="1" t="s">
        <v>248</v>
      </c>
      <c r="J743" s="1" t="s">
        <v>249</v>
      </c>
      <c r="K743" s="1" t="str">
        <f>_xlfn.XLOOKUP(J743,REF!$D$2:$D$12,REF!$E$2:$E$12)</f>
        <v>Rede</v>
      </c>
      <c r="L743" s="1" t="s">
        <v>672</v>
      </c>
      <c r="M743" s="1" t="s">
        <v>251</v>
      </c>
      <c r="N743" s="1" t="s">
        <v>252</v>
      </c>
      <c r="O743" s="1" t="s">
        <v>723</v>
      </c>
      <c r="P743" s="1" t="str">
        <f t="shared" si="39"/>
        <v>Caiaponia ISG60KTL(COM1-010)46004,267361111146004,267361111146004,3305555556</v>
      </c>
      <c r="Q743" s="1" t="str">
        <f t="shared" si="40"/>
        <v>DAURDE</v>
      </c>
    </row>
    <row r="744" spans="2:17" hidden="1">
      <c r="B744" s="1" t="s">
        <v>780</v>
      </c>
      <c r="C744" s="1" t="s">
        <v>279</v>
      </c>
      <c r="D744" s="52">
        <v>46004.267361111109</v>
      </c>
      <c r="E744" s="52">
        <v>46004.267361111109</v>
      </c>
      <c r="F744" s="52">
        <v>46004.330555555556</v>
      </c>
      <c r="G744" s="53">
        <f t="shared" si="38"/>
        <v>6.3194444446708076E-2</v>
      </c>
      <c r="H744" s="1" t="s">
        <v>248</v>
      </c>
      <c r="J744" s="1" t="s">
        <v>249</v>
      </c>
      <c r="K744" s="1" t="str">
        <f>_xlfn.XLOOKUP(J744,REF!$D$2:$D$12,REF!$E$2:$E$12)</f>
        <v>Rede</v>
      </c>
      <c r="L744" s="1" t="s">
        <v>672</v>
      </c>
      <c r="M744" s="1" t="s">
        <v>251</v>
      </c>
      <c r="N744" s="1" t="s">
        <v>252</v>
      </c>
      <c r="O744" s="1" t="s">
        <v>723</v>
      </c>
      <c r="P744" s="1" t="str">
        <f t="shared" si="39"/>
        <v>Caiaponia ISG60KTL(COM1-011)46004,267361111146004,267361111146004,3305555556</v>
      </c>
      <c r="Q744" s="1" t="str">
        <f t="shared" si="40"/>
        <v>DAURDE</v>
      </c>
    </row>
    <row r="745" spans="2:17" hidden="1">
      <c r="B745" s="1" t="s">
        <v>780</v>
      </c>
      <c r="C745" s="1" t="s">
        <v>280</v>
      </c>
      <c r="D745" s="52">
        <v>46004.267361111109</v>
      </c>
      <c r="E745" s="52">
        <v>46004.267361111109</v>
      </c>
      <c r="F745" s="52">
        <v>46004.330555555556</v>
      </c>
      <c r="G745" s="53">
        <f t="shared" si="38"/>
        <v>6.3194444446708076E-2</v>
      </c>
      <c r="H745" s="1" t="s">
        <v>248</v>
      </c>
      <c r="J745" s="1" t="s">
        <v>249</v>
      </c>
      <c r="K745" s="1" t="str">
        <f>_xlfn.XLOOKUP(J745,REF!$D$2:$D$12,REF!$E$2:$E$12)</f>
        <v>Rede</v>
      </c>
      <c r="L745" s="1" t="s">
        <v>672</v>
      </c>
      <c r="M745" s="1" t="s">
        <v>251</v>
      </c>
      <c r="N745" s="1" t="s">
        <v>252</v>
      </c>
      <c r="O745" s="1" t="s">
        <v>723</v>
      </c>
      <c r="P745" s="1" t="str">
        <f t="shared" si="39"/>
        <v>Caiaponia ISG60KTL(COM1-012)46004,267361111146004,267361111146004,3305555556</v>
      </c>
      <c r="Q745" s="1" t="str">
        <f t="shared" si="40"/>
        <v>DAURDE</v>
      </c>
    </row>
    <row r="746" spans="2:17" hidden="1">
      <c r="B746" s="1" t="s">
        <v>780</v>
      </c>
      <c r="C746" s="1" t="s">
        <v>281</v>
      </c>
      <c r="D746" s="52">
        <v>46004.267361111109</v>
      </c>
      <c r="E746" s="52">
        <v>46004.267361111109</v>
      </c>
      <c r="F746" s="52">
        <v>46004.330555555556</v>
      </c>
      <c r="G746" s="53">
        <f t="shared" si="38"/>
        <v>6.3194444446708076E-2</v>
      </c>
      <c r="H746" s="1" t="s">
        <v>248</v>
      </c>
      <c r="J746" s="1" t="s">
        <v>249</v>
      </c>
      <c r="K746" s="1" t="str">
        <f>_xlfn.XLOOKUP(J746,REF!$D$2:$D$12,REF!$E$2:$E$12)</f>
        <v>Rede</v>
      </c>
      <c r="L746" s="1" t="s">
        <v>672</v>
      </c>
      <c r="M746" s="1" t="s">
        <v>251</v>
      </c>
      <c r="N746" s="1" t="s">
        <v>252</v>
      </c>
      <c r="O746" s="1" t="s">
        <v>723</v>
      </c>
      <c r="P746" s="1" t="str">
        <f t="shared" si="39"/>
        <v>Caiaponia ISG60KTL(COM1-013)46004,267361111146004,267361111146004,3305555556</v>
      </c>
      <c r="Q746" s="1" t="str">
        <f t="shared" si="40"/>
        <v>DAURDE</v>
      </c>
    </row>
    <row r="747" spans="2:17" hidden="1">
      <c r="B747" s="1" t="s">
        <v>780</v>
      </c>
      <c r="C747" s="1" t="s">
        <v>282</v>
      </c>
      <c r="D747" s="52">
        <v>46004.267361111109</v>
      </c>
      <c r="E747" s="52">
        <v>46004.267361111109</v>
      </c>
      <c r="F747" s="52">
        <v>46004.330555555556</v>
      </c>
      <c r="G747" s="53">
        <f t="shared" si="38"/>
        <v>6.3194444446708076E-2</v>
      </c>
      <c r="H747" s="1" t="s">
        <v>248</v>
      </c>
      <c r="J747" s="1" t="s">
        <v>249</v>
      </c>
      <c r="K747" s="1" t="str">
        <f>_xlfn.XLOOKUP(J747,REF!$D$2:$D$12,REF!$E$2:$E$12)</f>
        <v>Rede</v>
      </c>
      <c r="L747" s="1" t="s">
        <v>672</v>
      </c>
      <c r="M747" s="1" t="s">
        <v>251</v>
      </c>
      <c r="N747" s="1" t="s">
        <v>252</v>
      </c>
      <c r="O747" s="1" t="s">
        <v>723</v>
      </c>
      <c r="P747" s="1" t="str">
        <f t="shared" si="39"/>
        <v>Caiaponia ISG60KTL(COM1-014)46004,267361111146004,267361111146004,3305555556</v>
      </c>
      <c r="Q747" s="1" t="str">
        <f t="shared" si="40"/>
        <v>DAURDE</v>
      </c>
    </row>
    <row r="748" spans="2:17" hidden="1">
      <c r="B748" s="1" t="s">
        <v>780</v>
      </c>
      <c r="C748" s="1" t="s">
        <v>283</v>
      </c>
      <c r="D748" s="52">
        <v>46004.267361111109</v>
      </c>
      <c r="E748" s="52">
        <v>46004.267361111109</v>
      </c>
      <c r="F748" s="52">
        <v>46004.330555555556</v>
      </c>
      <c r="G748" s="53">
        <f t="shared" si="38"/>
        <v>6.3194444446708076E-2</v>
      </c>
      <c r="H748" s="1" t="s">
        <v>248</v>
      </c>
      <c r="J748" s="1" t="s">
        <v>249</v>
      </c>
      <c r="K748" s="1" t="str">
        <f>_xlfn.XLOOKUP(J748,REF!$D$2:$D$12,REF!$E$2:$E$12)</f>
        <v>Rede</v>
      </c>
      <c r="L748" s="1" t="s">
        <v>672</v>
      </c>
      <c r="M748" s="1" t="s">
        <v>251</v>
      </c>
      <c r="N748" s="1" t="s">
        <v>252</v>
      </c>
      <c r="O748" s="1" t="s">
        <v>723</v>
      </c>
      <c r="P748" s="1" t="str">
        <f t="shared" si="39"/>
        <v>Caiaponia ISG60KTL(COM1-015)46004,267361111146004,267361111146004,3305555556</v>
      </c>
      <c r="Q748" s="1" t="str">
        <f t="shared" si="40"/>
        <v>DAURDE</v>
      </c>
    </row>
    <row r="749" spans="2:17" hidden="1">
      <c r="B749" s="1" t="s">
        <v>780</v>
      </c>
      <c r="C749" s="1" t="s">
        <v>284</v>
      </c>
      <c r="D749" s="52">
        <v>46004.267361111109</v>
      </c>
      <c r="E749" s="52">
        <v>46004.267361111109</v>
      </c>
      <c r="F749" s="52">
        <v>46004.330555555556</v>
      </c>
      <c r="G749" s="53">
        <f t="shared" si="38"/>
        <v>6.3194444446708076E-2</v>
      </c>
      <c r="H749" s="1" t="s">
        <v>248</v>
      </c>
      <c r="J749" s="1" t="s">
        <v>249</v>
      </c>
      <c r="K749" s="1" t="str">
        <f>_xlfn.XLOOKUP(J749,REF!$D$2:$D$12,REF!$E$2:$E$12)</f>
        <v>Rede</v>
      </c>
      <c r="L749" s="1" t="s">
        <v>672</v>
      </c>
      <c r="M749" s="1" t="s">
        <v>251</v>
      </c>
      <c r="N749" s="1" t="s">
        <v>252</v>
      </c>
      <c r="O749" s="1" t="s">
        <v>723</v>
      </c>
      <c r="P749" s="1" t="str">
        <f t="shared" si="39"/>
        <v>Caiaponia ISG60KTL(COM3-016)_001_00946004,267361111146004,267361111146004,3305555556</v>
      </c>
      <c r="Q749" s="1" t="str">
        <f t="shared" si="40"/>
        <v>DAURDE</v>
      </c>
    </row>
    <row r="750" spans="2:17" hidden="1">
      <c r="B750" s="1" t="s">
        <v>780</v>
      </c>
      <c r="C750" s="1" t="s">
        <v>285</v>
      </c>
      <c r="D750" s="52">
        <v>46004.267361111109</v>
      </c>
      <c r="E750" s="52">
        <v>46004.267361111109</v>
      </c>
      <c r="F750" s="52">
        <v>46004.330555555556</v>
      </c>
      <c r="G750" s="53">
        <f t="shared" si="38"/>
        <v>6.3194444446708076E-2</v>
      </c>
      <c r="H750" s="1" t="s">
        <v>248</v>
      </c>
      <c r="J750" s="1" t="s">
        <v>249</v>
      </c>
      <c r="K750" s="1" t="str">
        <f>_xlfn.XLOOKUP(J750,REF!$D$2:$D$12,REF!$E$2:$E$12)</f>
        <v>Rede</v>
      </c>
      <c r="L750" s="1" t="s">
        <v>672</v>
      </c>
      <c r="M750" s="1" t="s">
        <v>251</v>
      </c>
      <c r="N750" s="1" t="s">
        <v>252</v>
      </c>
      <c r="O750" s="1" t="s">
        <v>723</v>
      </c>
      <c r="P750" s="1" t="str">
        <f t="shared" si="39"/>
        <v>Caiaponia ISG60KTL(COM3-017)_001_01246004,267361111146004,267361111146004,3305555556</v>
      </c>
      <c r="Q750" s="1" t="str">
        <f t="shared" si="40"/>
        <v>DAURDE</v>
      </c>
    </row>
    <row r="751" spans="2:17" hidden="1">
      <c r="B751" s="1" t="s">
        <v>780</v>
      </c>
      <c r="C751" s="1" t="s">
        <v>286</v>
      </c>
      <c r="D751" s="52">
        <v>46004.267361111109</v>
      </c>
      <c r="E751" s="52">
        <v>46004.267361111109</v>
      </c>
      <c r="F751" s="52">
        <v>46004.330555555556</v>
      </c>
      <c r="G751" s="53">
        <f t="shared" si="38"/>
        <v>6.3194444446708076E-2</v>
      </c>
      <c r="H751" s="1" t="s">
        <v>248</v>
      </c>
      <c r="J751" s="1" t="s">
        <v>249</v>
      </c>
      <c r="K751" s="1" t="str">
        <f>_xlfn.XLOOKUP(J751,REF!$D$2:$D$12,REF!$E$2:$E$12)</f>
        <v>Rede</v>
      </c>
      <c r="L751" s="1" t="s">
        <v>672</v>
      </c>
      <c r="M751" s="1" t="s">
        <v>251</v>
      </c>
      <c r="N751" s="1" t="s">
        <v>252</v>
      </c>
      <c r="O751" s="1" t="s">
        <v>723</v>
      </c>
      <c r="P751" s="1" t="str">
        <f t="shared" si="39"/>
        <v>Caiaponia ISG60KTL(COM3-018)_001_00846004,267361111146004,267361111146004,3305555556</v>
      </c>
      <c r="Q751" s="1" t="str">
        <f t="shared" si="40"/>
        <v>DAURDE</v>
      </c>
    </row>
    <row r="752" spans="2:17" hidden="1">
      <c r="B752" s="1" t="s">
        <v>780</v>
      </c>
      <c r="C752" s="1" t="s">
        <v>287</v>
      </c>
      <c r="D752" s="52">
        <v>46004.267361111109</v>
      </c>
      <c r="E752" s="52">
        <v>46004.267361111109</v>
      </c>
      <c r="F752" s="52">
        <v>46004.330555555556</v>
      </c>
      <c r="G752" s="53">
        <f t="shared" si="38"/>
        <v>6.3194444446708076E-2</v>
      </c>
      <c r="H752" s="1" t="s">
        <v>248</v>
      </c>
      <c r="J752" s="1" t="s">
        <v>249</v>
      </c>
      <c r="K752" s="1" t="str">
        <f>_xlfn.XLOOKUP(J752,REF!$D$2:$D$12,REF!$E$2:$E$12)</f>
        <v>Rede</v>
      </c>
      <c r="L752" s="1" t="s">
        <v>672</v>
      </c>
      <c r="M752" s="1" t="s">
        <v>251</v>
      </c>
      <c r="N752" s="1" t="s">
        <v>252</v>
      </c>
      <c r="O752" s="1" t="s">
        <v>723</v>
      </c>
      <c r="P752" s="1" t="str">
        <f t="shared" si="39"/>
        <v>Caiaponia ISG60KTL(COM3-019)_001_01946004,267361111146004,267361111146004,3305555556</v>
      </c>
      <c r="Q752" s="1" t="str">
        <f t="shared" si="40"/>
        <v>DAURDE</v>
      </c>
    </row>
    <row r="753" spans="2:17" hidden="1">
      <c r="B753" s="1" t="s">
        <v>780</v>
      </c>
      <c r="C753" s="1" t="s">
        <v>288</v>
      </c>
      <c r="D753" s="52">
        <v>46004.267361111109</v>
      </c>
      <c r="E753" s="52">
        <v>46004.267361111109</v>
      </c>
      <c r="F753" s="52">
        <v>46004.330555555556</v>
      </c>
      <c r="G753" s="53">
        <f t="shared" si="38"/>
        <v>6.3194444446708076E-2</v>
      </c>
      <c r="H753" s="1" t="s">
        <v>248</v>
      </c>
      <c r="J753" s="1" t="s">
        <v>249</v>
      </c>
      <c r="K753" s="1" t="str">
        <f>_xlfn.XLOOKUP(J753,REF!$D$2:$D$12,REF!$E$2:$E$12)</f>
        <v>Rede</v>
      </c>
      <c r="L753" s="1" t="s">
        <v>672</v>
      </c>
      <c r="M753" s="1" t="s">
        <v>251</v>
      </c>
      <c r="N753" s="1" t="s">
        <v>252</v>
      </c>
      <c r="O753" s="1" t="s">
        <v>723</v>
      </c>
      <c r="P753" s="1" t="str">
        <f t="shared" si="39"/>
        <v>Caiaponia ISG60KTL(COM3-020)_001_02046004,267361111146004,267361111146004,3305555556</v>
      </c>
      <c r="Q753" s="1" t="str">
        <f t="shared" si="40"/>
        <v>DAURDE</v>
      </c>
    </row>
    <row r="754" spans="2:17" hidden="1">
      <c r="B754" s="1" t="s">
        <v>780</v>
      </c>
      <c r="C754" s="1" t="s">
        <v>289</v>
      </c>
      <c r="D754" s="52">
        <v>46004.267361111109</v>
      </c>
      <c r="E754" s="52">
        <v>46004.267361111109</v>
      </c>
      <c r="F754" s="52">
        <v>46004.330555555556</v>
      </c>
      <c r="G754" s="53">
        <f t="shared" si="38"/>
        <v>6.3194444446708076E-2</v>
      </c>
      <c r="H754" s="1" t="s">
        <v>248</v>
      </c>
      <c r="J754" s="1" t="s">
        <v>249</v>
      </c>
      <c r="K754" s="1" t="str">
        <f>_xlfn.XLOOKUP(J754,REF!$D$2:$D$12,REF!$E$2:$E$12)</f>
        <v>Rede</v>
      </c>
      <c r="L754" s="1" t="s">
        <v>672</v>
      </c>
      <c r="M754" s="1" t="s">
        <v>251</v>
      </c>
      <c r="N754" s="1" t="s">
        <v>252</v>
      </c>
      <c r="O754" s="1" t="s">
        <v>723</v>
      </c>
      <c r="P754" s="1" t="str">
        <f t="shared" si="39"/>
        <v>Caiaponia ISG60KTL(COM2-026)46004,267361111146004,267361111146004,3305555556</v>
      </c>
      <c r="Q754" s="1" t="str">
        <f t="shared" si="40"/>
        <v>DAURDE</v>
      </c>
    </row>
    <row r="755" spans="2:17" hidden="1">
      <c r="B755" s="1" t="s">
        <v>780</v>
      </c>
      <c r="C755" s="1" t="s">
        <v>290</v>
      </c>
      <c r="D755" s="52">
        <v>46004.267361111109</v>
      </c>
      <c r="E755" s="52">
        <v>46004.267361111109</v>
      </c>
      <c r="F755" s="52">
        <v>46004.330555555556</v>
      </c>
      <c r="G755" s="53">
        <f t="shared" si="38"/>
        <v>6.3194444446708076E-2</v>
      </c>
      <c r="H755" s="1" t="s">
        <v>248</v>
      </c>
      <c r="J755" s="1" t="s">
        <v>249</v>
      </c>
      <c r="K755" s="1" t="str">
        <f>_xlfn.XLOOKUP(J755,REF!$D$2:$D$12,REF!$E$2:$E$12)</f>
        <v>Rede</v>
      </c>
      <c r="L755" s="1" t="s">
        <v>672</v>
      </c>
      <c r="M755" s="1" t="s">
        <v>251</v>
      </c>
      <c r="N755" s="1" t="s">
        <v>252</v>
      </c>
      <c r="O755" s="1" t="s">
        <v>723</v>
      </c>
      <c r="P755" s="1" t="str">
        <f t="shared" si="39"/>
        <v>Caiaponia ISG60KTL(COM2-027)46004,267361111146004,267361111146004,3305555556</v>
      </c>
      <c r="Q755" s="1" t="str">
        <f t="shared" si="40"/>
        <v>DAURDE</v>
      </c>
    </row>
    <row r="756" spans="2:17" hidden="1">
      <c r="B756" s="1" t="s">
        <v>780</v>
      </c>
      <c r="C756" s="1" t="s">
        <v>291</v>
      </c>
      <c r="D756" s="52">
        <v>46004.267361111109</v>
      </c>
      <c r="E756" s="52">
        <v>46004.267361111109</v>
      </c>
      <c r="F756" s="52">
        <v>46004.330555555556</v>
      </c>
      <c r="G756" s="53">
        <f t="shared" si="38"/>
        <v>6.3194444446708076E-2</v>
      </c>
      <c r="H756" s="1" t="s">
        <v>248</v>
      </c>
      <c r="J756" s="1" t="s">
        <v>249</v>
      </c>
      <c r="K756" s="1" t="str">
        <f>_xlfn.XLOOKUP(J756,REF!$D$2:$D$12,REF!$E$2:$E$12)</f>
        <v>Rede</v>
      </c>
      <c r="L756" s="1" t="s">
        <v>672</v>
      </c>
      <c r="M756" s="1" t="s">
        <v>251</v>
      </c>
      <c r="N756" s="1" t="s">
        <v>252</v>
      </c>
      <c r="O756" s="1" t="s">
        <v>723</v>
      </c>
      <c r="P756" s="1" t="str">
        <f t="shared" si="39"/>
        <v>Caiaponia ISG60KTL(COM2-028)46004,267361111146004,267361111146004,3305555556</v>
      </c>
      <c r="Q756" s="1" t="str">
        <f t="shared" si="40"/>
        <v>DAURDE</v>
      </c>
    </row>
    <row r="757" spans="2:17" hidden="1">
      <c r="B757" s="1" t="s">
        <v>780</v>
      </c>
      <c r="C757" s="1" t="s">
        <v>292</v>
      </c>
      <c r="D757" s="52">
        <v>46004.267361111109</v>
      </c>
      <c r="E757" s="52">
        <v>46004.267361111109</v>
      </c>
      <c r="F757" s="52">
        <v>46004.330555555556</v>
      </c>
      <c r="G757" s="53">
        <f t="shared" si="38"/>
        <v>6.3194444446708076E-2</v>
      </c>
      <c r="H757" s="1" t="s">
        <v>248</v>
      </c>
      <c r="J757" s="1" t="s">
        <v>249</v>
      </c>
      <c r="K757" s="1" t="str">
        <f>_xlfn.XLOOKUP(J757,REF!$D$2:$D$12,REF!$E$2:$E$12)</f>
        <v>Rede</v>
      </c>
      <c r="L757" s="1" t="s">
        <v>672</v>
      </c>
      <c r="M757" s="1" t="s">
        <v>251</v>
      </c>
      <c r="N757" s="1" t="s">
        <v>252</v>
      </c>
      <c r="O757" s="1" t="s">
        <v>723</v>
      </c>
      <c r="P757" s="1" t="str">
        <f t="shared" si="39"/>
        <v>Caiaponia ISG60KTL(COM2-029)46004,267361111146004,267361111146004,3305555556</v>
      </c>
      <c r="Q757" s="1" t="str">
        <f t="shared" si="40"/>
        <v>DAURDE</v>
      </c>
    </row>
    <row r="758" spans="2:17" hidden="1">
      <c r="B758" s="1" t="s">
        <v>780</v>
      </c>
      <c r="C758" s="1" t="s">
        <v>293</v>
      </c>
      <c r="D758" s="52">
        <v>46004.267361111109</v>
      </c>
      <c r="E758" s="52">
        <v>46004.267361111109</v>
      </c>
      <c r="F758" s="52">
        <v>46004.330555555556</v>
      </c>
      <c r="G758" s="53">
        <f t="shared" si="38"/>
        <v>6.3194444446708076E-2</v>
      </c>
      <c r="H758" s="1" t="s">
        <v>248</v>
      </c>
      <c r="J758" s="1" t="s">
        <v>249</v>
      </c>
      <c r="K758" s="1" t="str">
        <f>_xlfn.XLOOKUP(J758,REF!$D$2:$D$12,REF!$E$2:$E$12)</f>
        <v>Rede</v>
      </c>
      <c r="L758" s="1" t="s">
        <v>672</v>
      </c>
      <c r="M758" s="1" t="s">
        <v>251</v>
      </c>
      <c r="N758" s="1" t="s">
        <v>252</v>
      </c>
      <c r="O758" s="1" t="s">
        <v>723</v>
      </c>
      <c r="P758" s="1" t="str">
        <f t="shared" si="39"/>
        <v>Caiaponia ISG50CX(COM1-021)46004,267361111146004,267361111146004,3305555556</v>
      </c>
      <c r="Q758" s="1" t="str">
        <f t="shared" si="40"/>
        <v>DAURDE</v>
      </c>
    </row>
    <row r="759" spans="2:17" hidden="1">
      <c r="B759" s="1" t="s">
        <v>780</v>
      </c>
      <c r="C759" s="1" t="s">
        <v>294</v>
      </c>
      <c r="D759" s="52">
        <v>46004.267361111109</v>
      </c>
      <c r="E759" s="52">
        <v>46004.267361111109</v>
      </c>
      <c r="F759" s="52">
        <v>46004.330555555556</v>
      </c>
      <c r="G759" s="53">
        <f t="shared" si="38"/>
        <v>6.3194444446708076E-2</v>
      </c>
      <c r="H759" s="1" t="s">
        <v>248</v>
      </c>
      <c r="J759" s="1" t="s">
        <v>249</v>
      </c>
      <c r="K759" s="1" t="str">
        <f>_xlfn.XLOOKUP(J759,REF!$D$2:$D$12,REF!$E$2:$E$12)</f>
        <v>Rede</v>
      </c>
      <c r="L759" s="1" t="s">
        <v>672</v>
      </c>
      <c r="M759" s="1" t="s">
        <v>251</v>
      </c>
      <c r="N759" s="1" t="s">
        <v>252</v>
      </c>
      <c r="O759" s="1" t="s">
        <v>723</v>
      </c>
      <c r="P759" s="1" t="str">
        <f t="shared" si="39"/>
        <v>Caiaponia ISG50CX(COM1-022)46004,267361111146004,267361111146004,3305555556</v>
      </c>
      <c r="Q759" s="1" t="str">
        <f t="shared" si="40"/>
        <v>DAURDE</v>
      </c>
    </row>
    <row r="760" spans="2:17" hidden="1">
      <c r="B760" s="1" t="s">
        <v>780</v>
      </c>
      <c r="C760" s="1" t="s">
        <v>295</v>
      </c>
      <c r="D760" s="52">
        <v>46004.267361111109</v>
      </c>
      <c r="E760" s="52">
        <v>46004.267361111109</v>
      </c>
      <c r="F760" s="52">
        <v>46004.330555555556</v>
      </c>
      <c r="G760" s="53">
        <f t="shared" si="38"/>
        <v>6.3194444446708076E-2</v>
      </c>
      <c r="H760" s="1" t="s">
        <v>248</v>
      </c>
      <c r="J760" s="1" t="s">
        <v>249</v>
      </c>
      <c r="K760" s="1" t="str">
        <f>_xlfn.XLOOKUP(J760,REF!$D$2:$D$12,REF!$E$2:$E$12)</f>
        <v>Rede</v>
      </c>
      <c r="L760" s="1" t="s">
        <v>672</v>
      </c>
      <c r="M760" s="1" t="s">
        <v>251</v>
      </c>
      <c r="N760" s="1" t="s">
        <v>252</v>
      </c>
      <c r="O760" s="1" t="s">
        <v>723</v>
      </c>
      <c r="P760" s="1" t="str">
        <f t="shared" si="39"/>
        <v>Caiaponia ISG50CX(COM1-023)46004,267361111146004,267361111146004,3305555556</v>
      </c>
      <c r="Q760" s="1" t="str">
        <f t="shared" si="40"/>
        <v>DAURDE</v>
      </c>
    </row>
    <row r="761" spans="2:17" hidden="1">
      <c r="B761" s="1" t="s">
        <v>780</v>
      </c>
      <c r="C761" s="1" t="s">
        <v>296</v>
      </c>
      <c r="D761" s="52">
        <v>46004.267361111109</v>
      </c>
      <c r="E761" s="52">
        <v>46004.267361111109</v>
      </c>
      <c r="F761" s="52">
        <v>46004.330555555556</v>
      </c>
      <c r="G761" s="53">
        <f t="shared" si="38"/>
        <v>6.3194444446708076E-2</v>
      </c>
      <c r="H761" s="1" t="s">
        <v>248</v>
      </c>
      <c r="J761" s="1" t="s">
        <v>249</v>
      </c>
      <c r="K761" s="1" t="str">
        <f>_xlfn.XLOOKUP(J761,REF!$D$2:$D$12,REF!$E$2:$E$12)</f>
        <v>Rede</v>
      </c>
      <c r="L761" s="1" t="s">
        <v>672</v>
      </c>
      <c r="M761" s="1" t="s">
        <v>251</v>
      </c>
      <c r="N761" s="1" t="s">
        <v>252</v>
      </c>
      <c r="O761" s="1" t="s">
        <v>723</v>
      </c>
      <c r="P761" s="1" t="str">
        <f t="shared" si="39"/>
        <v>Caiaponia ISG50CX(COM1-024)46004,267361111146004,267361111146004,3305555556</v>
      </c>
      <c r="Q761" s="1" t="str">
        <f t="shared" si="40"/>
        <v>DAURDE</v>
      </c>
    </row>
    <row r="762" spans="2:17" hidden="1">
      <c r="B762" s="1" t="s">
        <v>780</v>
      </c>
      <c r="C762" s="1" t="s">
        <v>297</v>
      </c>
      <c r="D762" s="52">
        <v>46004.267361111109</v>
      </c>
      <c r="E762" s="52">
        <v>46004.267361111109</v>
      </c>
      <c r="F762" s="52">
        <v>46004.330555555556</v>
      </c>
      <c r="G762" s="53">
        <f t="shared" si="38"/>
        <v>6.3194444446708076E-2</v>
      </c>
      <c r="H762" s="1" t="s">
        <v>248</v>
      </c>
      <c r="J762" s="1" t="s">
        <v>249</v>
      </c>
      <c r="K762" s="1" t="str">
        <f>_xlfn.XLOOKUP(J762,REF!$D$2:$D$12,REF!$E$2:$E$12)</f>
        <v>Rede</v>
      </c>
      <c r="L762" s="1" t="s">
        <v>672</v>
      </c>
      <c r="M762" s="1" t="s">
        <v>251</v>
      </c>
      <c r="N762" s="1" t="s">
        <v>252</v>
      </c>
      <c r="O762" s="1" t="s">
        <v>723</v>
      </c>
      <c r="P762" s="1" t="str">
        <f t="shared" si="39"/>
        <v>Caiaponia ISG50CX(COM1-025)46004,267361111146004,267361111146004,3305555556</v>
      </c>
      <c r="Q762" s="1" t="str">
        <f t="shared" si="40"/>
        <v>DAURDE</v>
      </c>
    </row>
    <row r="763" spans="2:17">
      <c r="B763" s="1" t="s">
        <v>823</v>
      </c>
      <c r="C763" s="1" t="s">
        <v>824</v>
      </c>
      <c r="D763" s="52">
        <v>46002.263888888891</v>
      </c>
      <c r="E763" s="52">
        <v>46002.263888888891</v>
      </c>
      <c r="F763" s="52">
        <v>46002.395833333336</v>
      </c>
      <c r="G763" s="53">
        <f t="shared" si="38"/>
        <v>0.13194444444525288</v>
      </c>
      <c r="H763" s="1" t="s">
        <v>260</v>
      </c>
      <c r="I763" s="1" t="s">
        <v>261</v>
      </c>
      <c r="J763" s="1" t="s">
        <v>262</v>
      </c>
      <c r="K763" s="1" t="str">
        <f>_xlfn.XLOOKUP(J763,REF!$D$2:$D$12,REF!$E$2:$E$12)</f>
        <v>Comunicação</v>
      </c>
      <c r="L763" s="1" t="s">
        <v>390</v>
      </c>
      <c r="M763" s="1" t="s">
        <v>391</v>
      </c>
      <c r="N763" s="1" t="s">
        <v>266</v>
      </c>
      <c r="O763" s="1" t="s">
        <v>392</v>
      </c>
      <c r="P763" s="1" t="str">
        <f t="shared" si="39"/>
        <v>Panamá IITAPOAN 001 (COM1-001)_001_00146002,263888888946002,263888888946002,3958333333</v>
      </c>
      <c r="Q763" s="1" t="str">
        <f t="shared" si="40"/>
        <v>LIGRFOCOM</v>
      </c>
    </row>
    <row r="764" spans="2:17">
      <c r="B764" s="1" t="s">
        <v>429</v>
      </c>
      <c r="C764" s="1" t="s">
        <v>357</v>
      </c>
      <c r="D764" s="52">
        <v>45992.760416666664</v>
      </c>
      <c r="E764" s="52">
        <v>45992.760416666664</v>
      </c>
      <c r="F764" s="52">
        <v>45992.767361111109</v>
      </c>
      <c r="G764" s="53">
        <f t="shared" ref="G764:G827" si="41">F764-E764</f>
        <v>6.9444444452528842E-3</v>
      </c>
      <c r="H764" s="1" t="s">
        <v>260</v>
      </c>
      <c r="I764" s="1" t="s">
        <v>261</v>
      </c>
      <c r="J764" s="1" t="s">
        <v>262</v>
      </c>
      <c r="K764" s="1" t="str">
        <f>_xlfn.XLOOKUP(J764,REF!$D$2:$D$12,REF!$E$2:$E$12)</f>
        <v>Comunicação</v>
      </c>
      <c r="L764" s="1" t="s">
        <v>390</v>
      </c>
      <c r="M764" s="1" t="s">
        <v>391</v>
      </c>
      <c r="N764" s="1" t="s">
        <v>825</v>
      </c>
      <c r="O764" s="1" t="s">
        <v>826</v>
      </c>
      <c r="P764" s="1" t="str">
        <f t="shared" si="39"/>
        <v>BC Formoso1.1Inverter(MBUS-13)45992,760416666745992,760416666745992,7673611111</v>
      </c>
      <c r="Q764" s="1" t="str">
        <f t="shared" si="40"/>
        <v>LIGRFOCOM</v>
      </c>
    </row>
    <row r="765" spans="2:17">
      <c r="B765" s="1" t="s">
        <v>429</v>
      </c>
      <c r="C765" s="1" t="s">
        <v>354</v>
      </c>
      <c r="D765" s="52">
        <v>45992.760416666664</v>
      </c>
      <c r="E765" s="52">
        <v>45992.760416666664</v>
      </c>
      <c r="F765" s="52">
        <v>45992.767361111109</v>
      </c>
      <c r="G765" s="53">
        <f t="shared" ref="G765:G783" si="42">F765-E765</f>
        <v>6.9444444452528842E-3</v>
      </c>
      <c r="H765" s="1" t="s">
        <v>260</v>
      </c>
      <c r="I765" s="1" t="s">
        <v>261</v>
      </c>
      <c r="J765" s="1" t="s">
        <v>262</v>
      </c>
      <c r="K765" s="1" t="str">
        <f>_xlfn.XLOOKUP(J765,REF!$D$2:$D$12,REF!$E$2:$E$12)</f>
        <v>Comunicação</v>
      </c>
      <c r="L765" s="1" t="s">
        <v>390</v>
      </c>
      <c r="M765" s="1" t="s">
        <v>391</v>
      </c>
      <c r="N765" s="1" t="s">
        <v>825</v>
      </c>
      <c r="O765" s="1" t="s">
        <v>826</v>
      </c>
      <c r="P765" s="1" t="str">
        <f t="shared" si="39"/>
        <v>BC Formoso1.1Inverter(MBUS-12)45992,760416666745992,760416666745992,7673611111</v>
      </c>
      <c r="Q765" s="1" t="str">
        <f t="shared" si="40"/>
        <v>LIGRFOCOM</v>
      </c>
    </row>
    <row r="766" spans="2:17">
      <c r="B766" s="1" t="s">
        <v>429</v>
      </c>
      <c r="C766" s="1" t="s">
        <v>359</v>
      </c>
      <c r="D766" s="52">
        <v>45992.760416666664</v>
      </c>
      <c r="E766" s="52">
        <v>45992.760416666664</v>
      </c>
      <c r="F766" s="52">
        <v>45992.767361111109</v>
      </c>
      <c r="G766" s="53">
        <f t="shared" si="42"/>
        <v>6.9444444452528842E-3</v>
      </c>
      <c r="H766" s="1" t="s">
        <v>260</v>
      </c>
      <c r="I766" s="1" t="s">
        <v>261</v>
      </c>
      <c r="J766" s="1" t="s">
        <v>262</v>
      </c>
      <c r="K766" s="1" t="str">
        <f>_xlfn.XLOOKUP(J766,REF!$D$2:$D$12,REF!$E$2:$E$12)</f>
        <v>Comunicação</v>
      </c>
      <c r="L766" s="1" t="s">
        <v>390</v>
      </c>
      <c r="M766" s="1" t="s">
        <v>391</v>
      </c>
      <c r="N766" s="1" t="s">
        <v>825</v>
      </c>
      <c r="O766" s="1" t="s">
        <v>826</v>
      </c>
      <c r="P766" s="1" t="str">
        <f t="shared" si="39"/>
        <v>BC Formoso1.1Inverter(MBUS-15)45992,760416666745992,760416666745992,7673611111</v>
      </c>
      <c r="Q766" s="1" t="str">
        <f t="shared" si="40"/>
        <v>LIGRFOCOM</v>
      </c>
    </row>
    <row r="767" spans="2:17">
      <c r="B767" s="1" t="s">
        <v>429</v>
      </c>
      <c r="C767" s="1" t="s">
        <v>358</v>
      </c>
      <c r="D767" s="52">
        <v>45992.760416666664</v>
      </c>
      <c r="E767" s="52">
        <v>45992.760416666664</v>
      </c>
      <c r="F767" s="52">
        <v>45992.767361111109</v>
      </c>
      <c r="G767" s="53">
        <f t="shared" si="42"/>
        <v>6.9444444452528842E-3</v>
      </c>
      <c r="H767" s="1" t="s">
        <v>260</v>
      </c>
      <c r="I767" s="1" t="s">
        <v>261</v>
      </c>
      <c r="J767" s="1" t="s">
        <v>262</v>
      </c>
      <c r="K767" s="1" t="str">
        <f>_xlfn.XLOOKUP(J767,REF!$D$2:$D$12,REF!$E$2:$E$12)</f>
        <v>Comunicação</v>
      </c>
      <c r="L767" s="1" t="s">
        <v>390</v>
      </c>
      <c r="M767" s="1" t="s">
        <v>391</v>
      </c>
      <c r="N767" s="1" t="s">
        <v>825</v>
      </c>
      <c r="O767" s="1" t="s">
        <v>826</v>
      </c>
      <c r="P767" s="1" t="str">
        <f t="shared" si="39"/>
        <v>BC Formoso1.1Inverter(MBUS-14)45992,760416666745992,760416666745992,7673611111</v>
      </c>
      <c r="Q767" s="1" t="str">
        <f t="shared" si="40"/>
        <v>LIGRFOCOM</v>
      </c>
    </row>
    <row r="768" spans="2:17">
      <c r="B768" s="1" t="s">
        <v>421</v>
      </c>
      <c r="C768" s="1" t="s">
        <v>357</v>
      </c>
      <c r="D768" s="52">
        <v>45992.760416666664</v>
      </c>
      <c r="E768" s="52">
        <v>45992.760416666664</v>
      </c>
      <c r="F768" s="52">
        <v>45992.767361111109</v>
      </c>
      <c r="G768" s="53">
        <f t="shared" si="42"/>
        <v>6.9444444452528842E-3</v>
      </c>
      <c r="H768" s="1" t="s">
        <v>260</v>
      </c>
      <c r="I768" s="1" t="s">
        <v>261</v>
      </c>
      <c r="J768" s="1" t="s">
        <v>262</v>
      </c>
      <c r="K768" s="1" t="str">
        <f>_xlfn.XLOOKUP(J768,REF!$D$2:$D$12,REF!$E$2:$E$12)</f>
        <v>Comunicação</v>
      </c>
      <c r="L768" s="1" t="s">
        <v>390</v>
      </c>
      <c r="M768" s="1" t="s">
        <v>391</v>
      </c>
      <c r="N768" s="1" t="s">
        <v>825</v>
      </c>
      <c r="O768" s="1" t="s">
        <v>826</v>
      </c>
      <c r="P768" s="1" t="str">
        <f t="shared" si="39"/>
        <v>BC Formoso1.2Inverter(MBUS-13)45992,760416666745992,760416666745992,7673611111</v>
      </c>
      <c r="Q768" s="1" t="str">
        <f t="shared" si="40"/>
        <v>LIGRFOCOM</v>
      </c>
    </row>
    <row r="769" spans="2:17">
      <c r="B769" s="1" t="s">
        <v>421</v>
      </c>
      <c r="C769" s="1" t="s">
        <v>354</v>
      </c>
      <c r="D769" s="52">
        <v>45992.760416666664</v>
      </c>
      <c r="E769" s="52">
        <v>45992.760416666664</v>
      </c>
      <c r="F769" s="52">
        <v>45992.767361111109</v>
      </c>
      <c r="G769" s="53">
        <f t="shared" si="42"/>
        <v>6.9444444452528842E-3</v>
      </c>
      <c r="H769" s="1" t="s">
        <v>260</v>
      </c>
      <c r="I769" s="1" t="s">
        <v>261</v>
      </c>
      <c r="J769" s="1" t="s">
        <v>262</v>
      </c>
      <c r="K769" s="1" t="str">
        <f>_xlfn.XLOOKUP(J769,REF!$D$2:$D$12,REF!$E$2:$E$12)</f>
        <v>Comunicação</v>
      </c>
      <c r="L769" s="1" t="s">
        <v>390</v>
      </c>
      <c r="M769" s="1" t="s">
        <v>391</v>
      </c>
      <c r="N769" s="1" t="s">
        <v>825</v>
      </c>
      <c r="O769" s="1" t="s">
        <v>826</v>
      </c>
      <c r="P769" s="1" t="str">
        <f t="shared" si="39"/>
        <v>BC Formoso1.2Inverter(MBUS-12)45992,760416666745992,760416666745992,7673611111</v>
      </c>
      <c r="Q769" s="1" t="str">
        <f t="shared" si="40"/>
        <v>LIGRFOCOM</v>
      </c>
    </row>
    <row r="770" spans="2:17">
      <c r="B770" s="1" t="s">
        <v>421</v>
      </c>
      <c r="C770" s="1" t="s">
        <v>359</v>
      </c>
      <c r="D770" s="52">
        <v>45992.760416666664</v>
      </c>
      <c r="E770" s="52">
        <v>45992.760416666664</v>
      </c>
      <c r="F770" s="52">
        <v>45992.767361111109</v>
      </c>
      <c r="G770" s="53">
        <f t="shared" si="42"/>
        <v>6.9444444452528842E-3</v>
      </c>
      <c r="H770" s="1" t="s">
        <v>260</v>
      </c>
      <c r="I770" s="1" t="s">
        <v>261</v>
      </c>
      <c r="J770" s="1" t="s">
        <v>262</v>
      </c>
      <c r="K770" s="1" t="str">
        <f>_xlfn.XLOOKUP(J770,REF!$D$2:$D$12,REF!$E$2:$E$12)</f>
        <v>Comunicação</v>
      </c>
      <c r="L770" s="1" t="s">
        <v>390</v>
      </c>
      <c r="M770" s="1" t="s">
        <v>391</v>
      </c>
      <c r="N770" s="1" t="s">
        <v>825</v>
      </c>
      <c r="O770" s="1" t="s">
        <v>826</v>
      </c>
      <c r="P770" s="1" t="str">
        <f t="shared" si="39"/>
        <v>BC Formoso1.2Inverter(MBUS-15)45992,760416666745992,760416666745992,7673611111</v>
      </c>
      <c r="Q770" s="1" t="str">
        <f t="shared" si="40"/>
        <v>LIGRFOCOM</v>
      </c>
    </row>
    <row r="771" spans="2:17">
      <c r="B771" s="1" t="s">
        <v>421</v>
      </c>
      <c r="C771" s="1" t="s">
        <v>358</v>
      </c>
      <c r="D771" s="52">
        <v>45992.760416666664</v>
      </c>
      <c r="E771" s="52">
        <v>45992.760416666664</v>
      </c>
      <c r="F771" s="52">
        <v>45992.767361111109</v>
      </c>
      <c r="G771" s="53">
        <f t="shared" si="42"/>
        <v>6.9444444452528842E-3</v>
      </c>
      <c r="H771" s="1" t="s">
        <v>260</v>
      </c>
      <c r="I771" s="1" t="s">
        <v>261</v>
      </c>
      <c r="J771" s="1" t="s">
        <v>262</v>
      </c>
      <c r="K771" s="1" t="str">
        <f>_xlfn.XLOOKUP(J771,REF!$D$2:$D$12,REF!$E$2:$E$12)</f>
        <v>Comunicação</v>
      </c>
      <c r="L771" s="1" t="s">
        <v>390</v>
      </c>
      <c r="M771" s="1" t="s">
        <v>391</v>
      </c>
      <c r="N771" s="1" t="s">
        <v>825</v>
      </c>
      <c r="O771" s="1" t="s">
        <v>826</v>
      </c>
      <c r="P771" s="1" t="str">
        <f t="shared" ref="P771:P800" si="43">_xlfn.CONCAT(B771,C771,D771,E771,F771)</f>
        <v>BC Formoso1.2Inverter(MBUS-14)45992,760416666745992,760416666745992,7673611111</v>
      </c>
      <c r="Q771" s="1" t="str">
        <f t="shared" ref="Q771:Q800" si="44">_xlfn.CONCAT(H771,I771,J771)</f>
        <v>LIGRFOCOM</v>
      </c>
    </row>
    <row r="772" spans="2:17">
      <c r="B772" s="1" t="s">
        <v>430</v>
      </c>
      <c r="C772" s="1" t="s">
        <v>357</v>
      </c>
      <c r="D772" s="52">
        <v>45992.760416666664</v>
      </c>
      <c r="E772" s="52">
        <v>45992.760416666664</v>
      </c>
      <c r="F772" s="52">
        <v>45992.767361111109</v>
      </c>
      <c r="G772" s="53">
        <f t="shared" si="42"/>
        <v>6.9444444452528842E-3</v>
      </c>
      <c r="H772" s="1" t="s">
        <v>260</v>
      </c>
      <c r="I772" s="1" t="s">
        <v>261</v>
      </c>
      <c r="J772" s="1" t="s">
        <v>262</v>
      </c>
      <c r="K772" s="1" t="str">
        <f>_xlfn.XLOOKUP(J772,REF!$D$2:$D$12,REF!$E$2:$E$12)</f>
        <v>Comunicação</v>
      </c>
      <c r="L772" s="1" t="s">
        <v>390</v>
      </c>
      <c r="M772" s="1" t="s">
        <v>391</v>
      </c>
      <c r="N772" s="1" t="s">
        <v>825</v>
      </c>
      <c r="O772" s="1" t="s">
        <v>826</v>
      </c>
      <c r="P772" s="1" t="str">
        <f t="shared" si="43"/>
        <v>BC Formoso1.3Inverter(MBUS-13)45992,760416666745992,760416666745992,7673611111</v>
      </c>
      <c r="Q772" s="1" t="str">
        <f t="shared" si="44"/>
        <v>LIGRFOCOM</v>
      </c>
    </row>
    <row r="773" spans="2:17">
      <c r="B773" s="1" t="s">
        <v>430</v>
      </c>
      <c r="C773" s="1" t="s">
        <v>354</v>
      </c>
      <c r="D773" s="52">
        <v>45992.760416666664</v>
      </c>
      <c r="E773" s="52">
        <v>45992.760416666664</v>
      </c>
      <c r="F773" s="52">
        <v>45992.767361111109</v>
      </c>
      <c r="G773" s="53">
        <f t="shared" si="42"/>
        <v>6.9444444452528842E-3</v>
      </c>
      <c r="H773" s="1" t="s">
        <v>260</v>
      </c>
      <c r="I773" s="1" t="s">
        <v>261</v>
      </c>
      <c r="J773" s="1" t="s">
        <v>262</v>
      </c>
      <c r="K773" s="1" t="str">
        <f>_xlfn.XLOOKUP(J773,REF!$D$2:$D$12,REF!$E$2:$E$12)</f>
        <v>Comunicação</v>
      </c>
      <c r="L773" s="1" t="s">
        <v>390</v>
      </c>
      <c r="M773" s="1" t="s">
        <v>391</v>
      </c>
      <c r="N773" s="1" t="s">
        <v>825</v>
      </c>
      <c r="O773" s="1" t="s">
        <v>826</v>
      </c>
      <c r="P773" s="1" t="str">
        <f t="shared" si="43"/>
        <v>BC Formoso1.3Inverter(MBUS-12)45992,760416666745992,760416666745992,7673611111</v>
      </c>
      <c r="Q773" s="1" t="str">
        <f t="shared" si="44"/>
        <v>LIGRFOCOM</v>
      </c>
    </row>
    <row r="774" spans="2:17">
      <c r="B774" s="1" t="s">
        <v>423</v>
      </c>
      <c r="C774" s="1" t="s">
        <v>354</v>
      </c>
      <c r="D774" s="52">
        <v>45992.760416666664</v>
      </c>
      <c r="E774" s="52">
        <v>45992.760416666664</v>
      </c>
      <c r="F774" s="52">
        <v>45992.767361111109</v>
      </c>
      <c r="G774" s="53">
        <f t="shared" si="42"/>
        <v>6.9444444452528842E-3</v>
      </c>
      <c r="H774" s="1" t="s">
        <v>260</v>
      </c>
      <c r="I774" s="1" t="s">
        <v>261</v>
      </c>
      <c r="J774" s="1" t="s">
        <v>262</v>
      </c>
      <c r="K774" s="1" t="str">
        <f>_xlfn.XLOOKUP(J774,REF!$D$2:$D$12,REF!$E$2:$E$12)</f>
        <v>Comunicação</v>
      </c>
      <c r="L774" s="1" t="s">
        <v>390</v>
      </c>
      <c r="M774" s="1" t="s">
        <v>391</v>
      </c>
      <c r="N774" s="1" t="s">
        <v>825</v>
      </c>
      <c r="O774" s="1" t="s">
        <v>826</v>
      </c>
      <c r="P774" s="1" t="str">
        <f t="shared" si="43"/>
        <v>BC Formoso2.1Inverter(MBUS-12)45992,760416666745992,760416666745992,7673611111</v>
      </c>
      <c r="Q774" s="1" t="str">
        <f t="shared" si="44"/>
        <v>LIGRFOCOM</v>
      </c>
    </row>
    <row r="775" spans="2:17">
      <c r="B775" s="1" t="s">
        <v>423</v>
      </c>
      <c r="C775" s="1" t="s">
        <v>358</v>
      </c>
      <c r="D775" s="52">
        <v>45992.760416666664</v>
      </c>
      <c r="E775" s="52">
        <v>45992.760416666664</v>
      </c>
      <c r="F775" s="52">
        <v>45992.767361111109</v>
      </c>
      <c r="G775" s="53">
        <f t="shared" si="42"/>
        <v>6.9444444452528842E-3</v>
      </c>
      <c r="H775" s="1" t="s">
        <v>260</v>
      </c>
      <c r="I775" s="1" t="s">
        <v>261</v>
      </c>
      <c r="J775" s="1" t="s">
        <v>262</v>
      </c>
      <c r="K775" s="1" t="str">
        <f>_xlfn.XLOOKUP(J775,REF!$D$2:$D$12,REF!$E$2:$E$12)</f>
        <v>Comunicação</v>
      </c>
      <c r="L775" s="1" t="s">
        <v>390</v>
      </c>
      <c r="M775" s="1" t="s">
        <v>391</v>
      </c>
      <c r="N775" s="1" t="s">
        <v>825</v>
      </c>
      <c r="O775" s="1" t="s">
        <v>826</v>
      </c>
      <c r="P775" s="1" t="str">
        <f t="shared" si="43"/>
        <v>BC Formoso2.1Inverter(MBUS-14)45992,760416666745992,760416666745992,7673611111</v>
      </c>
      <c r="Q775" s="1" t="str">
        <f t="shared" si="44"/>
        <v>LIGRFOCOM</v>
      </c>
    </row>
    <row r="776" spans="2:17">
      <c r="B776" s="1" t="s">
        <v>423</v>
      </c>
      <c r="C776" s="1" t="s">
        <v>357</v>
      </c>
      <c r="D776" s="52">
        <v>45992.760416666664</v>
      </c>
      <c r="E776" s="52">
        <v>45992.760416666664</v>
      </c>
      <c r="F776" s="52">
        <v>45992.767361111109</v>
      </c>
      <c r="G776" s="53">
        <f t="shared" si="42"/>
        <v>6.9444444452528842E-3</v>
      </c>
      <c r="H776" s="1" t="s">
        <v>260</v>
      </c>
      <c r="I776" s="1" t="s">
        <v>261</v>
      </c>
      <c r="J776" s="1" t="s">
        <v>262</v>
      </c>
      <c r="K776" s="1" t="str">
        <f>_xlfn.XLOOKUP(J776,REF!$D$2:$D$12,REF!$E$2:$E$12)</f>
        <v>Comunicação</v>
      </c>
      <c r="L776" s="1" t="s">
        <v>390</v>
      </c>
      <c r="M776" s="1" t="s">
        <v>391</v>
      </c>
      <c r="N776" s="1" t="s">
        <v>825</v>
      </c>
      <c r="O776" s="1" t="s">
        <v>826</v>
      </c>
      <c r="P776" s="1" t="str">
        <f t="shared" si="43"/>
        <v>BC Formoso2.1Inverter(MBUS-13)45992,760416666745992,760416666745992,7673611111</v>
      </c>
      <c r="Q776" s="1" t="str">
        <f t="shared" si="44"/>
        <v>LIGRFOCOM</v>
      </c>
    </row>
    <row r="777" spans="2:17">
      <c r="B777" s="1" t="s">
        <v>423</v>
      </c>
      <c r="C777" s="1" t="s">
        <v>328</v>
      </c>
      <c r="D777" s="52">
        <v>45992.760416666664</v>
      </c>
      <c r="E777" s="52">
        <v>45992.760416666664</v>
      </c>
      <c r="F777" s="52">
        <v>45992.767361111109</v>
      </c>
      <c r="G777" s="53">
        <f t="shared" si="42"/>
        <v>6.9444444452528842E-3</v>
      </c>
      <c r="H777" s="1" t="s">
        <v>260</v>
      </c>
      <c r="I777" s="1" t="s">
        <v>261</v>
      </c>
      <c r="J777" s="1" t="s">
        <v>262</v>
      </c>
      <c r="K777" s="1" t="str">
        <f>_xlfn.XLOOKUP(J777,REF!$D$2:$D$12,REF!$E$2:$E$12)</f>
        <v>Comunicação</v>
      </c>
      <c r="L777" s="1" t="s">
        <v>390</v>
      </c>
      <c r="M777" s="1" t="s">
        <v>391</v>
      </c>
      <c r="N777" s="1" t="s">
        <v>825</v>
      </c>
      <c r="O777" s="1" t="s">
        <v>826</v>
      </c>
      <c r="P777" s="1" t="str">
        <f t="shared" si="43"/>
        <v>BC Formoso2.1Inverter(MBUS-1)45992,760416666745992,760416666745992,7673611111</v>
      </c>
      <c r="Q777" s="1" t="str">
        <f t="shared" si="44"/>
        <v>LIGRFOCOM</v>
      </c>
    </row>
    <row r="778" spans="2:17">
      <c r="B778" s="1" t="s">
        <v>424</v>
      </c>
      <c r="C778" s="1" t="s">
        <v>358</v>
      </c>
      <c r="D778" s="52">
        <v>45992.760416666664</v>
      </c>
      <c r="E778" s="52">
        <v>45992.760416666664</v>
      </c>
      <c r="F778" s="52">
        <v>45992.767361111109</v>
      </c>
      <c r="G778" s="53">
        <f t="shared" si="42"/>
        <v>6.9444444452528842E-3</v>
      </c>
      <c r="H778" s="1" t="s">
        <v>260</v>
      </c>
      <c r="I778" s="1" t="s">
        <v>261</v>
      </c>
      <c r="J778" s="1" t="s">
        <v>262</v>
      </c>
      <c r="K778" s="1" t="str">
        <f>_xlfn.XLOOKUP(J778,REF!$D$2:$D$12,REF!$E$2:$E$12)</f>
        <v>Comunicação</v>
      </c>
      <c r="L778" s="1" t="s">
        <v>390</v>
      </c>
      <c r="M778" s="1" t="s">
        <v>391</v>
      </c>
      <c r="N778" s="1" t="s">
        <v>825</v>
      </c>
      <c r="O778" s="1" t="s">
        <v>826</v>
      </c>
      <c r="P778" s="1" t="str">
        <f t="shared" si="43"/>
        <v>BC Formoso2.2Inverter(MBUS-14)45992,760416666745992,760416666745992,7673611111</v>
      </c>
      <c r="Q778" s="1" t="str">
        <f t="shared" si="44"/>
        <v>LIGRFOCOM</v>
      </c>
    </row>
    <row r="779" spans="2:17">
      <c r="B779" s="1" t="s">
        <v>424</v>
      </c>
      <c r="C779" s="1" t="s">
        <v>357</v>
      </c>
      <c r="D779" s="52">
        <v>45992.760416666664</v>
      </c>
      <c r="E779" s="52">
        <v>45992.760416666664</v>
      </c>
      <c r="F779" s="52">
        <v>45992.767361111109</v>
      </c>
      <c r="G779" s="53">
        <f t="shared" si="42"/>
        <v>6.9444444452528842E-3</v>
      </c>
      <c r="H779" s="1" t="s">
        <v>260</v>
      </c>
      <c r="I779" s="1" t="s">
        <v>261</v>
      </c>
      <c r="J779" s="1" t="s">
        <v>262</v>
      </c>
      <c r="K779" s="1" t="str">
        <f>_xlfn.XLOOKUP(J779,REF!$D$2:$D$12,REF!$E$2:$E$12)</f>
        <v>Comunicação</v>
      </c>
      <c r="L779" s="1" t="s">
        <v>390</v>
      </c>
      <c r="M779" s="1" t="s">
        <v>391</v>
      </c>
      <c r="N779" s="1" t="s">
        <v>825</v>
      </c>
      <c r="O779" s="1" t="s">
        <v>826</v>
      </c>
      <c r="P779" s="1" t="str">
        <f t="shared" si="43"/>
        <v>BC Formoso2.2Inverter(MBUS-13)45992,760416666745992,760416666745992,7673611111</v>
      </c>
      <c r="Q779" s="1" t="str">
        <f t="shared" si="44"/>
        <v>LIGRFOCOM</v>
      </c>
    </row>
    <row r="780" spans="2:17">
      <c r="B780" s="1" t="s">
        <v>424</v>
      </c>
      <c r="C780" s="1" t="s">
        <v>354</v>
      </c>
      <c r="D780" s="52">
        <v>45992.760416666664</v>
      </c>
      <c r="E780" s="52">
        <v>45992.760416666664</v>
      </c>
      <c r="F780" s="52">
        <v>45992.767361111109</v>
      </c>
      <c r="G780" s="53">
        <f t="shared" si="42"/>
        <v>6.9444444452528842E-3</v>
      </c>
      <c r="H780" s="1" t="s">
        <v>260</v>
      </c>
      <c r="I780" s="1" t="s">
        <v>261</v>
      </c>
      <c r="J780" s="1" t="s">
        <v>262</v>
      </c>
      <c r="K780" s="1" t="str">
        <f>_xlfn.XLOOKUP(J780,REF!$D$2:$D$12,REF!$E$2:$E$12)</f>
        <v>Comunicação</v>
      </c>
      <c r="L780" s="1" t="s">
        <v>390</v>
      </c>
      <c r="M780" s="1" t="s">
        <v>391</v>
      </c>
      <c r="N780" s="1" t="s">
        <v>825</v>
      </c>
      <c r="O780" s="1" t="s">
        <v>826</v>
      </c>
      <c r="P780" s="1" t="str">
        <f t="shared" si="43"/>
        <v>BC Formoso2.2Inverter(MBUS-12)45992,760416666745992,760416666745992,7673611111</v>
      </c>
      <c r="Q780" s="1" t="str">
        <f t="shared" si="44"/>
        <v>LIGRFOCOM</v>
      </c>
    </row>
    <row r="781" spans="2:17">
      <c r="B781" s="1" t="s">
        <v>424</v>
      </c>
      <c r="C781" s="1" t="s">
        <v>328</v>
      </c>
      <c r="D781" s="52">
        <v>45992.760416666664</v>
      </c>
      <c r="E781" s="52">
        <v>45992.760416666664</v>
      </c>
      <c r="F781" s="52">
        <v>45992.767361111109</v>
      </c>
      <c r="G781" s="53">
        <f t="shared" si="42"/>
        <v>6.9444444452528842E-3</v>
      </c>
      <c r="H781" s="1" t="s">
        <v>260</v>
      </c>
      <c r="I781" s="1" t="s">
        <v>261</v>
      </c>
      <c r="J781" s="1" t="s">
        <v>262</v>
      </c>
      <c r="K781" s="1" t="str">
        <f>_xlfn.XLOOKUP(J781,REF!$D$2:$D$12,REF!$E$2:$E$12)</f>
        <v>Comunicação</v>
      </c>
      <c r="L781" s="1" t="s">
        <v>390</v>
      </c>
      <c r="M781" s="1" t="s">
        <v>391</v>
      </c>
      <c r="N781" s="1" t="s">
        <v>825</v>
      </c>
      <c r="O781" s="1" t="s">
        <v>826</v>
      </c>
      <c r="P781" s="1" t="str">
        <f t="shared" si="43"/>
        <v>BC Formoso2.2Inverter(MBUS-1)45992,760416666745992,760416666745992,7673611111</v>
      </c>
      <c r="Q781" s="1" t="str">
        <f t="shared" si="44"/>
        <v>LIGRFOCOM</v>
      </c>
    </row>
    <row r="782" spans="2:17">
      <c r="B782" s="1" t="s">
        <v>425</v>
      </c>
      <c r="C782" s="1" t="s">
        <v>357</v>
      </c>
      <c r="D782" s="52">
        <v>45992.760416666664</v>
      </c>
      <c r="E782" s="52">
        <v>45992.760416666664</v>
      </c>
      <c r="F782" s="52">
        <v>45992.767361111109</v>
      </c>
      <c r="G782" s="53">
        <f t="shared" si="42"/>
        <v>6.9444444452528842E-3</v>
      </c>
      <c r="H782" s="1" t="s">
        <v>260</v>
      </c>
      <c r="I782" s="1" t="s">
        <v>261</v>
      </c>
      <c r="J782" s="1" t="s">
        <v>262</v>
      </c>
      <c r="K782" s="1" t="str">
        <f>_xlfn.XLOOKUP(J782,REF!$D$2:$D$12,REF!$E$2:$E$12)</f>
        <v>Comunicação</v>
      </c>
      <c r="L782" s="1" t="s">
        <v>390</v>
      </c>
      <c r="M782" s="1" t="s">
        <v>391</v>
      </c>
      <c r="N782" s="1" t="s">
        <v>825</v>
      </c>
      <c r="O782" s="1" t="s">
        <v>826</v>
      </c>
      <c r="P782" s="1" t="str">
        <f t="shared" si="43"/>
        <v>BC Formoso2.3Inverter(MBUS-13)45992,760416666745992,760416666745992,7673611111</v>
      </c>
      <c r="Q782" s="1" t="str">
        <f t="shared" si="44"/>
        <v>LIGRFOCOM</v>
      </c>
    </row>
    <row r="783" spans="2:17">
      <c r="B783" s="1" t="s">
        <v>425</v>
      </c>
      <c r="C783" s="1" t="s">
        <v>354</v>
      </c>
      <c r="D783" s="52">
        <v>45992.760416666664</v>
      </c>
      <c r="E783" s="52">
        <v>45992.760416666664</v>
      </c>
      <c r="F783" s="52">
        <v>45992.767361111109</v>
      </c>
      <c r="G783" s="53">
        <f t="shared" si="42"/>
        <v>6.9444444452528842E-3</v>
      </c>
      <c r="H783" s="1" t="s">
        <v>260</v>
      </c>
      <c r="I783" s="1" t="s">
        <v>261</v>
      </c>
      <c r="J783" s="1" t="s">
        <v>262</v>
      </c>
      <c r="K783" s="1" t="str">
        <f>_xlfn.XLOOKUP(J783,REF!$D$2:$D$12,REF!$E$2:$E$12)</f>
        <v>Comunicação</v>
      </c>
      <c r="L783" s="1" t="s">
        <v>390</v>
      </c>
      <c r="M783" s="1" t="s">
        <v>391</v>
      </c>
      <c r="N783" s="1" t="s">
        <v>825</v>
      </c>
      <c r="O783" s="1" t="s">
        <v>826</v>
      </c>
      <c r="P783" s="1" t="str">
        <f t="shared" si="43"/>
        <v>BC Formoso2.3Inverter(MBUS-12)45992,760416666745992,760416666745992,7673611111</v>
      </c>
      <c r="Q783" s="1" t="str">
        <f t="shared" si="44"/>
        <v>LIGRFOCOM</v>
      </c>
    </row>
    <row r="784" spans="2:17">
      <c r="B784" s="1" t="s">
        <v>382</v>
      </c>
      <c r="C784" s="1" t="s">
        <v>328</v>
      </c>
      <c r="D784" s="52">
        <v>45999.558333333334</v>
      </c>
      <c r="E784" s="52">
        <v>45999.558333333334</v>
      </c>
      <c r="F784" s="52">
        <v>45999.583333333336</v>
      </c>
      <c r="G784" s="53">
        <f t="shared" si="41"/>
        <v>2.5000000001455192E-2</v>
      </c>
      <c r="H784" s="1" t="s">
        <v>260</v>
      </c>
      <c r="I784" s="1" t="s">
        <v>261</v>
      </c>
      <c r="J784" s="1" t="s">
        <v>262</v>
      </c>
      <c r="K784" s="1" t="str">
        <f>_xlfn.XLOOKUP(J784,REF!$D$2:$D$12,REF!$E$2:$E$12)</f>
        <v>Comunicação</v>
      </c>
      <c r="L784" s="1" t="s">
        <v>390</v>
      </c>
      <c r="M784" s="1" t="s">
        <v>391</v>
      </c>
      <c r="N784" s="1" t="s">
        <v>266</v>
      </c>
      <c r="O784" s="1" t="s">
        <v>827</v>
      </c>
      <c r="P784" s="1" t="str">
        <f t="shared" si="43"/>
        <v>BC Camarao1.1Inverter(MBUS-1)45999,558333333345999,558333333345999,5833333333</v>
      </c>
      <c r="Q784" s="1" t="str">
        <f t="shared" si="44"/>
        <v>LIGRFOCOM</v>
      </c>
    </row>
    <row r="785" spans="2:17">
      <c r="B785" s="1" t="s">
        <v>382</v>
      </c>
      <c r="C785" s="1" t="s">
        <v>247</v>
      </c>
      <c r="D785" s="52">
        <v>45999.558333333334</v>
      </c>
      <c r="E785" s="52">
        <v>45999.558333333334</v>
      </c>
      <c r="F785" s="52">
        <v>45999.583333333336</v>
      </c>
      <c r="G785" s="53">
        <f t="shared" si="41"/>
        <v>2.5000000001455192E-2</v>
      </c>
      <c r="H785" s="1" t="s">
        <v>260</v>
      </c>
      <c r="I785" s="1" t="s">
        <v>261</v>
      </c>
      <c r="J785" s="1" t="s">
        <v>262</v>
      </c>
      <c r="K785" s="1" t="str">
        <f>_xlfn.XLOOKUP(J785,REF!$D$2:$D$12,REF!$E$2:$E$12)</f>
        <v>Comunicação</v>
      </c>
      <c r="L785" s="1" t="s">
        <v>390</v>
      </c>
      <c r="M785" s="1" t="s">
        <v>391</v>
      </c>
      <c r="N785" s="1" t="s">
        <v>266</v>
      </c>
      <c r="O785" s="1" t="s">
        <v>827</v>
      </c>
      <c r="P785" s="1" t="str">
        <f t="shared" si="43"/>
        <v>BC Camarao1.1215KTL-H3(MBUS-12)45999,558333333345999,558333333345999,5833333333</v>
      </c>
      <c r="Q785" s="1" t="str">
        <f t="shared" si="44"/>
        <v>LIGRFOCOM</v>
      </c>
    </row>
    <row r="786" spans="2:17">
      <c r="B786" s="1" t="s">
        <v>382</v>
      </c>
      <c r="C786" s="1" t="s">
        <v>254</v>
      </c>
      <c r="D786" s="52">
        <v>45999.558333333334</v>
      </c>
      <c r="E786" s="52">
        <v>45999.558333333334</v>
      </c>
      <c r="F786" s="52">
        <v>45999.583333333336</v>
      </c>
      <c r="G786" s="53">
        <f t="shared" si="41"/>
        <v>2.5000000001455192E-2</v>
      </c>
      <c r="H786" s="1" t="s">
        <v>260</v>
      </c>
      <c r="I786" s="1" t="s">
        <v>261</v>
      </c>
      <c r="J786" s="1" t="s">
        <v>262</v>
      </c>
      <c r="K786" s="1" t="str">
        <f>_xlfn.XLOOKUP(J786,REF!$D$2:$D$12,REF!$E$2:$E$12)</f>
        <v>Comunicação</v>
      </c>
      <c r="L786" s="1" t="s">
        <v>390</v>
      </c>
      <c r="M786" s="1" t="s">
        <v>391</v>
      </c>
      <c r="N786" s="1" t="s">
        <v>266</v>
      </c>
      <c r="O786" s="1" t="s">
        <v>827</v>
      </c>
      <c r="P786" s="1" t="str">
        <f t="shared" si="43"/>
        <v>BC Camarao1.1215KTL-H3(MBUS-13)45999,558333333345999,558333333345999,5833333333</v>
      </c>
      <c r="Q786" s="1" t="str">
        <f t="shared" si="44"/>
        <v>LIGRFOCOM</v>
      </c>
    </row>
    <row r="787" spans="2:17">
      <c r="B787" s="1" t="s">
        <v>382</v>
      </c>
      <c r="C787" s="1" t="s">
        <v>257</v>
      </c>
      <c r="D787" s="52">
        <v>45999.558333333334</v>
      </c>
      <c r="E787" s="52">
        <v>45999.558333333334</v>
      </c>
      <c r="F787" s="52">
        <v>45999.583333333336</v>
      </c>
      <c r="G787" s="53">
        <f t="shared" si="41"/>
        <v>2.5000000001455192E-2</v>
      </c>
      <c r="H787" s="1" t="s">
        <v>260</v>
      </c>
      <c r="I787" s="1" t="s">
        <v>261</v>
      </c>
      <c r="J787" s="1" t="s">
        <v>262</v>
      </c>
      <c r="K787" s="1" t="str">
        <f>_xlfn.XLOOKUP(J787,REF!$D$2:$D$12,REF!$E$2:$E$12)</f>
        <v>Comunicação</v>
      </c>
      <c r="L787" s="1" t="s">
        <v>390</v>
      </c>
      <c r="M787" s="1" t="s">
        <v>391</v>
      </c>
      <c r="N787" s="1" t="s">
        <v>266</v>
      </c>
      <c r="O787" s="1" t="s">
        <v>827</v>
      </c>
      <c r="P787" s="1" t="str">
        <f t="shared" si="43"/>
        <v>BC Camarao1.1215KTL-H3(MBUS-16)45999,558333333345999,558333333345999,5833333333</v>
      </c>
      <c r="Q787" s="1" t="str">
        <f t="shared" si="44"/>
        <v>LIGRFOCOM</v>
      </c>
    </row>
    <row r="788" spans="2:17">
      <c r="B788" s="1" t="s">
        <v>382</v>
      </c>
      <c r="C788" s="1" t="s">
        <v>256</v>
      </c>
      <c r="D788" s="52">
        <v>45999.558333333334</v>
      </c>
      <c r="E788" s="52">
        <v>45999.558333333334</v>
      </c>
      <c r="F788" s="52">
        <v>45999.583333333336</v>
      </c>
      <c r="G788" s="53">
        <f t="shared" si="41"/>
        <v>2.5000000001455192E-2</v>
      </c>
      <c r="H788" s="1" t="s">
        <v>260</v>
      </c>
      <c r="I788" s="1" t="s">
        <v>261</v>
      </c>
      <c r="J788" s="1" t="s">
        <v>262</v>
      </c>
      <c r="K788" s="1" t="str">
        <f>_xlfn.XLOOKUP(J788,REF!$D$2:$D$12,REF!$E$2:$E$12)</f>
        <v>Comunicação</v>
      </c>
      <c r="L788" s="1" t="s">
        <v>390</v>
      </c>
      <c r="M788" s="1" t="s">
        <v>391</v>
      </c>
      <c r="N788" s="1" t="s">
        <v>266</v>
      </c>
      <c r="O788" s="1" t="s">
        <v>827</v>
      </c>
      <c r="P788" s="1" t="str">
        <f t="shared" si="43"/>
        <v>BC Camarao1.1215KTL-H3(MBUS-15)45999,558333333345999,558333333345999,5833333333</v>
      </c>
      <c r="Q788" s="1" t="str">
        <f t="shared" si="44"/>
        <v>LIGRFOCOM</v>
      </c>
    </row>
    <row r="789" spans="2:17">
      <c r="B789" s="1" t="s">
        <v>383</v>
      </c>
      <c r="C789" s="1" t="s">
        <v>385</v>
      </c>
      <c r="D789" s="52">
        <v>45999.558333333334</v>
      </c>
      <c r="E789" s="52">
        <v>45999.558333333334</v>
      </c>
      <c r="F789" s="52">
        <v>45999.583333333336</v>
      </c>
      <c r="G789" s="53">
        <f t="shared" si="41"/>
        <v>2.5000000001455192E-2</v>
      </c>
      <c r="H789" s="1" t="s">
        <v>260</v>
      </c>
      <c r="I789" s="1" t="s">
        <v>261</v>
      </c>
      <c r="J789" s="1" t="s">
        <v>262</v>
      </c>
      <c r="K789" s="1" t="str">
        <f>_xlfn.XLOOKUP(J789,REF!$D$2:$D$12,REF!$E$2:$E$12)</f>
        <v>Comunicação</v>
      </c>
      <c r="L789" s="1" t="s">
        <v>390</v>
      </c>
      <c r="M789" s="1" t="s">
        <v>391</v>
      </c>
      <c r="N789" s="1" t="s">
        <v>266</v>
      </c>
      <c r="O789" s="1" t="s">
        <v>827</v>
      </c>
      <c r="P789" s="1" t="str">
        <f t="shared" si="43"/>
        <v>BC Camarao1.2Inv. 445999,558333333345999,558333333345999,5833333333</v>
      </c>
      <c r="Q789" s="1" t="str">
        <f t="shared" si="44"/>
        <v>LIGRFOCOM</v>
      </c>
    </row>
    <row r="790" spans="2:17">
      <c r="B790" s="1" t="s">
        <v>383</v>
      </c>
      <c r="C790" s="1" t="s">
        <v>386</v>
      </c>
      <c r="D790" s="52">
        <v>45999.558333333334</v>
      </c>
      <c r="E790" s="52">
        <v>45999.558333333334</v>
      </c>
      <c r="F790" s="52">
        <v>45999.583333333336</v>
      </c>
      <c r="G790" s="53">
        <f t="shared" si="41"/>
        <v>2.5000000001455192E-2</v>
      </c>
      <c r="H790" s="1" t="s">
        <v>260</v>
      </c>
      <c r="I790" s="1" t="s">
        <v>261</v>
      </c>
      <c r="J790" s="1" t="s">
        <v>262</v>
      </c>
      <c r="K790" s="1" t="str">
        <f>_xlfn.XLOOKUP(J790,REF!$D$2:$D$12,REF!$E$2:$E$12)</f>
        <v>Comunicação</v>
      </c>
      <c r="L790" s="1" t="s">
        <v>390</v>
      </c>
      <c r="M790" s="1" t="s">
        <v>391</v>
      </c>
      <c r="N790" s="1" t="s">
        <v>266</v>
      </c>
      <c r="O790" s="1" t="s">
        <v>827</v>
      </c>
      <c r="P790" s="1" t="str">
        <f t="shared" si="43"/>
        <v>BC Camarao1.2Inverter(MBUS-16)45999,558333333345999,558333333345999,5833333333</v>
      </c>
      <c r="Q790" s="1" t="str">
        <f t="shared" si="44"/>
        <v>LIGRFOCOM</v>
      </c>
    </row>
    <row r="791" spans="2:17">
      <c r="B791" s="1" t="s">
        <v>383</v>
      </c>
      <c r="C791" s="1" t="s">
        <v>354</v>
      </c>
      <c r="D791" s="52">
        <v>45999.558333333334</v>
      </c>
      <c r="E791" s="52">
        <v>45999.558333333334</v>
      </c>
      <c r="F791" s="52">
        <v>45999.583333333336</v>
      </c>
      <c r="G791" s="53">
        <f t="shared" si="41"/>
        <v>2.5000000001455192E-2</v>
      </c>
      <c r="H791" s="1" t="s">
        <v>260</v>
      </c>
      <c r="I791" s="1" t="s">
        <v>261</v>
      </c>
      <c r="J791" s="1" t="s">
        <v>262</v>
      </c>
      <c r="K791" s="1" t="str">
        <f>_xlfn.XLOOKUP(J791,REF!$D$2:$D$12,REF!$E$2:$E$12)</f>
        <v>Comunicação</v>
      </c>
      <c r="L791" s="1" t="s">
        <v>390</v>
      </c>
      <c r="M791" s="1" t="s">
        <v>391</v>
      </c>
      <c r="N791" s="1" t="s">
        <v>266</v>
      </c>
      <c r="O791" s="1" t="s">
        <v>827</v>
      </c>
      <c r="P791" s="1" t="str">
        <f t="shared" si="43"/>
        <v>BC Camarao1.2Inverter(MBUS-12)45999,558333333345999,558333333345999,5833333333</v>
      </c>
      <c r="Q791" s="1" t="str">
        <f t="shared" si="44"/>
        <v>LIGRFOCOM</v>
      </c>
    </row>
    <row r="792" spans="2:17">
      <c r="B792" s="1" t="s">
        <v>383</v>
      </c>
      <c r="C792" s="1" t="s">
        <v>384</v>
      </c>
      <c r="D792" s="52">
        <v>45999.558333333334</v>
      </c>
      <c r="E792" s="52">
        <v>45999.558333333334</v>
      </c>
      <c r="F792" s="52">
        <v>45999.583333333336</v>
      </c>
      <c r="G792" s="53">
        <f t="shared" si="41"/>
        <v>2.5000000001455192E-2</v>
      </c>
      <c r="H792" s="1" t="s">
        <v>260</v>
      </c>
      <c r="I792" s="1" t="s">
        <v>261</v>
      </c>
      <c r="J792" s="1" t="s">
        <v>262</v>
      </c>
      <c r="K792" s="1" t="str">
        <f>_xlfn.XLOOKUP(J792,REF!$D$2:$D$12,REF!$E$2:$E$12)</f>
        <v>Comunicação</v>
      </c>
      <c r="L792" s="1" t="s">
        <v>390</v>
      </c>
      <c r="M792" s="1" t="s">
        <v>391</v>
      </c>
      <c r="N792" s="1" t="s">
        <v>266</v>
      </c>
      <c r="O792" s="1" t="s">
        <v>827</v>
      </c>
      <c r="P792" s="1" t="str">
        <f t="shared" si="43"/>
        <v>BC Camarao1.2Inv. 345999,558333333345999,558333333345999,5833333333</v>
      </c>
      <c r="Q792" s="1" t="str">
        <f t="shared" si="44"/>
        <v>LIGRFOCOM</v>
      </c>
    </row>
    <row r="793" spans="2:17">
      <c r="B793" s="1" t="s">
        <v>383</v>
      </c>
      <c r="C793" s="1" t="s">
        <v>328</v>
      </c>
      <c r="D793" s="52">
        <v>45999.558333333334</v>
      </c>
      <c r="E793" s="52">
        <v>45999.558333333334</v>
      </c>
      <c r="F793" s="52">
        <v>45999.583333333336</v>
      </c>
      <c r="G793" s="53">
        <f t="shared" si="41"/>
        <v>2.5000000001455192E-2</v>
      </c>
      <c r="H793" s="1" t="s">
        <v>260</v>
      </c>
      <c r="I793" s="1" t="s">
        <v>261</v>
      </c>
      <c r="J793" s="1" t="s">
        <v>262</v>
      </c>
      <c r="K793" s="1" t="str">
        <f>_xlfn.XLOOKUP(J793,REF!$D$2:$D$12,REF!$E$2:$E$12)</f>
        <v>Comunicação</v>
      </c>
      <c r="L793" s="1" t="s">
        <v>390</v>
      </c>
      <c r="M793" s="1" t="s">
        <v>391</v>
      </c>
      <c r="N793" s="1" t="s">
        <v>266</v>
      </c>
      <c r="O793" s="1" t="s">
        <v>827</v>
      </c>
      <c r="P793" s="1" t="str">
        <f t="shared" si="43"/>
        <v>BC Camarao1.2Inverter(MBUS-1)45999,558333333345999,558333333345999,5833333333</v>
      </c>
      <c r="Q793" s="1" t="str">
        <f t="shared" si="44"/>
        <v>LIGRFOCOM</v>
      </c>
    </row>
    <row r="794" spans="2:17">
      <c r="B794" s="1" t="s">
        <v>387</v>
      </c>
      <c r="C794" s="1" t="s">
        <v>257</v>
      </c>
      <c r="D794" s="52">
        <v>45999.558333333334</v>
      </c>
      <c r="E794" s="52">
        <v>45999.558333333334</v>
      </c>
      <c r="F794" s="52">
        <v>45999.583333333336</v>
      </c>
      <c r="G794" s="53">
        <f t="shared" si="41"/>
        <v>2.5000000001455192E-2</v>
      </c>
      <c r="H794" s="1" t="s">
        <v>260</v>
      </c>
      <c r="I794" s="1" t="s">
        <v>261</v>
      </c>
      <c r="J794" s="1" t="s">
        <v>262</v>
      </c>
      <c r="K794" s="1" t="str">
        <f>_xlfn.XLOOKUP(J794,REF!$D$2:$D$12,REF!$E$2:$E$12)</f>
        <v>Comunicação</v>
      </c>
      <c r="L794" s="1" t="s">
        <v>390</v>
      </c>
      <c r="M794" s="1" t="s">
        <v>391</v>
      </c>
      <c r="N794" s="1" t="s">
        <v>266</v>
      </c>
      <c r="O794" s="1" t="s">
        <v>827</v>
      </c>
      <c r="P794" s="1" t="str">
        <f t="shared" si="43"/>
        <v>BC Camarao1.3215KTL-H3(MBUS-16)45999,558333333345999,558333333345999,5833333333</v>
      </c>
      <c r="Q794" s="1" t="str">
        <f t="shared" si="44"/>
        <v>LIGRFOCOM</v>
      </c>
    </row>
    <row r="795" spans="2:17">
      <c r="B795" s="1" t="s">
        <v>387</v>
      </c>
      <c r="C795" s="1" t="s">
        <v>255</v>
      </c>
      <c r="D795" s="52">
        <v>45999.558333333334</v>
      </c>
      <c r="E795" s="52">
        <v>45999.558333333334</v>
      </c>
      <c r="F795" s="52">
        <v>45999.583333333336</v>
      </c>
      <c r="G795" s="53">
        <f t="shared" si="41"/>
        <v>2.5000000001455192E-2</v>
      </c>
      <c r="H795" s="1" t="s">
        <v>260</v>
      </c>
      <c r="I795" s="1" t="s">
        <v>261</v>
      </c>
      <c r="J795" s="1" t="s">
        <v>262</v>
      </c>
      <c r="K795" s="1" t="str">
        <f>_xlfn.XLOOKUP(J795,REF!$D$2:$D$12,REF!$E$2:$E$12)</f>
        <v>Comunicação</v>
      </c>
      <c r="L795" s="1" t="s">
        <v>390</v>
      </c>
      <c r="M795" s="1" t="s">
        <v>391</v>
      </c>
      <c r="N795" s="1" t="s">
        <v>266</v>
      </c>
      <c r="O795" s="1" t="s">
        <v>827</v>
      </c>
      <c r="P795" s="1" t="str">
        <f t="shared" si="43"/>
        <v>BC Camarao1.3215KTL-H3(MBUS-14)45999,558333333345999,558333333345999,5833333333</v>
      </c>
      <c r="Q795" s="1" t="str">
        <f t="shared" si="44"/>
        <v>LIGRFOCOM</v>
      </c>
    </row>
    <row r="796" spans="2:17">
      <c r="B796" s="1" t="s">
        <v>387</v>
      </c>
      <c r="C796" s="1" t="s">
        <v>256</v>
      </c>
      <c r="D796" s="52">
        <v>45999.558333333334</v>
      </c>
      <c r="E796" s="52">
        <v>45999.558333333334</v>
      </c>
      <c r="F796" s="52">
        <v>45999.583333333336</v>
      </c>
      <c r="G796" s="53">
        <f t="shared" si="41"/>
        <v>2.5000000001455192E-2</v>
      </c>
      <c r="H796" s="1" t="s">
        <v>260</v>
      </c>
      <c r="I796" s="1" t="s">
        <v>261</v>
      </c>
      <c r="J796" s="1" t="s">
        <v>262</v>
      </c>
      <c r="K796" s="1" t="str">
        <f>_xlfn.XLOOKUP(J796,REF!$D$2:$D$12,REF!$E$2:$E$12)</f>
        <v>Comunicação</v>
      </c>
      <c r="L796" s="1" t="s">
        <v>390</v>
      </c>
      <c r="M796" s="1" t="s">
        <v>391</v>
      </c>
      <c r="N796" s="1" t="s">
        <v>266</v>
      </c>
      <c r="O796" s="1" t="s">
        <v>827</v>
      </c>
      <c r="P796" s="1" t="str">
        <f t="shared" si="43"/>
        <v>BC Camarao1.3215KTL-H3(MBUS-15)45999,558333333345999,558333333345999,5833333333</v>
      </c>
      <c r="Q796" s="1" t="str">
        <f t="shared" si="44"/>
        <v>LIGRFOCOM</v>
      </c>
    </row>
    <row r="797" spans="2:17">
      <c r="B797" s="1" t="s">
        <v>387</v>
      </c>
      <c r="C797" s="1" t="s">
        <v>247</v>
      </c>
      <c r="D797" s="52">
        <v>45999.558333333334</v>
      </c>
      <c r="E797" s="52">
        <v>45999.558333333334</v>
      </c>
      <c r="F797" s="52">
        <v>45999.583333333336</v>
      </c>
      <c r="G797" s="53">
        <f t="shared" si="41"/>
        <v>2.5000000001455192E-2</v>
      </c>
      <c r="H797" s="1" t="s">
        <v>260</v>
      </c>
      <c r="I797" s="1" t="s">
        <v>261</v>
      </c>
      <c r="J797" s="1" t="s">
        <v>262</v>
      </c>
      <c r="K797" s="1" t="str">
        <f>_xlfn.XLOOKUP(J797,REF!$D$2:$D$12,REF!$E$2:$E$12)</f>
        <v>Comunicação</v>
      </c>
      <c r="L797" s="1" t="s">
        <v>390</v>
      </c>
      <c r="M797" s="1" t="s">
        <v>391</v>
      </c>
      <c r="N797" s="1" t="s">
        <v>266</v>
      </c>
      <c r="O797" s="1" t="s">
        <v>827</v>
      </c>
      <c r="P797" s="1" t="str">
        <f t="shared" si="43"/>
        <v>BC Camarao1.3215KTL-H3(MBUS-12)45999,558333333345999,558333333345999,5833333333</v>
      </c>
      <c r="Q797" s="1" t="str">
        <f t="shared" si="44"/>
        <v>LIGRFOCOM</v>
      </c>
    </row>
    <row r="798" spans="2:17">
      <c r="B798" s="1" t="s">
        <v>387</v>
      </c>
      <c r="C798" s="1" t="s">
        <v>254</v>
      </c>
      <c r="D798" s="52">
        <v>45999.558333333334</v>
      </c>
      <c r="E798" s="52">
        <v>45999.558333333334</v>
      </c>
      <c r="F798" s="52">
        <v>45999.583333333336</v>
      </c>
      <c r="G798" s="53">
        <f t="shared" si="41"/>
        <v>2.5000000001455192E-2</v>
      </c>
      <c r="H798" s="1" t="s">
        <v>260</v>
      </c>
      <c r="I798" s="1" t="s">
        <v>261</v>
      </c>
      <c r="J798" s="1" t="s">
        <v>262</v>
      </c>
      <c r="K798" s="1" t="str">
        <f>_xlfn.XLOOKUP(J798,REF!$D$2:$D$12,REF!$E$2:$E$12)</f>
        <v>Comunicação</v>
      </c>
      <c r="L798" s="1" t="s">
        <v>390</v>
      </c>
      <c r="M798" s="1" t="s">
        <v>391</v>
      </c>
      <c r="N798" s="1" t="s">
        <v>266</v>
      </c>
      <c r="O798" s="1" t="s">
        <v>827</v>
      </c>
      <c r="P798" s="1" t="str">
        <f t="shared" si="43"/>
        <v>BC Camarao1.3215KTL-H3(MBUS-13)45999,558333333345999,558333333345999,5833333333</v>
      </c>
      <c r="Q798" s="1" t="str">
        <f t="shared" si="44"/>
        <v>LIGRFOCOM</v>
      </c>
    </row>
    <row r="799" spans="2:17">
      <c r="B799" s="1" t="s">
        <v>379</v>
      </c>
      <c r="C799" s="1" t="s">
        <v>674</v>
      </c>
      <c r="D799" s="52">
        <v>45999.558333333334</v>
      </c>
      <c r="E799" s="52">
        <v>45999.558333333334</v>
      </c>
      <c r="F799" s="52">
        <v>45999.583333333336</v>
      </c>
      <c r="G799" s="53">
        <f t="shared" si="41"/>
        <v>2.5000000001455192E-2</v>
      </c>
      <c r="H799" s="1" t="s">
        <v>260</v>
      </c>
      <c r="I799" s="1" t="s">
        <v>261</v>
      </c>
      <c r="J799" s="1" t="s">
        <v>262</v>
      </c>
      <c r="K799" s="1" t="str">
        <f>_xlfn.XLOOKUP(J799,REF!$D$2:$D$12,REF!$E$2:$E$12)</f>
        <v>Comunicação</v>
      </c>
      <c r="L799" s="1" t="s">
        <v>390</v>
      </c>
      <c r="M799" s="1" t="s">
        <v>391</v>
      </c>
      <c r="N799" s="1" t="s">
        <v>266</v>
      </c>
      <c r="O799" s="1" t="s">
        <v>827</v>
      </c>
      <c r="P799" s="1" t="str">
        <f t="shared" si="43"/>
        <v>BC Camarao1.4inv. 145999,558333333345999,558333333345999,5833333333</v>
      </c>
      <c r="Q799" s="1" t="str">
        <f t="shared" si="44"/>
        <v>LIGRFOCOM</v>
      </c>
    </row>
    <row r="800" spans="2:17">
      <c r="B800" s="1" t="s">
        <v>379</v>
      </c>
      <c r="C800" s="1" t="s">
        <v>255</v>
      </c>
      <c r="D800" s="52">
        <v>45999.558333333334</v>
      </c>
      <c r="E800" s="52">
        <v>45999.558333333334</v>
      </c>
      <c r="F800" s="52">
        <v>45999.583333333336</v>
      </c>
      <c r="G800" s="53">
        <f t="shared" si="41"/>
        <v>2.5000000001455192E-2</v>
      </c>
      <c r="H800" s="1" t="s">
        <v>260</v>
      </c>
      <c r="I800" s="1" t="s">
        <v>261</v>
      </c>
      <c r="J800" s="1" t="s">
        <v>262</v>
      </c>
      <c r="K800" s="1" t="str">
        <f>_xlfn.XLOOKUP(J800,REF!$D$2:$D$12,REF!$E$2:$E$12)</f>
        <v>Comunicação</v>
      </c>
      <c r="L800" s="1" t="s">
        <v>390</v>
      </c>
      <c r="M800" s="1" t="s">
        <v>391</v>
      </c>
      <c r="N800" s="1" t="s">
        <v>266</v>
      </c>
      <c r="O800" s="1" t="s">
        <v>827</v>
      </c>
      <c r="P800" s="1" t="str">
        <f t="shared" si="43"/>
        <v>BC Camarao1.4215KTL-H3(MBUS-14)45999,558333333345999,558333333345999,5833333333</v>
      </c>
      <c r="Q800" s="1" t="str">
        <f t="shared" si="44"/>
        <v>LIGRFOCOM</v>
      </c>
    </row>
    <row r="801" spans="2:17">
      <c r="B801" s="1" t="s">
        <v>379</v>
      </c>
      <c r="C801" s="1" t="s">
        <v>254</v>
      </c>
      <c r="D801" s="52">
        <v>45999.558333333334</v>
      </c>
      <c r="E801" s="52">
        <v>45999.558333333334</v>
      </c>
      <c r="F801" s="52">
        <v>45999.583333333336</v>
      </c>
      <c r="G801" s="53">
        <f t="shared" si="41"/>
        <v>2.5000000001455192E-2</v>
      </c>
      <c r="H801" s="1" t="s">
        <v>260</v>
      </c>
      <c r="I801" s="1" t="s">
        <v>261</v>
      </c>
      <c r="J801" s="1" t="s">
        <v>262</v>
      </c>
      <c r="K801" s="1" t="str">
        <f>_xlfn.XLOOKUP(J801,REF!$D$2:$D$12,REF!$E$2:$E$12)</f>
        <v>Comunicação</v>
      </c>
      <c r="L801" s="1" t="s">
        <v>390</v>
      </c>
      <c r="M801" s="1" t="s">
        <v>391</v>
      </c>
      <c r="N801" s="1" t="s">
        <v>266</v>
      </c>
      <c r="O801" s="1" t="s">
        <v>827</v>
      </c>
      <c r="P801" s="1" t="str">
        <f t="shared" ref="P801:P862" si="45">_xlfn.CONCAT(B801,C801,D801,E801,F801)</f>
        <v>BC Camarao1.4215KTL-H3(MBUS-13)45999,558333333345999,558333333345999,5833333333</v>
      </c>
      <c r="Q801" s="1" t="str">
        <f t="shared" ref="Q801:Q862" si="46">_xlfn.CONCAT(H801,I801,J801)</f>
        <v>LIGRFOCOM</v>
      </c>
    </row>
    <row r="802" spans="2:17">
      <c r="B802" s="1" t="s">
        <v>379</v>
      </c>
      <c r="C802" s="1" t="s">
        <v>257</v>
      </c>
      <c r="D802" s="52">
        <v>45999.558333333334</v>
      </c>
      <c r="E802" s="52">
        <v>45999.558333333334</v>
      </c>
      <c r="F802" s="52">
        <v>45999.583333333336</v>
      </c>
      <c r="G802" s="53">
        <f t="shared" si="41"/>
        <v>2.5000000001455192E-2</v>
      </c>
      <c r="H802" s="1" t="s">
        <v>260</v>
      </c>
      <c r="I802" s="1" t="s">
        <v>261</v>
      </c>
      <c r="J802" s="1" t="s">
        <v>262</v>
      </c>
      <c r="K802" s="1" t="str">
        <f>_xlfn.XLOOKUP(J802,REF!$D$2:$D$12,REF!$E$2:$E$12)</f>
        <v>Comunicação</v>
      </c>
      <c r="L802" s="1" t="s">
        <v>390</v>
      </c>
      <c r="M802" s="1" t="s">
        <v>391</v>
      </c>
      <c r="N802" s="1" t="s">
        <v>266</v>
      </c>
      <c r="O802" s="1" t="s">
        <v>827</v>
      </c>
      <c r="P802" s="1" t="str">
        <f t="shared" si="45"/>
        <v>BC Camarao1.4215KTL-H3(MBUS-16)45999,558333333345999,558333333345999,5833333333</v>
      </c>
      <c r="Q802" s="1" t="str">
        <f t="shared" si="46"/>
        <v>LIGRFOCOM</v>
      </c>
    </row>
    <row r="803" spans="2:17">
      <c r="B803" s="1" t="s">
        <v>379</v>
      </c>
      <c r="C803" s="1" t="s">
        <v>256</v>
      </c>
      <c r="D803" s="52">
        <v>45999.558333333334</v>
      </c>
      <c r="E803" s="52">
        <v>45999.558333333334</v>
      </c>
      <c r="F803" s="52">
        <v>45999.583333333336</v>
      </c>
      <c r="G803" s="53">
        <f t="shared" si="41"/>
        <v>2.5000000001455192E-2</v>
      </c>
      <c r="H803" s="1" t="s">
        <v>260</v>
      </c>
      <c r="I803" s="1" t="s">
        <v>261</v>
      </c>
      <c r="J803" s="1" t="s">
        <v>262</v>
      </c>
      <c r="K803" s="1" t="str">
        <f>_xlfn.XLOOKUP(J803,REF!$D$2:$D$12,REF!$E$2:$E$12)</f>
        <v>Comunicação</v>
      </c>
      <c r="L803" s="1" t="s">
        <v>390</v>
      </c>
      <c r="M803" s="1" t="s">
        <v>391</v>
      </c>
      <c r="N803" s="1" t="s">
        <v>266</v>
      </c>
      <c r="O803" s="1" t="s">
        <v>827</v>
      </c>
      <c r="P803" s="1" t="str">
        <f t="shared" si="45"/>
        <v>BC Camarao1.4215KTL-H3(MBUS-15)45999,558333333345999,558333333345999,5833333333</v>
      </c>
      <c r="Q803" s="1" t="str">
        <f t="shared" si="46"/>
        <v>LIGRFOCOM</v>
      </c>
    </row>
    <row r="804" spans="2:17">
      <c r="B804" s="1" t="s">
        <v>388</v>
      </c>
      <c r="C804" s="1" t="s">
        <v>256</v>
      </c>
      <c r="D804" s="52">
        <v>45999.558333333334</v>
      </c>
      <c r="E804" s="52">
        <v>45999.558333333334</v>
      </c>
      <c r="F804" s="52">
        <v>45999.583333333336</v>
      </c>
      <c r="G804" s="53">
        <f t="shared" si="41"/>
        <v>2.5000000001455192E-2</v>
      </c>
      <c r="H804" s="1" t="s">
        <v>260</v>
      </c>
      <c r="I804" s="1" t="s">
        <v>261</v>
      </c>
      <c r="J804" s="1" t="s">
        <v>262</v>
      </c>
      <c r="K804" s="1" t="str">
        <f>_xlfn.XLOOKUP(J804,REF!$D$2:$D$12,REF!$E$2:$E$12)</f>
        <v>Comunicação</v>
      </c>
      <c r="L804" s="1" t="s">
        <v>390</v>
      </c>
      <c r="M804" s="1" t="s">
        <v>391</v>
      </c>
      <c r="N804" s="1" t="s">
        <v>266</v>
      </c>
      <c r="O804" s="1" t="s">
        <v>827</v>
      </c>
      <c r="P804" s="1" t="str">
        <f t="shared" si="45"/>
        <v>BC Camarao1.5215KTL-H3(MBUS-15)45999,558333333345999,558333333345999,5833333333</v>
      </c>
      <c r="Q804" s="1" t="str">
        <f t="shared" si="46"/>
        <v>LIGRFOCOM</v>
      </c>
    </row>
    <row r="805" spans="2:17">
      <c r="B805" s="1" t="s">
        <v>388</v>
      </c>
      <c r="C805" s="1" t="s">
        <v>328</v>
      </c>
      <c r="D805" s="52">
        <v>45999.558333333334</v>
      </c>
      <c r="E805" s="52">
        <v>45999.558333333334</v>
      </c>
      <c r="F805" s="52">
        <v>45999.583333333336</v>
      </c>
      <c r="G805" s="53">
        <f t="shared" si="41"/>
        <v>2.5000000001455192E-2</v>
      </c>
      <c r="H805" s="1" t="s">
        <v>260</v>
      </c>
      <c r="I805" s="1" t="s">
        <v>261</v>
      </c>
      <c r="J805" s="1" t="s">
        <v>262</v>
      </c>
      <c r="K805" s="1" t="str">
        <f>_xlfn.XLOOKUP(J805,REF!$D$2:$D$12,REF!$E$2:$E$12)</f>
        <v>Comunicação</v>
      </c>
      <c r="L805" s="1" t="s">
        <v>390</v>
      </c>
      <c r="M805" s="1" t="s">
        <v>391</v>
      </c>
      <c r="N805" s="1" t="s">
        <v>266</v>
      </c>
      <c r="O805" s="1" t="s">
        <v>827</v>
      </c>
      <c r="P805" s="1" t="str">
        <f t="shared" si="45"/>
        <v>BC Camarao1.5Inverter(MBUS-1)45999,558333333345999,558333333345999,5833333333</v>
      </c>
      <c r="Q805" s="1" t="str">
        <f t="shared" si="46"/>
        <v>LIGRFOCOM</v>
      </c>
    </row>
    <row r="806" spans="2:17">
      <c r="B806" s="1" t="s">
        <v>388</v>
      </c>
      <c r="C806" s="1" t="s">
        <v>254</v>
      </c>
      <c r="D806" s="52">
        <v>45999.558333333334</v>
      </c>
      <c r="E806" s="52">
        <v>45999.558333333334</v>
      </c>
      <c r="F806" s="52">
        <v>45999.583333333336</v>
      </c>
      <c r="G806" s="53">
        <f t="shared" si="41"/>
        <v>2.5000000001455192E-2</v>
      </c>
      <c r="H806" s="1" t="s">
        <v>260</v>
      </c>
      <c r="I806" s="1" t="s">
        <v>261</v>
      </c>
      <c r="J806" s="1" t="s">
        <v>262</v>
      </c>
      <c r="K806" s="1" t="str">
        <f>_xlfn.XLOOKUP(J806,REF!$D$2:$D$12,REF!$E$2:$E$12)</f>
        <v>Comunicação</v>
      </c>
      <c r="L806" s="1" t="s">
        <v>390</v>
      </c>
      <c r="M806" s="1" t="s">
        <v>391</v>
      </c>
      <c r="N806" s="1" t="s">
        <v>266</v>
      </c>
      <c r="O806" s="1" t="s">
        <v>827</v>
      </c>
      <c r="P806" s="1" t="str">
        <f t="shared" si="45"/>
        <v>BC Camarao1.5215KTL-H3(MBUS-13)45999,558333333345999,558333333345999,5833333333</v>
      </c>
      <c r="Q806" s="1" t="str">
        <f t="shared" si="46"/>
        <v>LIGRFOCOM</v>
      </c>
    </row>
    <row r="807" spans="2:17">
      <c r="B807" s="1" t="s">
        <v>388</v>
      </c>
      <c r="C807" s="1" t="s">
        <v>247</v>
      </c>
      <c r="D807" s="52">
        <v>45999.558333333334</v>
      </c>
      <c r="E807" s="52">
        <v>45999.558333333334</v>
      </c>
      <c r="F807" s="52">
        <v>45999.583333333336</v>
      </c>
      <c r="G807" s="53">
        <f t="shared" si="41"/>
        <v>2.5000000001455192E-2</v>
      </c>
      <c r="H807" s="1" t="s">
        <v>260</v>
      </c>
      <c r="I807" s="1" t="s">
        <v>261</v>
      </c>
      <c r="J807" s="1" t="s">
        <v>262</v>
      </c>
      <c r="K807" s="1" t="str">
        <f>_xlfn.XLOOKUP(J807,REF!$D$2:$D$12,REF!$E$2:$E$12)</f>
        <v>Comunicação</v>
      </c>
      <c r="L807" s="1" t="s">
        <v>390</v>
      </c>
      <c r="M807" s="1" t="s">
        <v>391</v>
      </c>
      <c r="N807" s="1" t="s">
        <v>266</v>
      </c>
      <c r="O807" s="1" t="s">
        <v>827</v>
      </c>
      <c r="P807" s="1" t="str">
        <f t="shared" si="45"/>
        <v>BC Camarao1.5215KTL-H3(MBUS-12)45999,558333333345999,558333333345999,5833333333</v>
      </c>
      <c r="Q807" s="1" t="str">
        <f t="shared" si="46"/>
        <v>LIGRFOCOM</v>
      </c>
    </row>
    <row r="808" spans="2:17">
      <c r="B808" s="1" t="s">
        <v>388</v>
      </c>
      <c r="C808" s="1" t="s">
        <v>358</v>
      </c>
      <c r="D808" s="52">
        <v>45999.558333333334</v>
      </c>
      <c r="E808" s="52">
        <v>45999.558333333334</v>
      </c>
      <c r="F808" s="52">
        <v>45999.583333333336</v>
      </c>
      <c r="G808" s="53">
        <f t="shared" si="41"/>
        <v>2.5000000001455192E-2</v>
      </c>
      <c r="H808" s="1" t="s">
        <v>260</v>
      </c>
      <c r="I808" s="1" t="s">
        <v>261</v>
      </c>
      <c r="J808" s="1" t="s">
        <v>262</v>
      </c>
      <c r="K808" s="1" t="str">
        <f>_xlfn.XLOOKUP(J808,REF!$D$2:$D$12,REF!$E$2:$E$12)</f>
        <v>Comunicação</v>
      </c>
      <c r="L808" s="1" t="s">
        <v>390</v>
      </c>
      <c r="M808" s="1" t="s">
        <v>391</v>
      </c>
      <c r="N808" s="1" t="s">
        <v>266</v>
      </c>
      <c r="O808" s="1" t="s">
        <v>827</v>
      </c>
      <c r="P808" s="1" t="str">
        <f t="shared" si="45"/>
        <v>BC Camarao1.5Inverter(MBUS-14)45999,558333333345999,558333333345999,5833333333</v>
      </c>
      <c r="Q808" s="1" t="str">
        <f t="shared" si="46"/>
        <v>LIGRFOCOM</v>
      </c>
    </row>
    <row r="809" spans="2:17">
      <c r="B809" s="1" t="s">
        <v>659</v>
      </c>
      <c r="C809" s="1" t="s">
        <v>299</v>
      </c>
      <c r="D809" s="52">
        <v>46011.236111111109</v>
      </c>
      <c r="E809" s="52">
        <v>46011.236111111109</v>
      </c>
      <c r="F809" s="52">
        <v>46011.319444444445</v>
      </c>
      <c r="G809" s="53">
        <f t="shared" si="41"/>
        <v>8.3333333335758653E-2</v>
      </c>
      <c r="H809" s="1" t="s">
        <v>260</v>
      </c>
      <c r="I809" s="1" t="s">
        <v>261</v>
      </c>
      <c r="J809" s="1" t="s">
        <v>262</v>
      </c>
      <c r="K809" s="1" t="str">
        <f>_xlfn.XLOOKUP(J809,REF!$D$2:$D$12,REF!$E$2:$E$12)</f>
        <v>Comunicação</v>
      </c>
      <c r="L809" s="1" t="s">
        <v>390</v>
      </c>
      <c r="M809" s="1" t="s">
        <v>265</v>
      </c>
      <c r="N809" s="1" t="s">
        <v>580</v>
      </c>
      <c r="O809" s="1" t="s">
        <v>828</v>
      </c>
      <c r="P809" s="1" t="str">
        <f t="shared" si="45"/>
        <v>BC BomSucessoSG60KTL46011,236111111146011,236111111146011,3194444444</v>
      </c>
      <c r="Q809" s="1" t="str">
        <f t="shared" si="46"/>
        <v>LIGRFOCOM</v>
      </c>
    </row>
    <row r="810" spans="2:17">
      <c r="B810" s="1" t="s">
        <v>659</v>
      </c>
      <c r="C810" s="1" t="s">
        <v>661</v>
      </c>
      <c r="D810" s="52">
        <v>46011.236111111109</v>
      </c>
      <c r="E810" s="52">
        <v>46011.236111111109</v>
      </c>
      <c r="F810" s="52">
        <v>46011.319444444445</v>
      </c>
      <c r="G810" s="53">
        <f t="shared" si="41"/>
        <v>8.3333333335758653E-2</v>
      </c>
      <c r="H810" s="1" t="s">
        <v>260</v>
      </c>
      <c r="I810" s="1" t="s">
        <v>261</v>
      </c>
      <c r="J810" s="1" t="s">
        <v>262</v>
      </c>
      <c r="K810" s="1" t="str">
        <f>_xlfn.XLOOKUP(J810,REF!$D$2:$D$12,REF!$E$2:$E$12)</f>
        <v>Comunicação</v>
      </c>
      <c r="L810" s="1" t="s">
        <v>390</v>
      </c>
      <c r="M810" s="1" t="s">
        <v>265</v>
      </c>
      <c r="N810" s="1" t="s">
        <v>580</v>
      </c>
      <c r="O810" s="1" t="s">
        <v>828</v>
      </c>
      <c r="P810" s="1" t="str">
        <f t="shared" si="45"/>
        <v>BC BomSucessoABB_0146011,236111111146011,236111111146011,3194444444</v>
      </c>
      <c r="Q810" s="1" t="str">
        <f t="shared" si="46"/>
        <v>LIGRFOCOM</v>
      </c>
    </row>
    <row r="811" spans="2:17">
      <c r="B811" s="1" t="s">
        <v>659</v>
      </c>
      <c r="C811" s="1" t="s">
        <v>662</v>
      </c>
      <c r="D811" s="52">
        <v>46011.236111111109</v>
      </c>
      <c r="E811" s="52">
        <v>46011.236111111109</v>
      </c>
      <c r="F811" s="52">
        <v>46011.319444444445</v>
      </c>
      <c r="G811" s="53">
        <f t="shared" si="41"/>
        <v>8.3333333335758653E-2</v>
      </c>
      <c r="H811" s="1" t="s">
        <v>260</v>
      </c>
      <c r="I811" s="1" t="s">
        <v>261</v>
      </c>
      <c r="J811" s="1" t="s">
        <v>262</v>
      </c>
      <c r="K811" s="1" t="str">
        <f>_xlfn.XLOOKUP(J811,REF!$D$2:$D$12,REF!$E$2:$E$12)</f>
        <v>Comunicação</v>
      </c>
      <c r="L811" s="1" t="s">
        <v>390</v>
      </c>
      <c r="M811" s="1" t="s">
        <v>265</v>
      </c>
      <c r="N811" s="1" t="s">
        <v>580</v>
      </c>
      <c r="O811" s="1" t="s">
        <v>828</v>
      </c>
      <c r="P811" s="1" t="str">
        <f t="shared" si="45"/>
        <v>BC BomSucessoABB_0246011,236111111146011,236111111146011,3194444444</v>
      </c>
      <c r="Q811" s="1" t="str">
        <f t="shared" si="46"/>
        <v>LIGRFOCOM</v>
      </c>
    </row>
    <row r="812" spans="2:17">
      <c r="B812" s="1" t="s">
        <v>659</v>
      </c>
      <c r="C812" s="1" t="s">
        <v>663</v>
      </c>
      <c r="D812" s="52">
        <v>46011.236111111109</v>
      </c>
      <c r="E812" s="52">
        <v>46011.236111111109</v>
      </c>
      <c r="F812" s="52">
        <v>46011.319444444445</v>
      </c>
      <c r="G812" s="53">
        <f t="shared" si="41"/>
        <v>8.3333333335758653E-2</v>
      </c>
      <c r="H812" s="1" t="s">
        <v>260</v>
      </c>
      <c r="I812" s="1" t="s">
        <v>261</v>
      </c>
      <c r="J812" s="1" t="s">
        <v>262</v>
      </c>
      <c r="K812" s="1" t="str">
        <f>_xlfn.XLOOKUP(J812,REF!$D$2:$D$12,REF!$E$2:$E$12)</f>
        <v>Comunicação</v>
      </c>
      <c r="L812" s="1" t="s">
        <v>390</v>
      </c>
      <c r="M812" s="1" t="s">
        <v>265</v>
      </c>
      <c r="N812" s="1" t="s">
        <v>580</v>
      </c>
      <c r="O812" s="1" t="s">
        <v>828</v>
      </c>
      <c r="P812" s="1" t="str">
        <f t="shared" si="45"/>
        <v>BC BomSucessoABB_0346011,236111111146011,236111111146011,3194444444</v>
      </c>
      <c r="Q812" s="1" t="str">
        <f t="shared" si="46"/>
        <v>LIGRFOCOM</v>
      </c>
    </row>
    <row r="813" spans="2:17">
      <c r="B813" s="1" t="s">
        <v>659</v>
      </c>
      <c r="C813" s="1" t="s">
        <v>664</v>
      </c>
      <c r="D813" s="52">
        <v>46011.236111111109</v>
      </c>
      <c r="E813" s="52">
        <v>46011.236111111109</v>
      </c>
      <c r="F813" s="52">
        <v>46011.319444444445</v>
      </c>
      <c r="G813" s="53">
        <f t="shared" si="41"/>
        <v>8.3333333335758653E-2</v>
      </c>
      <c r="H813" s="1" t="s">
        <v>260</v>
      </c>
      <c r="I813" s="1" t="s">
        <v>261</v>
      </c>
      <c r="J813" s="1" t="s">
        <v>262</v>
      </c>
      <c r="K813" s="1" t="str">
        <f>_xlfn.XLOOKUP(J813,REF!$D$2:$D$12,REF!$E$2:$E$12)</f>
        <v>Comunicação</v>
      </c>
      <c r="L813" s="1" t="s">
        <v>390</v>
      </c>
      <c r="M813" s="1" t="s">
        <v>265</v>
      </c>
      <c r="N813" s="1" t="s">
        <v>580</v>
      </c>
      <c r="O813" s="1" t="s">
        <v>828</v>
      </c>
      <c r="P813" s="1" t="str">
        <f t="shared" si="45"/>
        <v>BC BomSucessoABB_0446011,236111111146011,236111111146011,3194444444</v>
      </c>
      <c r="Q813" s="1" t="str">
        <f t="shared" si="46"/>
        <v>LIGRFOCOM</v>
      </c>
    </row>
    <row r="814" spans="2:17">
      <c r="B814" s="1" t="s">
        <v>659</v>
      </c>
      <c r="C814" s="1" t="s">
        <v>665</v>
      </c>
      <c r="D814" s="52">
        <v>46011.236111111109</v>
      </c>
      <c r="E814" s="52">
        <v>46011.236111111109</v>
      </c>
      <c r="F814" s="52">
        <v>46011.319444444445</v>
      </c>
      <c r="G814" s="53">
        <f t="shared" si="41"/>
        <v>8.3333333335758653E-2</v>
      </c>
      <c r="H814" s="1" t="s">
        <v>260</v>
      </c>
      <c r="I814" s="1" t="s">
        <v>261</v>
      </c>
      <c r="J814" s="1" t="s">
        <v>262</v>
      </c>
      <c r="K814" s="1" t="str">
        <f>_xlfn.XLOOKUP(J814,REF!$D$2:$D$12,REF!$E$2:$E$12)</f>
        <v>Comunicação</v>
      </c>
      <c r="L814" s="1" t="s">
        <v>390</v>
      </c>
      <c r="M814" s="1" t="s">
        <v>265</v>
      </c>
      <c r="N814" s="1" t="s">
        <v>580</v>
      </c>
      <c r="O814" s="1" t="s">
        <v>828</v>
      </c>
      <c r="P814" s="1" t="str">
        <f t="shared" si="45"/>
        <v>BC BomSucessoABB_0546011,236111111146011,236111111146011,3194444444</v>
      </c>
      <c r="Q814" s="1" t="str">
        <f t="shared" si="46"/>
        <v>LIGRFOCOM</v>
      </c>
    </row>
    <row r="815" spans="2:17">
      <c r="B815" s="1" t="s">
        <v>659</v>
      </c>
      <c r="C815" s="1" t="s">
        <v>666</v>
      </c>
      <c r="D815" s="52">
        <v>46011.236111111109</v>
      </c>
      <c r="E815" s="52">
        <v>46011.236111111109</v>
      </c>
      <c r="F815" s="52">
        <v>46011.319444444445</v>
      </c>
      <c r="G815" s="53">
        <f t="shared" si="41"/>
        <v>8.3333333335758653E-2</v>
      </c>
      <c r="H815" s="1" t="s">
        <v>260</v>
      </c>
      <c r="I815" s="1" t="s">
        <v>261</v>
      </c>
      <c r="J815" s="1" t="s">
        <v>262</v>
      </c>
      <c r="K815" s="1" t="str">
        <f>_xlfn.XLOOKUP(J815,REF!$D$2:$D$12,REF!$E$2:$E$12)</f>
        <v>Comunicação</v>
      </c>
      <c r="L815" s="1" t="s">
        <v>390</v>
      </c>
      <c r="M815" s="1" t="s">
        <v>265</v>
      </c>
      <c r="N815" s="1" t="s">
        <v>580</v>
      </c>
      <c r="O815" s="1" t="s">
        <v>828</v>
      </c>
      <c r="P815" s="1" t="str">
        <f t="shared" si="45"/>
        <v>BC BomSucessoABB_0646011,236111111146011,236111111146011,3194444444</v>
      </c>
      <c r="Q815" s="1" t="str">
        <f t="shared" si="46"/>
        <v>LIGRFOCOM</v>
      </c>
    </row>
    <row r="816" spans="2:17">
      <c r="B816" s="1" t="s">
        <v>659</v>
      </c>
      <c r="C816" s="1" t="s">
        <v>667</v>
      </c>
      <c r="D816" s="52">
        <v>46011.236111111109</v>
      </c>
      <c r="E816" s="52">
        <v>46011.236111111109</v>
      </c>
      <c r="F816" s="52">
        <v>46011.319444444445</v>
      </c>
      <c r="G816" s="53">
        <f t="shared" si="41"/>
        <v>8.3333333335758653E-2</v>
      </c>
      <c r="H816" s="1" t="s">
        <v>260</v>
      </c>
      <c r="I816" s="1" t="s">
        <v>261</v>
      </c>
      <c r="J816" s="1" t="s">
        <v>262</v>
      </c>
      <c r="K816" s="1" t="str">
        <f>_xlfn.XLOOKUP(J816,REF!$D$2:$D$12,REF!$E$2:$E$12)</f>
        <v>Comunicação</v>
      </c>
      <c r="L816" s="1" t="s">
        <v>390</v>
      </c>
      <c r="M816" s="1" t="s">
        <v>265</v>
      </c>
      <c r="N816" s="1" t="s">
        <v>580</v>
      </c>
      <c r="O816" s="1" t="s">
        <v>828</v>
      </c>
      <c r="P816" s="1" t="str">
        <f t="shared" si="45"/>
        <v>BC BomSucessoABB_0746011,236111111146011,236111111146011,3194444444</v>
      </c>
      <c r="Q816" s="1" t="str">
        <f t="shared" si="46"/>
        <v>LIGRFOCOM</v>
      </c>
    </row>
    <row r="817" spans="2:17">
      <c r="B817" s="1" t="s">
        <v>659</v>
      </c>
      <c r="C817" s="1" t="s">
        <v>668</v>
      </c>
      <c r="D817" s="52">
        <v>46011.236111111109</v>
      </c>
      <c r="E817" s="52">
        <v>46011.236111111109</v>
      </c>
      <c r="F817" s="52">
        <v>46011.319444444445</v>
      </c>
      <c r="G817" s="53">
        <f t="shared" si="41"/>
        <v>8.3333333335758653E-2</v>
      </c>
      <c r="H817" s="1" t="s">
        <v>260</v>
      </c>
      <c r="I817" s="1" t="s">
        <v>261</v>
      </c>
      <c r="J817" s="1" t="s">
        <v>262</v>
      </c>
      <c r="K817" s="1" t="str">
        <f>_xlfn.XLOOKUP(J817,REF!$D$2:$D$12,REF!$E$2:$E$12)</f>
        <v>Comunicação</v>
      </c>
      <c r="L817" s="1" t="s">
        <v>390</v>
      </c>
      <c r="M817" s="1" t="s">
        <v>265</v>
      </c>
      <c r="N817" s="1" t="s">
        <v>580</v>
      </c>
      <c r="O817" s="1" t="s">
        <v>828</v>
      </c>
      <c r="P817" s="1" t="str">
        <f t="shared" si="45"/>
        <v>BC BomSucessoABB_0846011,236111111146011,236111111146011,3194444444</v>
      </c>
      <c r="Q817" s="1" t="str">
        <f t="shared" si="46"/>
        <v>LIGRFOCOM</v>
      </c>
    </row>
    <row r="818" spans="2:17">
      <c r="B818" s="1" t="s">
        <v>659</v>
      </c>
      <c r="C818" s="1" t="s">
        <v>669</v>
      </c>
      <c r="D818" s="52">
        <v>46011.236111111109</v>
      </c>
      <c r="E818" s="52">
        <v>46011.236111111109</v>
      </c>
      <c r="F818" s="52">
        <v>46011.319444444445</v>
      </c>
      <c r="G818" s="53">
        <f t="shared" si="41"/>
        <v>8.3333333335758653E-2</v>
      </c>
      <c r="H818" s="1" t="s">
        <v>260</v>
      </c>
      <c r="I818" s="1" t="s">
        <v>261</v>
      </c>
      <c r="J818" s="1" t="s">
        <v>262</v>
      </c>
      <c r="K818" s="1" t="str">
        <f>_xlfn.XLOOKUP(J818,REF!$D$2:$D$12,REF!$E$2:$E$12)</f>
        <v>Comunicação</v>
      </c>
      <c r="L818" s="1" t="s">
        <v>390</v>
      </c>
      <c r="M818" s="1" t="s">
        <v>265</v>
      </c>
      <c r="N818" s="1" t="s">
        <v>580</v>
      </c>
      <c r="O818" s="1" t="s">
        <v>828</v>
      </c>
      <c r="P818" s="1" t="str">
        <f t="shared" si="45"/>
        <v>BC BomSucessoABB_0946011,236111111146011,236111111146011,3194444444</v>
      </c>
      <c r="Q818" s="1" t="str">
        <f t="shared" si="46"/>
        <v>LIGRFOCOM</v>
      </c>
    </row>
    <row r="819" spans="2:17">
      <c r="B819" s="1" t="s">
        <v>659</v>
      </c>
      <c r="C819" s="1" t="s">
        <v>670</v>
      </c>
      <c r="D819" s="52">
        <v>46011.236111111109</v>
      </c>
      <c r="E819" s="52">
        <v>46011.236111111109</v>
      </c>
      <c r="F819" s="52">
        <v>46011.319444444445</v>
      </c>
      <c r="G819" s="53">
        <f t="shared" si="41"/>
        <v>8.3333333335758653E-2</v>
      </c>
      <c r="H819" s="1" t="s">
        <v>260</v>
      </c>
      <c r="I819" s="1" t="s">
        <v>261</v>
      </c>
      <c r="J819" s="1" t="s">
        <v>262</v>
      </c>
      <c r="K819" s="1" t="str">
        <f>_xlfn.XLOOKUP(J819,REF!$D$2:$D$12,REF!$E$2:$E$12)</f>
        <v>Comunicação</v>
      </c>
      <c r="L819" s="1" t="s">
        <v>390</v>
      </c>
      <c r="M819" s="1" t="s">
        <v>265</v>
      </c>
      <c r="N819" s="1" t="s">
        <v>580</v>
      </c>
      <c r="O819" s="1" t="s">
        <v>828</v>
      </c>
      <c r="P819" s="1" t="str">
        <f t="shared" si="45"/>
        <v>BC BomSucessoABB_1046011,236111111146011,236111111146011,3194444444</v>
      </c>
      <c r="Q819" s="1" t="str">
        <f t="shared" si="46"/>
        <v>LIGRFOCOM</v>
      </c>
    </row>
    <row r="820" spans="2:17">
      <c r="B820" s="1" t="s">
        <v>659</v>
      </c>
      <c r="C820" s="1" t="s">
        <v>671</v>
      </c>
      <c r="D820" s="52">
        <v>46011.236111111109</v>
      </c>
      <c r="E820" s="52">
        <v>46011.236111111109</v>
      </c>
      <c r="F820" s="52">
        <v>46011.319444444445</v>
      </c>
      <c r="G820" s="53">
        <f t="shared" si="41"/>
        <v>8.3333333335758653E-2</v>
      </c>
      <c r="H820" s="1" t="s">
        <v>260</v>
      </c>
      <c r="I820" s="1" t="s">
        <v>261</v>
      </c>
      <c r="J820" s="1" t="s">
        <v>262</v>
      </c>
      <c r="K820" s="1" t="str">
        <f>_xlfn.XLOOKUP(J820,REF!$D$2:$D$12,REF!$E$2:$E$12)</f>
        <v>Comunicação</v>
      </c>
      <c r="L820" s="1" t="s">
        <v>390</v>
      </c>
      <c r="M820" s="1" t="s">
        <v>265</v>
      </c>
      <c r="N820" s="1" t="s">
        <v>580</v>
      </c>
      <c r="O820" s="1" t="s">
        <v>828</v>
      </c>
      <c r="P820" s="1" t="str">
        <f t="shared" si="45"/>
        <v>BC BomSucessoABB_1146011,236111111146011,236111111146011,3194444444</v>
      </c>
      <c r="Q820" s="1" t="str">
        <f t="shared" si="46"/>
        <v>LIGRFOCOM</v>
      </c>
    </row>
    <row r="821" spans="2:17">
      <c r="B821" s="1" t="s">
        <v>659</v>
      </c>
      <c r="C821" s="1" t="s">
        <v>299</v>
      </c>
      <c r="D821" s="52">
        <v>46011.236111111109</v>
      </c>
      <c r="E821" s="52">
        <v>46011.236111111109</v>
      </c>
      <c r="F821" s="52">
        <v>46011.319444444445</v>
      </c>
      <c r="G821" s="53">
        <f t="shared" si="41"/>
        <v>8.3333333335758653E-2</v>
      </c>
      <c r="H821" s="1" t="s">
        <v>260</v>
      </c>
      <c r="I821" s="1" t="s">
        <v>261</v>
      </c>
      <c r="J821" s="1" t="s">
        <v>262</v>
      </c>
      <c r="K821" s="1" t="str">
        <f>_xlfn.XLOOKUP(J821,REF!$D$2:$D$12,REF!$E$2:$E$12)</f>
        <v>Comunicação</v>
      </c>
      <c r="L821" s="1" t="s">
        <v>390</v>
      </c>
      <c r="M821" s="1" t="s">
        <v>265</v>
      </c>
      <c r="N821" s="1" t="s">
        <v>580</v>
      </c>
      <c r="O821" s="1" t="s">
        <v>828</v>
      </c>
      <c r="P821" s="1" t="str">
        <f t="shared" si="45"/>
        <v>BC BomSucessoSG60KTL46011,236111111146011,236111111146011,3194444444</v>
      </c>
      <c r="Q821" s="1" t="str">
        <f t="shared" si="46"/>
        <v>LIGRFOCOM</v>
      </c>
    </row>
    <row r="822" spans="2:17">
      <c r="B822" s="1" t="s">
        <v>659</v>
      </c>
      <c r="C822" s="1" t="s">
        <v>661</v>
      </c>
      <c r="D822" s="52">
        <v>46011.236111111109</v>
      </c>
      <c r="E822" s="52">
        <v>46011.236111111109</v>
      </c>
      <c r="F822" s="52">
        <v>46011.319444444445</v>
      </c>
      <c r="G822" s="53">
        <f t="shared" si="41"/>
        <v>8.3333333335758653E-2</v>
      </c>
      <c r="H822" s="1" t="s">
        <v>260</v>
      </c>
      <c r="I822" s="1" t="s">
        <v>261</v>
      </c>
      <c r="J822" s="1" t="s">
        <v>262</v>
      </c>
      <c r="K822" s="1" t="str">
        <f>_xlfn.XLOOKUP(J822,REF!$D$2:$D$12,REF!$E$2:$E$12)</f>
        <v>Comunicação</v>
      </c>
      <c r="L822" s="1" t="s">
        <v>390</v>
      </c>
      <c r="M822" s="1" t="s">
        <v>265</v>
      </c>
      <c r="N822" s="1" t="s">
        <v>580</v>
      </c>
      <c r="O822" s="1" t="s">
        <v>828</v>
      </c>
      <c r="P822" s="1" t="str">
        <f t="shared" si="45"/>
        <v>BC BomSucessoABB_0146011,236111111146011,236111111146011,3194444444</v>
      </c>
      <c r="Q822" s="1" t="str">
        <f t="shared" si="46"/>
        <v>LIGRFOCOM</v>
      </c>
    </row>
    <row r="823" spans="2:17">
      <c r="B823" s="1" t="s">
        <v>659</v>
      </c>
      <c r="C823" s="1" t="s">
        <v>662</v>
      </c>
      <c r="D823" s="52">
        <v>46011.236111111109</v>
      </c>
      <c r="E823" s="52">
        <v>46011.236111111109</v>
      </c>
      <c r="F823" s="52">
        <v>46011.319444444445</v>
      </c>
      <c r="G823" s="53">
        <f t="shared" si="41"/>
        <v>8.3333333335758653E-2</v>
      </c>
      <c r="H823" s="1" t="s">
        <v>260</v>
      </c>
      <c r="I823" s="1" t="s">
        <v>261</v>
      </c>
      <c r="J823" s="1" t="s">
        <v>262</v>
      </c>
      <c r="K823" s="1" t="str">
        <f>_xlfn.XLOOKUP(J823,REF!$D$2:$D$12,REF!$E$2:$E$12)</f>
        <v>Comunicação</v>
      </c>
      <c r="L823" s="1" t="s">
        <v>390</v>
      </c>
      <c r="M823" s="1" t="s">
        <v>265</v>
      </c>
      <c r="N823" s="1" t="s">
        <v>580</v>
      </c>
      <c r="O823" s="1" t="s">
        <v>828</v>
      </c>
      <c r="P823" s="1" t="str">
        <f t="shared" si="45"/>
        <v>BC BomSucessoABB_0246011,236111111146011,236111111146011,3194444444</v>
      </c>
      <c r="Q823" s="1" t="str">
        <f t="shared" si="46"/>
        <v>LIGRFOCOM</v>
      </c>
    </row>
    <row r="824" spans="2:17">
      <c r="B824" s="1" t="s">
        <v>659</v>
      </c>
      <c r="C824" s="1" t="s">
        <v>663</v>
      </c>
      <c r="D824" s="52">
        <v>46011.236111111109</v>
      </c>
      <c r="E824" s="52">
        <v>46011.236111111109</v>
      </c>
      <c r="F824" s="52">
        <v>46011.319444444445</v>
      </c>
      <c r="G824" s="53">
        <f t="shared" si="41"/>
        <v>8.3333333335758653E-2</v>
      </c>
      <c r="H824" s="1" t="s">
        <v>260</v>
      </c>
      <c r="I824" s="1" t="s">
        <v>261</v>
      </c>
      <c r="J824" s="1" t="s">
        <v>262</v>
      </c>
      <c r="K824" s="1" t="str">
        <f>_xlfn.XLOOKUP(J824,REF!$D$2:$D$12,REF!$E$2:$E$12)</f>
        <v>Comunicação</v>
      </c>
      <c r="L824" s="1" t="s">
        <v>390</v>
      </c>
      <c r="M824" s="1" t="s">
        <v>265</v>
      </c>
      <c r="N824" s="1" t="s">
        <v>580</v>
      </c>
      <c r="O824" s="1" t="s">
        <v>828</v>
      </c>
      <c r="P824" s="1" t="str">
        <f t="shared" si="45"/>
        <v>BC BomSucessoABB_0346011,236111111146011,236111111146011,3194444444</v>
      </c>
      <c r="Q824" s="1" t="str">
        <f t="shared" si="46"/>
        <v>LIGRFOCOM</v>
      </c>
    </row>
    <row r="825" spans="2:17">
      <c r="B825" s="1" t="s">
        <v>659</v>
      </c>
      <c r="C825" s="1" t="s">
        <v>664</v>
      </c>
      <c r="D825" s="52">
        <v>46011.236111111109</v>
      </c>
      <c r="E825" s="52">
        <v>46011.236111111109</v>
      </c>
      <c r="F825" s="52">
        <v>46011.319444444445</v>
      </c>
      <c r="G825" s="53">
        <f t="shared" si="41"/>
        <v>8.3333333335758653E-2</v>
      </c>
      <c r="H825" s="1" t="s">
        <v>260</v>
      </c>
      <c r="I825" s="1" t="s">
        <v>261</v>
      </c>
      <c r="J825" s="1" t="s">
        <v>262</v>
      </c>
      <c r="K825" s="1" t="str">
        <f>_xlfn.XLOOKUP(J825,REF!$D$2:$D$12,REF!$E$2:$E$12)</f>
        <v>Comunicação</v>
      </c>
      <c r="L825" s="1" t="s">
        <v>390</v>
      </c>
      <c r="M825" s="1" t="s">
        <v>265</v>
      </c>
      <c r="N825" s="1" t="s">
        <v>580</v>
      </c>
      <c r="O825" s="1" t="s">
        <v>828</v>
      </c>
      <c r="P825" s="1" t="str">
        <f t="shared" si="45"/>
        <v>BC BomSucessoABB_0446011,236111111146011,236111111146011,3194444444</v>
      </c>
      <c r="Q825" s="1" t="str">
        <f t="shared" si="46"/>
        <v>LIGRFOCOM</v>
      </c>
    </row>
    <row r="826" spans="2:17">
      <c r="B826" s="1" t="s">
        <v>659</v>
      </c>
      <c r="C826" s="1" t="s">
        <v>665</v>
      </c>
      <c r="D826" s="52">
        <v>46011.236111111109</v>
      </c>
      <c r="E826" s="52">
        <v>46011.236111111109</v>
      </c>
      <c r="F826" s="52">
        <v>46011.319444444445</v>
      </c>
      <c r="G826" s="53">
        <f t="shared" si="41"/>
        <v>8.3333333335758653E-2</v>
      </c>
      <c r="H826" s="1" t="s">
        <v>260</v>
      </c>
      <c r="I826" s="1" t="s">
        <v>261</v>
      </c>
      <c r="J826" s="1" t="s">
        <v>262</v>
      </c>
      <c r="K826" s="1" t="str">
        <f>_xlfn.XLOOKUP(J826,REF!$D$2:$D$12,REF!$E$2:$E$12)</f>
        <v>Comunicação</v>
      </c>
      <c r="L826" s="1" t="s">
        <v>390</v>
      </c>
      <c r="M826" s="1" t="s">
        <v>265</v>
      </c>
      <c r="N826" s="1" t="s">
        <v>580</v>
      </c>
      <c r="O826" s="1" t="s">
        <v>828</v>
      </c>
      <c r="P826" s="1" t="str">
        <f t="shared" si="45"/>
        <v>BC BomSucessoABB_0546011,236111111146011,236111111146011,3194444444</v>
      </c>
      <c r="Q826" s="1" t="str">
        <f t="shared" si="46"/>
        <v>LIGRFOCOM</v>
      </c>
    </row>
    <row r="827" spans="2:17">
      <c r="B827" s="1" t="s">
        <v>659</v>
      </c>
      <c r="C827" s="1" t="s">
        <v>666</v>
      </c>
      <c r="D827" s="52">
        <v>46011.236111111109</v>
      </c>
      <c r="E827" s="52">
        <v>46011.236111111109</v>
      </c>
      <c r="F827" s="52">
        <v>46011.319444444445</v>
      </c>
      <c r="G827" s="53">
        <f t="shared" si="41"/>
        <v>8.3333333335758653E-2</v>
      </c>
      <c r="H827" s="1" t="s">
        <v>260</v>
      </c>
      <c r="I827" s="1" t="s">
        <v>261</v>
      </c>
      <c r="J827" s="1" t="s">
        <v>262</v>
      </c>
      <c r="K827" s="1" t="str">
        <f>_xlfn.XLOOKUP(J827,REF!$D$2:$D$12,REF!$E$2:$E$12)</f>
        <v>Comunicação</v>
      </c>
      <c r="L827" s="1" t="s">
        <v>390</v>
      </c>
      <c r="M827" s="1" t="s">
        <v>265</v>
      </c>
      <c r="N827" s="1" t="s">
        <v>580</v>
      </c>
      <c r="O827" s="1" t="s">
        <v>828</v>
      </c>
      <c r="P827" s="1" t="str">
        <f t="shared" si="45"/>
        <v>BC BomSucessoABB_0646011,236111111146011,236111111146011,3194444444</v>
      </c>
      <c r="Q827" s="1" t="str">
        <f t="shared" si="46"/>
        <v>LIGRFOCOM</v>
      </c>
    </row>
    <row r="828" spans="2:17">
      <c r="B828" s="1" t="s">
        <v>659</v>
      </c>
      <c r="C828" s="1" t="s">
        <v>667</v>
      </c>
      <c r="D828" s="52">
        <v>46011.236111111109</v>
      </c>
      <c r="E828" s="52">
        <v>46011.236111111109</v>
      </c>
      <c r="F828" s="52">
        <v>46011.319444444445</v>
      </c>
      <c r="G828" s="53">
        <f t="shared" ref="G828:G891" si="47">F828-E828</f>
        <v>8.3333333335758653E-2</v>
      </c>
      <c r="H828" s="1" t="s">
        <v>260</v>
      </c>
      <c r="I828" s="1" t="s">
        <v>261</v>
      </c>
      <c r="J828" s="1" t="s">
        <v>262</v>
      </c>
      <c r="K828" s="1" t="str">
        <f>_xlfn.XLOOKUP(J828,REF!$D$2:$D$12,REF!$E$2:$E$12)</f>
        <v>Comunicação</v>
      </c>
      <c r="L828" s="1" t="s">
        <v>390</v>
      </c>
      <c r="M828" s="1" t="s">
        <v>265</v>
      </c>
      <c r="N828" s="1" t="s">
        <v>580</v>
      </c>
      <c r="O828" s="1" t="s">
        <v>828</v>
      </c>
      <c r="P828" s="1" t="str">
        <f t="shared" si="45"/>
        <v>BC BomSucessoABB_0746011,236111111146011,236111111146011,3194444444</v>
      </c>
      <c r="Q828" s="1" t="str">
        <f t="shared" si="46"/>
        <v>LIGRFOCOM</v>
      </c>
    </row>
    <row r="829" spans="2:17">
      <c r="B829" s="1" t="s">
        <v>659</v>
      </c>
      <c r="C829" s="1" t="s">
        <v>668</v>
      </c>
      <c r="D829" s="52">
        <v>46011.236111111109</v>
      </c>
      <c r="E829" s="52">
        <v>46011.236111111109</v>
      </c>
      <c r="F829" s="52">
        <v>46011.319444444445</v>
      </c>
      <c r="G829" s="53">
        <f t="shared" si="47"/>
        <v>8.3333333335758653E-2</v>
      </c>
      <c r="H829" s="1" t="s">
        <v>260</v>
      </c>
      <c r="I829" s="1" t="s">
        <v>261</v>
      </c>
      <c r="J829" s="1" t="s">
        <v>262</v>
      </c>
      <c r="K829" s="1" t="str">
        <f>_xlfn.XLOOKUP(J829,REF!$D$2:$D$12,REF!$E$2:$E$12)</f>
        <v>Comunicação</v>
      </c>
      <c r="L829" s="1" t="s">
        <v>390</v>
      </c>
      <c r="M829" s="1" t="s">
        <v>265</v>
      </c>
      <c r="N829" s="1" t="s">
        <v>580</v>
      </c>
      <c r="O829" s="1" t="s">
        <v>828</v>
      </c>
      <c r="P829" s="1" t="str">
        <f t="shared" si="45"/>
        <v>BC BomSucessoABB_0846011,236111111146011,236111111146011,3194444444</v>
      </c>
      <c r="Q829" s="1" t="str">
        <f t="shared" si="46"/>
        <v>LIGRFOCOM</v>
      </c>
    </row>
    <row r="830" spans="2:17">
      <c r="B830" s="1" t="s">
        <v>659</v>
      </c>
      <c r="C830" s="1" t="s">
        <v>669</v>
      </c>
      <c r="D830" s="52">
        <v>46011.236111111109</v>
      </c>
      <c r="E830" s="52">
        <v>46011.236111111109</v>
      </c>
      <c r="F830" s="52">
        <v>46011.319444444445</v>
      </c>
      <c r="G830" s="53">
        <f t="shared" si="47"/>
        <v>8.3333333335758653E-2</v>
      </c>
      <c r="H830" s="1" t="s">
        <v>260</v>
      </c>
      <c r="I830" s="1" t="s">
        <v>261</v>
      </c>
      <c r="J830" s="1" t="s">
        <v>262</v>
      </c>
      <c r="K830" s="1" t="str">
        <f>_xlfn.XLOOKUP(J830,REF!$D$2:$D$12,REF!$E$2:$E$12)</f>
        <v>Comunicação</v>
      </c>
      <c r="L830" s="1" t="s">
        <v>390</v>
      </c>
      <c r="M830" s="1" t="s">
        <v>265</v>
      </c>
      <c r="N830" s="1" t="s">
        <v>580</v>
      </c>
      <c r="O830" s="1" t="s">
        <v>828</v>
      </c>
      <c r="P830" s="1" t="str">
        <f t="shared" si="45"/>
        <v>BC BomSucessoABB_0946011,236111111146011,236111111146011,3194444444</v>
      </c>
      <c r="Q830" s="1" t="str">
        <f t="shared" si="46"/>
        <v>LIGRFOCOM</v>
      </c>
    </row>
    <row r="831" spans="2:17">
      <c r="B831" s="1" t="s">
        <v>659</v>
      </c>
      <c r="C831" s="1" t="s">
        <v>670</v>
      </c>
      <c r="D831" s="52">
        <v>46011.236111111109</v>
      </c>
      <c r="E831" s="52">
        <v>46011.236111111109</v>
      </c>
      <c r="F831" s="52">
        <v>46011.319444444445</v>
      </c>
      <c r="G831" s="53">
        <f t="shared" si="47"/>
        <v>8.3333333335758653E-2</v>
      </c>
      <c r="H831" s="1" t="s">
        <v>260</v>
      </c>
      <c r="I831" s="1" t="s">
        <v>261</v>
      </c>
      <c r="J831" s="1" t="s">
        <v>262</v>
      </c>
      <c r="K831" s="1" t="str">
        <f>_xlfn.XLOOKUP(J831,REF!$D$2:$D$12,REF!$E$2:$E$12)</f>
        <v>Comunicação</v>
      </c>
      <c r="L831" s="1" t="s">
        <v>390</v>
      </c>
      <c r="M831" s="1" t="s">
        <v>265</v>
      </c>
      <c r="N831" s="1" t="s">
        <v>580</v>
      </c>
      <c r="O831" s="1" t="s">
        <v>828</v>
      </c>
      <c r="P831" s="1" t="str">
        <f t="shared" si="45"/>
        <v>BC BomSucessoABB_1046011,236111111146011,236111111146011,3194444444</v>
      </c>
      <c r="Q831" s="1" t="str">
        <f t="shared" si="46"/>
        <v>LIGRFOCOM</v>
      </c>
    </row>
    <row r="832" spans="2:17">
      <c r="B832" s="1" t="s">
        <v>659</v>
      </c>
      <c r="C832" s="1" t="s">
        <v>671</v>
      </c>
      <c r="D832" s="52">
        <v>46011.236111111109</v>
      </c>
      <c r="E832" s="52">
        <v>46011.236111111109</v>
      </c>
      <c r="F832" s="52">
        <v>46011.319444444445</v>
      </c>
      <c r="G832" s="53">
        <f t="shared" si="47"/>
        <v>8.3333333335758653E-2</v>
      </c>
      <c r="H832" s="1" t="s">
        <v>260</v>
      </c>
      <c r="I832" s="1" t="s">
        <v>261</v>
      </c>
      <c r="J832" s="1" t="s">
        <v>262</v>
      </c>
      <c r="K832" s="1" t="str">
        <f>_xlfn.XLOOKUP(J832,REF!$D$2:$D$12,REF!$E$2:$E$12)</f>
        <v>Comunicação</v>
      </c>
      <c r="L832" s="1" t="s">
        <v>390</v>
      </c>
      <c r="M832" s="1" t="s">
        <v>265</v>
      </c>
      <c r="N832" s="1" t="s">
        <v>580</v>
      </c>
      <c r="O832" s="1" t="s">
        <v>828</v>
      </c>
      <c r="P832" s="1" t="str">
        <f t="shared" si="45"/>
        <v>BC BomSucessoABB_1146011,236111111146011,236111111146011,3194444444</v>
      </c>
      <c r="Q832" s="1" t="str">
        <f t="shared" si="46"/>
        <v>LIGRFOCOM</v>
      </c>
    </row>
    <row r="833" spans="2:17" hidden="1">
      <c r="B833" s="1" t="s">
        <v>829</v>
      </c>
      <c r="C833" s="1" t="s">
        <v>471</v>
      </c>
      <c r="D833" s="52">
        <v>46000.333333333336</v>
      </c>
      <c r="E833" s="52">
        <v>46000.333333333336</v>
      </c>
      <c r="F833" s="52">
        <v>46000.430555555555</v>
      </c>
      <c r="G833" s="53">
        <f t="shared" si="47"/>
        <v>9.7222222218988463E-2</v>
      </c>
      <c r="H833" s="1" t="s">
        <v>343</v>
      </c>
      <c r="J833" s="1" t="s">
        <v>337</v>
      </c>
      <c r="K833" s="1" t="str">
        <f>_xlfn.XLOOKUP(J833,REF!$D$2:$D$12,REF!$E$2:$E$12)</f>
        <v>Transformador</v>
      </c>
      <c r="L833" s="1" t="s">
        <v>830</v>
      </c>
      <c r="M833" s="1" t="s">
        <v>302</v>
      </c>
      <c r="N833" s="1" t="s">
        <v>345</v>
      </c>
      <c r="O833" s="1" t="s">
        <v>831</v>
      </c>
      <c r="P833" s="1" t="str">
        <f t="shared" si="45"/>
        <v>VARJÃO 1 - UFV 1UFV 1 - INV 146000,333333333346000,333333333346000,4305555556</v>
      </c>
      <c r="Q833" s="1" t="str">
        <f t="shared" si="46"/>
        <v>DPRTRF</v>
      </c>
    </row>
    <row r="834" spans="2:17" hidden="1">
      <c r="B834" s="1" t="s">
        <v>829</v>
      </c>
      <c r="C834" s="1" t="s">
        <v>473</v>
      </c>
      <c r="D834" s="52">
        <v>46000.333333333336</v>
      </c>
      <c r="E834" s="52">
        <v>46000.333333333336</v>
      </c>
      <c r="F834" s="52">
        <v>46000.430555555555</v>
      </c>
      <c r="G834" s="53">
        <f t="shared" si="47"/>
        <v>9.7222222218988463E-2</v>
      </c>
      <c r="H834" s="1" t="s">
        <v>343</v>
      </c>
      <c r="J834" s="1" t="s">
        <v>337</v>
      </c>
      <c r="K834" s="1" t="str">
        <f>_xlfn.XLOOKUP(J834,REF!$D$2:$D$12,REF!$E$2:$E$12)</f>
        <v>Transformador</v>
      </c>
      <c r="L834" s="1" t="s">
        <v>830</v>
      </c>
      <c r="M834" s="1" t="s">
        <v>302</v>
      </c>
      <c r="N834" s="1" t="s">
        <v>345</v>
      </c>
      <c r="O834" s="1" t="s">
        <v>831</v>
      </c>
      <c r="P834" s="1" t="str">
        <f t="shared" si="45"/>
        <v>VARJÃO 1 - UFV 1UFV 1 - INV 546000,333333333346000,333333333346000,4305555556</v>
      </c>
      <c r="Q834" s="1" t="str">
        <f t="shared" si="46"/>
        <v>DPRTRF</v>
      </c>
    </row>
    <row r="835" spans="2:17" hidden="1">
      <c r="B835" s="1" t="s">
        <v>829</v>
      </c>
      <c r="C835" s="1" t="s">
        <v>474</v>
      </c>
      <c r="D835" s="52">
        <v>46000.333333333336</v>
      </c>
      <c r="E835" s="52">
        <v>46000.333333333336</v>
      </c>
      <c r="F835" s="52">
        <v>46000.430555555555</v>
      </c>
      <c r="G835" s="53">
        <f t="shared" si="47"/>
        <v>9.7222222218988463E-2</v>
      </c>
      <c r="H835" s="1" t="s">
        <v>343</v>
      </c>
      <c r="J835" s="1" t="s">
        <v>337</v>
      </c>
      <c r="K835" s="1" t="str">
        <f>_xlfn.XLOOKUP(J835,REF!$D$2:$D$12,REF!$E$2:$E$12)</f>
        <v>Transformador</v>
      </c>
      <c r="L835" s="1" t="s">
        <v>830</v>
      </c>
      <c r="M835" s="1" t="s">
        <v>302</v>
      </c>
      <c r="N835" s="1" t="s">
        <v>345</v>
      </c>
      <c r="O835" s="1" t="s">
        <v>831</v>
      </c>
      <c r="P835" s="1" t="str">
        <f t="shared" si="45"/>
        <v>VARJÃO 1 - UFV 1UFV 1 - INV 446000,333333333346000,333333333346000,4305555556</v>
      </c>
      <c r="Q835" s="1" t="str">
        <f t="shared" si="46"/>
        <v>DPRTRF</v>
      </c>
    </row>
    <row r="836" spans="2:17" hidden="1">
      <c r="B836" s="1" t="s">
        <v>829</v>
      </c>
      <c r="C836" s="1" t="s">
        <v>475</v>
      </c>
      <c r="D836" s="52">
        <v>46000.333333333336</v>
      </c>
      <c r="E836" s="52">
        <v>46000.333333333336</v>
      </c>
      <c r="F836" s="52">
        <v>46000.430555555555</v>
      </c>
      <c r="G836" s="53">
        <f t="shared" si="47"/>
        <v>9.7222222218988463E-2</v>
      </c>
      <c r="H836" s="1" t="s">
        <v>343</v>
      </c>
      <c r="J836" s="1" t="s">
        <v>337</v>
      </c>
      <c r="K836" s="1" t="str">
        <f>_xlfn.XLOOKUP(J836,REF!$D$2:$D$12,REF!$E$2:$E$12)</f>
        <v>Transformador</v>
      </c>
      <c r="L836" s="1" t="s">
        <v>830</v>
      </c>
      <c r="M836" s="1" t="s">
        <v>302</v>
      </c>
      <c r="N836" s="1" t="s">
        <v>345</v>
      </c>
      <c r="O836" s="1" t="s">
        <v>831</v>
      </c>
      <c r="P836" s="1" t="str">
        <f t="shared" si="45"/>
        <v>VARJÃO 1 - UFV 1UFV 1 - INV 346000,333333333346000,333333333346000,4305555556</v>
      </c>
      <c r="Q836" s="1" t="str">
        <f t="shared" si="46"/>
        <v>DPRTRF</v>
      </c>
    </row>
    <row r="837" spans="2:17" hidden="1">
      <c r="B837" s="1" t="s">
        <v>829</v>
      </c>
      <c r="C837" s="1" t="s">
        <v>476</v>
      </c>
      <c r="D837" s="52">
        <v>46000.333333333336</v>
      </c>
      <c r="E837" s="52">
        <v>46000.333333333336</v>
      </c>
      <c r="F837" s="52">
        <v>46000.430555555555</v>
      </c>
      <c r="G837" s="53">
        <f t="shared" si="47"/>
        <v>9.7222222218988463E-2</v>
      </c>
      <c r="H837" s="1" t="s">
        <v>343</v>
      </c>
      <c r="J837" s="1" t="s">
        <v>337</v>
      </c>
      <c r="K837" s="1" t="str">
        <f>_xlfn.XLOOKUP(J837,REF!$D$2:$D$12,REF!$E$2:$E$12)</f>
        <v>Transformador</v>
      </c>
      <c r="L837" s="1" t="s">
        <v>830</v>
      </c>
      <c r="M837" s="1" t="s">
        <v>302</v>
      </c>
      <c r="N837" s="1" t="s">
        <v>345</v>
      </c>
      <c r="O837" s="1" t="s">
        <v>831</v>
      </c>
      <c r="P837" s="1" t="str">
        <f t="shared" si="45"/>
        <v>VARJÃO 1 - UFV 1UFV 1 - INV 246000,333333333346000,333333333346000,4305555556</v>
      </c>
      <c r="Q837" s="1" t="str">
        <f t="shared" si="46"/>
        <v>DPRTRF</v>
      </c>
    </row>
    <row r="838" spans="2:17" hidden="1">
      <c r="B838" s="1" t="s">
        <v>832</v>
      </c>
      <c r="C838" s="1" t="s">
        <v>460</v>
      </c>
      <c r="D838" s="52">
        <v>46000.434027777781</v>
      </c>
      <c r="E838" s="52">
        <v>46000.434027777781</v>
      </c>
      <c r="F838" s="52">
        <v>46000.493055555555</v>
      </c>
      <c r="G838" s="53">
        <f t="shared" si="47"/>
        <v>5.9027777773735579E-2</v>
      </c>
      <c r="H838" s="1" t="s">
        <v>343</v>
      </c>
      <c r="J838" s="1" t="s">
        <v>337</v>
      </c>
      <c r="K838" s="1" t="str">
        <f>_xlfn.XLOOKUP(J838,REF!$D$2:$D$12,REF!$E$2:$E$12)</f>
        <v>Transformador</v>
      </c>
      <c r="L838" s="1" t="s">
        <v>830</v>
      </c>
      <c r="M838" s="1" t="s">
        <v>302</v>
      </c>
      <c r="N838" s="1" t="s">
        <v>345</v>
      </c>
      <c r="O838" s="1" t="s">
        <v>831</v>
      </c>
      <c r="P838" s="1" t="str">
        <f t="shared" si="45"/>
        <v>VARJÃO 1 - UFV 2215KTL-H0(MBUS-12)46000,434027777846000,434027777846000,4930555556</v>
      </c>
      <c r="Q838" s="1" t="str">
        <f t="shared" si="46"/>
        <v>DPRTRF</v>
      </c>
    </row>
    <row r="839" spans="2:17" hidden="1">
      <c r="B839" s="1" t="s">
        <v>832</v>
      </c>
      <c r="C839" s="1" t="s">
        <v>463</v>
      </c>
      <c r="D839" s="52">
        <v>46000.434027777781</v>
      </c>
      <c r="E839" s="52">
        <v>46000.434027777781</v>
      </c>
      <c r="F839" s="52">
        <v>46000.493055555555</v>
      </c>
      <c r="G839" s="53">
        <f t="shared" si="47"/>
        <v>5.9027777773735579E-2</v>
      </c>
      <c r="H839" s="1" t="s">
        <v>343</v>
      </c>
      <c r="J839" s="1" t="s">
        <v>337</v>
      </c>
      <c r="K839" s="1" t="str">
        <f>_xlfn.XLOOKUP(J839,REF!$D$2:$D$12,REF!$E$2:$E$12)</f>
        <v>Transformador</v>
      </c>
      <c r="L839" s="1" t="s">
        <v>830</v>
      </c>
      <c r="M839" s="1" t="s">
        <v>302</v>
      </c>
      <c r="N839" s="1" t="s">
        <v>345</v>
      </c>
      <c r="O839" s="1" t="s">
        <v>831</v>
      </c>
      <c r="P839" s="1" t="str">
        <f t="shared" si="45"/>
        <v>VARJÃO 1 - UFV 2215KTL-H0(MBUS-13)46000,434027777846000,434027777846000,4930555556</v>
      </c>
      <c r="Q839" s="1" t="str">
        <f t="shared" si="46"/>
        <v>DPRTRF</v>
      </c>
    </row>
    <row r="840" spans="2:17" hidden="1">
      <c r="B840" s="1" t="s">
        <v>832</v>
      </c>
      <c r="C840" s="1" t="s">
        <v>464</v>
      </c>
      <c r="D840" s="52">
        <v>46000.434027777781</v>
      </c>
      <c r="E840" s="52">
        <v>46000.434027777781</v>
      </c>
      <c r="F840" s="52">
        <v>46000.493055555555</v>
      </c>
      <c r="G840" s="53">
        <f t="shared" si="47"/>
        <v>5.9027777773735579E-2</v>
      </c>
      <c r="H840" s="1" t="s">
        <v>343</v>
      </c>
      <c r="J840" s="1" t="s">
        <v>337</v>
      </c>
      <c r="K840" s="1" t="str">
        <f>_xlfn.XLOOKUP(J840,REF!$D$2:$D$12,REF!$E$2:$E$12)</f>
        <v>Transformador</v>
      </c>
      <c r="L840" s="1" t="s">
        <v>830</v>
      </c>
      <c r="M840" s="1" t="s">
        <v>302</v>
      </c>
      <c r="N840" s="1" t="s">
        <v>345</v>
      </c>
      <c r="O840" s="1" t="s">
        <v>831</v>
      </c>
      <c r="P840" s="1" t="str">
        <f t="shared" si="45"/>
        <v>VARJÃO 1 - UFV 2215KTL-H0(MBUS-14)46000,434027777846000,434027777846000,4930555556</v>
      </c>
      <c r="Q840" s="1" t="str">
        <f t="shared" si="46"/>
        <v>DPRTRF</v>
      </c>
    </row>
    <row r="841" spans="2:17" hidden="1">
      <c r="B841" s="1" t="s">
        <v>832</v>
      </c>
      <c r="C841" s="1" t="s">
        <v>465</v>
      </c>
      <c r="D841" s="52">
        <v>46000.434027777781</v>
      </c>
      <c r="E841" s="52">
        <v>46000.434027777781</v>
      </c>
      <c r="F841" s="52">
        <v>46000.493055555555</v>
      </c>
      <c r="G841" s="53">
        <f t="shared" si="47"/>
        <v>5.9027777773735579E-2</v>
      </c>
      <c r="H841" s="1" t="s">
        <v>343</v>
      </c>
      <c r="J841" s="1" t="s">
        <v>337</v>
      </c>
      <c r="K841" s="1" t="str">
        <f>_xlfn.XLOOKUP(J841,REF!$D$2:$D$12,REF!$E$2:$E$12)</f>
        <v>Transformador</v>
      </c>
      <c r="L841" s="1" t="s">
        <v>830</v>
      </c>
      <c r="M841" s="1" t="s">
        <v>302</v>
      </c>
      <c r="N841" s="1" t="s">
        <v>345</v>
      </c>
      <c r="O841" s="1" t="s">
        <v>831</v>
      </c>
      <c r="P841" s="1" t="str">
        <f t="shared" si="45"/>
        <v>VARJÃO 1 - UFV 2215KTL-H0(MBUS-15)46000,434027777846000,434027777846000,4930555556</v>
      </c>
      <c r="Q841" s="1" t="str">
        <f t="shared" si="46"/>
        <v>DPRTRF</v>
      </c>
    </row>
    <row r="842" spans="2:17" hidden="1">
      <c r="B842" s="1" t="s">
        <v>832</v>
      </c>
      <c r="C842" s="1" t="s">
        <v>466</v>
      </c>
      <c r="D842" s="52">
        <v>46000.434027777781</v>
      </c>
      <c r="E842" s="52">
        <v>46000.434027777781</v>
      </c>
      <c r="F842" s="52">
        <v>46000.493055555555</v>
      </c>
      <c r="G842" s="53">
        <f t="shared" si="47"/>
        <v>5.9027777773735579E-2</v>
      </c>
      <c r="H842" s="1" t="s">
        <v>343</v>
      </c>
      <c r="J842" s="1" t="s">
        <v>337</v>
      </c>
      <c r="K842" s="1" t="str">
        <f>_xlfn.XLOOKUP(J842,REF!$D$2:$D$12,REF!$E$2:$E$12)</f>
        <v>Transformador</v>
      </c>
      <c r="L842" s="1" t="s">
        <v>830</v>
      </c>
      <c r="M842" s="1" t="s">
        <v>302</v>
      </c>
      <c r="N842" s="1" t="s">
        <v>345</v>
      </c>
      <c r="O842" s="1" t="s">
        <v>831</v>
      </c>
      <c r="P842" s="1" t="str">
        <f t="shared" si="45"/>
        <v>VARJÃO 1 - UFV 2215KTL-H0(MBUS-16)46000,434027777846000,434027777846000,4930555556</v>
      </c>
      <c r="Q842" s="1" t="str">
        <f t="shared" si="46"/>
        <v>DPRTRF</v>
      </c>
    </row>
    <row r="843" spans="2:17" hidden="1">
      <c r="B843" s="1" t="s">
        <v>833</v>
      </c>
      <c r="C843" s="1" t="s">
        <v>728</v>
      </c>
      <c r="D843" s="52">
        <v>46000.559027777781</v>
      </c>
      <c r="E843" s="52">
        <v>46000.559027777781</v>
      </c>
      <c r="F843" s="52">
        <v>46000.638888888891</v>
      </c>
      <c r="G843" s="53">
        <f t="shared" si="47"/>
        <v>7.9861111109494232E-2</v>
      </c>
      <c r="H843" s="1" t="s">
        <v>343</v>
      </c>
      <c r="J843" s="1" t="s">
        <v>337</v>
      </c>
      <c r="K843" s="1" t="str">
        <f>_xlfn.XLOOKUP(J843,REF!$D$2:$D$12,REF!$E$2:$E$12)</f>
        <v>Transformador</v>
      </c>
      <c r="L843" s="1" t="s">
        <v>830</v>
      </c>
      <c r="M843" s="1" t="s">
        <v>302</v>
      </c>
      <c r="N843" s="1" t="s">
        <v>345</v>
      </c>
      <c r="O843" s="1" t="s">
        <v>831</v>
      </c>
      <c r="P843" s="1" t="str">
        <f t="shared" si="45"/>
        <v>VARJÃO 1 - UFV 3100KTL-H1(MBUS-13)46000,559027777846000,559027777846000,6388888889</v>
      </c>
      <c r="Q843" s="1" t="str">
        <f t="shared" si="46"/>
        <v>DPRTRF</v>
      </c>
    </row>
    <row r="844" spans="2:17" hidden="1">
      <c r="B844" s="1" t="s">
        <v>833</v>
      </c>
      <c r="C844" s="1" t="s">
        <v>729</v>
      </c>
      <c r="D844" s="52">
        <v>46000.559027777781</v>
      </c>
      <c r="E844" s="52">
        <v>46000.559027777781</v>
      </c>
      <c r="F844" s="52">
        <v>46000.638888888891</v>
      </c>
      <c r="G844" s="53">
        <f t="shared" si="47"/>
        <v>7.9861111109494232E-2</v>
      </c>
      <c r="H844" s="1" t="s">
        <v>343</v>
      </c>
      <c r="J844" s="1" t="s">
        <v>337</v>
      </c>
      <c r="K844" s="1" t="str">
        <f>_xlfn.XLOOKUP(J844,REF!$D$2:$D$12,REF!$E$2:$E$12)</f>
        <v>Transformador</v>
      </c>
      <c r="L844" s="1" t="s">
        <v>830</v>
      </c>
      <c r="M844" s="1" t="s">
        <v>302</v>
      </c>
      <c r="N844" s="1" t="s">
        <v>345</v>
      </c>
      <c r="O844" s="1" t="s">
        <v>831</v>
      </c>
      <c r="P844" s="1" t="str">
        <f t="shared" si="45"/>
        <v>VARJÃO 1 - UFV 3UF3Inv246000,559027777846000,559027777846000,6388888889</v>
      </c>
      <c r="Q844" s="1" t="str">
        <f t="shared" si="46"/>
        <v>DPRTRF</v>
      </c>
    </row>
    <row r="845" spans="2:17" hidden="1">
      <c r="B845" s="1" t="s">
        <v>833</v>
      </c>
      <c r="C845" s="1" t="s">
        <v>464</v>
      </c>
      <c r="D845" s="52">
        <v>46000.559027777781</v>
      </c>
      <c r="E845" s="52">
        <v>46000.559027777781</v>
      </c>
      <c r="F845" s="52">
        <v>46000.638888888891</v>
      </c>
      <c r="G845" s="53">
        <f t="shared" si="47"/>
        <v>7.9861111109494232E-2</v>
      </c>
      <c r="H845" s="1" t="s">
        <v>343</v>
      </c>
      <c r="J845" s="1" t="s">
        <v>337</v>
      </c>
      <c r="K845" s="1" t="str">
        <f>_xlfn.XLOOKUP(J845,REF!$D$2:$D$12,REF!$E$2:$E$12)</f>
        <v>Transformador</v>
      </c>
      <c r="L845" s="1" t="s">
        <v>830</v>
      </c>
      <c r="M845" s="1" t="s">
        <v>302</v>
      </c>
      <c r="N845" s="1" t="s">
        <v>345</v>
      </c>
      <c r="O845" s="1" t="s">
        <v>831</v>
      </c>
      <c r="P845" s="1" t="str">
        <f t="shared" si="45"/>
        <v>VARJÃO 1 - UFV 3215KTL-H0(MBUS-14)46000,559027777846000,559027777846000,6388888889</v>
      </c>
      <c r="Q845" s="1" t="str">
        <f t="shared" si="46"/>
        <v>DPRTRF</v>
      </c>
    </row>
    <row r="846" spans="2:17" hidden="1">
      <c r="B846" s="1" t="s">
        <v>834</v>
      </c>
      <c r="C846" s="1" t="s">
        <v>460</v>
      </c>
      <c r="D846" s="52">
        <v>46001.414583333331</v>
      </c>
      <c r="E846" s="52">
        <v>46001.414583333331</v>
      </c>
      <c r="F846" s="52">
        <v>46001.491666666669</v>
      </c>
      <c r="G846" s="53">
        <f t="shared" si="47"/>
        <v>7.7083333337213844E-2</v>
      </c>
      <c r="H846" s="1" t="s">
        <v>343</v>
      </c>
      <c r="J846" s="1" t="s">
        <v>337</v>
      </c>
      <c r="K846" s="1" t="str">
        <f>_xlfn.XLOOKUP(J846,REF!$D$2:$D$12,REF!$E$2:$E$12)</f>
        <v>Transformador</v>
      </c>
      <c r="L846" s="1" t="s">
        <v>830</v>
      </c>
      <c r="M846" s="1" t="s">
        <v>302</v>
      </c>
      <c r="N846" s="1" t="s">
        <v>345</v>
      </c>
      <c r="O846" s="1" t="s">
        <v>831</v>
      </c>
      <c r="P846" s="1" t="str">
        <f t="shared" si="45"/>
        <v>VARJÃO 2 - UFV 2.1215KTL-H0(MBUS-12)46001,414583333346001,414583333346001,4916666667</v>
      </c>
      <c r="Q846" s="1" t="str">
        <f t="shared" si="46"/>
        <v>DPRTRF</v>
      </c>
    </row>
    <row r="847" spans="2:17" hidden="1">
      <c r="B847" s="1" t="s">
        <v>834</v>
      </c>
      <c r="C847" s="1" t="s">
        <v>463</v>
      </c>
      <c r="D847" s="52">
        <v>46001.414583333331</v>
      </c>
      <c r="E847" s="52">
        <v>46001.414583333331</v>
      </c>
      <c r="F847" s="52">
        <v>46001.491666666669</v>
      </c>
      <c r="G847" s="53">
        <f t="shared" si="47"/>
        <v>7.7083333337213844E-2</v>
      </c>
      <c r="H847" s="1" t="s">
        <v>343</v>
      </c>
      <c r="J847" s="1" t="s">
        <v>337</v>
      </c>
      <c r="K847" s="1" t="str">
        <f>_xlfn.XLOOKUP(J847,REF!$D$2:$D$12,REF!$E$2:$E$12)</f>
        <v>Transformador</v>
      </c>
      <c r="L847" s="1" t="s">
        <v>830</v>
      </c>
      <c r="M847" s="1" t="s">
        <v>302</v>
      </c>
      <c r="N847" s="1" t="s">
        <v>345</v>
      </c>
      <c r="O847" s="1" t="s">
        <v>831</v>
      </c>
      <c r="P847" s="1" t="str">
        <f t="shared" si="45"/>
        <v>VARJÃO 2 - UFV 2.1215KTL-H0(MBUS-13)46001,414583333346001,414583333346001,4916666667</v>
      </c>
      <c r="Q847" s="1" t="str">
        <f t="shared" si="46"/>
        <v>DPRTRF</v>
      </c>
    </row>
    <row r="848" spans="2:17" hidden="1">
      <c r="B848" s="1" t="s">
        <v>834</v>
      </c>
      <c r="C848" s="1" t="s">
        <v>464</v>
      </c>
      <c r="D848" s="52">
        <v>46001.414583333331</v>
      </c>
      <c r="E848" s="52">
        <v>46001.414583333331</v>
      </c>
      <c r="F848" s="52">
        <v>46001.491666666669</v>
      </c>
      <c r="G848" s="53">
        <f t="shared" si="47"/>
        <v>7.7083333337213844E-2</v>
      </c>
      <c r="H848" s="1" t="s">
        <v>343</v>
      </c>
      <c r="J848" s="1" t="s">
        <v>337</v>
      </c>
      <c r="K848" s="1" t="str">
        <f>_xlfn.XLOOKUP(J848,REF!$D$2:$D$12,REF!$E$2:$E$12)</f>
        <v>Transformador</v>
      </c>
      <c r="L848" s="1" t="s">
        <v>830</v>
      </c>
      <c r="M848" s="1" t="s">
        <v>302</v>
      </c>
      <c r="N848" s="1" t="s">
        <v>345</v>
      </c>
      <c r="O848" s="1" t="s">
        <v>831</v>
      </c>
      <c r="P848" s="1" t="str">
        <f t="shared" si="45"/>
        <v>VARJÃO 2 - UFV 2.1215KTL-H0(MBUS-14)46001,414583333346001,414583333346001,4916666667</v>
      </c>
      <c r="Q848" s="1" t="str">
        <f t="shared" si="46"/>
        <v>DPRTRF</v>
      </c>
    </row>
    <row r="849" spans="2:17" hidden="1">
      <c r="B849" s="1" t="s">
        <v>834</v>
      </c>
      <c r="C849" s="1" t="s">
        <v>465</v>
      </c>
      <c r="D849" s="52">
        <v>46001.414583333331</v>
      </c>
      <c r="E849" s="52">
        <v>46001.414583333331</v>
      </c>
      <c r="F849" s="52">
        <v>46001.491666666669</v>
      </c>
      <c r="G849" s="53">
        <f t="shared" si="47"/>
        <v>7.7083333337213844E-2</v>
      </c>
      <c r="H849" s="1" t="s">
        <v>343</v>
      </c>
      <c r="J849" s="1" t="s">
        <v>337</v>
      </c>
      <c r="K849" s="1" t="str">
        <f>_xlfn.XLOOKUP(J849,REF!$D$2:$D$12,REF!$E$2:$E$12)</f>
        <v>Transformador</v>
      </c>
      <c r="L849" s="1" t="s">
        <v>830</v>
      </c>
      <c r="M849" s="1" t="s">
        <v>302</v>
      </c>
      <c r="N849" s="1" t="s">
        <v>345</v>
      </c>
      <c r="O849" s="1" t="s">
        <v>831</v>
      </c>
      <c r="P849" s="1" t="str">
        <f t="shared" si="45"/>
        <v>VARJÃO 2 - UFV 2.1215KTL-H0(MBUS-15)46001,414583333346001,414583333346001,4916666667</v>
      </c>
      <c r="Q849" s="1" t="str">
        <f t="shared" si="46"/>
        <v>DPRTRF</v>
      </c>
    </row>
    <row r="850" spans="2:17" hidden="1">
      <c r="B850" s="1" t="s">
        <v>834</v>
      </c>
      <c r="C850" s="1" t="s">
        <v>466</v>
      </c>
      <c r="D850" s="52">
        <v>46001.414583333331</v>
      </c>
      <c r="E850" s="52">
        <v>46001.414583333331</v>
      </c>
      <c r="F850" s="52">
        <v>46001.491666666669</v>
      </c>
      <c r="G850" s="53">
        <f t="shared" si="47"/>
        <v>7.7083333337213844E-2</v>
      </c>
      <c r="H850" s="1" t="s">
        <v>343</v>
      </c>
      <c r="J850" s="1" t="s">
        <v>337</v>
      </c>
      <c r="K850" s="1" t="str">
        <f>_xlfn.XLOOKUP(J850,REF!$D$2:$D$12,REF!$E$2:$E$12)</f>
        <v>Transformador</v>
      </c>
      <c r="L850" s="1" t="s">
        <v>830</v>
      </c>
      <c r="M850" s="1" t="s">
        <v>302</v>
      </c>
      <c r="N850" s="1" t="s">
        <v>345</v>
      </c>
      <c r="O850" s="1" t="s">
        <v>831</v>
      </c>
      <c r="P850" s="1" t="str">
        <f t="shared" si="45"/>
        <v>VARJÃO 2 - UFV 2.1215KTL-H0(MBUS-16)46001,414583333346001,414583333346001,4916666667</v>
      </c>
      <c r="Q850" s="1" t="str">
        <f t="shared" si="46"/>
        <v>DPRTRF</v>
      </c>
    </row>
    <row r="851" spans="2:17" hidden="1">
      <c r="B851" s="1" t="s">
        <v>835</v>
      </c>
      <c r="C851" s="1" t="s">
        <v>463</v>
      </c>
      <c r="D851" s="52">
        <v>46001.569444444445</v>
      </c>
      <c r="E851" s="52">
        <v>46001.569444444445</v>
      </c>
      <c r="F851" s="52">
        <v>46001.645833333336</v>
      </c>
      <c r="G851" s="53">
        <f t="shared" si="47"/>
        <v>7.6388888890505768E-2</v>
      </c>
      <c r="H851" s="1" t="s">
        <v>343</v>
      </c>
      <c r="J851" s="1" t="s">
        <v>337</v>
      </c>
      <c r="K851" s="1" t="str">
        <f>_xlfn.XLOOKUP(J851,REF!$D$2:$D$12,REF!$E$2:$E$12)</f>
        <v>Transformador</v>
      </c>
      <c r="L851" s="1" t="s">
        <v>830</v>
      </c>
      <c r="M851" s="1" t="s">
        <v>302</v>
      </c>
      <c r="N851" s="1" t="s">
        <v>345</v>
      </c>
      <c r="O851" s="1" t="s">
        <v>831</v>
      </c>
      <c r="P851" s="1" t="str">
        <f t="shared" si="45"/>
        <v>VARJÃO 2 - UFV 2.2215KTL-H0(MBUS-13)46001,569444444446001,569444444446001,6458333333</v>
      </c>
      <c r="Q851" s="1" t="str">
        <f t="shared" si="46"/>
        <v>DPRTRF</v>
      </c>
    </row>
    <row r="852" spans="2:17" hidden="1">
      <c r="B852" s="1" t="s">
        <v>835</v>
      </c>
      <c r="C852" s="1" t="s">
        <v>464</v>
      </c>
      <c r="D852" s="52">
        <v>46001.569444444445</v>
      </c>
      <c r="E852" s="52">
        <v>46001.569444444445</v>
      </c>
      <c r="F852" s="52">
        <v>46001.645833333336</v>
      </c>
      <c r="G852" s="53">
        <f t="shared" si="47"/>
        <v>7.6388888890505768E-2</v>
      </c>
      <c r="H852" s="1" t="s">
        <v>343</v>
      </c>
      <c r="J852" s="1" t="s">
        <v>337</v>
      </c>
      <c r="K852" s="1" t="str">
        <f>_xlfn.XLOOKUP(J852,REF!$D$2:$D$12,REF!$E$2:$E$12)</f>
        <v>Transformador</v>
      </c>
      <c r="L852" s="1" t="s">
        <v>830</v>
      </c>
      <c r="M852" s="1" t="s">
        <v>302</v>
      </c>
      <c r="N852" s="1" t="s">
        <v>345</v>
      </c>
      <c r="O852" s="1" t="s">
        <v>831</v>
      </c>
      <c r="P852" s="1" t="str">
        <f t="shared" si="45"/>
        <v>VARJÃO 2 - UFV 2.2215KTL-H0(MBUS-14)46001,569444444446001,569444444446001,6458333333</v>
      </c>
      <c r="Q852" s="1" t="str">
        <f t="shared" si="46"/>
        <v>DPRTRF</v>
      </c>
    </row>
    <row r="853" spans="2:17" hidden="1">
      <c r="B853" s="1" t="s">
        <v>835</v>
      </c>
      <c r="C853" s="1" t="s">
        <v>465</v>
      </c>
      <c r="D853" s="52">
        <v>46001.569444444445</v>
      </c>
      <c r="E853" s="52">
        <v>46001.569444444445</v>
      </c>
      <c r="F853" s="52">
        <v>46001.645833333336</v>
      </c>
      <c r="G853" s="53">
        <f t="shared" si="47"/>
        <v>7.6388888890505768E-2</v>
      </c>
      <c r="H853" s="1" t="s">
        <v>343</v>
      </c>
      <c r="J853" s="1" t="s">
        <v>337</v>
      </c>
      <c r="K853" s="1" t="str">
        <f>_xlfn.XLOOKUP(J853,REF!$D$2:$D$12,REF!$E$2:$E$12)</f>
        <v>Transformador</v>
      </c>
      <c r="L853" s="1" t="s">
        <v>830</v>
      </c>
      <c r="M853" s="1" t="s">
        <v>302</v>
      </c>
      <c r="N853" s="1" t="s">
        <v>345</v>
      </c>
      <c r="O853" s="1" t="s">
        <v>831</v>
      </c>
      <c r="P853" s="1" t="str">
        <f t="shared" si="45"/>
        <v>VARJÃO 2 - UFV 2.2215KTL-H0(MBUS-15)46001,569444444446001,569444444446001,6458333333</v>
      </c>
      <c r="Q853" s="1" t="str">
        <f t="shared" si="46"/>
        <v>DPRTRF</v>
      </c>
    </row>
    <row r="854" spans="2:17" hidden="1">
      <c r="B854" s="1" t="s">
        <v>835</v>
      </c>
      <c r="C854" s="1" t="s">
        <v>466</v>
      </c>
      <c r="D854" s="52">
        <v>46001.569444444445</v>
      </c>
      <c r="E854" s="52">
        <v>46001.569444444445</v>
      </c>
      <c r="F854" s="52">
        <v>46001.645833333336</v>
      </c>
      <c r="G854" s="53">
        <f t="shared" si="47"/>
        <v>7.6388888890505768E-2</v>
      </c>
      <c r="H854" s="1" t="s">
        <v>343</v>
      </c>
      <c r="J854" s="1" t="s">
        <v>337</v>
      </c>
      <c r="K854" s="1" t="str">
        <f>_xlfn.XLOOKUP(J854,REF!$D$2:$D$12,REF!$E$2:$E$12)</f>
        <v>Transformador</v>
      </c>
      <c r="L854" s="1" t="s">
        <v>830</v>
      </c>
      <c r="M854" s="1" t="s">
        <v>302</v>
      </c>
      <c r="N854" s="1" t="s">
        <v>345</v>
      </c>
      <c r="O854" s="1" t="s">
        <v>831</v>
      </c>
      <c r="P854" s="1" t="str">
        <f t="shared" si="45"/>
        <v>VARJÃO 2 - UFV 2.2215KTL-H0(MBUS-16)46001,569444444446001,569444444446001,6458333333</v>
      </c>
      <c r="Q854" s="1" t="str">
        <f t="shared" si="46"/>
        <v>DPRTRF</v>
      </c>
    </row>
    <row r="855" spans="2:17" hidden="1">
      <c r="B855" s="1" t="s">
        <v>835</v>
      </c>
      <c r="C855" s="1" t="s">
        <v>460</v>
      </c>
      <c r="D855" s="52">
        <v>46001.569444444445</v>
      </c>
      <c r="E855" s="52">
        <v>46001.569444444445</v>
      </c>
      <c r="F855" s="52">
        <v>46001.645833333336</v>
      </c>
      <c r="G855" s="53">
        <f t="shared" si="47"/>
        <v>7.6388888890505768E-2</v>
      </c>
      <c r="H855" s="1" t="s">
        <v>343</v>
      </c>
      <c r="J855" s="1" t="s">
        <v>337</v>
      </c>
      <c r="K855" s="1" t="str">
        <f>_xlfn.XLOOKUP(J855,REF!$D$2:$D$12,REF!$E$2:$E$12)</f>
        <v>Transformador</v>
      </c>
      <c r="L855" s="1" t="s">
        <v>830</v>
      </c>
      <c r="M855" s="1" t="s">
        <v>302</v>
      </c>
      <c r="N855" s="1" t="s">
        <v>345</v>
      </c>
      <c r="O855" s="1" t="s">
        <v>831</v>
      </c>
      <c r="P855" s="1" t="str">
        <f t="shared" si="45"/>
        <v>VARJÃO 2 - UFV 2.2215KTL-H0(MBUS-12)46001,569444444446001,569444444446001,6458333333</v>
      </c>
      <c r="Q855" s="1" t="str">
        <f t="shared" si="46"/>
        <v>DPRTRF</v>
      </c>
    </row>
    <row r="856" spans="2:17" hidden="1">
      <c r="B856" s="1" t="s">
        <v>836</v>
      </c>
      <c r="C856" s="1" t="s">
        <v>469</v>
      </c>
      <c r="D856" s="52">
        <v>46001.341666666667</v>
      </c>
      <c r="E856" s="52">
        <v>46001.341666666667</v>
      </c>
      <c r="F856" s="52">
        <v>46001.413194444445</v>
      </c>
      <c r="G856" s="53">
        <f t="shared" si="47"/>
        <v>7.1527777778101154E-2</v>
      </c>
      <c r="H856" s="1" t="s">
        <v>343</v>
      </c>
      <c r="J856" s="1" t="s">
        <v>337</v>
      </c>
      <c r="K856" s="1" t="str">
        <f>_xlfn.XLOOKUP(J856,REF!$D$2:$D$12,REF!$E$2:$E$12)</f>
        <v>Transformador</v>
      </c>
      <c r="L856" s="1" t="s">
        <v>830</v>
      </c>
      <c r="M856" s="1" t="s">
        <v>302</v>
      </c>
      <c r="N856" s="1" t="s">
        <v>345</v>
      </c>
      <c r="O856" s="1" t="s">
        <v>831</v>
      </c>
      <c r="P856" s="1" t="str">
        <f t="shared" si="45"/>
        <v>VARJÃO 2 - UFV 2.3100KTL-H1(MBUS-1)46001,341666666746001,341666666746001,4131944444</v>
      </c>
      <c r="Q856" s="1" t="str">
        <f t="shared" si="46"/>
        <v>DPRTRF</v>
      </c>
    </row>
    <row r="857" spans="2:17" hidden="1">
      <c r="B857" s="1" t="s">
        <v>836</v>
      </c>
      <c r="C857" s="1" t="s">
        <v>463</v>
      </c>
      <c r="D857" s="52">
        <v>46001.341666666667</v>
      </c>
      <c r="E857" s="52">
        <v>46001.341666666667</v>
      </c>
      <c r="F857" s="52">
        <v>46001.413194444445</v>
      </c>
      <c r="G857" s="53">
        <f t="shared" si="47"/>
        <v>7.1527777778101154E-2</v>
      </c>
      <c r="H857" s="1" t="s">
        <v>343</v>
      </c>
      <c r="J857" s="1" t="s">
        <v>337</v>
      </c>
      <c r="K857" s="1" t="str">
        <f>_xlfn.XLOOKUP(J857,REF!$D$2:$D$12,REF!$E$2:$E$12)</f>
        <v>Transformador</v>
      </c>
      <c r="L857" s="1" t="s">
        <v>830</v>
      </c>
      <c r="M857" s="1" t="s">
        <v>302</v>
      </c>
      <c r="N857" s="1" t="s">
        <v>345</v>
      </c>
      <c r="O857" s="1" t="s">
        <v>831</v>
      </c>
      <c r="P857" s="1" t="str">
        <f t="shared" si="45"/>
        <v>VARJÃO 2 - UFV 2.3215KTL-H0(MBUS-13)46001,341666666746001,341666666746001,4131944444</v>
      </c>
      <c r="Q857" s="1" t="str">
        <f t="shared" si="46"/>
        <v>DPRTRF</v>
      </c>
    </row>
    <row r="858" spans="2:17" hidden="1">
      <c r="B858" s="1" t="s">
        <v>836</v>
      </c>
      <c r="C858" s="1" t="s">
        <v>460</v>
      </c>
      <c r="D858" s="52">
        <v>46001.341666666667</v>
      </c>
      <c r="E858" s="52">
        <v>46001.341666666667</v>
      </c>
      <c r="F858" s="52">
        <v>46001.413194444445</v>
      </c>
      <c r="G858" s="53">
        <f t="shared" si="47"/>
        <v>7.1527777778101154E-2</v>
      </c>
      <c r="H858" s="1" t="s">
        <v>343</v>
      </c>
      <c r="J858" s="1" t="s">
        <v>337</v>
      </c>
      <c r="K858" s="1" t="str">
        <f>_xlfn.XLOOKUP(J858,REF!$D$2:$D$12,REF!$E$2:$E$12)</f>
        <v>Transformador</v>
      </c>
      <c r="L858" s="1" t="s">
        <v>830</v>
      </c>
      <c r="M858" s="1" t="s">
        <v>302</v>
      </c>
      <c r="N858" s="1" t="s">
        <v>345</v>
      </c>
      <c r="O858" s="1" t="s">
        <v>831</v>
      </c>
      <c r="P858" s="1" t="str">
        <f t="shared" si="45"/>
        <v>VARJÃO 2 - UFV 2.3215KTL-H0(MBUS-12)46001,341666666746001,341666666746001,4131944444</v>
      </c>
      <c r="Q858" s="1" t="str">
        <f t="shared" si="46"/>
        <v>DPRTRF</v>
      </c>
    </row>
    <row r="859" spans="2:17" hidden="1">
      <c r="B859" s="1" t="s">
        <v>837</v>
      </c>
      <c r="C859" s="1" t="s">
        <v>357</v>
      </c>
      <c r="D859" s="52">
        <v>46357.606944444444</v>
      </c>
      <c r="E859" s="52">
        <v>46357.606944444444</v>
      </c>
      <c r="F859" s="52">
        <v>46357.650694444441</v>
      </c>
      <c r="G859" s="53">
        <f t="shared" si="47"/>
        <v>4.3749999997089617E-2</v>
      </c>
      <c r="H859" s="1" t="s">
        <v>343</v>
      </c>
      <c r="J859" s="1" t="s">
        <v>337</v>
      </c>
      <c r="K859" s="1" t="str">
        <f>_xlfn.XLOOKUP(J859,REF!$D$2:$D$12,REF!$E$2:$E$12)</f>
        <v>Transformador</v>
      </c>
      <c r="L859" s="1" t="s">
        <v>838</v>
      </c>
      <c r="M859" s="1" t="s">
        <v>302</v>
      </c>
      <c r="N859" s="1" t="s">
        <v>345</v>
      </c>
      <c r="O859" s="1" t="s">
        <v>839</v>
      </c>
      <c r="P859" s="1" t="str">
        <f t="shared" si="45"/>
        <v>UFV LENÇOIS PAULISTAInverter(MBUS-13)46357,606944444446357,606944444446357,6506944444</v>
      </c>
      <c r="Q859" s="1" t="str">
        <f t="shared" si="46"/>
        <v>DPRTRF</v>
      </c>
    </row>
    <row r="860" spans="2:17" hidden="1">
      <c r="B860" s="1" t="s">
        <v>837</v>
      </c>
      <c r="C860" s="1" t="s">
        <v>358</v>
      </c>
      <c r="D860" s="52">
        <v>46357.606944444444</v>
      </c>
      <c r="E860" s="52">
        <v>46357.606944444444</v>
      </c>
      <c r="F860" s="52">
        <v>46357.650694444441</v>
      </c>
      <c r="G860" s="53">
        <f t="shared" si="47"/>
        <v>4.3749999997089617E-2</v>
      </c>
      <c r="H860" s="1" t="s">
        <v>343</v>
      </c>
      <c r="J860" s="1" t="s">
        <v>337</v>
      </c>
      <c r="K860" s="1" t="str">
        <f>_xlfn.XLOOKUP(J860,REF!$D$2:$D$12,REF!$E$2:$E$12)</f>
        <v>Transformador</v>
      </c>
      <c r="L860" s="1" t="s">
        <v>838</v>
      </c>
      <c r="M860" s="1" t="s">
        <v>302</v>
      </c>
      <c r="N860" s="1" t="s">
        <v>345</v>
      </c>
      <c r="O860" s="1" t="s">
        <v>839</v>
      </c>
      <c r="P860" s="1" t="str">
        <f t="shared" si="45"/>
        <v>UFV LENÇOIS PAULISTAInverter(MBUS-14)46357,606944444446357,606944444446357,6506944444</v>
      </c>
      <c r="Q860" s="1" t="str">
        <f t="shared" si="46"/>
        <v>DPRTRF</v>
      </c>
    </row>
    <row r="861" spans="2:17" hidden="1">
      <c r="B861" s="1" t="s">
        <v>837</v>
      </c>
      <c r="C861" s="1" t="s">
        <v>354</v>
      </c>
      <c r="D861" s="52">
        <v>46357.606944444444</v>
      </c>
      <c r="E861" s="52">
        <v>46357.606944444444</v>
      </c>
      <c r="F861" s="52">
        <v>46357.650694444441</v>
      </c>
      <c r="G861" s="53">
        <f t="shared" si="47"/>
        <v>4.3749999997089617E-2</v>
      </c>
      <c r="H861" s="1" t="s">
        <v>343</v>
      </c>
      <c r="J861" s="1" t="s">
        <v>337</v>
      </c>
      <c r="K861" s="1" t="str">
        <f>_xlfn.XLOOKUP(J861,REF!$D$2:$D$12,REF!$E$2:$E$12)</f>
        <v>Transformador</v>
      </c>
      <c r="L861" s="1" t="s">
        <v>838</v>
      </c>
      <c r="M861" s="1" t="s">
        <v>302</v>
      </c>
      <c r="N861" s="1" t="s">
        <v>345</v>
      </c>
      <c r="O861" s="1" t="s">
        <v>839</v>
      </c>
      <c r="P861" s="1" t="str">
        <f t="shared" si="45"/>
        <v>UFV LENÇOIS PAULISTAInverter(MBUS-12)46357,606944444446357,606944444446357,6506944444</v>
      </c>
      <c r="Q861" s="1" t="str">
        <f t="shared" si="46"/>
        <v>DPRTRF</v>
      </c>
    </row>
    <row r="862" spans="2:17" hidden="1">
      <c r="B862" s="1" t="s">
        <v>837</v>
      </c>
      <c r="C862" s="1" t="s">
        <v>359</v>
      </c>
      <c r="D862" s="52">
        <v>46357.606944444444</v>
      </c>
      <c r="E862" s="52">
        <v>46357.606944444444</v>
      </c>
      <c r="F862" s="52">
        <v>46357.650694444441</v>
      </c>
      <c r="G862" s="53">
        <f t="shared" si="47"/>
        <v>4.3749999997089617E-2</v>
      </c>
      <c r="H862" s="1" t="s">
        <v>343</v>
      </c>
      <c r="J862" s="1" t="s">
        <v>337</v>
      </c>
      <c r="K862" s="1" t="str">
        <f>_xlfn.XLOOKUP(J862,REF!$D$2:$D$12,REF!$E$2:$E$12)</f>
        <v>Transformador</v>
      </c>
      <c r="L862" s="1" t="s">
        <v>838</v>
      </c>
      <c r="M862" s="1" t="s">
        <v>302</v>
      </c>
      <c r="N862" s="1" t="s">
        <v>345</v>
      </c>
      <c r="O862" s="1" t="s">
        <v>839</v>
      </c>
      <c r="P862" s="1" t="str">
        <f t="shared" si="45"/>
        <v>UFV LENÇOIS PAULISTAInverter(MBUS-15)46357,606944444446357,606944444446357,6506944444</v>
      </c>
      <c r="Q862" s="1" t="str">
        <f t="shared" si="46"/>
        <v>DPRTRF</v>
      </c>
    </row>
    <row r="863" spans="2:17" hidden="1">
      <c r="B863" s="1" t="s">
        <v>840</v>
      </c>
      <c r="C863" s="1" t="s">
        <v>358</v>
      </c>
      <c r="D863" s="52">
        <v>46357.125</v>
      </c>
      <c r="E863" s="52">
        <v>46357.125</v>
      </c>
      <c r="F863" s="52">
        <v>46357.302083333336</v>
      </c>
      <c r="G863" s="53">
        <f t="shared" si="47"/>
        <v>0.17708333333575865</v>
      </c>
      <c r="H863" s="1" t="s">
        <v>248</v>
      </c>
      <c r="J863" s="1" t="s">
        <v>249</v>
      </c>
      <c r="K863" s="1" t="str">
        <f>_xlfn.XLOOKUP(J863,REF!$D$2:$D$12,REF!$E$2:$E$12)</f>
        <v>Rede</v>
      </c>
      <c r="L863" s="1" t="s">
        <v>841</v>
      </c>
      <c r="M863" s="1" t="s">
        <v>251</v>
      </c>
      <c r="N863" s="1" t="s">
        <v>252</v>
      </c>
      <c r="O863" s="1" t="s">
        <v>712</v>
      </c>
      <c r="P863" s="1" t="str">
        <f t="shared" ref="P863:P926" si="48">_xlfn.CONCAT(B863,C863,D863,E863,F863)</f>
        <v>Clareira de Araçu - UFV 1Inverter(MBUS-14)46357,12546357,12546357,3020833333</v>
      </c>
      <c r="Q863" s="1" t="str">
        <f t="shared" ref="Q863:Q926" si="49">_xlfn.CONCAT(H863,I863,J863)</f>
        <v>DAURDE</v>
      </c>
    </row>
    <row r="864" spans="2:17" hidden="1">
      <c r="B864" s="1" t="s">
        <v>840</v>
      </c>
      <c r="C864" s="1" t="s">
        <v>359</v>
      </c>
      <c r="D864" s="52">
        <v>46357.125</v>
      </c>
      <c r="E864" s="52">
        <v>46357.125</v>
      </c>
      <c r="F864" s="52">
        <v>46357.302083333336</v>
      </c>
      <c r="G864" s="53">
        <f t="shared" si="47"/>
        <v>0.17708333333575865</v>
      </c>
      <c r="H864" s="1" t="s">
        <v>248</v>
      </c>
      <c r="J864" s="1" t="s">
        <v>249</v>
      </c>
      <c r="K864" s="1" t="str">
        <f>_xlfn.XLOOKUP(J864,REF!$D$2:$D$12,REF!$E$2:$E$12)</f>
        <v>Rede</v>
      </c>
      <c r="L864" s="1" t="s">
        <v>841</v>
      </c>
      <c r="M864" s="1" t="s">
        <v>251</v>
      </c>
      <c r="N864" s="1" t="s">
        <v>252</v>
      </c>
      <c r="O864" s="1" t="s">
        <v>712</v>
      </c>
      <c r="P864" s="1" t="str">
        <f t="shared" si="48"/>
        <v>Clareira de Araçu - UFV 1Inverter(MBUS-15)46357,12546357,12546357,3020833333</v>
      </c>
      <c r="Q864" s="1" t="str">
        <f t="shared" si="49"/>
        <v>DAURDE</v>
      </c>
    </row>
    <row r="865" spans="1:17" hidden="1">
      <c r="B865" s="1" t="s">
        <v>840</v>
      </c>
      <c r="C865" s="1" t="s">
        <v>386</v>
      </c>
      <c r="D865" s="52">
        <v>46357.125</v>
      </c>
      <c r="E865" s="52">
        <v>46357.125</v>
      </c>
      <c r="F865" s="52">
        <v>46357.302083333336</v>
      </c>
      <c r="G865" s="53">
        <f t="shared" si="47"/>
        <v>0.17708333333575865</v>
      </c>
      <c r="H865" s="1" t="s">
        <v>248</v>
      </c>
      <c r="J865" s="1" t="s">
        <v>249</v>
      </c>
      <c r="K865" s="1" t="str">
        <f>_xlfn.XLOOKUP(J865,REF!$D$2:$D$12,REF!$E$2:$E$12)</f>
        <v>Rede</v>
      </c>
      <c r="L865" s="1" t="s">
        <v>841</v>
      </c>
      <c r="M865" s="1" t="s">
        <v>251</v>
      </c>
      <c r="N865" s="1" t="s">
        <v>252</v>
      </c>
      <c r="O865" s="1" t="s">
        <v>712</v>
      </c>
      <c r="P865" s="1" t="str">
        <f t="shared" si="48"/>
        <v>Clareira de Araçu - UFV 1Inverter(MBUS-16)46357,12546357,12546357,3020833333</v>
      </c>
      <c r="Q865" s="1" t="str">
        <f t="shared" si="49"/>
        <v>DAURDE</v>
      </c>
    </row>
    <row r="866" spans="1:17" hidden="1">
      <c r="B866" s="1" t="s">
        <v>840</v>
      </c>
      <c r="C866" s="1" t="s">
        <v>354</v>
      </c>
      <c r="D866" s="52">
        <v>46357.125</v>
      </c>
      <c r="E866" s="52">
        <v>46357.125</v>
      </c>
      <c r="F866" s="52">
        <v>46357.302083333336</v>
      </c>
      <c r="G866" s="53">
        <f t="shared" si="47"/>
        <v>0.17708333333575865</v>
      </c>
      <c r="H866" s="1" t="s">
        <v>248</v>
      </c>
      <c r="J866" s="1" t="s">
        <v>249</v>
      </c>
      <c r="K866" s="1" t="str">
        <f>_xlfn.XLOOKUP(J866,REF!$D$2:$D$12,REF!$E$2:$E$12)</f>
        <v>Rede</v>
      </c>
      <c r="L866" s="1" t="s">
        <v>841</v>
      </c>
      <c r="M866" s="1" t="s">
        <v>251</v>
      </c>
      <c r="N866" s="1" t="s">
        <v>252</v>
      </c>
      <c r="O866" s="1" t="s">
        <v>712</v>
      </c>
      <c r="P866" s="1" t="str">
        <f t="shared" si="48"/>
        <v>Clareira de Araçu - UFV 1Inverter(MBUS-12)46357,12546357,12546357,3020833333</v>
      </c>
      <c r="Q866" s="1" t="str">
        <f t="shared" si="49"/>
        <v>DAURDE</v>
      </c>
    </row>
    <row r="867" spans="1:17" hidden="1">
      <c r="B867" s="1" t="s">
        <v>840</v>
      </c>
      <c r="C867" s="1" t="s">
        <v>357</v>
      </c>
      <c r="D867" s="52">
        <v>46357.125</v>
      </c>
      <c r="E867" s="52">
        <v>46357.125</v>
      </c>
      <c r="F867" s="52">
        <v>46357.302083333336</v>
      </c>
      <c r="G867" s="53">
        <f t="shared" si="47"/>
        <v>0.17708333333575865</v>
      </c>
      <c r="H867" s="1" t="s">
        <v>248</v>
      </c>
      <c r="J867" s="1" t="s">
        <v>249</v>
      </c>
      <c r="K867" s="1" t="str">
        <f>_xlfn.XLOOKUP(J867,REF!$D$2:$D$12,REF!$E$2:$E$12)</f>
        <v>Rede</v>
      </c>
      <c r="L867" s="1" t="s">
        <v>841</v>
      </c>
      <c r="M867" s="1" t="s">
        <v>251</v>
      </c>
      <c r="N867" s="1" t="s">
        <v>252</v>
      </c>
      <c r="O867" s="1" t="s">
        <v>712</v>
      </c>
      <c r="P867" s="1" t="str">
        <f t="shared" si="48"/>
        <v>Clareira de Araçu - UFV 1Inverter(MBUS-13)46357,12546357,12546357,3020833333</v>
      </c>
      <c r="Q867" s="1" t="str">
        <f t="shared" si="49"/>
        <v>DAURDE</v>
      </c>
    </row>
    <row r="868" spans="1:17" hidden="1">
      <c r="B868" s="1" t="s">
        <v>842</v>
      </c>
      <c r="C868" s="1" t="s">
        <v>247</v>
      </c>
      <c r="D868" s="52">
        <v>46357.125</v>
      </c>
      <c r="E868" s="52">
        <v>46357.125</v>
      </c>
      <c r="F868" s="52">
        <v>46357.302083333336</v>
      </c>
      <c r="G868" s="53">
        <f t="shared" si="47"/>
        <v>0.17708333333575865</v>
      </c>
      <c r="H868" s="1" t="s">
        <v>248</v>
      </c>
      <c r="J868" s="1" t="s">
        <v>249</v>
      </c>
      <c r="K868" s="1" t="str">
        <f>_xlfn.XLOOKUP(J868,REF!$D$2:$D$12,REF!$E$2:$E$12)</f>
        <v>Rede</v>
      </c>
      <c r="L868" s="1" t="s">
        <v>841</v>
      </c>
      <c r="M868" s="1" t="s">
        <v>251</v>
      </c>
      <c r="N868" s="1" t="s">
        <v>252</v>
      </c>
      <c r="O868" s="1" t="s">
        <v>712</v>
      </c>
      <c r="P868" s="1" t="str">
        <f t="shared" si="48"/>
        <v>Clareira de Araçu - UFV 2215KTL-H3(MBUS-12)46357,12546357,12546357,3020833333</v>
      </c>
      <c r="Q868" s="1" t="str">
        <f t="shared" si="49"/>
        <v>DAURDE</v>
      </c>
    </row>
    <row r="869" spans="1:17" hidden="1">
      <c r="B869" s="1" t="s">
        <v>842</v>
      </c>
      <c r="C869" s="1" t="s">
        <v>710</v>
      </c>
      <c r="D869" s="52">
        <v>46357.125</v>
      </c>
      <c r="E869" s="52">
        <v>46357.125</v>
      </c>
      <c r="F869" s="52">
        <v>46357.302083333336</v>
      </c>
      <c r="G869" s="53">
        <f t="shared" si="47"/>
        <v>0.17708333333575865</v>
      </c>
      <c r="H869" s="1" t="s">
        <v>248</v>
      </c>
      <c r="J869" s="1" t="s">
        <v>249</v>
      </c>
      <c r="K869" s="1" t="str">
        <f>_xlfn.XLOOKUP(J869,REF!$D$2:$D$12,REF!$E$2:$E$12)</f>
        <v>Rede</v>
      </c>
      <c r="L869" s="1" t="s">
        <v>841</v>
      </c>
      <c r="M869" s="1" t="s">
        <v>251</v>
      </c>
      <c r="N869" s="1" t="s">
        <v>252</v>
      </c>
      <c r="O869" s="1" t="s">
        <v>712</v>
      </c>
      <c r="P869" s="1" t="str">
        <f t="shared" si="48"/>
        <v>Clareira de Araçu - UFV 2100KTL-H1(MBUS-14)46357,12546357,12546357,3020833333</v>
      </c>
      <c r="Q869" s="1" t="str">
        <f t="shared" si="49"/>
        <v>DAURDE</v>
      </c>
    </row>
    <row r="870" spans="1:17" hidden="1">
      <c r="B870" s="1" t="s">
        <v>842</v>
      </c>
      <c r="C870" s="1" t="s">
        <v>254</v>
      </c>
      <c r="D870" s="52">
        <v>46357.125</v>
      </c>
      <c r="E870" s="52">
        <v>46357.125</v>
      </c>
      <c r="F870" s="52">
        <v>46357.302083333336</v>
      </c>
      <c r="G870" s="53">
        <f t="shared" si="47"/>
        <v>0.17708333333575865</v>
      </c>
      <c r="H870" s="1" t="s">
        <v>248</v>
      </c>
      <c r="J870" s="1" t="s">
        <v>249</v>
      </c>
      <c r="K870" s="1" t="str">
        <f>_xlfn.XLOOKUP(J870,REF!$D$2:$D$12,REF!$E$2:$E$12)</f>
        <v>Rede</v>
      </c>
      <c r="L870" s="1" t="s">
        <v>841</v>
      </c>
      <c r="M870" s="1" t="s">
        <v>251</v>
      </c>
      <c r="N870" s="1" t="s">
        <v>252</v>
      </c>
      <c r="O870" s="1" t="s">
        <v>712</v>
      </c>
      <c r="P870" s="1" t="str">
        <f t="shared" si="48"/>
        <v>Clareira de Araçu - UFV 2215KTL-H3(MBUS-13)46357,12546357,12546357,3020833333</v>
      </c>
      <c r="Q870" s="1" t="str">
        <f t="shared" si="49"/>
        <v>DAURDE</v>
      </c>
    </row>
    <row r="871" spans="1:17" s="44" customFormat="1" hidden="1">
      <c r="A871" s="43"/>
      <c r="B871" s="58" t="s">
        <v>834</v>
      </c>
      <c r="C871" s="58" t="s">
        <v>460</v>
      </c>
      <c r="D871" s="59">
        <v>46365.333333333336</v>
      </c>
      <c r="E871" s="59">
        <v>46365.333333333336</v>
      </c>
      <c r="F871" s="59"/>
      <c r="G871" s="60">
        <f t="shared" si="47"/>
        <v>-46365.333333333336</v>
      </c>
      <c r="H871" s="58" t="s">
        <v>343</v>
      </c>
      <c r="I871" s="58"/>
      <c r="J871" s="58" t="s">
        <v>337</v>
      </c>
      <c r="K871" s="58" t="str">
        <f>_xlfn.XLOOKUP(J871,REF!$D$2:$D$12,REF!$E$2:$E$12)</f>
        <v>Transformador</v>
      </c>
      <c r="L871" s="58" t="s">
        <v>830</v>
      </c>
      <c r="M871" s="58" t="s">
        <v>302</v>
      </c>
      <c r="N871" s="58" t="s">
        <v>345</v>
      </c>
      <c r="O871" s="58" t="s">
        <v>843</v>
      </c>
      <c r="P871" s="1" t="str">
        <f t="shared" si="48"/>
        <v>VARJÃO 2 - UFV 2.1215KTL-H0(MBUS-12)46365,333333333346365,3333333333</v>
      </c>
      <c r="Q871" s="1" t="str">
        <f t="shared" si="49"/>
        <v>DPRTRF</v>
      </c>
    </row>
    <row r="872" spans="1:17" s="44" customFormat="1" hidden="1">
      <c r="A872" s="43"/>
      <c r="B872" s="58" t="s">
        <v>834</v>
      </c>
      <c r="C872" s="58" t="s">
        <v>463</v>
      </c>
      <c r="D872" s="59">
        <v>46365.333333333336</v>
      </c>
      <c r="E872" s="59">
        <v>46365.333333333336</v>
      </c>
      <c r="F872" s="59"/>
      <c r="G872" s="60">
        <f t="shared" si="47"/>
        <v>-46365.333333333336</v>
      </c>
      <c r="H872" s="58" t="s">
        <v>343</v>
      </c>
      <c r="I872" s="58"/>
      <c r="J872" s="58" t="s">
        <v>337</v>
      </c>
      <c r="K872" s="58" t="str">
        <f>_xlfn.XLOOKUP(J872,REF!$D$2:$D$12,REF!$E$2:$E$12)</f>
        <v>Transformador</v>
      </c>
      <c r="L872" s="58" t="s">
        <v>830</v>
      </c>
      <c r="M872" s="58" t="s">
        <v>302</v>
      </c>
      <c r="N872" s="58" t="s">
        <v>345</v>
      </c>
      <c r="O872" s="58" t="s">
        <v>843</v>
      </c>
      <c r="P872" s="1" t="str">
        <f t="shared" si="48"/>
        <v>VARJÃO 2 - UFV 2.1215KTL-H0(MBUS-13)46365,333333333346365,3333333333</v>
      </c>
      <c r="Q872" s="1" t="str">
        <f t="shared" si="49"/>
        <v>DPRTRF</v>
      </c>
    </row>
    <row r="873" spans="1:17" s="44" customFormat="1" hidden="1">
      <c r="A873" s="43"/>
      <c r="B873" s="58" t="s">
        <v>834</v>
      </c>
      <c r="C873" s="58" t="s">
        <v>464</v>
      </c>
      <c r="D873" s="59">
        <v>46365.333333333336</v>
      </c>
      <c r="E873" s="59">
        <v>46365.333333333336</v>
      </c>
      <c r="F873" s="59"/>
      <c r="G873" s="60">
        <f t="shared" si="47"/>
        <v>-46365.333333333336</v>
      </c>
      <c r="H873" s="58" t="s">
        <v>343</v>
      </c>
      <c r="I873" s="58"/>
      <c r="J873" s="58" t="s">
        <v>337</v>
      </c>
      <c r="K873" s="58" t="str">
        <f>_xlfn.XLOOKUP(J873,REF!$D$2:$D$12,REF!$E$2:$E$12)</f>
        <v>Transformador</v>
      </c>
      <c r="L873" s="58" t="s">
        <v>830</v>
      </c>
      <c r="M873" s="58" t="s">
        <v>302</v>
      </c>
      <c r="N873" s="58" t="s">
        <v>345</v>
      </c>
      <c r="O873" s="58" t="s">
        <v>843</v>
      </c>
      <c r="P873" s="1" t="str">
        <f t="shared" si="48"/>
        <v>VARJÃO 2 - UFV 2.1215KTL-H0(MBUS-14)46365,333333333346365,3333333333</v>
      </c>
      <c r="Q873" s="1" t="str">
        <f t="shared" si="49"/>
        <v>DPRTRF</v>
      </c>
    </row>
    <row r="874" spans="1:17" s="44" customFormat="1" hidden="1">
      <c r="A874" s="43"/>
      <c r="B874" s="58" t="s">
        <v>834</v>
      </c>
      <c r="C874" s="58" t="s">
        <v>465</v>
      </c>
      <c r="D874" s="59">
        <v>46365.333333333336</v>
      </c>
      <c r="E874" s="59">
        <v>46365.333333333336</v>
      </c>
      <c r="F874" s="59"/>
      <c r="G874" s="60">
        <f t="shared" si="47"/>
        <v>-46365.333333333336</v>
      </c>
      <c r="H874" s="58" t="s">
        <v>343</v>
      </c>
      <c r="I874" s="58"/>
      <c r="J874" s="58" t="s">
        <v>337</v>
      </c>
      <c r="K874" s="58" t="str">
        <f>_xlfn.XLOOKUP(J874,REF!$D$2:$D$12,REF!$E$2:$E$12)</f>
        <v>Transformador</v>
      </c>
      <c r="L874" s="58" t="s">
        <v>830</v>
      </c>
      <c r="M874" s="58" t="s">
        <v>302</v>
      </c>
      <c r="N874" s="58" t="s">
        <v>345</v>
      </c>
      <c r="O874" s="58" t="s">
        <v>843</v>
      </c>
      <c r="P874" s="1" t="str">
        <f t="shared" si="48"/>
        <v>VARJÃO 2 - UFV 2.1215KTL-H0(MBUS-15)46365,333333333346365,3333333333</v>
      </c>
      <c r="Q874" s="1" t="str">
        <f t="shared" si="49"/>
        <v>DPRTRF</v>
      </c>
    </row>
    <row r="875" spans="1:17" s="44" customFormat="1" hidden="1">
      <c r="A875" s="43"/>
      <c r="B875" s="58" t="s">
        <v>834</v>
      </c>
      <c r="C875" s="58" t="s">
        <v>466</v>
      </c>
      <c r="D875" s="59">
        <v>46365.333333333336</v>
      </c>
      <c r="E875" s="59">
        <v>46365.333333333336</v>
      </c>
      <c r="F875" s="59"/>
      <c r="G875" s="60">
        <f t="shared" si="47"/>
        <v>-46365.333333333336</v>
      </c>
      <c r="H875" s="58" t="s">
        <v>343</v>
      </c>
      <c r="I875" s="58"/>
      <c r="J875" s="58" t="s">
        <v>337</v>
      </c>
      <c r="K875" s="58" t="str">
        <f>_xlfn.XLOOKUP(J875,REF!$D$2:$D$12,REF!$E$2:$E$12)</f>
        <v>Transformador</v>
      </c>
      <c r="L875" s="58" t="s">
        <v>830</v>
      </c>
      <c r="M875" s="58" t="s">
        <v>302</v>
      </c>
      <c r="N875" s="58" t="s">
        <v>345</v>
      </c>
      <c r="O875" s="58" t="s">
        <v>843</v>
      </c>
      <c r="P875" s="1" t="str">
        <f t="shared" si="48"/>
        <v>VARJÃO 2 - UFV 2.1215KTL-H0(MBUS-16)46365,333333333346365,3333333333</v>
      </c>
      <c r="Q875" s="1" t="str">
        <f t="shared" si="49"/>
        <v>DPRTRF</v>
      </c>
    </row>
    <row r="876" spans="1:17" hidden="1">
      <c r="B876" s="1" t="s">
        <v>429</v>
      </c>
      <c r="C876" s="1" t="s">
        <v>357</v>
      </c>
      <c r="D876" s="52">
        <v>46375.416666666664</v>
      </c>
      <c r="E876" s="52">
        <v>46375.416666666664</v>
      </c>
      <c r="F876" s="52">
        <v>46375.440972222219</v>
      </c>
      <c r="G876" s="53">
        <f t="shared" si="47"/>
        <v>2.4305555554747116E-2</v>
      </c>
      <c r="H876" s="1" t="s">
        <v>343</v>
      </c>
      <c r="J876" s="1" t="s">
        <v>230</v>
      </c>
      <c r="K876" s="1" t="str">
        <f>_xlfn.XLOOKUP(J876,REF!$D$2:$D$12,REF!$E$2:$E$12)</f>
        <v>UFV</v>
      </c>
      <c r="L876" s="1" t="s">
        <v>844</v>
      </c>
      <c r="M876" s="1" t="s">
        <v>302</v>
      </c>
      <c r="N876" s="1" t="s">
        <v>266</v>
      </c>
      <c r="O876" s="1" t="s">
        <v>845</v>
      </c>
      <c r="P876" s="1" t="str">
        <f t="shared" si="48"/>
        <v>BC Formoso1.1Inverter(MBUS-13)46375,416666666746375,416666666746375,4409722222</v>
      </c>
      <c r="Q876" s="1" t="str">
        <f t="shared" si="49"/>
        <v>DPRUFV</v>
      </c>
    </row>
    <row r="877" spans="1:17" hidden="1">
      <c r="B877" s="1" t="s">
        <v>429</v>
      </c>
      <c r="C877" s="1" t="s">
        <v>354</v>
      </c>
      <c r="D877" s="52">
        <v>46375.416666666664</v>
      </c>
      <c r="E877" s="52">
        <v>46375.416666666664</v>
      </c>
      <c r="F877" s="52">
        <v>46375.440972222219</v>
      </c>
      <c r="G877" s="53">
        <f t="shared" si="47"/>
        <v>2.4305555554747116E-2</v>
      </c>
      <c r="H877" s="1" t="s">
        <v>343</v>
      </c>
      <c r="J877" s="1" t="s">
        <v>230</v>
      </c>
      <c r="K877" s="1" t="str">
        <f>_xlfn.XLOOKUP(J877,REF!$D$2:$D$12,REF!$E$2:$E$12)</f>
        <v>UFV</v>
      </c>
      <c r="L877" s="1" t="s">
        <v>844</v>
      </c>
      <c r="M877" s="1" t="s">
        <v>302</v>
      </c>
      <c r="N877" s="1" t="s">
        <v>266</v>
      </c>
      <c r="O877" s="1" t="s">
        <v>845</v>
      </c>
      <c r="P877" s="1" t="str">
        <f t="shared" si="48"/>
        <v>BC Formoso1.1Inverter(MBUS-12)46375,416666666746375,416666666746375,4409722222</v>
      </c>
      <c r="Q877" s="1" t="str">
        <f t="shared" si="49"/>
        <v>DPRUFV</v>
      </c>
    </row>
    <row r="878" spans="1:17" hidden="1">
      <c r="B878" s="1" t="s">
        <v>429</v>
      </c>
      <c r="C878" s="1" t="s">
        <v>359</v>
      </c>
      <c r="D878" s="52">
        <v>46375.416666666664</v>
      </c>
      <c r="E878" s="52">
        <v>46375.416666666664</v>
      </c>
      <c r="F878" s="52">
        <v>46375.440972222219</v>
      </c>
      <c r="G878" s="53">
        <f t="shared" si="47"/>
        <v>2.4305555554747116E-2</v>
      </c>
      <c r="H878" s="1" t="s">
        <v>343</v>
      </c>
      <c r="J878" s="1" t="s">
        <v>230</v>
      </c>
      <c r="K878" s="1" t="str">
        <f>_xlfn.XLOOKUP(J878,REF!$D$2:$D$12,REF!$E$2:$E$12)</f>
        <v>UFV</v>
      </c>
      <c r="L878" s="1" t="s">
        <v>844</v>
      </c>
      <c r="M878" s="1" t="s">
        <v>302</v>
      </c>
      <c r="N878" s="1" t="s">
        <v>266</v>
      </c>
      <c r="O878" s="1" t="s">
        <v>845</v>
      </c>
      <c r="P878" s="1" t="str">
        <f t="shared" si="48"/>
        <v>BC Formoso1.1Inverter(MBUS-15)46375,416666666746375,416666666746375,4409722222</v>
      </c>
      <c r="Q878" s="1" t="str">
        <f t="shared" si="49"/>
        <v>DPRUFV</v>
      </c>
    </row>
    <row r="879" spans="1:17" hidden="1">
      <c r="B879" s="1" t="s">
        <v>429</v>
      </c>
      <c r="C879" s="1" t="s">
        <v>358</v>
      </c>
      <c r="D879" s="52">
        <v>46375.416666666664</v>
      </c>
      <c r="E879" s="52">
        <v>46375.416666666664</v>
      </c>
      <c r="F879" s="52">
        <v>46375.440972222219</v>
      </c>
      <c r="G879" s="53">
        <f t="shared" si="47"/>
        <v>2.4305555554747116E-2</v>
      </c>
      <c r="H879" s="1" t="s">
        <v>343</v>
      </c>
      <c r="J879" s="1" t="s">
        <v>230</v>
      </c>
      <c r="K879" s="1" t="str">
        <f>_xlfn.XLOOKUP(J879,REF!$D$2:$D$12,REF!$E$2:$E$12)</f>
        <v>UFV</v>
      </c>
      <c r="L879" s="1" t="s">
        <v>844</v>
      </c>
      <c r="M879" s="1" t="s">
        <v>302</v>
      </c>
      <c r="N879" s="1" t="s">
        <v>266</v>
      </c>
      <c r="O879" s="1" t="s">
        <v>845</v>
      </c>
      <c r="P879" s="1" t="str">
        <f t="shared" si="48"/>
        <v>BC Formoso1.1Inverter(MBUS-14)46375,416666666746375,416666666746375,4409722222</v>
      </c>
      <c r="Q879" s="1" t="str">
        <f t="shared" si="49"/>
        <v>DPRUFV</v>
      </c>
    </row>
    <row r="880" spans="1:17" hidden="1">
      <c r="B880" s="1" t="s">
        <v>423</v>
      </c>
      <c r="C880" s="1" t="s">
        <v>354</v>
      </c>
      <c r="D880" s="52">
        <v>46375.45</v>
      </c>
      <c r="E880" s="52">
        <v>46375.45</v>
      </c>
      <c r="F880" s="52">
        <v>46375.473611111112</v>
      </c>
      <c r="G880" s="53">
        <f t="shared" si="47"/>
        <v>2.3611111115314998E-2</v>
      </c>
      <c r="H880" s="1" t="s">
        <v>343</v>
      </c>
      <c r="J880" s="1" t="s">
        <v>230</v>
      </c>
      <c r="K880" s="1" t="str">
        <f>_xlfn.XLOOKUP(J880,REF!$D$2:$D$12,REF!$E$2:$E$12)</f>
        <v>UFV</v>
      </c>
      <c r="L880" s="1" t="s">
        <v>844</v>
      </c>
      <c r="M880" s="1" t="s">
        <v>302</v>
      </c>
      <c r="N880" s="1" t="s">
        <v>266</v>
      </c>
      <c r="O880" s="1" t="s">
        <v>845</v>
      </c>
      <c r="P880" s="1" t="str">
        <f t="shared" si="48"/>
        <v>BC Formoso2.1Inverter(MBUS-12)46375,4546375,4546375,4736111111</v>
      </c>
      <c r="Q880" s="1" t="str">
        <f t="shared" si="49"/>
        <v>DPRUFV</v>
      </c>
    </row>
    <row r="881" spans="2:17" hidden="1">
      <c r="B881" s="1" t="s">
        <v>423</v>
      </c>
      <c r="C881" s="1" t="s">
        <v>358</v>
      </c>
      <c r="D881" s="52">
        <v>46375.45</v>
      </c>
      <c r="E881" s="52">
        <v>46375.45</v>
      </c>
      <c r="F881" s="52">
        <v>46375.473611111112</v>
      </c>
      <c r="G881" s="53">
        <f t="shared" si="47"/>
        <v>2.3611111115314998E-2</v>
      </c>
      <c r="H881" s="1" t="s">
        <v>343</v>
      </c>
      <c r="J881" s="1" t="s">
        <v>230</v>
      </c>
      <c r="K881" s="1" t="str">
        <f>_xlfn.XLOOKUP(J881,REF!$D$2:$D$12,REF!$E$2:$E$12)</f>
        <v>UFV</v>
      </c>
      <c r="L881" s="1" t="s">
        <v>844</v>
      </c>
      <c r="M881" s="1" t="s">
        <v>302</v>
      </c>
      <c r="N881" s="1" t="s">
        <v>266</v>
      </c>
      <c r="O881" s="1" t="s">
        <v>845</v>
      </c>
      <c r="P881" s="1" t="str">
        <f t="shared" si="48"/>
        <v>BC Formoso2.1Inverter(MBUS-14)46375,4546375,4546375,4736111111</v>
      </c>
      <c r="Q881" s="1" t="str">
        <f t="shared" si="49"/>
        <v>DPRUFV</v>
      </c>
    </row>
    <row r="882" spans="2:17" hidden="1">
      <c r="B882" s="1" t="s">
        <v>423</v>
      </c>
      <c r="C882" s="1" t="s">
        <v>357</v>
      </c>
      <c r="D882" s="52">
        <v>46375.45</v>
      </c>
      <c r="E882" s="52">
        <v>46375.45</v>
      </c>
      <c r="F882" s="52">
        <v>46375.473611111112</v>
      </c>
      <c r="G882" s="53">
        <f t="shared" si="47"/>
        <v>2.3611111115314998E-2</v>
      </c>
      <c r="H882" s="1" t="s">
        <v>343</v>
      </c>
      <c r="J882" s="1" t="s">
        <v>230</v>
      </c>
      <c r="K882" s="1" t="str">
        <f>_xlfn.XLOOKUP(J882,REF!$D$2:$D$12,REF!$E$2:$E$12)</f>
        <v>UFV</v>
      </c>
      <c r="L882" s="1" t="s">
        <v>844</v>
      </c>
      <c r="M882" s="1" t="s">
        <v>302</v>
      </c>
      <c r="N882" s="1" t="s">
        <v>266</v>
      </c>
      <c r="O882" s="1" t="s">
        <v>845</v>
      </c>
      <c r="P882" s="1" t="str">
        <f t="shared" si="48"/>
        <v>BC Formoso2.1Inverter(MBUS-13)46375,4546375,4546375,4736111111</v>
      </c>
      <c r="Q882" s="1" t="str">
        <f t="shared" si="49"/>
        <v>DPRUFV</v>
      </c>
    </row>
    <row r="883" spans="2:17" hidden="1">
      <c r="B883" s="1" t="s">
        <v>423</v>
      </c>
      <c r="C883" s="1" t="s">
        <v>328</v>
      </c>
      <c r="D883" s="52">
        <v>46375.45</v>
      </c>
      <c r="E883" s="52">
        <v>46375.45</v>
      </c>
      <c r="F883" s="52">
        <v>46375.473611111112</v>
      </c>
      <c r="G883" s="53">
        <f t="shared" si="47"/>
        <v>2.3611111115314998E-2</v>
      </c>
      <c r="H883" s="1" t="s">
        <v>343</v>
      </c>
      <c r="J883" s="1" t="s">
        <v>230</v>
      </c>
      <c r="K883" s="1" t="str">
        <f>_xlfn.XLOOKUP(J883,REF!$D$2:$D$12,REF!$E$2:$E$12)</f>
        <v>UFV</v>
      </c>
      <c r="L883" s="1" t="s">
        <v>844</v>
      </c>
      <c r="M883" s="1" t="s">
        <v>302</v>
      </c>
      <c r="N883" s="1" t="s">
        <v>266</v>
      </c>
      <c r="O883" s="1" t="s">
        <v>845</v>
      </c>
      <c r="P883" s="1" t="str">
        <f t="shared" si="48"/>
        <v>BC Formoso2.1Inverter(MBUS-1)46375,4546375,4546375,4736111111</v>
      </c>
      <c r="Q883" s="1" t="str">
        <f t="shared" si="49"/>
        <v>DPRUFV</v>
      </c>
    </row>
    <row r="884" spans="2:17" hidden="1">
      <c r="B884" s="1" t="s">
        <v>424</v>
      </c>
      <c r="C884" s="1" t="s">
        <v>358</v>
      </c>
      <c r="D884" s="52">
        <v>46375.474999999999</v>
      </c>
      <c r="E884" s="52">
        <v>46375.474999999999</v>
      </c>
      <c r="F884" s="52">
        <v>46375.499305555553</v>
      </c>
      <c r="G884" s="53">
        <f t="shared" si="47"/>
        <v>2.4305555554747116E-2</v>
      </c>
      <c r="H884" s="1" t="s">
        <v>343</v>
      </c>
      <c r="J884" s="1" t="s">
        <v>230</v>
      </c>
      <c r="K884" s="1" t="str">
        <f>_xlfn.XLOOKUP(J884,REF!$D$2:$D$12,REF!$E$2:$E$12)</f>
        <v>UFV</v>
      </c>
      <c r="L884" s="1" t="s">
        <v>844</v>
      </c>
      <c r="M884" s="1" t="s">
        <v>302</v>
      </c>
      <c r="N884" s="1" t="s">
        <v>266</v>
      </c>
      <c r="O884" s="1" t="s">
        <v>845</v>
      </c>
      <c r="P884" s="1" t="str">
        <f t="shared" si="48"/>
        <v>BC Formoso2.2Inverter(MBUS-14)46375,47546375,47546375,4993055556</v>
      </c>
      <c r="Q884" s="1" t="str">
        <f t="shared" si="49"/>
        <v>DPRUFV</v>
      </c>
    </row>
    <row r="885" spans="2:17" hidden="1">
      <c r="B885" s="1" t="s">
        <v>424</v>
      </c>
      <c r="C885" s="1" t="s">
        <v>357</v>
      </c>
      <c r="D885" s="52">
        <v>46375.474999999999</v>
      </c>
      <c r="E885" s="52">
        <v>46375.474999999999</v>
      </c>
      <c r="F885" s="52">
        <v>46375.499305555553</v>
      </c>
      <c r="G885" s="53">
        <f t="shared" si="47"/>
        <v>2.4305555554747116E-2</v>
      </c>
      <c r="H885" s="1" t="s">
        <v>343</v>
      </c>
      <c r="J885" s="1" t="s">
        <v>230</v>
      </c>
      <c r="K885" s="1" t="str">
        <f>_xlfn.XLOOKUP(J885,REF!$D$2:$D$12,REF!$E$2:$E$12)</f>
        <v>UFV</v>
      </c>
      <c r="L885" s="1" t="s">
        <v>844</v>
      </c>
      <c r="M885" s="1" t="s">
        <v>302</v>
      </c>
      <c r="N885" s="1" t="s">
        <v>266</v>
      </c>
      <c r="O885" s="1" t="s">
        <v>845</v>
      </c>
      <c r="P885" s="1" t="str">
        <f t="shared" si="48"/>
        <v>BC Formoso2.2Inverter(MBUS-13)46375,47546375,47546375,4993055556</v>
      </c>
      <c r="Q885" s="1" t="str">
        <f t="shared" si="49"/>
        <v>DPRUFV</v>
      </c>
    </row>
    <row r="886" spans="2:17" hidden="1">
      <c r="B886" s="1" t="s">
        <v>424</v>
      </c>
      <c r="C886" s="1" t="s">
        <v>354</v>
      </c>
      <c r="D886" s="52">
        <v>46375.474999999999</v>
      </c>
      <c r="E886" s="52">
        <v>46375.474999999999</v>
      </c>
      <c r="F886" s="52">
        <v>46375.499305555553</v>
      </c>
      <c r="G886" s="53">
        <f t="shared" si="47"/>
        <v>2.4305555554747116E-2</v>
      </c>
      <c r="H886" s="1" t="s">
        <v>343</v>
      </c>
      <c r="J886" s="1" t="s">
        <v>230</v>
      </c>
      <c r="K886" s="1" t="str">
        <f>_xlfn.XLOOKUP(J886,REF!$D$2:$D$12,REF!$E$2:$E$12)</f>
        <v>UFV</v>
      </c>
      <c r="L886" s="1" t="s">
        <v>844</v>
      </c>
      <c r="M886" s="1" t="s">
        <v>302</v>
      </c>
      <c r="N886" s="1" t="s">
        <v>266</v>
      </c>
      <c r="O886" s="1" t="s">
        <v>845</v>
      </c>
      <c r="P886" s="1" t="str">
        <f t="shared" si="48"/>
        <v>BC Formoso2.2Inverter(MBUS-12)46375,47546375,47546375,4993055556</v>
      </c>
      <c r="Q886" s="1" t="str">
        <f t="shared" si="49"/>
        <v>DPRUFV</v>
      </c>
    </row>
    <row r="887" spans="2:17" hidden="1">
      <c r="B887" s="1" t="s">
        <v>424</v>
      </c>
      <c r="C887" s="1" t="s">
        <v>328</v>
      </c>
      <c r="D887" s="52">
        <v>46375.474999999999</v>
      </c>
      <c r="E887" s="52">
        <v>46375.474999999999</v>
      </c>
      <c r="F887" s="52">
        <v>46375.499305555553</v>
      </c>
      <c r="G887" s="53">
        <f t="shared" si="47"/>
        <v>2.4305555554747116E-2</v>
      </c>
      <c r="H887" s="1" t="s">
        <v>343</v>
      </c>
      <c r="J887" s="1" t="s">
        <v>230</v>
      </c>
      <c r="K887" s="1" t="str">
        <f>_xlfn.XLOOKUP(J887,REF!$D$2:$D$12,REF!$E$2:$E$12)</f>
        <v>UFV</v>
      </c>
      <c r="L887" s="1" t="s">
        <v>844</v>
      </c>
      <c r="M887" s="1" t="s">
        <v>302</v>
      </c>
      <c r="N887" s="1" t="s">
        <v>266</v>
      </c>
      <c r="O887" s="1" t="s">
        <v>845</v>
      </c>
      <c r="P887" s="1" t="str">
        <f t="shared" si="48"/>
        <v>BC Formoso2.2Inverter(MBUS-1)46375,47546375,47546375,4993055556</v>
      </c>
      <c r="Q887" s="1" t="str">
        <f t="shared" si="49"/>
        <v>DPRUFV</v>
      </c>
    </row>
    <row r="888" spans="2:17">
      <c r="B888" s="1" t="s">
        <v>846</v>
      </c>
      <c r="C888" s="1" t="s">
        <v>603</v>
      </c>
      <c r="D888" s="52">
        <v>46373.746527777781</v>
      </c>
      <c r="E888" s="52">
        <v>46373.746527777781</v>
      </c>
      <c r="F888" s="52">
        <v>46373.763888888891</v>
      </c>
      <c r="G888" s="53">
        <f t="shared" si="47"/>
        <v>1.7361111109494232E-2</v>
      </c>
      <c r="H888" s="1" t="s">
        <v>260</v>
      </c>
      <c r="I888" s="1" t="s">
        <v>261</v>
      </c>
      <c r="J888" s="1" t="s">
        <v>262</v>
      </c>
      <c r="K888" s="1" t="str">
        <f>_xlfn.XLOOKUP(J888,REF!$D$2:$D$12,REF!$E$2:$E$12)</f>
        <v>Comunicação</v>
      </c>
      <c r="L888" s="1" t="s">
        <v>426</v>
      </c>
      <c r="M888" s="1" t="s">
        <v>391</v>
      </c>
      <c r="N888" s="1" t="s">
        <v>266</v>
      </c>
      <c r="O888" s="1" t="s">
        <v>392</v>
      </c>
      <c r="P888" s="1" t="str">
        <f t="shared" si="48"/>
        <v>Araçu IInverter7146373,746527777846373,746527777846373,7638888889</v>
      </c>
      <c r="Q888" s="1" t="str">
        <f t="shared" si="49"/>
        <v>LIGRFOCOM</v>
      </c>
    </row>
    <row r="889" spans="2:17">
      <c r="B889" s="1" t="s">
        <v>846</v>
      </c>
      <c r="C889" s="1" t="s">
        <v>604</v>
      </c>
      <c r="D889" s="52">
        <v>46373.746527777781</v>
      </c>
      <c r="E889" s="52">
        <v>46373.746527777781</v>
      </c>
      <c r="F889" s="52">
        <v>46373.763888888891</v>
      </c>
      <c r="G889" s="53">
        <f t="shared" si="47"/>
        <v>1.7361111109494232E-2</v>
      </c>
      <c r="H889" s="1" t="s">
        <v>260</v>
      </c>
      <c r="I889" s="1" t="s">
        <v>261</v>
      </c>
      <c r="J889" s="1" t="s">
        <v>262</v>
      </c>
      <c r="K889" s="1" t="str">
        <f>_xlfn.XLOOKUP(J889,REF!$D$2:$D$12,REF!$E$2:$E$12)</f>
        <v>Comunicação</v>
      </c>
      <c r="L889" s="1" t="s">
        <v>426</v>
      </c>
      <c r="M889" s="1" t="s">
        <v>391</v>
      </c>
      <c r="N889" s="1" t="s">
        <v>266</v>
      </c>
      <c r="O889" s="1" t="s">
        <v>392</v>
      </c>
      <c r="P889" s="1" t="str">
        <f t="shared" si="48"/>
        <v>Araçu IInverter7246373,746527777846373,746527777846373,7638888889</v>
      </c>
      <c r="Q889" s="1" t="str">
        <f t="shared" si="49"/>
        <v>LIGRFOCOM</v>
      </c>
    </row>
    <row r="890" spans="2:17">
      <c r="B890" s="1" t="s">
        <v>846</v>
      </c>
      <c r="C890" s="1" t="s">
        <v>605</v>
      </c>
      <c r="D890" s="52">
        <v>46373.746527777781</v>
      </c>
      <c r="E890" s="52">
        <v>46373.746527777781</v>
      </c>
      <c r="F890" s="52">
        <v>46373.763888888891</v>
      </c>
      <c r="G890" s="53">
        <f t="shared" si="47"/>
        <v>1.7361111109494232E-2</v>
      </c>
      <c r="H890" s="1" t="s">
        <v>260</v>
      </c>
      <c r="I890" s="1" t="s">
        <v>261</v>
      </c>
      <c r="J890" s="1" t="s">
        <v>262</v>
      </c>
      <c r="K890" s="1" t="str">
        <f>_xlfn.XLOOKUP(J890,REF!$D$2:$D$12,REF!$E$2:$E$12)</f>
        <v>Comunicação</v>
      </c>
      <c r="L890" s="1" t="s">
        <v>426</v>
      </c>
      <c r="M890" s="1" t="s">
        <v>391</v>
      </c>
      <c r="N890" s="1" t="s">
        <v>266</v>
      </c>
      <c r="O890" s="1" t="s">
        <v>392</v>
      </c>
      <c r="P890" s="1" t="str">
        <f t="shared" si="48"/>
        <v>Araçu IInverter7346373,746527777846373,746527777846373,7638888889</v>
      </c>
      <c r="Q890" s="1" t="str">
        <f t="shared" si="49"/>
        <v>LIGRFOCOM</v>
      </c>
    </row>
    <row r="891" spans="2:17">
      <c r="B891" s="1" t="s">
        <v>846</v>
      </c>
      <c r="C891" s="1" t="s">
        <v>606</v>
      </c>
      <c r="D891" s="52">
        <v>46373.746527777781</v>
      </c>
      <c r="E891" s="52">
        <v>46373.746527777781</v>
      </c>
      <c r="F891" s="52">
        <v>46373.763888888891</v>
      </c>
      <c r="G891" s="53">
        <f t="shared" si="47"/>
        <v>1.7361111109494232E-2</v>
      </c>
      <c r="H891" s="1" t="s">
        <v>260</v>
      </c>
      <c r="I891" s="1" t="s">
        <v>261</v>
      </c>
      <c r="J891" s="1" t="s">
        <v>262</v>
      </c>
      <c r="K891" s="1" t="str">
        <f>_xlfn.XLOOKUP(J891,REF!$D$2:$D$12,REF!$E$2:$E$12)</f>
        <v>Comunicação</v>
      </c>
      <c r="L891" s="1" t="s">
        <v>426</v>
      </c>
      <c r="M891" s="1" t="s">
        <v>391</v>
      </c>
      <c r="N891" s="1" t="s">
        <v>266</v>
      </c>
      <c r="O891" s="1" t="s">
        <v>392</v>
      </c>
      <c r="P891" s="1" t="str">
        <f t="shared" si="48"/>
        <v>Araçu IInverter7446373,746527777846373,746527777846373,7638888889</v>
      </c>
      <c r="Q891" s="1" t="str">
        <f t="shared" si="49"/>
        <v>LIGRFOCOM</v>
      </c>
    </row>
    <row r="892" spans="2:17">
      <c r="B892" s="1" t="s">
        <v>846</v>
      </c>
      <c r="C892" s="1" t="s">
        <v>607</v>
      </c>
      <c r="D892" s="52">
        <v>46373.746527777781</v>
      </c>
      <c r="E892" s="52">
        <v>46373.746527777781</v>
      </c>
      <c r="F892" s="52">
        <v>46373.763888888891</v>
      </c>
      <c r="G892" s="53">
        <f t="shared" ref="G892:G951" si="50">F892-E892</f>
        <v>1.7361111109494232E-2</v>
      </c>
      <c r="H892" s="1" t="s">
        <v>260</v>
      </c>
      <c r="I892" s="1" t="s">
        <v>261</v>
      </c>
      <c r="J892" s="1" t="s">
        <v>262</v>
      </c>
      <c r="K892" s="1" t="str">
        <f>_xlfn.XLOOKUP(J892,REF!$D$2:$D$12,REF!$E$2:$E$12)</f>
        <v>Comunicação</v>
      </c>
      <c r="L892" s="1" t="s">
        <v>426</v>
      </c>
      <c r="M892" s="1" t="s">
        <v>391</v>
      </c>
      <c r="N892" s="1" t="s">
        <v>266</v>
      </c>
      <c r="O892" s="1" t="s">
        <v>392</v>
      </c>
      <c r="P892" s="1" t="str">
        <f t="shared" si="48"/>
        <v>Araçu IInverter7546373,746527777846373,746527777846373,7638888889</v>
      </c>
      <c r="Q892" s="1" t="str">
        <f t="shared" si="49"/>
        <v>LIGRFOCOM</v>
      </c>
    </row>
    <row r="893" spans="2:17">
      <c r="B893" s="1" t="s">
        <v>846</v>
      </c>
      <c r="C893" s="1" t="s">
        <v>608</v>
      </c>
      <c r="D893" s="52">
        <v>46373.746527777781</v>
      </c>
      <c r="E893" s="52">
        <v>46373.746527777781</v>
      </c>
      <c r="F893" s="52">
        <v>46373.763888888891</v>
      </c>
      <c r="G893" s="53">
        <f t="shared" si="50"/>
        <v>1.7361111109494232E-2</v>
      </c>
      <c r="H893" s="1" t="s">
        <v>260</v>
      </c>
      <c r="I893" s="1" t="s">
        <v>261</v>
      </c>
      <c r="J893" s="1" t="s">
        <v>262</v>
      </c>
      <c r="K893" s="1" t="str">
        <f>_xlfn.XLOOKUP(J893,REF!$D$2:$D$12,REF!$E$2:$E$12)</f>
        <v>Comunicação</v>
      </c>
      <c r="L893" s="1" t="s">
        <v>426</v>
      </c>
      <c r="M893" s="1" t="s">
        <v>391</v>
      </c>
      <c r="N893" s="1" t="s">
        <v>266</v>
      </c>
      <c r="O893" s="1" t="s">
        <v>392</v>
      </c>
      <c r="P893" s="1" t="str">
        <f t="shared" si="48"/>
        <v>Araçu IInverter7646373,746527777846373,746527777846373,7638888889</v>
      </c>
      <c r="Q893" s="1" t="str">
        <f t="shared" si="49"/>
        <v>LIGRFOCOM</v>
      </c>
    </row>
    <row r="894" spans="2:17">
      <c r="B894" s="1" t="s">
        <v>846</v>
      </c>
      <c r="C894" s="1" t="s">
        <v>609</v>
      </c>
      <c r="D894" s="52">
        <v>46373.746527777781</v>
      </c>
      <c r="E894" s="52">
        <v>46373.746527777781</v>
      </c>
      <c r="F894" s="52">
        <v>46373.763888888891</v>
      </c>
      <c r="G894" s="53">
        <f t="shared" si="50"/>
        <v>1.7361111109494232E-2</v>
      </c>
      <c r="H894" s="1" t="s">
        <v>260</v>
      </c>
      <c r="I894" s="1" t="s">
        <v>261</v>
      </c>
      <c r="J894" s="1" t="s">
        <v>262</v>
      </c>
      <c r="K894" s="1" t="str">
        <f>_xlfn.XLOOKUP(J894,REF!$D$2:$D$12,REF!$E$2:$E$12)</f>
        <v>Comunicação</v>
      </c>
      <c r="L894" s="1" t="s">
        <v>426</v>
      </c>
      <c r="M894" s="1" t="s">
        <v>391</v>
      </c>
      <c r="N894" s="1" t="s">
        <v>266</v>
      </c>
      <c r="O894" s="1" t="s">
        <v>392</v>
      </c>
      <c r="P894" s="1" t="str">
        <f t="shared" si="48"/>
        <v>Araçu IInverter7746373,746527777846373,746527777846373,7638888889</v>
      </c>
      <c r="Q894" s="1" t="str">
        <f t="shared" si="49"/>
        <v>LIGRFOCOM</v>
      </c>
    </row>
    <row r="895" spans="2:17">
      <c r="B895" s="1" t="s">
        <v>804</v>
      </c>
      <c r="C895" s="1" t="s">
        <v>805</v>
      </c>
      <c r="D895" s="52">
        <v>46373.746527777781</v>
      </c>
      <c r="E895" s="52">
        <v>46373.746527777781</v>
      </c>
      <c r="F895" s="52">
        <v>46373.763888888891</v>
      </c>
      <c r="G895" s="53">
        <f t="shared" si="50"/>
        <v>1.7361111109494232E-2</v>
      </c>
      <c r="H895" s="1" t="s">
        <v>260</v>
      </c>
      <c r="I895" s="1" t="s">
        <v>261</v>
      </c>
      <c r="J895" s="1" t="s">
        <v>262</v>
      </c>
      <c r="K895" s="1" t="str">
        <f>_xlfn.XLOOKUP(J895,REF!$D$2:$D$12,REF!$E$2:$E$12)</f>
        <v>Comunicação</v>
      </c>
      <c r="L895" s="1" t="s">
        <v>426</v>
      </c>
      <c r="M895" s="1" t="s">
        <v>391</v>
      </c>
      <c r="N895" s="1" t="s">
        <v>266</v>
      </c>
      <c r="O895" s="1" t="s">
        <v>392</v>
      </c>
      <c r="P895" s="1" t="str">
        <f t="shared" si="48"/>
        <v>Araçu IIAraçu 2.1 inv 146373,746527777846373,746527777846373,7638888889</v>
      </c>
      <c r="Q895" s="1" t="str">
        <f t="shared" si="49"/>
        <v>LIGRFOCOM</v>
      </c>
    </row>
    <row r="896" spans="2:17">
      <c r="B896" s="1" t="s">
        <v>804</v>
      </c>
      <c r="C896" s="1" t="s">
        <v>806</v>
      </c>
      <c r="D896" s="52">
        <v>46373.746527777781</v>
      </c>
      <c r="E896" s="52">
        <v>46373.746527777781</v>
      </c>
      <c r="F896" s="52">
        <v>46373.763888888891</v>
      </c>
      <c r="G896" s="53">
        <f t="shared" si="50"/>
        <v>1.7361111109494232E-2</v>
      </c>
      <c r="H896" s="1" t="s">
        <v>260</v>
      </c>
      <c r="I896" s="1" t="s">
        <v>261</v>
      </c>
      <c r="J896" s="1" t="s">
        <v>262</v>
      </c>
      <c r="K896" s="1" t="str">
        <f>_xlfn.XLOOKUP(J896,REF!$D$2:$D$12,REF!$E$2:$E$12)</f>
        <v>Comunicação</v>
      </c>
      <c r="L896" s="1" t="s">
        <v>426</v>
      </c>
      <c r="M896" s="1" t="s">
        <v>391</v>
      </c>
      <c r="N896" s="1" t="s">
        <v>266</v>
      </c>
      <c r="O896" s="1" t="s">
        <v>392</v>
      </c>
      <c r="P896" s="1" t="str">
        <f t="shared" si="48"/>
        <v>Araçu IIAraçu 2.1 inv 246373,746527777846373,746527777846373,7638888889</v>
      </c>
      <c r="Q896" s="1" t="str">
        <f t="shared" si="49"/>
        <v>LIGRFOCOM</v>
      </c>
    </row>
    <row r="897" spans="2:17">
      <c r="B897" s="1" t="s">
        <v>804</v>
      </c>
      <c r="C897" s="1" t="s">
        <v>807</v>
      </c>
      <c r="D897" s="52">
        <v>46373.746527777781</v>
      </c>
      <c r="E897" s="52">
        <v>46373.746527777781</v>
      </c>
      <c r="F897" s="52">
        <v>46373.763888888891</v>
      </c>
      <c r="G897" s="53">
        <f t="shared" si="50"/>
        <v>1.7361111109494232E-2</v>
      </c>
      <c r="H897" s="1" t="s">
        <v>260</v>
      </c>
      <c r="I897" s="1" t="s">
        <v>261</v>
      </c>
      <c r="J897" s="1" t="s">
        <v>262</v>
      </c>
      <c r="K897" s="1" t="str">
        <f>_xlfn.XLOOKUP(J897,REF!$D$2:$D$12,REF!$E$2:$E$12)</f>
        <v>Comunicação</v>
      </c>
      <c r="L897" s="1" t="s">
        <v>426</v>
      </c>
      <c r="M897" s="1" t="s">
        <v>391</v>
      </c>
      <c r="N897" s="1" t="s">
        <v>266</v>
      </c>
      <c r="O897" s="1" t="s">
        <v>392</v>
      </c>
      <c r="P897" s="1" t="str">
        <f t="shared" si="48"/>
        <v>Araçu IIAraçu 2.1 inv 346373,746527777846373,746527777846373,7638888889</v>
      </c>
      <c r="Q897" s="1" t="str">
        <f t="shared" si="49"/>
        <v>LIGRFOCOM</v>
      </c>
    </row>
    <row r="898" spans="2:17">
      <c r="B898" s="1" t="s">
        <v>847</v>
      </c>
      <c r="C898" s="1" t="s">
        <v>808</v>
      </c>
      <c r="D898" s="52">
        <v>46373.746527777781</v>
      </c>
      <c r="E898" s="52">
        <v>46373.746527777781</v>
      </c>
      <c r="F898" s="52">
        <v>46373.763888888891</v>
      </c>
      <c r="G898" s="53">
        <f t="shared" si="50"/>
        <v>1.7361111109494232E-2</v>
      </c>
      <c r="H898" s="1" t="s">
        <v>260</v>
      </c>
      <c r="I898" s="1" t="s">
        <v>261</v>
      </c>
      <c r="J898" s="1" t="s">
        <v>262</v>
      </c>
      <c r="K898" s="1" t="str">
        <f>_xlfn.XLOOKUP(J898,REF!$D$2:$D$12,REF!$E$2:$E$12)</f>
        <v>Comunicação</v>
      </c>
      <c r="L898" s="1" t="s">
        <v>426</v>
      </c>
      <c r="M898" s="1" t="s">
        <v>391</v>
      </c>
      <c r="N898" s="1" t="s">
        <v>266</v>
      </c>
      <c r="O898" s="1" t="s">
        <v>392</v>
      </c>
      <c r="P898" s="1" t="str">
        <f t="shared" si="48"/>
        <v>Araçu IIIAraçu 2.2 inv.146373,746527777846373,746527777846373,7638888889</v>
      </c>
      <c r="Q898" s="1" t="str">
        <f t="shared" si="49"/>
        <v>LIGRFOCOM</v>
      </c>
    </row>
    <row r="899" spans="2:17">
      <c r="B899" s="1" t="s">
        <v>847</v>
      </c>
      <c r="C899" s="1" t="s">
        <v>809</v>
      </c>
      <c r="D899" s="52">
        <v>46373.746527777781</v>
      </c>
      <c r="E899" s="52">
        <v>46373.746527777781</v>
      </c>
      <c r="F899" s="52">
        <v>46373.763888888891</v>
      </c>
      <c r="G899" s="53">
        <f t="shared" si="50"/>
        <v>1.7361111109494232E-2</v>
      </c>
      <c r="H899" s="1" t="s">
        <v>260</v>
      </c>
      <c r="I899" s="1" t="s">
        <v>261</v>
      </c>
      <c r="J899" s="1" t="s">
        <v>262</v>
      </c>
      <c r="K899" s="1" t="str">
        <f>_xlfn.XLOOKUP(J899,REF!$D$2:$D$12,REF!$E$2:$E$12)</f>
        <v>Comunicação</v>
      </c>
      <c r="L899" s="1" t="s">
        <v>426</v>
      </c>
      <c r="M899" s="1" t="s">
        <v>391</v>
      </c>
      <c r="N899" s="1" t="s">
        <v>266</v>
      </c>
      <c r="O899" s="1" t="s">
        <v>392</v>
      </c>
      <c r="P899" s="1" t="str">
        <f t="shared" si="48"/>
        <v>Araçu IIIAraçu 2.2 inv .246373,746527777846373,746527777846373,7638888889</v>
      </c>
      <c r="Q899" s="1" t="str">
        <f t="shared" si="49"/>
        <v>LIGRFOCOM</v>
      </c>
    </row>
    <row r="900" spans="2:17">
      <c r="B900" s="1" t="s">
        <v>847</v>
      </c>
      <c r="C900" s="1" t="s">
        <v>810</v>
      </c>
      <c r="D900" s="52">
        <v>46373.746527777781</v>
      </c>
      <c r="E900" s="52">
        <v>46373.746527777781</v>
      </c>
      <c r="F900" s="52">
        <v>46373.763888888891</v>
      </c>
      <c r="G900" s="53">
        <f t="shared" si="50"/>
        <v>1.7361111109494232E-2</v>
      </c>
      <c r="H900" s="1" t="s">
        <v>260</v>
      </c>
      <c r="I900" s="1" t="s">
        <v>261</v>
      </c>
      <c r="J900" s="1" t="s">
        <v>262</v>
      </c>
      <c r="K900" s="1" t="str">
        <f>_xlfn.XLOOKUP(J900,REF!$D$2:$D$12,REF!$E$2:$E$12)</f>
        <v>Comunicação</v>
      </c>
      <c r="L900" s="1" t="s">
        <v>426</v>
      </c>
      <c r="M900" s="1" t="s">
        <v>391</v>
      </c>
      <c r="N900" s="1" t="s">
        <v>266</v>
      </c>
      <c r="O900" s="1" t="s">
        <v>392</v>
      </c>
      <c r="P900" s="1" t="str">
        <f t="shared" si="48"/>
        <v>Araçu IIIAraçu 2.2 inv 346373,746527777846373,746527777846373,7638888889</v>
      </c>
      <c r="Q900" s="1" t="str">
        <f t="shared" si="49"/>
        <v>LIGRFOCOM</v>
      </c>
    </row>
    <row r="901" spans="2:17">
      <c r="B901" s="1" t="s">
        <v>742</v>
      </c>
      <c r="C901" s="1" t="s">
        <v>811</v>
      </c>
      <c r="D901" s="52">
        <v>46373.746527777781</v>
      </c>
      <c r="E901" s="52">
        <v>46373.746527777781</v>
      </c>
      <c r="F901" s="52">
        <v>46373.763888888891</v>
      </c>
      <c r="G901" s="53">
        <f t="shared" si="50"/>
        <v>1.7361111109494232E-2</v>
      </c>
      <c r="H901" s="1" t="s">
        <v>260</v>
      </c>
      <c r="I901" s="1" t="s">
        <v>261</v>
      </c>
      <c r="J901" s="1" t="s">
        <v>262</v>
      </c>
      <c r="K901" s="1" t="str">
        <f>_xlfn.XLOOKUP(J901,REF!$D$2:$D$12,REF!$E$2:$E$12)</f>
        <v>Comunicação</v>
      </c>
      <c r="L901" s="1" t="s">
        <v>426</v>
      </c>
      <c r="M901" s="1" t="s">
        <v>391</v>
      </c>
      <c r="N901" s="1" t="s">
        <v>266</v>
      </c>
      <c r="O901" s="1" t="s">
        <v>392</v>
      </c>
      <c r="P901" s="1" t="str">
        <f t="shared" si="48"/>
        <v>Araçu IVAraçu 2.3inv 146373,746527777846373,746527777846373,7638888889</v>
      </c>
      <c r="Q901" s="1" t="str">
        <f t="shared" si="49"/>
        <v>LIGRFOCOM</v>
      </c>
    </row>
    <row r="902" spans="2:17">
      <c r="B902" s="1" t="s">
        <v>742</v>
      </c>
      <c r="C902" s="1" t="s">
        <v>812</v>
      </c>
      <c r="D902" s="52">
        <v>46373.746527777781</v>
      </c>
      <c r="E902" s="52">
        <v>46373.746527777781</v>
      </c>
      <c r="F902" s="52">
        <v>46373.763888888891</v>
      </c>
      <c r="G902" s="53">
        <f t="shared" si="50"/>
        <v>1.7361111109494232E-2</v>
      </c>
      <c r="H902" s="1" t="s">
        <v>260</v>
      </c>
      <c r="I902" s="1" t="s">
        <v>261</v>
      </c>
      <c r="J902" s="1" t="s">
        <v>262</v>
      </c>
      <c r="K902" s="1" t="str">
        <f>_xlfn.XLOOKUP(J902,REF!$D$2:$D$12,REF!$E$2:$E$12)</f>
        <v>Comunicação</v>
      </c>
      <c r="L902" s="1" t="s">
        <v>426</v>
      </c>
      <c r="M902" s="1" t="s">
        <v>391</v>
      </c>
      <c r="N902" s="1" t="s">
        <v>266</v>
      </c>
      <c r="O902" s="1" t="s">
        <v>392</v>
      </c>
      <c r="P902" s="1" t="str">
        <f t="shared" si="48"/>
        <v>Araçu IVAraçu 2.3 inv 246373,746527777846373,746527777846373,7638888889</v>
      </c>
      <c r="Q902" s="1" t="str">
        <f t="shared" si="49"/>
        <v>LIGRFOCOM</v>
      </c>
    </row>
    <row r="903" spans="2:17">
      <c r="B903" s="1" t="s">
        <v>742</v>
      </c>
      <c r="C903" s="1" t="s">
        <v>813</v>
      </c>
      <c r="D903" s="52">
        <v>46373.746527777781</v>
      </c>
      <c r="E903" s="52">
        <v>46373.746527777781</v>
      </c>
      <c r="F903" s="52">
        <v>46373.763888888891</v>
      </c>
      <c r="G903" s="53">
        <f t="shared" si="50"/>
        <v>1.7361111109494232E-2</v>
      </c>
      <c r="H903" s="1" t="s">
        <v>260</v>
      </c>
      <c r="I903" s="1" t="s">
        <v>261</v>
      </c>
      <c r="J903" s="1" t="s">
        <v>262</v>
      </c>
      <c r="K903" s="1" t="str">
        <f>_xlfn.XLOOKUP(J903,REF!$D$2:$D$12,REF!$E$2:$E$12)</f>
        <v>Comunicação</v>
      </c>
      <c r="L903" s="1" t="s">
        <v>426</v>
      </c>
      <c r="M903" s="1" t="s">
        <v>391</v>
      </c>
      <c r="N903" s="1" t="s">
        <v>266</v>
      </c>
      <c r="O903" s="1" t="s">
        <v>392</v>
      </c>
      <c r="P903" s="1" t="str">
        <f t="shared" si="48"/>
        <v>Araçu IVAraçu 2.3 inv 446373,746527777846373,746527777846373,7638888889</v>
      </c>
      <c r="Q903" s="1" t="str">
        <f t="shared" si="49"/>
        <v>LIGRFOCOM</v>
      </c>
    </row>
    <row r="904" spans="2:17">
      <c r="B904" s="1" t="s">
        <v>742</v>
      </c>
      <c r="C904" s="1" t="s">
        <v>814</v>
      </c>
      <c r="D904" s="52">
        <v>46373.746527777781</v>
      </c>
      <c r="E904" s="52">
        <v>46373.746527777781</v>
      </c>
      <c r="F904" s="52">
        <v>46373.763888888891</v>
      </c>
      <c r="G904" s="53">
        <f t="shared" si="50"/>
        <v>1.7361111109494232E-2</v>
      </c>
      <c r="H904" s="1" t="s">
        <v>260</v>
      </c>
      <c r="I904" s="1" t="s">
        <v>261</v>
      </c>
      <c r="J904" s="1" t="s">
        <v>262</v>
      </c>
      <c r="K904" s="1" t="str">
        <f>_xlfn.XLOOKUP(J904,REF!$D$2:$D$12,REF!$E$2:$E$12)</f>
        <v>Comunicação</v>
      </c>
      <c r="L904" s="1" t="s">
        <v>426</v>
      </c>
      <c r="M904" s="1" t="s">
        <v>391</v>
      </c>
      <c r="N904" s="1" t="s">
        <v>266</v>
      </c>
      <c r="O904" s="1" t="s">
        <v>392</v>
      </c>
      <c r="P904" s="1" t="str">
        <f t="shared" si="48"/>
        <v>Araçu IVAraçu.2.3 inv 546373,746527777846373,746527777846373,7638888889</v>
      </c>
      <c r="Q904" s="1" t="str">
        <f t="shared" si="49"/>
        <v>LIGRFOCOM</v>
      </c>
    </row>
    <row r="905" spans="2:17">
      <c r="B905" s="1" t="s">
        <v>742</v>
      </c>
      <c r="C905" s="1" t="s">
        <v>815</v>
      </c>
      <c r="D905" s="52">
        <v>46373.746527777781</v>
      </c>
      <c r="E905" s="52">
        <v>46373.746527777781</v>
      </c>
      <c r="F905" s="52">
        <v>46373.763888888891</v>
      </c>
      <c r="G905" s="53">
        <f t="shared" si="50"/>
        <v>1.7361111109494232E-2</v>
      </c>
      <c r="H905" s="1" t="s">
        <v>260</v>
      </c>
      <c r="I905" s="1" t="s">
        <v>261</v>
      </c>
      <c r="J905" s="1" t="s">
        <v>262</v>
      </c>
      <c r="K905" s="1" t="str">
        <f>_xlfn.XLOOKUP(J905,REF!$D$2:$D$12,REF!$E$2:$E$12)</f>
        <v>Comunicação</v>
      </c>
      <c r="L905" s="1" t="s">
        <v>426</v>
      </c>
      <c r="M905" s="1" t="s">
        <v>391</v>
      </c>
      <c r="N905" s="1" t="s">
        <v>266</v>
      </c>
      <c r="O905" s="1" t="s">
        <v>392</v>
      </c>
      <c r="P905" s="1" t="str">
        <f t="shared" si="48"/>
        <v>Araçu IVAraçu 2.3 inv46373,746527777846373,746527777846373,7638888889</v>
      </c>
      <c r="Q905" s="1" t="str">
        <f t="shared" si="49"/>
        <v>LIGRFOCOM</v>
      </c>
    </row>
    <row r="906" spans="2:17">
      <c r="B906" s="1" t="s">
        <v>742</v>
      </c>
      <c r="C906" s="1" t="s">
        <v>816</v>
      </c>
      <c r="D906" s="52">
        <v>46373.746527777781</v>
      </c>
      <c r="E906" s="52">
        <v>46373.746527777781</v>
      </c>
      <c r="F906" s="52">
        <v>46373.763888888891</v>
      </c>
      <c r="G906" s="53">
        <f t="shared" si="50"/>
        <v>1.7361111109494232E-2</v>
      </c>
      <c r="H906" s="1" t="s">
        <v>260</v>
      </c>
      <c r="I906" s="1" t="s">
        <v>261</v>
      </c>
      <c r="J906" s="1" t="s">
        <v>262</v>
      </c>
      <c r="K906" s="1" t="str">
        <f>_xlfn.XLOOKUP(J906,REF!$D$2:$D$12,REF!$E$2:$E$12)</f>
        <v>Comunicação</v>
      </c>
      <c r="L906" s="1" t="s">
        <v>426</v>
      </c>
      <c r="M906" s="1" t="s">
        <v>391</v>
      </c>
      <c r="N906" s="1" t="s">
        <v>266</v>
      </c>
      <c r="O906" s="1" t="s">
        <v>392</v>
      </c>
      <c r="P906" s="1" t="str">
        <f t="shared" si="48"/>
        <v>Araçu IVAraçu 2.3 inv 646373,746527777846373,746527777846373,7638888889</v>
      </c>
      <c r="Q906" s="1" t="str">
        <f t="shared" si="49"/>
        <v>LIGRFOCOM</v>
      </c>
    </row>
    <row r="907" spans="2:17">
      <c r="B907" s="1" t="s">
        <v>382</v>
      </c>
      <c r="C907" s="1" t="s">
        <v>328</v>
      </c>
      <c r="D907" s="52">
        <v>46371.125</v>
      </c>
      <c r="E907" s="52">
        <v>46371.125</v>
      </c>
      <c r="F907" s="52">
        <v>46371.322916666664</v>
      </c>
      <c r="G907" s="53">
        <f t="shared" si="50"/>
        <v>0.19791666666424135</v>
      </c>
      <c r="H907" s="1" t="s">
        <v>260</v>
      </c>
      <c r="I907" s="1" t="s">
        <v>261</v>
      </c>
      <c r="J907" s="1" t="s">
        <v>262</v>
      </c>
      <c r="K907" s="1" t="str">
        <f>_xlfn.XLOOKUP(J907,REF!$D$2:$D$12,REF!$E$2:$E$12)</f>
        <v>Comunicação</v>
      </c>
      <c r="L907" s="1" t="s">
        <v>426</v>
      </c>
      <c r="M907" s="1" t="s">
        <v>391</v>
      </c>
      <c r="N907" s="1" t="s">
        <v>266</v>
      </c>
      <c r="O907" s="1" t="s">
        <v>392</v>
      </c>
      <c r="P907" s="1" t="str">
        <f t="shared" si="48"/>
        <v>BC Camarao1.1Inverter(MBUS-1)46371,12546371,12546371,3229166667</v>
      </c>
      <c r="Q907" s="1" t="str">
        <f t="shared" si="49"/>
        <v>LIGRFOCOM</v>
      </c>
    </row>
    <row r="908" spans="2:17">
      <c r="B908" s="1" t="s">
        <v>382</v>
      </c>
      <c r="C908" s="1" t="s">
        <v>247</v>
      </c>
      <c r="D908" s="52">
        <v>46371.125</v>
      </c>
      <c r="E908" s="52">
        <v>46371.125</v>
      </c>
      <c r="F908" s="52">
        <v>46371.322916666664</v>
      </c>
      <c r="G908" s="53">
        <f t="shared" si="50"/>
        <v>0.19791666666424135</v>
      </c>
      <c r="H908" s="1" t="s">
        <v>260</v>
      </c>
      <c r="I908" s="1" t="s">
        <v>261</v>
      </c>
      <c r="J908" s="1" t="s">
        <v>262</v>
      </c>
      <c r="K908" s="1" t="str">
        <f>_xlfn.XLOOKUP(J908,REF!$D$2:$D$12,REF!$E$2:$E$12)</f>
        <v>Comunicação</v>
      </c>
      <c r="L908" s="1" t="s">
        <v>426</v>
      </c>
      <c r="M908" s="1" t="s">
        <v>391</v>
      </c>
      <c r="N908" s="1" t="s">
        <v>266</v>
      </c>
      <c r="O908" s="1" t="s">
        <v>392</v>
      </c>
      <c r="P908" s="1" t="str">
        <f t="shared" si="48"/>
        <v>BC Camarao1.1215KTL-H3(MBUS-12)46371,12546371,12546371,3229166667</v>
      </c>
      <c r="Q908" s="1" t="str">
        <f t="shared" si="49"/>
        <v>LIGRFOCOM</v>
      </c>
    </row>
    <row r="909" spans="2:17">
      <c r="B909" s="1" t="s">
        <v>382</v>
      </c>
      <c r="C909" s="1" t="s">
        <v>254</v>
      </c>
      <c r="D909" s="52">
        <v>46371.125</v>
      </c>
      <c r="E909" s="52">
        <v>46371.125</v>
      </c>
      <c r="F909" s="52">
        <v>46371.322916666664</v>
      </c>
      <c r="G909" s="53">
        <f t="shared" si="50"/>
        <v>0.19791666666424135</v>
      </c>
      <c r="H909" s="1" t="s">
        <v>260</v>
      </c>
      <c r="I909" s="1" t="s">
        <v>261</v>
      </c>
      <c r="J909" s="1" t="s">
        <v>262</v>
      </c>
      <c r="K909" s="1" t="str">
        <f>_xlfn.XLOOKUP(J909,REF!$D$2:$D$12,REF!$E$2:$E$12)</f>
        <v>Comunicação</v>
      </c>
      <c r="L909" s="1" t="s">
        <v>426</v>
      </c>
      <c r="M909" s="1" t="s">
        <v>391</v>
      </c>
      <c r="N909" s="1" t="s">
        <v>266</v>
      </c>
      <c r="O909" s="1" t="s">
        <v>392</v>
      </c>
      <c r="P909" s="1" t="str">
        <f t="shared" si="48"/>
        <v>BC Camarao1.1215KTL-H3(MBUS-13)46371,12546371,12546371,3229166667</v>
      </c>
      <c r="Q909" s="1" t="str">
        <f t="shared" si="49"/>
        <v>LIGRFOCOM</v>
      </c>
    </row>
    <row r="910" spans="2:17">
      <c r="B910" s="1" t="s">
        <v>382</v>
      </c>
      <c r="C910" s="1" t="s">
        <v>257</v>
      </c>
      <c r="D910" s="52">
        <v>46371.125</v>
      </c>
      <c r="E910" s="52">
        <v>46371.125</v>
      </c>
      <c r="F910" s="52">
        <v>46371.322916666664</v>
      </c>
      <c r="G910" s="53">
        <f t="shared" si="50"/>
        <v>0.19791666666424135</v>
      </c>
      <c r="H910" s="1" t="s">
        <v>260</v>
      </c>
      <c r="I910" s="1" t="s">
        <v>261</v>
      </c>
      <c r="J910" s="1" t="s">
        <v>262</v>
      </c>
      <c r="K910" s="1" t="str">
        <f>_xlfn.XLOOKUP(J910,REF!$D$2:$D$12,REF!$E$2:$E$12)</f>
        <v>Comunicação</v>
      </c>
      <c r="L910" s="1" t="s">
        <v>426</v>
      </c>
      <c r="M910" s="1" t="s">
        <v>391</v>
      </c>
      <c r="N910" s="1" t="s">
        <v>266</v>
      </c>
      <c r="O910" s="1" t="s">
        <v>392</v>
      </c>
      <c r="P910" s="1" t="str">
        <f t="shared" si="48"/>
        <v>BC Camarao1.1215KTL-H3(MBUS-16)46371,12546371,12546371,3229166667</v>
      </c>
      <c r="Q910" s="1" t="str">
        <f t="shared" si="49"/>
        <v>LIGRFOCOM</v>
      </c>
    </row>
    <row r="911" spans="2:17">
      <c r="B911" s="1" t="s">
        <v>382</v>
      </c>
      <c r="C911" s="1" t="s">
        <v>256</v>
      </c>
      <c r="D911" s="52">
        <v>46371.125</v>
      </c>
      <c r="E911" s="52">
        <v>46371.125</v>
      </c>
      <c r="F911" s="52">
        <v>46371.322916666664</v>
      </c>
      <c r="G911" s="53">
        <f t="shared" si="50"/>
        <v>0.19791666666424135</v>
      </c>
      <c r="H911" s="1" t="s">
        <v>260</v>
      </c>
      <c r="I911" s="1" t="s">
        <v>261</v>
      </c>
      <c r="J911" s="1" t="s">
        <v>262</v>
      </c>
      <c r="K911" s="1" t="str">
        <f>_xlfn.XLOOKUP(J911,REF!$D$2:$D$12,REF!$E$2:$E$12)</f>
        <v>Comunicação</v>
      </c>
      <c r="L911" s="1" t="s">
        <v>426</v>
      </c>
      <c r="M911" s="1" t="s">
        <v>391</v>
      </c>
      <c r="N911" s="1" t="s">
        <v>266</v>
      </c>
      <c r="O911" s="1" t="s">
        <v>392</v>
      </c>
      <c r="P911" s="1" t="str">
        <f t="shared" si="48"/>
        <v>BC Camarao1.1215KTL-H3(MBUS-15)46371,12546371,12546371,3229166667</v>
      </c>
      <c r="Q911" s="1" t="str">
        <f t="shared" si="49"/>
        <v>LIGRFOCOM</v>
      </c>
    </row>
    <row r="912" spans="2:17">
      <c r="B912" s="1" t="s">
        <v>387</v>
      </c>
      <c r="C912" s="1" t="s">
        <v>257</v>
      </c>
      <c r="D912" s="52">
        <v>46371.354166666664</v>
      </c>
      <c r="E912" s="52">
        <v>46371.354166666664</v>
      </c>
      <c r="F912" s="52">
        <v>46371.359722222223</v>
      </c>
      <c r="G912" s="53">
        <f t="shared" si="50"/>
        <v>5.5555555591126904E-3</v>
      </c>
      <c r="H912" s="1" t="s">
        <v>260</v>
      </c>
      <c r="I912" s="1" t="s">
        <v>261</v>
      </c>
      <c r="J912" s="1" t="s">
        <v>262</v>
      </c>
      <c r="K912" s="1" t="str">
        <f>_xlfn.XLOOKUP(J912,REF!$D$2:$D$12,REF!$E$2:$E$12)</f>
        <v>Comunicação</v>
      </c>
      <c r="L912" s="1" t="s">
        <v>426</v>
      </c>
      <c r="M912" s="1" t="s">
        <v>391</v>
      </c>
      <c r="N912" s="1" t="s">
        <v>266</v>
      </c>
      <c r="O912" s="1" t="s">
        <v>392</v>
      </c>
      <c r="P912" s="1" t="str">
        <f t="shared" si="48"/>
        <v>BC Camarao1.3215KTL-H3(MBUS-16)46371,354166666746371,354166666746371,3597222222</v>
      </c>
      <c r="Q912" s="1" t="str">
        <f t="shared" si="49"/>
        <v>LIGRFOCOM</v>
      </c>
    </row>
    <row r="913" spans="2:17">
      <c r="B913" s="1" t="s">
        <v>387</v>
      </c>
      <c r="C913" s="1" t="s">
        <v>255</v>
      </c>
      <c r="D913" s="52">
        <v>46371.354166666664</v>
      </c>
      <c r="E913" s="52">
        <v>46371.354166666664</v>
      </c>
      <c r="F913" s="52">
        <v>46371.359722222223</v>
      </c>
      <c r="G913" s="53">
        <f t="shared" si="50"/>
        <v>5.5555555591126904E-3</v>
      </c>
      <c r="H913" s="1" t="s">
        <v>260</v>
      </c>
      <c r="I913" s="1" t="s">
        <v>261</v>
      </c>
      <c r="J913" s="1" t="s">
        <v>262</v>
      </c>
      <c r="K913" s="1" t="str">
        <f>_xlfn.XLOOKUP(J913,REF!$D$2:$D$12,REF!$E$2:$E$12)</f>
        <v>Comunicação</v>
      </c>
      <c r="L913" s="1" t="s">
        <v>426</v>
      </c>
      <c r="M913" s="1" t="s">
        <v>391</v>
      </c>
      <c r="N913" s="1" t="s">
        <v>266</v>
      </c>
      <c r="O913" s="1" t="s">
        <v>392</v>
      </c>
      <c r="P913" s="1" t="str">
        <f t="shared" si="48"/>
        <v>BC Camarao1.3215KTL-H3(MBUS-14)46371,354166666746371,354166666746371,3597222222</v>
      </c>
      <c r="Q913" s="1" t="str">
        <f t="shared" si="49"/>
        <v>LIGRFOCOM</v>
      </c>
    </row>
    <row r="914" spans="2:17">
      <c r="B914" s="1" t="s">
        <v>387</v>
      </c>
      <c r="C914" s="1" t="s">
        <v>256</v>
      </c>
      <c r="D914" s="52">
        <v>46371.354166666664</v>
      </c>
      <c r="E914" s="52">
        <v>46371.354166666664</v>
      </c>
      <c r="F914" s="52">
        <v>46371.359722222223</v>
      </c>
      <c r="G914" s="53">
        <f t="shared" si="50"/>
        <v>5.5555555591126904E-3</v>
      </c>
      <c r="H914" s="1" t="s">
        <v>260</v>
      </c>
      <c r="I914" s="1" t="s">
        <v>261</v>
      </c>
      <c r="J914" s="1" t="s">
        <v>262</v>
      </c>
      <c r="K914" s="1" t="str">
        <f>_xlfn.XLOOKUP(J914,REF!$D$2:$D$12,REF!$E$2:$E$12)</f>
        <v>Comunicação</v>
      </c>
      <c r="L914" s="1" t="s">
        <v>426</v>
      </c>
      <c r="M914" s="1" t="s">
        <v>391</v>
      </c>
      <c r="N914" s="1" t="s">
        <v>266</v>
      </c>
      <c r="O914" s="1" t="s">
        <v>392</v>
      </c>
      <c r="P914" s="1" t="str">
        <f t="shared" si="48"/>
        <v>BC Camarao1.3215KTL-H3(MBUS-15)46371,354166666746371,354166666746371,3597222222</v>
      </c>
      <c r="Q914" s="1" t="str">
        <f t="shared" si="49"/>
        <v>LIGRFOCOM</v>
      </c>
    </row>
    <row r="915" spans="2:17">
      <c r="B915" s="1" t="s">
        <v>387</v>
      </c>
      <c r="C915" s="1" t="s">
        <v>247</v>
      </c>
      <c r="D915" s="52">
        <v>46371.354166666664</v>
      </c>
      <c r="E915" s="52">
        <v>46371.354166666664</v>
      </c>
      <c r="F915" s="52">
        <v>46371.359722222223</v>
      </c>
      <c r="G915" s="53">
        <f t="shared" si="50"/>
        <v>5.5555555591126904E-3</v>
      </c>
      <c r="H915" s="1" t="s">
        <v>260</v>
      </c>
      <c r="I915" s="1" t="s">
        <v>261</v>
      </c>
      <c r="J915" s="1" t="s">
        <v>262</v>
      </c>
      <c r="K915" s="1" t="str">
        <f>_xlfn.XLOOKUP(J915,REF!$D$2:$D$12,REF!$E$2:$E$12)</f>
        <v>Comunicação</v>
      </c>
      <c r="L915" s="1" t="s">
        <v>426</v>
      </c>
      <c r="M915" s="1" t="s">
        <v>391</v>
      </c>
      <c r="N915" s="1" t="s">
        <v>266</v>
      </c>
      <c r="O915" s="1" t="s">
        <v>392</v>
      </c>
      <c r="P915" s="1" t="str">
        <f t="shared" si="48"/>
        <v>BC Camarao1.3215KTL-H3(MBUS-12)46371,354166666746371,354166666746371,3597222222</v>
      </c>
      <c r="Q915" s="1" t="str">
        <f t="shared" si="49"/>
        <v>LIGRFOCOM</v>
      </c>
    </row>
    <row r="916" spans="2:17">
      <c r="B916" s="1" t="s">
        <v>387</v>
      </c>
      <c r="C916" s="1" t="s">
        <v>254</v>
      </c>
      <c r="D916" s="52">
        <v>46371.354166666664</v>
      </c>
      <c r="E916" s="52">
        <v>46371.354166666664</v>
      </c>
      <c r="F916" s="52">
        <v>46371.359722222223</v>
      </c>
      <c r="G916" s="53">
        <f t="shared" si="50"/>
        <v>5.5555555591126904E-3</v>
      </c>
      <c r="H916" s="1" t="s">
        <v>260</v>
      </c>
      <c r="I916" s="1" t="s">
        <v>261</v>
      </c>
      <c r="J916" s="1" t="s">
        <v>262</v>
      </c>
      <c r="K916" s="1" t="str">
        <f>_xlfn.XLOOKUP(J916,REF!$D$2:$D$12,REF!$E$2:$E$12)</f>
        <v>Comunicação</v>
      </c>
      <c r="L916" s="1" t="s">
        <v>426</v>
      </c>
      <c r="M916" s="1" t="s">
        <v>391</v>
      </c>
      <c r="N916" s="1" t="s">
        <v>266</v>
      </c>
      <c r="O916" s="1" t="s">
        <v>392</v>
      </c>
      <c r="P916" s="1" t="str">
        <f t="shared" si="48"/>
        <v>BC Camarao1.3215KTL-H3(MBUS-13)46371,354166666746371,354166666746371,3597222222</v>
      </c>
      <c r="Q916" s="1" t="str">
        <f t="shared" si="49"/>
        <v>LIGRFOCOM</v>
      </c>
    </row>
    <row r="917" spans="2:17">
      <c r="B917" s="1" t="s">
        <v>659</v>
      </c>
      <c r="C917" s="1" t="s">
        <v>299</v>
      </c>
      <c r="D917" s="52">
        <v>46372.246527777781</v>
      </c>
      <c r="E917" s="52">
        <v>46372.246527777781</v>
      </c>
      <c r="F917" s="52">
        <v>46372.583333333336</v>
      </c>
      <c r="G917" s="53">
        <f t="shared" si="50"/>
        <v>0.33680555555474712</v>
      </c>
      <c r="H917" s="1" t="s">
        <v>260</v>
      </c>
      <c r="I917" s="1" t="s">
        <v>261</v>
      </c>
      <c r="J917" s="1" t="s">
        <v>262</v>
      </c>
      <c r="K917" s="1" t="str">
        <f>_xlfn.XLOOKUP(J917,REF!$D$2:$D$12,REF!$E$2:$E$12)</f>
        <v>Comunicação</v>
      </c>
      <c r="L917" s="1" t="s">
        <v>848</v>
      </c>
      <c r="M917" s="1" t="s">
        <v>391</v>
      </c>
      <c r="N917" s="1" t="s">
        <v>266</v>
      </c>
      <c r="O917" s="1" t="s">
        <v>392</v>
      </c>
      <c r="P917" s="1" t="str">
        <f t="shared" si="48"/>
        <v>BC BomSucessoSG60KTL46372,246527777846372,246527777846372,5833333333</v>
      </c>
      <c r="Q917" s="1" t="str">
        <f t="shared" si="49"/>
        <v>LIGRFOCOM</v>
      </c>
    </row>
    <row r="918" spans="2:17">
      <c r="B918" s="1" t="s">
        <v>659</v>
      </c>
      <c r="C918" s="1" t="s">
        <v>661</v>
      </c>
      <c r="D918" s="52">
        <v>46372.246527777781</v>
      </c>
      <c r="E918" s="52">
        <v>46372.246527777781</v>
      </c>
      <c r="F918" s="52">
        <v>46372.583333333336</v>
      </c>
      <c r="G918" s="53">
        <f t="shared" si="50"/>
        <v>0.33680555555474712</v>
      </c>
      <c r="H918" s="1" t="s">
        <v>260</v>
      </c>
      <c r="I918" s="1" t="s">
        <v>261</v>
      </c>
      <c r="J918" s="1" t="s">
        <v>262</v>
      </c>
      <c r="K918" s="1" t="str">
        <f>_xlfn.XLOOKUP(J918,REF!$D$2:$D$12,REF!$E$2:$E$12)</f>
        <v>Comunicação</v>
      </c>
      <c r="L918" s="1" t="s">
        <v>848</v>
      </c>
      <c r="M918" s="1" t="s">
        <v>391</v>
      </c>
      <c r="N918" s="1" t="s">
        <v>266</v>
      </c>
      <c r="O918" s="1" t="s">
        <v>392</v>
      </c>
      <c r="P918" s="1" t="str">
        <f t="shared" si="48"/>
        <v>BC BomSucessoABB_0146372,246527777846372,246527777846372,5833333333</v>
      </c>
      <c r="Q918" s="1" t="str">
        <f t="shared" si="49"/>
        <v>LIGRFOCOM</v>
      </c>
    </row>
    <row r="919" spans="2:17">
      <c r="B919" s="1" t="s">
        <v>659</v>
      </c>
      <c r="C919" s="1" t="s">
        <v>662</v>
      </c>
      <c r="D919" s="52">
        <v>46372.246527777781</v>
      </c>
      <c r="E919" s="52">
        <v>46372.246527777781</v>
      </c>
      <c r="F919" s="52">
        <v>46372.583333333336</v>
      </c>
      <c r="G919" s="53">
        <f t="shared" si="50"/>
        <v>0.33680555555474712</v>
      </c>
      <c r="H919" s="1" t="s">
        <v>260</v>
      </c>
      <c r="I919" s="1" t="s">
        <v>261</v>
      </c>
      <c r="J919" s="1" t="s">
        <v>262</v>
      </c>
      <c r="K919" s="1" t="str">
        <f>_xlfn.XLOOKUP(J919,REF!$D$2:$D$12,REF!$E$2:$E$12)</f>
        <v>Comunicação</v>
      </c>
      <c r="L919" s="1" t="s">
        <v>848</v>
      </c>
      <c r="M919" s="1" t="s">
        <v>391</v>
      </c>
      <c r="N919" s="1" t="s">
        <v>266</v>
      </c>
      <c r="O919" s="1" t="s">
        <v>392</v>
      </c>
      <c r="P919" s="1" t="str">
        <f t="shared" si="48"/>
        <v>BC BomSucessoABB_0246372,246527777846372,246527777846372,5833333333</v>
      </c>
      <c r="Q919" s="1" t="str">
        <f t="shared" si="49"/>
        <v>LIGRFOCOM</v>
      </c>
    </row>
    <row r="920" spans="2:17">
      <c r="B920" s="1" t="s">
        <v>659</v>
      </c>
      <c r="C920" s="1" t="s">
        <v>663</v>
      </c>
      <c r="D920" s="52">
        <v>46372.246527777781</v>
      </c>
      <c r="E920" s="52">
        <v>46372.246527777781</v>
      </c>
      <c r="F920" s="52">
        <v>46372.583333333336</v>
      </c>
      <c r="G920" s="53">
        <f t="shared" si="50"/>
        <v>0.33680555555474712</v>
      </c>
      <c r="H920" s="1" t="s">
        <v>260</v>
      </c>
      <c r="I920" s="1" t="s">
        <v>261</v>
      </c>
      <c r="J920" s="1" t="s">
        <v>262</v>
      </c>
      <c r="K920" s="1" t="str">
        <f>_xlfn.XLOOKUP(J920,REF!$D$2:$D$12,REF!$E$2:$E$12)</f>
        <v>Comunicação</v>
      </c>
      <c r="L920" s="1" t="s">
        <v>848</v>
      </c>
      <c r="M920" s="1" t="s">
        <v>391</v>
      </c>
      <c r="N920" s="1" t="s">
        <v>266</v>
      </c>
      <c r="O920" s="1" t="s">
        <v>392</v>
      </c>
      <c r="P920" s="1" t="str">
        <f t="shared" si="48"/>
        <v>BC BomSucessoABB_0346372,246527777846372,246527777846372,5833333333</v>
      </c>
      <c r="Q920" s="1" t="str">
        <f t="shared" si="49"/>
        <v>LIGRFOCOM</v>
      </c>
    </row>
    <row r="921" spans="2:17">
      <c r="B921" s="1" t="s">
        <v>659</v>
      </c>
      <c r="C921" s="1" t="s">
        <v>664</v>
      </c>
      <c r="D921" s="52">
        <v>46372.246527777781</v>
      </c>
      <c r="E921" s="52">
        <v>46372.246527777781</v>
      </c>
      <c r="F921" s="52">
        <v>46372.583333333336</v>
      </c>
      <c r="G921" s="53">
        <f t="shared" si="50"/>
        <v>0.33680555555474712</v>
      </c>
      <c r="H921" s="1" t="s">
        <v>260</v>
      </c>
      <c r="I921" s="1" t="s">
        <v>261</v>
      </c>
      <c r="J921" s="1" t="s">
        <v>262</v>
      </c>
      <c r="K921" s="1" t="str">
        <f>_xlfn.XLOOKUP(J921,REF!$D$2:$D$12,REF!$E$2:$E$12)</f>
        <v>Comunicação</v>
      </c>
      <c r="L921" s="1" t="s">
        <v>848</v>
      </c>
      <c r="M921" s="1" t="s">
        <v>391</v>
      </c>
      <c r="N921" s="1" t="s">
        <v>266</v>
      </c>
      <c r="O921" s="1" t="s">
        <v>392</v>
      </c>
      <c r="P921" s="1" t="str">
        <f t="shared" si="48"/>
        <v>BC BomSucessoABB_0446372,246527777846372,246527777846372,5833333333</v>
      </c>
      <c r="Q921" s="1" t="str">
        <f t="shared" si="49"/>
        <v>LIGRFOCOM</v>
      </c>
    </row>
    <row r="922" spans="2:17">
      <c r="B922" s="1" t="s">
        <v>659</v>
      </c>
      <c r="C922" s="1" t="s">
        <v>665</v>
      </c>
      <c r="D922" s="52">
        <v>46372.246527777781</v>
      </c>
      <c r="E922" s="52">
        <v>46372.246527777781</v>
      </c>
      <c r="F922" s="52">
        <v>46372.583333333336</v>
      </c>
      <c r="G922" s="53">
        <f t="shared" si="50"/>
        <v>0.33680555555474712</v>
      </c>
      <c r="H922" s="1" t="s">
        <v>260</v>
      </c>
      <c r="I922" s="1" t="s">
        <v>261</v>
      </c>
      <c r="J922" s="1" t="s">
        <v>262</v>
      </c>
      <c r="K922" s="1" t="str">
        <f>_xlfn.XLOOKUP(J922,REF!$D$2:$D$12,REF!$E$2:$E$12)</f>
        <v>Comunicação</v>
      </c>
      <c r="L922" s="1" t="s">
        <v>848</v>
      </c>
      <c r="M922" s="1" t="s">
        <v>391</v>
      </c>
      <c r="N922" s="1" t="s">
        <v>266</v>
      </c>
      <c r="O922" s="1" t="s">
        <v>392</v>
      </c>
      <c r="P922" s="1" t="str">
        <f t="shared" si="48"/>
        <v>BC BomSucessoABB_0546372,246527777846372,246527777846372,5833333333</v>
      </c>
      <c r="Q922" s="1" t="str">
        <f t="shared" si="49"/>
        <v>LIGRFOCOM</v>
      </c>
    </row>
    <row r="923" spans="2:17">
      <c r="B923" s="1" t="s">
        <v>659</v>
      </c>
      <c r="C923" s="1" t="s">
        <v>666</v>
      </c>
      <c r="D923" s="52">
        <v>46372.246527777781</v>
      </c>
      <c r="E923" s="52">
        <v>46372.246527777781</v>
      </c>
      <c r="F923" s="52">
        <v>46372.583333333336</v>
      </c>
      <c r="G923" s="53">
        <f t="shared" si="50"/>
        <v>0.33680555555474712</v>
      </c>
      <c r="H923" s="1" t="s">
        <v>260</v>
      </c>
      <c r="I923" s="1" t="s">
        <v>261</v>
      </c>
      <c r="J923" s="1" t="s">
        <v>262</v>
      </c>
      <c r="K923" s="1" t="str">
        <f>_xlfn.XLOOKUP(J923,REF!$D$2:$D$12,REF!$E$2:$E$12)</f>
        <v>Comunicação</v>
      </c>
      <c r="L923" s="1" t="s">
        <v>848</v>
      </c>
      <c r="M923" s="1" t="s">
        <v>391</v>
      </c>
      <c r="N923" s="1" t="s">
        <v>266</v>
      </c>
      <c r="O923" s="1" t="s">
        <v>392</v>
      </c>
      <c r="P923" s="1" t="str">
        <f t="shared" si="48"/>
        <v>BC BomSucessoABB_0646372,246527777846372,246527777846372,5833333333</v>
      </c>
      <c r="Q923" s="1" t="str">
        <f t="shared" si="49"/>
        <v>LIGRFOCOM</v>
      </c>
    </row>
    <row r="924" spans="2:17">
      <c r="B924" s="1" t="s">
        <v>659</v>
      </c>
      <c r="C924" s="1" t="s">
        <v>667</v>
      </c>
      <c r="D924" s="52">
        <v>46372.246527777781</v>
      </c>
      <c r="E924" s="52">
        <v>46372.246527777781</v>
      </c>
      <c r="F924" s="52">
        <v>46372.583333333336</v>
      </c>
      <c r="G924" s="53">
        <f t="shared" si="50"/>
        <v>0.33680555555474712</v>
      </c>
      <c r="H924" s="1" t="s">
        <v>260</v>
      </c>
      <c r="I924" s="1" t="s">
        <v>261</v>
      </c>
      <c r="J924" s="1" t="s">
        <v>262</v>
      </c>
      <c r="K924" s="1" t="str">
        <f>_xlfn.XLOOKUP(J924,REF!$D$2:$D$12,REF!$E$2:$E$12)</f>
        <v>Comunicação</v>
      </c>
      <c r="L924" s="1" t="s">
        <v>848</v>
      </c>
      <c r="M924" s="1" t="s">
        <v>391</v>
      </c>
      <c r="N924" s="1" t="s">
        <v>266</v>
      </c>
      <c r="O924" s="1" t="s">
        <v>392</v>
      </c>
      <c r="P924" s="1" t="str">
        <f t="shared" si="48"/>
        <v>BC BomSucessoABB_0746372,246527777846372,246527777846372,5833333333</v>
      </c>
      <c r="Q924" s="1" t="str">
        <f t="shared" si="49"/>
        <v>LIGRFOCOM</v>
      </c>
    </row>
    <row r="925" spans="2:17">
      <c r="B925" s="1" t="s">
        <v>659</v>
      </c>
      <c r="C925" s="1" t="s">
        <v>668</v>
      </c>
      <c r="D925" s="52">
        <v>46372.246527777781</v>
      </c>
      <c r="E925" s="52">
        <v>46372.246527777781</v>
      </c>
      <c r="F925" s="52">
        <v>46372.583333333336</v>
      </c>
      <c r="G925" s="53">
        <f t="shared" si="50"/>
        <v>0.33680555555474712</v>
      </c>
      <c r="H925" s="1" t="s">
        <v>260</v>
      </c>
      <c r="I925" s="1" t="s">
        <v>261</v>
      </c>
      <c r="J925" s="1" t="s">
        <v>262</v>
      </c>
      <c r="K925" s="1" t="str">
        <f>_xlfn.XLOOKUP(J925,REF!$D$2:$D$12,REF!$E$2:$E$12)</f>
        <v>Comunicação</v>
      </c>
      <c r="L925" s="1" t="s">
        <v>848</v>
      </c>
      <c r="M925" s="1" t="s">
        <v>391</v>
      </c>
      <c r="N925" s="1" t="s">
        <v>266</v>
      </c>
      <c r="O925" s="1" t="s">
        <v>392</v>
      </c>
      <c r="P925" s="1" t="str">
        <f t="shared" si="48"/>
        <v>BC BomSucessoABB_0846372,246527777846372,246527777846372,5833333333</v>
      </c>
      <c r="Q925" s="1" t="str">
        <f t="shared" si="49"/>
        <v>LIGRFOCOM</v>
      </c>
    </row>
    <row r="926" spans="2:17">
      <c r="B926" s="1" t="s">
        <v>659</v>
      </c>
      <c r="C926" s="1" t="s">
        <v>669</v>
      </c>
      <c r="D926" s="52">
        <v>46372.246527777781</v>
      </c>
      <c r="E926" s="52">
        <v>46372.246527777781</v>
      </c>
      <c r="F926" s="52">
        <v>46372.583333333336</v>
      </c>
      <c r="G926" s="53">
        <f t="shared" si="50"/>
        <v>0.33680555555474712</v>
      </c>
      <c r="H926" s="1" t="s">
        <v>260</v>
      </c>
      <c r="I926" s="1" t="s">
        <v>261</v>
      </c>
      <c r="J926" s="1" t="s">
        <v>262</v>
      </c>
      <c r="K926" s="1" t="str">
        <f>_xlfn.XLOOKUP(J926,REF!$D$2:$D$12,REF!$E$2:$E$12)</f>
        <v>Comunicação</v>
      </c>
      <c r="L926" s="1" t="s">
        <v>848</v>
      </c>
      <c r="M926" s="1" t="s">
        <v>391</v>
      </c>
      <c r="N926" s="1" t="s">
        <v>266</v>
      </c>
      <c r="O926" s="1" t="s">
        <v>392</v>
      </c>
      <c r="P926" s="1" t="str">
        <f t="shared" si="48"/>
        <v>BC BomSucessoABB_0946372,246527777846372,246527777846372,5833333333</v>
      </c>
      <c r="Q926" s="1" t="str">
        <f t="shared" si="49"/>
        <v>LIGRFOCOM</v>
      </c>
    </row>
    <row r="927" spans="2:17">
      <c r="B927" s="1" t="s">
        <v>659</v>
      </c>
      <c r="C927" s="1" t="s">
        <v>670</v>
      </c>
      <c r="D927" s="52">
        <v>46372.246527777781</v>
      </c>
      <c r="E927" s="52">
        <v>46372.246527777781</v>
      </c>
      <c r="F927" s="52">
        <v>46372.583333333336</v>
      </c>
      <c r="G927" s="53">
        <f t="shared" si="50"/>
        <v>0.33680555555474712</v>
      </c>
      <c r="H927" s="1" t="s">
        <v>260</v>
      </c>
      <c r="I927" s="1" t="s">
        <v>261</v>
      </c>
      <c r="J927" s="1" t="s">
        <v>262</v>
      </c>
      <c r="K927" s="1" t="str">
        <f>_xlfn.XLOOKUP(J927,REF!$D$2:$D$12,REF!$E$2:$E$12)</f>
        <v>Comunicação</v>
      </c>
      <c r="L927" s="1" t="s">
        <v>848</v>
      </c>
      <c r="M927" s="1" t="s">
        <v>391</v>
      </c>
      <c r="N927" s="1" t="s">
        <v>266</v>
      </c>
      <c r="O927" s="1" t="s">
        <v>392</v>
      </c>
      <c r="P927" s="1" t="str">
        <f t="shared" ref="P927:P985" si="51">_xlfn.CONCAT(B927,C927,D927,E927,F927)</f>
        <v>BC BomSucessoABB_1046372,246527777846372,246527777846372,5833333333</v>
      </c>
      <c r="Q927" s="1" t="str">
        <f t="shared" ref="Q927:Q985" si="52">_xlfn.CONCAT(H927,I927,J927)</f>
        <v>LIGRFOCOM</v>
      </c>
    </row>
    <row r="928" spans="2:17">
      <c r="B928" s="1" t="s">
        <v>659</v>
      </c>
      <c r="C928" s="1" t="s">
        <v>671</v>
      </c>
      <c r="D928" s="52">
        <v>46372.246527777781</v>
      </c>
      <c r="E928" s="52">
        <v>46372.246527777781</v>
      </c>
      <c r="F928" s="52">
        <v>46372.583333333336</v>
      </c>
      <c r="G928" s="53">
        <f t="shared" si="50"/>
        <v>0.33680555555474712</v>
      </c>
      <c r="H928" s="1" t="s">
        <v>260</v>
      </c>
      <c r="I928" s="1" t="s">
        <v>261</v>
      </c>
      <c r="J928" s="1" t="s">
        <v>262</v>
      </c>
      <c r="K928" s="1" t="str">
        <f>_xlfn.XLOOKUP(J928,REF!$D$2:$D$12,REF!$E$2:$E$12)</f>
        <v>Comunicação</v>
      </c>
      <c r="L928" s="1" t="s">
        <v>848</v>
      </c>
      <c r="M928" s="1" t="s">
        <v>391</v>
      </c>
      <c r="N928" s="1" t="s">
        <v>266</v>
      </c>
      <c r="O928" s="1" t="s">
        <v>392</v>
      </c>
      <c r="P928" s="1" t="str">
        <f t="shared" si="51"/>
        <v>BC BomSucessoABB_1146372,246527777846372,246527777846372,5833333333</v>
      </c>
      <c r="Q928" s="1" t="str">
        <f t="shared" si="52"/>
        <v>LIGRFOCOM</v>
      </c>
    </row>
    <row r="929" spans="1:17" s="46" customFormat="1" hidden="1">
      <c r="A929" s="45"/>
      <c r="B929" s="61" t="s">
        <v>327</v>
      </c>
      <c r="C929" s="61" t="s">
        <v>328</v>
      </c>
      <c r="D929" s="62">
        <v>46013.452777777777</v>
      </c>
      <c r="E929" s="62">
        <v>46013.452777777777</v>
      </c>
      <c r="F929" s="62">
        <v>46013.459722222222</v>
      </c>
      <c r="G929" s="63">
        <f>F929-E929</f>
        <v>6.9444444452528842E-3</v>
      </c>
      <c r="H929" s="61" t="s">
        <v>248</v>
      </c>
      <c r="I929" s="61"/>
      <c r="J929" s="61" t="s">
        <v>249</v>
      </c>
      <c r="K929" s="61" t="s">
        <v>349</v>
      </c>
      <c r="L929" s="61" t="s">
        <v>849</v>
      </c>
      <c r="M929" s="61" t="s">
        <v>251</v>
      </c>
      <c r="N929" s="61" t="s">
        <v>330</v>
      </c>
      <c r="O929" s="61" t="s">
        <v>331</v>
      </c>
      <c r="P929" s="61" t="str">
        <f t="shared" si="51"/>
        <v>BC Aracu5.1Inverter(MBUS-1)46013,452777777846013,452777777846013,4597222222</v>
      </c>
      <c r="Q929" s="61" t="str">
        <f t="shared" si="52"/>
        <v>DAURDE</v>
      </c>
    </row>
    <row r="930" spans="1:17" s="46" customFormat="1" hidden="1">
      <c r="A930" s="45"/>
      <c r="B930" s="61" t="s">
        <v>332</v>
      </c>
      <c r="C930" s="61" t="s">
        <v>328</v>
      </c>
      <c r="D930" s="62">
        <v>46013.452777777777</v>
      </c>
      <c r="E930" s="62">
        <v>46013.452777777777</v>
      </c>
      <c r="F930" s="62">
        <v>46013.459722222222</v>
      </c>
      <c r="G930" s="63">
        <f>F930-E930</f>
        <v>6.9444444452528842E-3</v>
      </c>
      <c r="H930" s="61" t="s">
        <v>248</v>
      </c>
      <c r="I930" s="61"/>
      <c r="J930" s="61" t="s">
        <v>249</v>
      </c>
      <c r="K930" s="61" t="s">
        <v>349</v>
      </c>
      <c r="L930" s="61" t="s">
        <v>849</v>
      </c>
      <c r="M930" s="61" t="s">
        <v>251</v>
      </c>
      <c r="N930" s="61" t="s">
        <v>330</v>
      </c>
      <c r="O930" s="61" t="s">
        <v>331</v>
      </c>
      <c r="P930" s="61" t="str">
        <f t="shared" si="51"/>
        <v>BC Aracu5.2Inverter(MBUS-1)46013,452777777846013,452777777846013,4597222222</v>
      </c>
      <c r="Q930" s="61" t="str">
        <f t="shared" si="52"/>
        <v>DAURDE</v>
      </c>
    </row>
    <row r="931" spans="1:17" s="46" customFormat="1" hidden="1">
      <c r="A931" s="45"/>
      <c r="B931" s="61" t="s">
        <v>333</v>
      </c>
      <c r="C931" s="61" t="s">
        <v>328</v>
      </c>
      <c r="D931" s="62">
        <v>46013.452777777777</v>
      </c>
      <c r="E931" s="62">
        <v>46013.452777777777</v>
      </c>
      <c r="F931" s="62">
        <v>46013.459722222222</v>
      </c>
      <c r="G931" s="63">
        <f>F931-E931</f>
        <v>6.9444444452528842E-3</v>
      </c>
      <c r="H931" s="61" t="s">
        <v>248</v>
      </c>
      <c r="I931" s="61"/>
      <c r="J931" s="61" t="s">
        <v>249</v>
      </c>
      <c r="K931" s="61" t="s">
        <v>349</v>
      </c>
      <c r="L931" s="61" t="s">
        <v>849</v>
      </c>
      <c r="M931" s="61" t="s">
        <v>251</v>
      </c>
      <c r="N931" s="61" t="s">
        <v>330</v>
      </c>
      <c r="O931" s="61" t="s">
        <v>331</v>
      </c>
      <c r="P931" s="61" t="str">
        <f t="shared" si="51"/>
        <v>BC Aracu5.3Inverter(MBUS-1)46013,452777777846013,452777777846013,4597222222</v>
      </c>
      <c r="Q931" s="61" t="str">
        <f t="shared" si="52"/>
        <v>DAURDE</v>
      </c>
    </row>
    <row r="932" spans="1:17" s="46" customFormat="1" hidden="1">
      <c r="A932" s="45"/>
      <c r="B932" s="61" t="s">
        <v>334</v>
      </c>
      <c r="C932" s="61" t="s">
        <v>328</v>
      </c>
      <c r="D932" s="62">
        <v>46013.452777777777</v>
      </c>
      <c r="E932" s="62">
        <v>46013.452777777777</v>
      </c>
      <c r="F932" s="62">
        <v>46013.459722222222</v>
      </c>
      <c r="G932" s="63">
        <f>F932-E932</f>
        <v>6.9444444452528842E-3</v>
      </c>
      <c r="H932" s="61" t="s">
        <v>248</v>
      </c>
      <c r="I932" s="61"/>
      <c r="J932" s="61" t="s">
        <v>249</v>
      </c>
      <c r="K932" s="61" t="s">
        <v>349</v>
      </c>
      <c r="L932" s="61" t="s">
        <v>849</v>
      </c>
      <c r="M932" s="61" t="s">
        <v>251</v>
      </c>
      <c r="N932" s="61" t="s">
        <v>330</v>
      </c>
      <c r="O932" s="61" t="s">
        <v>331</v>
      </c>
      <c r="P932" s="61" t="str">
        <f t="shared" si="51"/>
        <v>BC Aracu5.4Inverter(MBUS-1)46013,452777777846013,452777777846013,4597222222</v>
      </c>
      <c r="Q932" s="61" t="str">
        <f t="shared" si="52"/>
        <v>DAURDE</v>
      </c>
    </row>
    <row r="933" spans="1:17" s="46" customFormat="1" hidden="1">
      <c r="A933" s="45"/>
      <c r="B933" s="61" t="s">
        <v>335</v>
      </c>
      <c r="C933" s="61" t="s">
        <v>328</v>
      </c>
      <c r="D933" s="62">
        <v>46013.452777777777</v>
      </c>
      <c r="E933" s="62">
        <v>46013.452777777777</v>
      </c>
      <c r="F933" s="62">
        <v>46013.459722222222</v>
      </c>
      <c r="G933" s="63">
        <f>F933-E933</f>
        <v>6.9444444452528842E-3</v>
      </c>
      <c r="H933" s="61" t="s">
        <v>248</v>
      </c>
      <c r="I933" s="61"/>
      <c r="J933" s="61" t="s">
        <v>249</v>
      </c>
      <c r="K933" s="61" t="s">
        <v>349</v>
      </c>
      <c r="L933" s="61" t="s">
        <v>849</v>
      </c>
      <c r="M933" s="61" t="s">
        <v>251</v>
      </c>
      <c r="N933" s="61" t="s">
        <v>330</v>
      </c>
      <c r="O933" s="61" t="s">
        <v>331</v>
      </c>
      <c r="P933" s="61" t="str">
        <f t="shared" si="51"/>
        <v>BC Aracu5.5Inverter(MBUS-1)46013,452777777846013,452777777846013,4597222222</v>
      </c>
      <c r="Q933" s="61" t="str">
        <f t="shared" si="52"/>
        <v>DAURDE</v>
      </c>
    </row>
    <row r="934" spans="1:17" s="46" customFormat="1" hidden="1">
      <c r="A934" s="45"/>
      <c r="B934" s="61" t="s">
        <v>327</v>
      </c>
      <c r="C934" s="61" t="s">
        <v>328</v>
      </c>
      <c r="D934" s="62">
        <v>46013.492361111108</v>
      </c>
      <c r="E934" s="62">
        <v>46013.492361111108</v>
      </c>
      <c r="F934" s="62">
        <v>46013.50277777778</v>
      </c>
      <c r="G934" s="63">
        <f>F934-E934</f>
        <v>1.0416666671517305E-2</v>
      </c>
      <c r="H934" s="61" t="s">
        <v>248</v>
      </c>
      <c r="I934" s="61"/>
      <c r="J934" s="61" t="s">
        <v>249</v>
      </c>
      <c r="K934" s="61" t="s">
        <v>349</v>
      </c>
      <c r="L934" s="61" t="s">
        <v>849</v>
      </c>
      <c r="M934" s="61" t="s">
        <v>251</v>
      </c>
      <c r="N934" s="61" t="s">
        <v>330</v>
      </c>
      <c r="O934" s="61" t="s">
        <v>331</v>
      </c>
      <c r="P934" s="61" t="str">
        <f t="shared" si="51"/>
        <v>BC Aracu5.1Inverter(MBUS-1)46013,492361111146013,492361111146013,5027777778</v>
      </c>
      <c r="Q934" s="61" t="str">
        <f t="shared" si="52"/>
        <v>DAURDE</v>
      </c>
    </row>
    <row r="935" spans="1:17" s="46" customFormat="1" hidden="1">
      <c r="A935" s="45"/>
      <c r="B935" s="61" t="s">
        <v>332</v>
      </c>
      <c r="C935" s="61" t="s">
        <v>328</v>
      </c>
      <c r="D935" s="62">
        <v>46013.492361111108</v>
      </c>
      <c r="E935" s="62">
        <v>46013.492361111108</v>
      </c>
      <c r="F935" s="62">
        <v>46013.50277777778</v>
      </c>
      <c r="G935" s="63">
        <f>F935-E935</f>
        <v>1.0416666671517305E-2</v>
      </c>
      <c r="H935" s="61" t="s">
        <v>248</v>
      </c>
      <c r="I935" s="61"/>
      <c r="J935" s="61" t="s">
        <v>249</v>
      </c>
      <c r="K935" s="61" t="s">
        <v>349</v>
      </c>
      <c r="L935" s="61" t="s">
        <v>849</v>
      </c>
      <c r="M935" s="61" t="s">
        <v>251</v>
      </c>
      <c r="N935" s="61" t="s">
        <v>330</v>
      </c>
      <c r="O935" s="61" t="s">
        <v>331</v>
      </c>
      <c r="P935" s="61" t="str">
        <f t="shared" si="51"/>
        <v>BC Aracu5.2Inverter(MBUS-1)46013,492361111146013,492361111146013,5027777778</v>
      </c>
      <c r="Q935" s="61" t="str">
        <f t="shared" si="52"/>
        <v>DAURDE</v>
      </c>
    </row>
    <row r="936" spans="1:17" s="46" customFormat="1" hidden="1">
      <c r="A936" s="45"/>
      <c r="B936" s="61" t="s">
        <v>333</v>
      </c>
      <c r="C936" s="61" t="s">
        <v>328</v>
      </c>
      <c r="D936" s="62">
        <v>46013.492361111108</v>
      </c>
      <c r="E936" s="62">
        <v>46013.492361111108</v>
      </c>
      <c r="F936" s="62">
        <v>46013.50277777778</v>
      </c>
      <c r="G936" s="63">
        <f>F936-E936</f>
        <v>1.0416666671517305E-2</v>
      </c>
      <c r="H936" s="61" t="s">
        <v>248</v>
      </c>
      <c r="I936" s="61"/>
      <c r="J936" s="61" t="s">
        <v>249</v>
      </c>
      <c r="K936" s="61" t="s">
        <v>349</v>
      </c>
      <c r="L936" s="61" t="s">
        <v>849</v>
      </c>
      <c r="M936" s="61" t="s">
        <v>251</v>
      </c>
      <c r="N936" s="61" t="s">
        <v>330</v>
      </c>
      <c r="O936" s="61" t="s">
        <v>331</v>
      </c>
      <c r="P936" s="61" t="str">
        <f t="shared" si="51"/>
        <v>BC Aracu5.3Inverter(MBUS-1)46013,492361111146013,492361111146013,5027777778</v>
      </c>
      <c r="Q936" s="61" t="str">
        <f t="shared" si="52"/>
        <v>DAURDE</v>
      </c>
    </row>
    <row r="937" spans="1:17" s="46" customFormat="1" hidden="1">
      <c r="A937" s="45"/>
      <c r="B937" s="61" t="s">
        <v>334</v>
      </c>
      <c r="C937" s="61" t="s">
        <v>328</v>
      </c>
      <c r="D937" s="62">
        <v>46013.492361111108</v>
      </c>
      <c r="E937" s="62">
        <v>46013.492361111108</v>
      </c>
      <c r="F937" s="62">
        <v>46013.50277777778</v>
      </c>
      <c r="G937" s="63">
        <f>F937-E937</f>
        <v>1.0416666671517305E-2</v>
      </c>
      <c r="H937" s="61" t="s">
        <v>248</v>
      </c>
      <c r="I937" s="61"/>
      <c r="J937" s="61" t="s">
        <v>249</v>
      </c>
      <c r="K937" s="61" t="s">
        <v>349</v>
      </c>
      <c r="L937" s="61" t="s">
        <v>849</v>
      </c>
      <c r="M937" s="61" t="s">
        <v>251</v>
      </c>
      <c r="N937" s="61" t="s">
        <v>330</v>
      </c>
      <c r="O937" s="61" t="s">
        <v>331</v>
      </c>
      <c r="P937" s="61" t="str">
        <f t="shared" si="51"/>
        <v>BC Aracu5.4Inverter(MBUS-1)46013,492361111146013,492361111146013,5027777778</v>
      </c>
      <c r="Q937" s="61" t="str">
        <f t="shared" si="52"/>
        <v>DAURDE</v>
      </c>
    </row>
    <row r="938" spans="1:17" s="46" customFormat="1" hidden="1">
      <c r="A938" s="45"/>
      <c r="B938" s="61" t="s">
        <v>335</v>
      </c>
      <c r="C938" s="61" t="s">
        <v>328</v>
      </c>
      <c r="D938" s="62">
        <v>46013.492361111108</v>
      </c>
      <c r="E938" s="62">
        <v>46013.492361111108</v>
      </c>
      <c r="F938" s="62">
        <v>46013.50277777778</v>
      </c>
      <c r="G938" s="63">
        <f>F938-E938</f>
        <v>1.0416666671517305E-2</v>
      </c>
      <c r="H938" s="61" t="s">
        <v>248</v>
      </c>
      <c r="I938" s="61"/>
      <c r="J938" s="61" t="s">
        <v>249</v>
      </c>
      <c r="K938" s="61" t="s">
        <v>349</v>
      </c>
      <c r="L938" s="61" t="s">
        <v>849</v>
      </c>
      <c r="M938" s="61" t="s">
        <v>251</v>
      </c>
      <c r="N938" s="61" t="s">
        <v>330</v>
      </c>
      <c r="O938" s="61" t="s">
        <v>331</v>
      </c>
      <c r="P938" s="61" t="str">
        <f t="shared" si="51"/>
        <v>BC Aracu5.5Inverter(MBUS-1)46013,492361111146013,492361111146013,5027777778</v>
      </c>
      <c r="Q938" s="61" t="str">
        <f t="shared" si="52"/>
        <v>DAURDE</v>
      </c>
    </row>
    <row r="939" spans="1:17" hidden="1">
      <c r="A939" s="45"/>
      <c r="B939" s="61" t="s">
        <v>850</v>
      </c>
      <c r="C939" s="61" t="s">
        <v>851</v>
      </c>
      <c r="D939" s="62">
        <v>46013.649305555555</v>
      </c>
      <c r="E939" s="62">
        <v>46013.649305555555</v>
      </c>
      <c r="F939" s="62">
        <v>46013.708333333336</v>
      </c>
      <c r="G939" s="63">
        <f>F939-E939</f>
        <v>5.9027777781011537E-2</v>
      </c>
      <c r="H939" s="61" t="s">
        <v>248</v>
      </c>
      <c r="I939" s="61"/>
      <c r="J939" s="61" t="s">
        <v>249</v>
      </c>
      <c r="K939" s="61" t="s">
        <v>349</v>
      </c>
      <c r="L939" s="61" t="s">
        <v>250</v>
      </c>
      <c r="M939" s="61" t="s">
        <v>251</v>
      </c>
      <c r="N939" s="61" t="s">
        <v>330</v>
      </c>
      <c r="O939" s="61" t="s">
        <v>852</v>
      </c>
      <c r="P939" s="61" t="str">
        <f t="shared" si="51"/>
        <v>BC Panama1.1CEREAL_00246013,649305555646013,649305555646013,7083333333</v>
      </c>
      <c r="Q939" s="61" t="str">
        <f t="shared" si="52"/>
        <v>DAURDE</v>
      </c>
    </row>
    <row r="940" spans="1:17" hidden="1">
      <c r="A940" s="45"/>
      <c r="B940" s="61" t="s">
        <v>850</v>
      </c>
      <c r="C940" s="61" t="s">
        <v>824</v>
      </c>
      <c r="D940" s="62">
        <v>46013.649305555555</v>
      </c>
      <c r="E940" s="62">
        <v>46013.649305555555</v>
      </c>
      <c r="F940" s="62">
        <v>46013.708333333336</v>
      </c>
      <c r="G940" s="63">
        <f>F940-E940</f>
        <v>5.9027777781011537E-2</v>
      </c>
      <c r="H940" s="61" t="s">
        <v>248</v>
      </c>
      <c r="I940" s="61"/>
      <c r="J940" s="61" t="s">
        <v>249</v>
      </c>
      <c r="K940" s="61" t="s">
        <v>349</v>
      </c>
      <c r="L940" s="61" t="s">
        <v>250</v>
      </c>
      <c r="M940" s="61" t="s">
        <v>251</v>
      </c>
      <c r="N940" s="61" t="s">
        <v>330</v>
      </c>
      <c r="O940" s="61" t="s">
        <v>852</v>
      </c>
      <c r="P940" s="61" t="str">
        <f t="shared" si="51"/>
        <v>BC Panama1.1ITAPOAN 001 (COM1-001)_001_00146013,649305555646013,649305555646013,7083333333</v>
      </c>
      <c r="Q940" s="61" t="str">
        <f t="shared" si="52"/>
        <v>DAURDE</v>
      </c>
    </row>
    <row r="941" spans="1:17" hidden="1">
      <c r="A941" s="45"/>
      <c r="B941" s="61" t="s">
        <v>850</v>
      </c>
      <c r="C941" s="61" t="s">
        <v>853</v>
      </c>
      <c r="D941" s="62">
        <v>46013.649305555555</v>
      </c>
      <c r="E941" s="62">
        <v>46013.649305555555</v>
      </c>
      <c r="F941" s="62">
        <v>46013.708333333336</v>
      </c>
      <c r="G941" s="63">
        <f>F941-E941</f>
        <v>5.9027777781011537E-2</v>
      </c>
      <c r="H941" s="61" t="s">
        <v>248</v>
      </c>
      <c r="I941" s="61"/>
      <c r="J941" s="61" t="s">
        <v>249</v>
      </c>
      <c r="K941" s="61" t="s">
        <v>349</v>
      </c>
      <c r="L941" s="61" t="s">
        <v>250</v>
      </c>
      <c r="M941" s="61" t="s">
        <v>251</v>
      </c>
      <c r="N941" s="61" t="s">
        <v>330</v>
      </c>
      <c r="O941" s="61" t="s">
        <v>852</v>
      </c>
      <c r="P941" s="61" t="str">
        <f t="shared" si="51"/>
        <v>BC Panama1.1ITAPOAN_00346013,649305555646013,649305555646013,7083333333</v>
      </c>
      <c r="Q941" s="61" t="str">
        <f t="shared" si="52"/>
        <v>DAURDE</v>
      </c>
    </row>
    <row r="942" spans="1:17" hidden="1">
      <c r="A942" s="45"/>
      <c r="B942" s="61" t="s">
        <v>854</v>
      </c>
      <c r="C942" s="61" t="s">
        <v>855</v>
      </c>
      <c r="D942" s="62">
        <v>46013.649305555555</v>
      </c>
      <c r="E942" s="62">
        <v>46013.649305555555</v>
      </c>
      <c r="F942" s="62">
        <v>46013.708333333336</v>
      </c>
      <c r="G942" s="63">
        <f>F942-E942</f>
        <v>5.9027777781011537E-2</v>
      </c>
      <c r="H942" s="61" t="s">
        <v>248</v>
      </c>
      <c r="I942" s="61"/>
      <c r="J942" s="61" t="s">
        <v>249</v>
      </c>
      <c r="K942" s="61" t="s">
        <v>349</v>
      </c>
      <c r="L942" s="61" t="s">
        <v>250</v>
      </c>
      <c r="M942" s="61" t="s">
        <v>251</v>
      </c>
      <c r="N942" s="61" t="s">
        <v>330</v>
      </c>
      <c r="O942" s="61" t="s">
        <v>852</v>
      </c>
      <c r="P942" s="61" t="str">
        <f t="shared" si="51"/>
        <v>BC Panama1.2COOGED_00546013,649305555646013,649305555646013,7083333333</v>
      </c>
      <c r="Q942" s="61" t="str">
        <f t="shared" si="52"/>
        <v>DAURDE</v>
      </c>
    </row>
    <row r="943" spans="1:17" hidden="1">
      <c r="A943" s="45"/>
      <c r="B943" s="61" t="s">
        <v>854</v>
      </c>
      <c r="C943" s="61" t="s">
        <v>856</v>
      </c>
      <c r="D943" s="62">
        <v>46013.649305555555</v>
      </c>
      <c r="E943" s="62">
        <v>46013.649305555555</v>
      </c>
      <c r="F943" s="62">
        <v>46013.708333333336</v>
      </c>
      <c r="G943" s="63">
        <f>F943-E943</f>
        <v>5.9027777781011537E-2</v>
      </c>
      <c r="H943" s="61" t="s">
        <v>248</v>
      </c>
      <c r="I943" s="61"/>
      <c r="J943" s="61" t="s">
        <v>249</v>
      </c>
      <c r="K943" s="61" t="s">
        <v>349</v>
      </c>
      <c r="L943" s="61" t="s">
        <v>250</v>
      </c>
      <c r="M943" s="61" t="s">
        <v>251</v>
      </c>
      <c r="N943" s="61" t="s">
        <v>330</v>
      </c>
      <c r="O943" s="61" t="s">
        <v>852</v>
      </c>
      <c r="P943" s="61" t="str">
        <f t="shared" si="51"/>
        <v>BC Panama1.2ART_00646013,649305555646013,649305555646013,7083333333</v>
      </c>
      <c r="Q943" s="61" t="str">
        <f t="shared" si="52"/>
        <v>DAURDE</v>
      </c>
    </row>
    <row r="944" spans="1:17" hidden="1">
      <c r="A944" s="45"/>
      <c r="B944" s="61" t="s">
        <v>854</v>
      </c>
      <c r="C944" s="61" t="s">
        <v>857</v>
      </c>
      <c r="D944" s="62">
        <v>46013.649305555555</v>
      </c>
      <c r="E944" s="62">
        <v>46013.649305555555</v>
      </c>
      <c r="F944" s="62">
        <v>46013.708333333336</v>
      </c>
      <c r="G944" s="63">
        <f>F944-E944</f>
        <v>5.9027777781011537E-2</v>
      </c>
      <c r="H944" s="61" t="s">
        <v>248</v>
      </c>
      <c r="I944" s="61"/>
      <c r="J944" s="61" t="s">
        <v>249</v>
      </c>
      <c r="K944" s="61" t="s">
        <v>349</v>
      </c>
      <c r="L944" s="61" t="s">
        <v>250</v>
      </c>
      <c r="M944" s="61" t="s">
        <v>251</v>
      </c>
      <c r="N944" s="61" t="s">
        <v>330</v>
      </c>
      <c r="O944" s="61" t="s">
        <v>852</v>
      </c>
      <c r="P944" s="61" t="str">
        <f t="shared" si="51"/>
        <v>BC Panama1.2ART_00446013,649305555646013,649305555646013,7083333333</v>
      </c>
      <c r="Q944" s="61" t="str">
        <f t="shared" si="52"/>
        <v>DAURDE</v>
      </c>
    </row>
    <row r="945" spans="1:17" hidden="1">
      <c r="A945" s="45"/>
      <c r="B945" s="61" t="s">
        <v>854</v>
      </c>
      <c r="C945" s="61" t="s">
        <v>858</v>
      </c>
      <c r="D945" s="62">
        <v>46013.649305555555</v>
      </c>
      <c r="E945" s="62">
        <v>46013.649305555555</v>
      </c>
      <c r="F945" s="62">
        <v>46013.708333333336</v>
      </c>
      <c r="G945" s="63">
        <f>F945-E945</f>
        <v>5.9027777781011537E-2</v>
      </c>
      <c r="H945" s="61" t="s">
        <v>248</v>
      </c>
      <c r="I945" s="61"/>
      <c r="J945" s="61" t="s">
        <v>249</v>
      </c>
      <c r="K945" s="61" t="s">
        <v>349</v>
      </c>
      <c r="L945" s="61" t="s">
        <v>250</v>
      </c>
      <c r="M945" s="61" t="s">
        <v>251</v>
      </c>
      <c r="N945" s="61" t="s">
        <v>330</v>
      </c>
      <c r="O945" s="61" t="s">
        <v>852</v>
      </c>
      <c r="P945" s="61" t="str">
        <f t="shared" si="51"/>
        <v>BC Panama1.2RADIO_00746013,649305555646013,649305555646013,7083333333</v>
      </c>
      <c r="Q945" s="61" t="str">
        <f t="shared" si="52"/>
        <v>DAURDE</v>
      </c>
    </row>
    <row r="946" spans="1:17">
      <c r="B946" s="1" t="s">
        <v>481</v>
      </c>
      <c r="C946" s="1" t="s">
        <v>358</v>
      </c>
      <c r="D946" s="52">
        <v>46363.565972222219</v>
      </c>
      <c r="E946" s="52">
        <v>46363.565972222219</v>
      </c>
      <c r="F946" s="52">
        <v>46363.625</v>
      </c>
      <c r="G946" s="53">
        <f t="shared" si="50"/>
        <v>5.9027777781011537E-2</v>
      </c>
      <c r="H946" s="1" t="s">
        <v>260</v>
      </c>
      <c r="I946" s="1" t="s">
        <v>261</v>
      </c>
      <c r="J946" s="1" t="s">
        <v>262</v>
      </c>
      <c r="K946" s="1" t="str">
        <f>_xlfn.XLOOKUP(J946,REF!$D$2:$D$12,REF!$E$2:$E$12)</f>
        <v>Comunicação</v>
      </c>
      <c r="L946" s="1" t="s">
        <v>426</v>
      </c>
      <c r="M946" s="1" t="s">
        <v>391</v>
      </c>
      <c r="N946" s="1" t="s">
        <v>266</v>
      </c>
      <c r="O946" s="1" t="s">
        <v>827</v>
      </c>
      <c r="P946" s="1" t="str">
        <f t="shared" si="51"/>
        <v>BC Turvania1.1Inverter(MBUS-14)46363,565972222246363,565972222246363,625</v>
      </c>
      <c r="Q946" s="1" t="str">
        <f t="shared" si="52"/>
        <v>LIGRFOCOM</v>
      </c>
    </row>
    <row r="947" spans="1:17">
      <c r="B947" s="1" t="s">
        <v>481</v>
      </c>
      <c r="C947" s="1" t="s">
        <v>359</v>
      </c>
      <c r="D947" s="52">
        <v>46363.565972222219</v>
      </c>
      <c r="E947" s="52">
        <v>46363.565972222219</v>
      </c>
      <c r="F947" s="52">
        <v>46363.625</v>
      </c>
      <c r="G947" s="53">
        <f t="shared" si="50"/>
        <v>5.9027777781011537E-2</v>
      </c>
      <c r="H947" s="1" t="s">
        <v>260</v>
      </c>
      <c r="I947" s="1" t="s">
        <v>261</v>
      </c>
      <c r="J947" s="1" t="s">
        <v>262</v>
      </c>
      <c r="K947" s="1" t="str">
        <f>_xlfn.XLOOKUP(J947,REF!$D$2:$D$12,REF!$E$2:$E$12)</f>
        <v>Comunicação</v>
      </c>
      <c r="L947" s="1" t="s">
        <v>426</v>
      </c>
      <c r="M947" s="1" t="s">
        <v>391</v>
      </c>
      <c r="N947" s="1" t="s">
        <v>266</v>
      </c>
      <c r="O947" s="1" t="s">
        <v>827</v>
      </c>
      <c r="P947" s="1" t="str">
        <f t="shared" si="51"/>
        <v>BC Turvania1.1Inverter(MBUS-15)46363,565972222246363,565972222246363,625</v>
      </c>
      <c r="Q947" s="1" t="str">
        <f t="shared" si="52"/>
        <v>LIGRFOCOM</v>
      </c>
    </row>
    <row r="948" spans="1:17">
      <c r="B948" s="1" t="s">
        <v>481</v>
      </c>
      <c r="C948" s="1" t="s">
        <v>354</v>
      </c>
      <c r="D948" s="52">
        <v>46363.565972222219</v>
      </c>
      <c r="E948" s="52">
        <v>46363.565972222219</v>
      </c>
      <c r="F948" s="52">
        <v>46363.625</v>
      </c>
      <c r="G948" s="53">
        <f t="shared" si="50"/>
        <v>5.9027777781011537E-2</v>
      </c>
      <c r="H948" s="1" t="s">
        <v>260</v>
      </c>
      <c r="I948" s="1" t="s">
        <v>261</v>
      </c>
      <c r="J948" s="1" t="s">
        <v>262</v>
      </c>
      <c r="K948" s="1" t="str">
        <f>_xlfn.XLOOKUP(J948,REF!$D$2:$D$12,REF!$E$2:$E$12)</f>
        <v>Comunicação</v>
      </c>
      <c r="L948" s="1" t="s">
        <v>426</v>
      </c>
      <c r="M948" s="1" t="s">
        <v>391</v>
      </c>
      <c r="N948" s="1" t="s">
        <v>266</v>
      </c>
      <c r="O948" s="1" t="s">
        <v>827</v>
      </c>
      <c r="P948" s="1" t="str">
        <f t="shared" si="51"/>
        <v>BC Turvania1.1Inverter(MBUS-12)46363,565972222246363,565972222246363,625</v>
      </c>
      <c r="Q948" s="1" t="str">
        <f t="shared" si="52"/>
        <v>LIGRFOCOM</v>
      </c>
    </row>
    <row r="949" spans="1:17">
      <c r="B949" s="1" t="s">
        <v>481</v>
      </c>
      <c r="C949" s="1" t="s">
        <v>357</v>
      </c>
      <c r="D949" s="52">
        <v>46363.565972222219</v>
      </c>
      <c r="E949" s="52">
        <v>46363.565972222219</v>
      </c>
      <c r="F949" s="52">
        <v>46363.625</v>
      </c>
      <c r="G949" s="53">
        <f t="shared" si="50"/>
        <v>5.9027777781011537E-2</v>
      </c>
      <c r="H949" s="1" t="s">
        <v>260</v>
      </c>
      <c r="I949" s="1" t="s">
        <v>261</v>
      </c>
      <c r="J949" s="1" t="s">
        <v>262</v>
      </c>
      <c r="K949" s="1" t="str">
        <f>_xlfn.XLOOKUP(J949,REF!$D$2:$D$12,REF!$E$2:$E$12)</f>
        <v>Comunicação</v>
      </c>
      <c r="L949" s="1" t="s">
        <v>426</v>
      </c>
      <c r="M949" s="1" t="s">
        <v>391</v>
      </c>
      <c r="N949" s="1" t="s">
        <v>266</v>
      </c>
      <c r="O949" s="1" t="s">
        <v>827</v>
      </c>
      <c r="P949" s="1" t="str">
        <f t="shared" si="51"/>
        <v>BC Turvania1.1Inverter(MBUS-13)46363,565972222246363,565972222246363,625</v>
      </c>
      <c r="Q949" s="1" t="str">
        <f t="shared" si="52"/>
        <v>LIGRFOCOM</v>
      </c>
    </row>
    <row r="950" spans="1:17">
      <c r="B950" s="1" t="s">
        <v>482</v>
      </c>
      <c r="C950" s="1" t="s">
        <v>358</v>
      </c>
      <c r="D950" s="52">
        <v>46363.565972222219</v>
      </c>
      <c r="E950" s="52">
        <v>46363.565972222219</v>
      </c>
      <c r="F950" s="52">
        <v>46363.625</v>
      </c>
      <c r="G950" s="53">
        <f t="shared" si="50"/>
        <v>5.9027777781011537E-2</v>
      </c>
      <c r="H950" s="1" t="s">
        <v>260</v>
      </c>
      <c r="I950" s="1" t="s">
        <v>261</v>
      </c>
      <c r="J950" s="1" t="s">
        <v>262</v>
      </c>
      <c r="K950" s="1" t="str">
        <f>_xlfn.XLOOKUP(J950,REF!$D$2:$D$12,REF!$E$2:$E$12)</f>
        <v>Comunicação</v>
      </c>
      <c r="L950" s="1" t="s">
        <v>426</v>
      </c>
      <c r="M950" s="1" t="s">
        <v>391</v>
      </c>
      <c r="N950" s="1" t="s">
        <v>266</v>
      </c>
      <c r="O950" s="1" t="s">
        <v>827</v>
      </c>
      <c r="P950" s="1" t="str">
        <f t="shared" si="51"/>
        <v>BC Turvania1.2Inverter(MBUS-14)46363,565972222246363,565972222246363,625</v>
      </c>
      <c r="Q950" s="1" t="str">
        <f t="shared" si="52"/>
        <v>LIGRFOCOM</v>
      </c>
    </row>
    <row r="951" spans="1:17">
      <c r="B951" s="1" t="s">
        <v>482</v>
      </c>
      <c r="C951" s="1" t="s">
        <v>357</v>
      </c>
      <c r="D951" s="52">
        <v>46363.565972222219</v>
      </c>
      <c r="E951" s="52">
        <v>46363.565972222219</v>
      </c>
      <c r="F951" s="52">
        <v>46363.625</v>
      </c>
      <c r="G951" s="53">
        <f t="shared" si="50"/>
        <v>5.9027777781011537E-2</v>
      </c>
      <c r="H951" s="1" t="s">
        <v>260</v>
      </c>
      <c r="I951" s="1" t="s">
        <v>261</v>
      </c>
      <c r="J951" s="1" t="s">
        <v>262</v>
      </c>
      <c r="K951" s="1" t="str">
        <f>_xlfn.XLOOKUP(J951,REF!$D$2:$D$12,REF!$E$2:$E$12)</f>
        <v>Comunicação</v>
      </c>
      <c r="L951" s="1" t="s">
        <v>426</v>
      </c>
      <c r="M951" s="1" t="s">
        <v>391</v>
      </c>
      <c r="N951" s="1" t="s">
        <v>266</v>
      </c>
      <c r="O951" s="1" t="s">
        <v>827</v>
      </c>
      <c r="P951" s="1" t="str">
        <f t="shared" si="51"/>
        <v>BC Turvania1.2Inverter(MBUS-13)46363,565972222246363,565972222246363,625</v>
      </c>
      <c r="Q951" s="1" t="str">
        <f t="shared" si="52"/>
        <v>LIGRFOCOM</v>
      </c>
    </row>
    <row r="952" spans="1:17">
      <c r="B952" s="1" t="s">
        <v>482</v>
      </c>
      <c r="C952" s="1" t="s">
        <v>354</v>
      </c>
      <c r="D952" s="52">
        <v>46363.565972222219</v>
      </c>
      <c r="E952" s="52">
        <v>46363.565972222219</v>
      </c>
      <c r="F952" s="52">
        <v>46363.625</v>
      </c>
      <c r="G952" s="53">
        <f t="shared" ref="G952:G995" si="53">F952-E952</f>
        <v>5.9027777781011537E-2</v>
      </c>
      <c r="H952" s="1" t="s">
        <v>260</v>
      </c>
      <c r="I952" s="1" t="s">
        <v>261</v>
      </c>
      <c r="J952" s="1" t="s">
        <v>262</v>
      </c>
      <c r="K952" s="1" t="str">
        <f>_xlfn.XLOOKUP(J952,REF!$D$2:$D$12,REF!$E$2:$E$12)</f>
        <v>Comunicação</v>
      </c>
      <c r="L952" s="1" t="s">
        <v>426</v>
      </c>
      <c r="M952" s="1" t="s">
        <v>391</v>
      </c>
      <c r="N952" s="1" t="s">
        <v>266</v>
      </c>
      <c r="O952" s="1" t="s">
        <v>827</v>
      </c>
      <c r="P952" s="1" t="str">
        <f t="shared" si="51"/>
        <v>BC Turvania1.2Inverter(MBUS-12)46363,565972222246363,565972222246363,625</v>
      </c>
      <c r="Q952" s="1" t="str">
        <f t="shared" si="52"/>
        <v>LIGRFOCOM</v>
      </c>
    </row>
    <row r="953" spans="1:17">
      <c r="B953" s="1" t="s">
        <v>482</v>
      </c>
      <c r="C953" s="1" t="s">
        <v>359</v>
      </c>
      <c r="D953" s="52">
        <v>46363.565972222219</v>
      </c>
      <c r="E953" s="52">
        <v>46363.565972222219</v>
      </c>
      <c r="F953" s="52">
        <v>46363.625</v>
      </c>
      <c r="G953" s="53">
        <f t="shared" si="53"/>
        <v>5.9027777781011537E-2</v>
      </c>
      <c r="H953" s="1" t="s">
        <v>260</v>
      </c>
      <c r="I953" s="1" t="s">
        <v>261</v>
      </c>
      <c r="J953" s="1" t="s">
        <v>262</v>
      </c>
      <c r="K953" s="1" t="str">
        <f>_xlfn.XLOOKUP(J953,REF!$D$2:$D$12,REF!$E$2:$E$12)</f>
        <v>Comunicação</v>
      </c>
      <c r="L953" s="1" t="s">
        <v>426</v>
      </c>
      <c r="M953" s="1" t="s">
        <v>391</v>
      </c>
      <c r="N953" s="1" t="s">
        <v>266</v>
      </c>
      <c r="O953" s="1" t="s">
        <v>827</v>
      </c>
      <c r="P953" s="1" t="str">
        <f t="shared" si="51"/>
        <v>BC Turvania1.2Inverter(MBUS-15)46363,565972222246363,565972222246363,625</v>
      </c>
      <c r="Q953" s="1" t="str">
        <f t="shared" si="52"/>
        <v>LIGRFOCOM</v>
      </c>
    </row>
    <row r="954" spans="1:17">
      <c r="B954" s="1" t="s">
        <v>483</v>
      </c>
      <c r="C954" s="1" t="s">
        <v>357</v>
      </c>
      <c r="D954" s="52">
        <v>46363.565972222219</v>
      </c>
      <c r="E954" s="52">
        <v>46363.565972222219</v>
      </c>
      <c r="F954" s="52">
        <v>46363.625</v>
      </c>
      <c r="G954" s="53">
        <f t="shared" si="53"/>
        <v>5.9027777781011537E-2</v>
      </c>
      <c r="H954" s="1" t="s">
        <v>260</v>
      </c>
      <c r="I954" s="1" t="s">
        <v>261</v>
      </c>
      <c r="J954" s="1" t="s">
        <v>262</v>
      </c>
      <c r="K954" s="1" t="str">
        <f>_xlfn.XLOOKUP(J954,REF!$D$2:$D$12,REF!$E$2:$E$12)</f>
        <v>Comunicação</v>
      </c>
      <c r="L954" s="1" t="s">
        <v>426</v>
      </c>
      <c r="M954" s="1" t="s">
        <v>391</v>
      </c>
      <c r="N954" s="1" t="s">
        <v>266</v>
      </c>
      <c r="O954" s="1" t="s">
        <v>827</v>
      </c>
      <c r="P954" s="1" t="str">
        <f t="shared" si="51"/>
        <v>BC Turvania1.3Inverter(MBUS-13)46363,565972222246363,565972222246363,625</v>
      </c>
      <c r="Q954" s="1" t="str">
        <f t="shared" si="52"/>
        <v>LIGRFOCOM</v>
      </c>
    </row>
    <row r="955" spans="1:17">
      <c r="B955" s="1" t="s">
        <v>483</v>
      </c>
      <c r="C955" s="1" t="s">
        <v>358</v>
      </c>
      <c r="D955" s="52">
        <v>46363.565972222219</v>
      </c>
      <c r="E955" s="52">
        <v>46363.565972222219</v>
      </c>
      <c r="F955" s="52">
        <v>46363.625</v>
      </c>
      <c r="G955" s="53">
        <f t="shared" si="53"/>
        <v>5.9027777781011537E-2</v>
      </c>
      <c r="H955" s="1" t="s">
        <v>260</v>
      </c>
      <c r="I955" s="1" t="s">
        <v>261</v>
      </c>
      <c r="J955" s="1" t="s">
        <v>262</v>
      </c>
      <c r="K955" s="1" t="str">
        <f>_xlfn.XLOOKUP(J955,REF!$D$2:$D$12,REF!$E$2:$E$12)</f>
        <v>Comunicação</v>
      </c>
      <c r="L955" s="1" t="s">
        <v>426</v>
      </c>
      <c r="M955" s="1" t="s">
        <v>391</v>
      </c>
      <c r="N955" s="1" t="s">
        <v>266</v>
      </c>
      <c r="O955" s="1" t="s">
        <v>827</v>
      </c>
      <c r="P955" s="1" t="str">
        <f t="shared" si="51"/>
        <v>BC Turvania1.3Inverter(MBUS-14)46363,565972222246363,565972222246363,625</v>
      </c>
      <c r="Q955" s="1" t="str">
        <f t="shared" si="52"/>
        <v>LIGRFOCOM</v>
      </c>
    </row>
    <row r="956" spans="1:17">
      <c r="B956" s="1" t="s">
        <v>483</v>
      </c>
      <c r="C956" s="1" t="s">
        <v>359</v>
      </c>
      <c r="D956" s="52">
        <v>46363.565972222219</v>
      </c>
      <c r="E956" s="52">
        <v>46363.565972222219</v>
      </c>
      <c r="F956" s="52">
        <v>46363.625</v>
      </c>
      <c r="G956" s="53">
        <f t="shared" si="53"/>
        <v>5.9027777781011537E-2</v>
      </c>
      <c r="H956" s="1" t="s">
        <v>260</v>
      </c>
      <c r="I956" s="1" t="s">
        <v>261</v>
      </c>
      <c r="J956" s="1" t="s">
        <v>262</v>
      </c>
      <c r="K956" s="1" t="str">
        <f>_xlfn.XLOOKUP(J956,REF!$D$2:$D$12,REF!$E$2:$E$12)</f>
        <v>Comunicação</v>
      </c>
      <c r="L956" s="1" t="s">
        <v>426</v>
      </c>
      <c r="M956" s="1" t="s">
        <v>391</v>
      </c>
      <c r="N956" s="1" t="s">
        <v>266</v>
      </c>
      <c r="O956" s="1" t="s">
        <v>827</v>
      </c>
      <c r="P956" s="1" t="str">
        <f t="shared" si="51"/>
        <v>BC Turvania1.3Inverter(MBUS-15)46363,565972222246363,565972222246363,625</v>
      </c>
      <c r="Q956" s="1" t="str">
        <f t="shared" si="52"/>
        <v>LIGRFOCOM</v>
      </c>
    </row>
    <row r="957" spans="1:17">
      <c r="B957" s="1" t="s">
        <v>483</v>
      </c>
      <c r="C957" s="1" t="s">
        <v>328</v>
      </c>
      <c r="D957" s="52">
        <v>46363.565972222219</v>
      </c>
      <c r="E957" s="52">
        <v>46363.565972222219</v>
      </c>
      <c r="F957" s="52">
        <v>46363.625</v>
      </c>
      <c r="G957" s="53">
        <f t="shared" si="53"/>
        <v>5.9027777781011537E-2</v>
      </c>
      <c r="H957" s="1" t="s">
        <v>260</v>
      </c>
      <c r="I957" s="1" t="s">
        <v>261</v>
      </c>
      <c r="J957" s="1" t="s">
        <v>262</v>
      </c>
      <c r="K957" s="1" t="str">
        <f>_xlfn.XLOOKUP(J957,REF!$D$2:$D$12,REF!$E$2:$E$12)</f>
        <v>Comunicação</v>
      </c>
      <c r="L957" s="1" t="s">
        <v>426</v>
      </c>
      <c r="M957" s="1" t="s">
        <v>391</v>
      </c>
      <c r="N957" s="1" t="s">
        <v>266</v>
      </c>
      <c r="O957" s="1" t="s">
        <v>827</v>
      </c>
      <c r="P957" s="1" t="str">
        <f t="shared" si="51"/>
        <v>BC Turvania1.3Inverter(MBUS-1)46363,565972222246363,565972222246363,625</v>
      </c>
      <c r="Q957" s="1" t="str">
        <f t="shared" si="52"/>
        <v>LIGRFOCOM</v>
      </c>
    </row>
    <row r="958" spans="1:17">
      <c r="B958" s="1" t="s">
        <v>484</v>
      </c>
      <c r="C958" s="1" t="s">
        <v>358</v>
      </c>
      <c r="D958" s="52">
        <v>46363.565972222219</v>
      </c>
      <c r="E958" s="52">
        <v>46363.565972222219</v>
      </c>
      <c r="F958" s="52">
        <v>46363.625</v>
      </c>
      <c r="G958" s="53">
        <f t="shared" si="53"/>
        <v>5.9027777781011537E-2</v>
      </c>
      <c r="H958" s="1" t="s">
        <v>260</v>
      </c>
      <c r="I958" s="1" t="s">
        <v>261</v>
      </c>
      <c r="J958" s="1" t="s">
        <v>262</v>
      </c>
      <c r="K958" s="1" t="str">
        <f>_xlfn.XLOOKUP(J958,REF!$D$2:$D$12,REF!$E$2:$E$12)</f>
        <v>Comunicação</v>
      </c>
      <c r="L958" s="1" t="s">
        <v>426</v>
      </c>
      <c r="M958" s="1" t="s">
        <v>391</v>
      </c>
      <c r="N958" s="1" t="s">
        <v>266</v>
      </c>
      <c r="O958" s="1" t="s">
        <v>827</v>
      </c>
      <c r="P958" s="1" t="str">
        <f t="shared" si="51"/>
        <v>BC Turvania1.4Inverter(MBUS-14)46363,565972222246363,565972222246363,625</v>
      </c>
      <c r="Q958" s="1" t="str">
        <f t="shared" si="52"/>
        <v>LIGRFOCOM</v>
      </c>
    </row>
    <row r="959" spans="1:17">
      <c r="B959" s="1" t="s">
        <v>484</v>
      </c>
      <c r="C959" s="1" t="s">
        <v>359</v>
      </c>
      <c r="D959" s="52">
        <v>46363.565972222219</v>
      </c>
      <c r="E959" s="52">
        <v>46363.565972222219</v>
      </c>
      <c r="F959" s="52">
        <v>46363.625</v>
      </c>
      <c r="G959" s="53">
        <f t="shared" si="53"/>
        <v>5.9027777781011537E-2</v>
      </c>
      <c r="H959" s="1" t="s">
        <v>260</v>
      </c>
      <c r="I959" s="1" t="s">
        <v>261</v>
      </c>
      <c r="J959" s="1" t="s">
        <v>262</v>
      </c>
      <c r="K959" s="1" t="str">
        <f>_xlfn.XLOOKUP(J959,REF!$D$2:$D$12,REF!$E$2:$E$12)</f>
        <v>Comunicação</v>
      </c>
      <c r="L959" s="1" t="s">
        <v>426</v>
      </c>
      <c r="M959" s="1" t="s">
        <v>391</v>
      </c>
      <c r="N959" s="1" t="s">
        <v>266</v>
      </c>
      <c r="O959" s="1" t="s">
        <v>827</v>
      </c>
      <c r="P959" s="1" t="str">
        <f t="shared" si="51"/>
        <v>BC Turvania1.4Inverter(MBUS-15)46363,565972222246363,565972222246363,625</v>
      </c>
      <c r="Q959" s="1" t="str">
        <f t="shared" si="52"/>
        <v>LIGRFOCOM</v>
      </c>
    </row>
    <row r="960" spans="1:17">
      <c r="B960" s="1" t="s">
        <v>484</v>
      </c>
      <c r="C960" s="1" t="s">
        <v>357</v>
      </c>
      <c r="D960" s="52">
        <v>46363.565972222219</v>
      </c>
      <c r="E960" s="52">
        <v>46363.565972222219</v>
      </c>
      <c r="F960" s="52">
        <v>46363.625</v>
      </c>
      <c r="G960" s="53">
        <f t="shared" si="53"/>
        <v>5.9027777781011537E-2</v>
      </c>
      <c r="H960" s="1" t="s">
        <v>260</v>
      </c>
      <c r="I960" s="1" t="s">
        <v>261</v>
      </c>
      <c r="J960" s="1" t="s">
        <v>262</v>
      </c>
      <c r="K960" s="1" t="str">
        <f>_xlfn.XLOOKUP(J960,REF!$D$2:$D$12,REF!$E$2:$E$12)</f>
        <v>Comunicação</v>
      </c>
      <c r="L960" s="1" t="s">
        <v>426</v>
      </c>
      <c r="M960" s="1" t="s">
        <v>391</v>
      </c>
      <c r="N960" s="1" t="s">
        <v>266</v>
      </c>
      <c r="O960" s="1" t="s">
        <v>827</v>
      </c>
      <c r="P960" s="1" t="str">
        <f t="shared" si="51"/>
        <v>BC Turvania1.4Inverter(MBUS-13)46363,565972222246363,565972222246363,625</v>
      </c>
      <c r="Q960" s="1" t="str">
        <f t="shared" si="52"/>
        <v>LIGRFOCOM</v>
      </c>
    </row>
    <row r="961" spans="1:17">
      <c r="B961" s="1" t="s">
        <v>484</v>
      </c>
      <c r="C961" s="1" t="s">
        <v>354</v>
      </c>
      <c r="D961" s="52">
        <v>46363.565972222219</v>
      </c>
      <c r="E961" s="52">
        <v>46363.565972222219</v>
      </c>
      <c r="F961" s="52">
        <v>46363.625</v>
      </c>
      <c r="G961" s="53">
        <f t="shared" si="53"/>
        <v>5.9027777781011537E-2</v>
      </c>
      <c r="H961" s="1" t="s">
        <v>260</v>
      </c>
      <c r="I961" s="1" t="s">
        <v>261</v>
      </c>
      <c r="J961" s="1" t="s">
        <v>262</v>
      </c>
      <c r="K961" s="1" t="str">
        <f>_xlfn.XLOOKUP(J961,REF!$D$2:$D$12,REF!$E$2:$E$12)</f>
        <v>Comunicação</v>
      </c>
      <c r="L961" s="1" t="s">
        <v>426</v>
      </c>
      <c r="M961" s="1" t="s">
        <v>391</v>
      </c>
      <c r="N961" s="1" t="s">
        <v>266</v>
      </c>
      <c r="O961" s="1" t="s">
        <v>827</v>
      </c>
      <c r="P961" s="1" t="str">
        <f t="shared" si="51"/>
        <v>BC Turvania1.4Inverter(MBUS-12)46363,565972222246363,565972222246363,625</v>
      </c>
      <c r="Q961" s="1" t="str">
        <f t="shared" si="52"/>
        <v>LIGRFOCOM</v>
      </c>
    </row>
    <row r="962" spans="1:17">
      <c r="B962" s="1" t="s">
        <v>485</v>
      </c>
      <c r="C962" s="1" t="s">
        <v>357</v>
      </c>
      <c r="D962" s="52">
        <v>46363.565972222219</v>
      </c>
      <c r="E962" s="52">
        <v>46363.565972222219</v>
      </c>
      <c r="F962" s="52">
        <v>46363.625</v>
      </c>
      <c r="G962" s="53">
        <f t="shared" si="53"/>
        <v>5.9027777781011537E-2</v>
      </c>
      <c r="H962" s="1" t="s">
        <v>260</v>
      </c>
      <c r="I962" s="1" t="s">
        <v>261</v>
      </c>
      <c r="J962" s="1" t="s">
        <v>262</v>
      </c>
      <c r="K962" s="1" t="str">
        <f>_xlfn.XLOOKUP(J962,REF!$D$2:$D$12,REF!$E$2:$E$12)</f>
        <v>Comunicação</v>
      </c>
      <c r="L962" s="1" t="s">
        <v>426</v>
      </c>
      <c r="M962" s="1" t="s">
        <v>391</v>
      </c>
      <c r="N962" s="1" t="s">
        <v>266</v>
      </c>
      <c r="O962" s="1" t="s">
        <v>827</v>
      </c>
      <c r="P962" s="1" t="str">
        <f t="shared" si="51"/>
        <v>BC Turvania1.5Inverter(MBUS-13)46363,565972222246363,565972222246363,625</v>
      </c>
      <c r="Q962" s="1" t="str">
        <f t="shared" si="52"/>
        <v>LIGRFOCOM</v>
      </c>
    </row>
    <row r="963" spans="1:17">
      <c r="B963" s="1" t="s">
        <v>485</v>
      </c>
      <c r="C963" s="1" t="s">
        <v>354</v>
      </c>
      <c r="D963" s="52">
        <v>46363.565972222219</v>
      </c>
      <c r="E963" s="52">
        <v>46363.565972222219</v>
      </c>
      <c r="F963" s="52">
        <v>46363.625</v>
      </c>
      <c r="G963" s="53">
        <f t="shared" si="53"/>
        <v>5.9027777781011537E-2</v>
      </c>
      <c r="H963" s="1" t="s">
        <v>260</v>
      </c>
      <c r="I963" s="1" t="s">
        <v>261</v>
      </c>
      <c r="J963" s="1" t="s">
        <v>262</v>
      </c>
      <c r="K963" s="1" t="str">
        <f>_xlfn.XLOOKUP(J963,REF!$D$2:$D$12,REF!$E$2:$E$12)</f>
        <v>Comunicação</v>
      </c>
      <c r="L963" s="1" t="s">
        <v>426</v>
      </c>
      <c r="M963" s="1" t="s">
        <v>391</v>
      </c>
      <c r="N963" s="1" t="s">
        <v>266</v>
      </c>
      <c r="O963" s="1" t="s">
        <v>827</v>
      </c>
      <c r="P963" s="1" t="str">
        <f t="shared" si="51"/>
        <v>BC Turvania1.5Inverter(MBUS-12)46363,565972222246363,565972222246363,625</v>
      </c>
      <c r="Q963" s="1" t="str">
        <f t="shared" si="52"/>
        <v>LIGRFOCOM</v>
      </c>
    </row>
    <row r="964" spans="1:17">
      <c r="B964" s="1" t="s">
        <v>485</v>
      </c>
      <c r="C964" s="1" t="s">
        <v>358</v>
      </c>
      <c r="D964" s="52">
        <v>46363.565972222219</v>
      </c>
      <c r="E964" s="52">
        <v>46363.565972222219</v>
      </c>
      <c r="F964" s="52">
        <v>46363.625</v>
      </c>
      <c r="G964" s="53">
        <f t="shared" si="53"/>
        <v>5.9027777781011537E-2</v>
      </c>
      <c r="H964" s="1" t="s">
        <v>260</v>
      </c>
      <c r="I964" s="1" t="s">
        <v>261</v>
      </c>
      <c r="J964" s="1" t="s">
        <v>262</v>
      </c>
      <c r="K964" s="1" t="str">
        <f>_xlfn.XLOOKUP(J964,REF!$D$2:$D$12,REF!$E$2:$E$12)</f>
        <v>Comunicação</v>
      </c>
      <c r="L964" s="1" t="s">
        <v>426</v>
      </c>
      <c r="M964" s="1" t="s">
        <v>391</v>
      </c>
      <c r="N964" s="1" t="s">
        <v>266</v>
      </c>
      <c r="O964" s="1" t="s">
        <v>827</v>
      </c>
      <c r="P964" s="1" t="str">
        <f t="shared" si="51"/>
        <v>BC Turvania1.5Inverter(MBUS-14)46363,565972222246363,565972222246363,625</v>
      </c>
      <c r="Q964" s="1" t="str">
        <f t="shared" si="52"/>
        <v>LIGRFOCOM</v>
      </c>
    </row>
    <row r="965" spans="1:17">
      <c r="B965" s="1" t="s">
        <v>485</v>
      </c>
      <c r="C965" s="1" t="s">
        <v>328</v>
      </c>
      <c r="D965" s="52">
        <v>46363.565972222219</v>
      </c>
      <c r="E965" s="52">
        <v>46363.565972222219</v>
      </c>
      <c r="F965" s="52">
        <v>46363.625</v>
      </c>
      <c r="G965" s="53">
        <f t="shared" si="53"/>
        <v>5.9027777781011537E-2</v>
      </c>
      <c r="H965" s="1" t="s">
        <v>260</v>
      </c>
      <c r="I965" s="1" t="s">
        <v>261</v>
      </c>
      <c r="J965" s="1" t="s">
        <v>262</v>
      </c>
      <c r="K965" s="1" t="str">
        <f>_xlfn.XLOOKUP(J965,REF!$D$2:$D$12,REF!$E$2:$E$12)</f>
        <v>Comunicação</v>
      </c>
      <c r="L965" s="1" t="s">
        <v>426</v>
      </c>
      <c r="M965" s="1" t="s">
        <v>391</v>
      </c>
      <c r="N965" s="1" t="s">
        <v>266</v>
      </c>
      <c r="O965" s="1" t="s">
        <v>827</v>
      </c>
      <c r="P965" s="1" t="str">
        <f t="shared" si="51"/>
        <v>BC Turvania1.5Inverter(MBUS-1)46363,565972222246363,565972222246363,625</v>
      </c>
      <c r="Q965" s="1" t="str">
        <f t="shared" si="52"/>
        <v>LIGRFOCOM</v>
      </c>
    </row>
    <row r="966" spans="1:17" hidden="1">
      <c r="B966" s="1" t="s">
        <v>782</v>
      </c>
      <c r="C966" s="1" t="s">
        <v>783</v>
      </c>
      <c r="D966" s="52">
        <v>46366.597222222219</v>
      </c>
      <c r="E966" s="52">
        <v>46366.597222222219</v>
      </c>
      <c r="F966" s="52">
        <v>46366.71875</v>
      </c>
      <c r="G966" s="53">
        <f t="shared" si="53"/>
        <v>0.12152777778101154</v>
      </c>
      <c r="H966" s="1" t="s">
        <v>343</v>
      </c>
      <c r="J966" s="1" t="s">
        <v>230</v>
      </c>
      <c r="K966" s="1" t="str">
        <f>_xlfn.XLOOKUP(J966,REF!$D$2:$D$12,REF!$E$2:$E$12)</f>
        <v>UFV</v>
      </c>
      <c r="L966" s="1" t="s">
        <v>859</v>
      </c>
      <c r="M966" s="1" t="s">
        <v>302</v>
      </c>
      <c r="N966" s="1" t="s">
        <v>345</v>
      </c>
      <c r="O966" s="1" t="s">
        <v>860</v>
      </c>
      <c r="P966" s="1" t="str">
        <f t="shared" si="51"/>
        <v>Rio Monte IIISG60KTL(COM1-008)_001_01646366,597222222246366,597222222246366,71875</v>
      </c>
      <c r="Q966" s="1" t="str">
        <f t="shared" si="52"/>
        <v>DPRUFV</v>
      </c>
    </row>
    <row r="967" spans="1:17" hidden="1">
      <c r="B967" s="1" t="s">
        <v>782</v>
      </c>
      <c r="C967" s="1" t="s">
        <v>784</v>
      </c>
      <c r="D967" s="52">
        <v>46366.597222222219</v>
      </c>
      <c r="E967" s="52">
        <v>46366.597222222219</v>
      </c>
      <c r="F967" s="52">
        <v>46366.71875</v>
      </c>
      <c r="G967" s="53">
        <f t="shared" si="53"/>
        <v>0.12152777778101154</v>
      </c>
      <c r="H967" s="1" t="s">
        <v>343</v>
      </c>
      <c r="J967" s="1" t="s">
        <v>230</v>
      </c>
      <c r="K967" s="1" t="str">
        <f>_xlfn.XLOOKUP(J967,REF!$D$2:$D$12,REF!$E$2:$E$12)</f>
        <v>UFV</v>
      </c>
      <c r="L967" s="1" t="s">
        <v>859</v>
      </c>
      <c r="M967" s="1" t="s">
        <v>302</v>
      </c>
      <c r="N967" s="1" t="s">
        <v>345</v>
      </c>
      <c r="O967" s="1" t="s">
        <v>860</v>
      </c>
      <c r="P967" s="1" t="str">
        <f t="shared" si="51"/>
        <v>Rio Monte IIISG60KTL(COM1-009)_001_01046366,597222222246366,597222222246366,71875</v>
      </c>
      <c r="Q967" s="1" t="str">
        <f t="shared" si="52"/>
        <v>DPRUFV</v>
      </c>
    </row>
    <row r="968" spans="1:17" hidden="1">
      <c r="B968" s="1" t="s">
        <v>782</v>
      </c>
      <c r="C968" s="1" t="s">
        <v>785</v>
      </c>
      <c r="D968" s="52">
        <v>46366.597222222219</v>
      </c>
      <c r="E968" s="52">
        <v>46366.597222222219</v>
      </c>
      <c r="F968" s="52">
        <v>46366.71875</v>
      </c>
      <c r="G968" s="53">
        <f t="shared" si="53"/>
        <v>0.12152777778101154</v>
      </c>
      <c r="H968" s="1" t="s">
        <v>343</v>
      </c>
      <c r="J968" s="1" t="s">
        <v>230</v>
      </c>
      <c r="K968" s="1" t="str">
        <f>_xlfn.XLOOKUP(J968,REF!$D$2:$D$12,REF!$E$2:$E$12)</f>
        <v>UFV</v>
      </c>
      <c r="L968" s="1" t="s">
        <v>859</v>
      </c>
      <c r="M968" s="1" t="s">
        <v>302</v>
      </c>
      <c r="N968" s="1" t="s">
        <v>345</v>
      </c>
      <c r="O968" s="1" t="s">
        <v>860</v>
      </c>
      <c r="P968" s="1" t="str">
        <f t="shared" si="51"/>
        <v>Rio Monte IIISG60KTL(COM1-010)_001_01246366,597222222246366,597222222246366,71875</v>
      </c>
      <c r="Q968" s="1" t="str">
        <f t="shared" si="52"/>
        <v>DPRUFV</v>
      </c>
    </row>
    <row r="969" spans="1:17" hidden="1">
      <c r="B969" s="1" t="s">
        <v>782</v>
      </c>
      <c r="C969" s="1" t="s">
        <v>786</v>
      </c>
      <c r="D969" s="52">
        <v>46366.597222222219</v>
      </c>
      <c r="E969" s="52">
        <v>46366.597222222219</v>
      </c>
      <c r="F969" s="52">
        <v>46366.71875</v>
      </c>
      <c r="G969" s="53">
        <f t="shared" si="53"/>
        <v>0.12152777778101154</v>
      </c>
      <c r="H969" s="1" t="s">
        <v>343</v>
      </c>
      <c r="J969" s="1" t="s">
        <v>230</v>
      </c>
      <c r="K969" s="1" t="str">
        <f>_xlfn.XLOOKUP(J969,REF!$D$2:$D$12,REF!$E$2:$E$12)</f>
        <v>UFV</v>
      </c>
      <c r="L969" s="1" t="s">
        <v>859</v>
      </c>
      <c r="M969" s="1" t="s">
        <v>302</v>
      </c>
      <c r="N969" s="1" t="s">
        <v>345</v>
      </c>
      <c r="O969" s="1" t="s">
        <v>860</v>
      </c>
      <c r="P969" s="1" t="str">
        <f t="shared" si="51"/>
        <v>Rio Monte IIISG60KTL(COM1-011)_001_00246366,597222222246366,597222222246366,71875</v>
      </c>
      <c r="Q969" s="1" t="str">
        <f t="shared" si="52"/>
        <v>DPRUFV</v>
      </c>
    </row>
    <row r="970" spans="1:17" hidden="1">
      <c r="B970" s="1" t="s">
        <v>782</v>
      </c>
      <c r="C970" s="1" t="s">
        <v>787</v>
      </c>
      <c r="D970" s="52">
        <v>46366.597222222219</v>
      </c>
      <c r="E970" s="52">
        <v>46366.597222222219</v>
      </c>
      <c r="F970" s="52">
        <v>46366.71875</v>
      </c>
      <c r="G970" s="53">
        <f t="shared" si="53"/>
        <v>0.12152777778101154</v>
      </c>
      <c r="H970" s="1" t="s">
        <v>343</v>
      </c>
      <c r="J970" s="1" t="s">
        <v>230</v>
      </c>
      <c r="K970" s="1" t="str">
        <f>_xlfn.XLOOKUP(J970,REF!$D$2:$D$12,REF!$E$2:$E$12)</f>
        <v>UFV</v>
      </c>
      <c r="L970" s="1" t="s">
        <v>859</v>
      </c>
      <c r="M970" s="1" t="s">
        <v>302</v>
      </c>
      <c r="N970" s="1" t="s">
        <v>345</v>
      </c>
      <c r="O970" s="1" t="s">
        <v>860</v>
      </c>
      <c r="P970" s="1" t="str">
        <f t="shared" si="51"/>
        <v>Rio Monte IIISG60KTL(COM1-012)_001_01546366,597222222246366,597222222246366,71875</v>
      </c>
      <c r="Q970" s="1" t="str">
        <f t="shared" si="52"/>
        <v>DPRUFV</v>
      </c>
    </row>
    <row r="971" spans="1:17" hidden="1">
      <c r="B971" s="1" t="s">
        <v>782</v>
      </c>
      <c r="C971" s="1" t="s">
        <v>788</v>
      </c>
      <c r="D971" s="52">
        <v>46366.597222222219</v>
      </c>
      <c r="E971" s="52">
        <v>46366.597222222219</v>
      </c>
      <c r="F971" s="52">
        <v>46366.71875</v>
      </c>
      <c r="G971" s="53">
        <f t="shared" si="53"/>
        <v>0.12152777778101154</v>
      </c>
      <c r="H971" s="1" t="s">
        <v>343</v>
      </c>
      <c r="J971" s="1" t="s">
        <v>230</v>
      </c>
      <c r="K971" s="1" t="str">
        <f>_xlfn.XLOOKUP(J971,REF!$D$2:$D$12,REF!$E$2:$E$12)</f>
        <v>UFV</v>
      </c>
      <c r="L971" s="1" t="s">
        <v>859</v>
      </c>
      <c r="M971" s="1" t="s">
        <v>302</v>
      </c>
      <c r="N971" s="1" t="s">
        <v>345</v>
      </c>
      <c r="O971" s="1" t="s">
        <v>860</v>
      </c>
      <c r="P971" s="1" t="str">
        <f t="shared" si="51"/>
        <v>Rio Monte IIISG60KTL(COM1-013)_001_00346366,597222222246366,597222222246366,71875</v>
      </c>
      <c r="Q971" s="1" t="str">
        <f t="shared" si="52"/>
        <v>DPRUFV</v>
      </c>
    </row>
    <row r="972" spans="1:17" hidden="1">
      <c r="B972" s="1" t="s">
        <v>782</v>
      </c>
      <c r="C972" s="1" t="s">
        <v>789</v>
      </c>
      <c r="D972" s="52">
        <v>46366.597222222219</v>
      </c>
      <c r="E972" s="52">
        <v>46366.597222222219</v>
      </c>
      <c r="F972" s="52">
        <v>46366.71875</v>
      </c>
      <c r="G972" s="53">
        <f t="shared" si="53"/>
        <v>0.12152777778101154</v>
      </c>
      <c r="H972" s="1" t="s">
        <v>343</v>
      </c>
      <c r="J972" s="1" t="s">
        <v>230</v>
      </c>
      <c r="K972" s="1" t="str">
        <f>_xlfn.XLOOKUP(J972,REF!$D$2:$D$12,REF!$E$2:$E$12)</f>
        <v>UFV</v>
      </c>
      <c r="L972" s="1" t="s">
        <v>859</v>
      </c>
      <c r="M972" s="1" t="s">
        <v>302</v>
      </c>
      <c r="N972" s="1" t="s">
        <v>345</v>
      </c>
      <c r="O972" s="1" t="s">
        <v>860</v>
      </c>
      <c r="P972" s="1" t="str">
        <f t="shared" si="51"/>
        <v>Rio Monte IIISG60KTL(COM1-014)_001_00446366,597222222246366,597222222246366,71875</v>
      </c>
      <c r="Q972" s="1" t="str">
        <f t="shared" si="52"/>
        <v>DPRUFV</v>
      </c>
    </row>
    <row r="973" spans="1:17" hidden="1">
      <c r="B973" s="1" t="s">
        <v>782</v>
      </c>
      <c r="C973" s="1" t="s">
        <v>790</v>
      </c>
      <c r="D973" s="52">
        <v>46366.597222222219</v>
      </c>
      <c r="E973" s="52">
        <v>46366.597222222219</v>
      </c>
      <c r="F973" s="52">
        <v>46366.71875</v>
      </c>
      <c r="G973" s="53">
        <f t="shared" si="53"/>
        <v>0.12152777778101154</v>
      </c>
      <c r="H973" s="1" t="s">
        <v>343</v>
      </c>
      <c r="J973" s="1" t="s">
        <v>230</v>
      </c>
      <c r="K973" s="1" t="str">
        <f>_xlfn.XLOOKUP(J973,REF!$D$2:$D$12,REF!$E$2:$E$12)</f>
        <v>UFV</v>
      </c>
      <c r="L973" s="1" t="s">
        <v>859</v>
      </c>
      <c r="M973" s="1" t="s">
        <v>302</v>
      </c>
      <c r="N973" s="1" t="s">
        <v>345</v>
      </c>
      <c r="O973" s="1" t="s">
        <v>860</v>
      </c>
      <c r="P973" s="1" t="str">
        <f t="shared" si="51"/>
        <v>Rio Monte IIISG60KTL(COM1-015)_001_01346366,597222222246366,597222222246366,71875</v>
      </c>
      <c r="Q973" s="1" t="str">
        <f t="shared" si="52"/>
        <v>DPRUFV</v>
      </c>
    </row>
    <row r="974" spans="1:17" hidden="1">
      <c r="B974" s="1" t="s">
        <v>782</v>
      </c>
      <c r="C974" s="1" t="s">
        <v>791</v>
      </c>
      <c r="D974" s="52">
        <v>46366.597222222219</v>
      </c>
      <c r="E974" s="52">
        <v>46366.597222222219</v>
      </c>
      <c r="F974" s="52">
        <v>46366.71875</v>
      </c>
      <c r="G974" s="53">
        <f t="shared" si="53"/>
        <v>0.12152777778101154</v>
      </c>
      <c r="H974" s="1" t="s">
        <v>343</v>
      </c>
      <c r="J974" s="1" t="s">
        <v>230</v>
      </c>
      <c r="K974" s="1" t="str">
        <f>_xlfn.XLOOKUP(J974,REF!$D$2:$D$12,REF!$E$2:$E$12)</f>
        <v>UFV</v>
      </c>
      <c r="L974" s="1" t="s">
        <v>859</v>
      </c>
      <c r="M974" s="1" t="s">
        <v>302</v>
      </c>
      <c r="N974" s="1" t="s">
        <v>345</v>
      </c>
      <c r="O974" s="1" t="s">
        <v>860</v>
      </c>
      <c r="P974" s="1" t="str">
        <f t="shared" si="51"/>
        <v>Rio Monte IIISG60KTL(COM1-016)_001_01446366,597222222246366,597222222246366,71875</v>
      </c>
      <c r="Q974" s="1" t="str">
        <f t="shared" si="52"/>
        <v>DPRUFV</v>
      </c>
    </row>
    <row r="975" spans="1:17" hidden="1">
      <c r="B975" s="1" t="s">
        <v>782</v>
      </c>
      <c r="C975" s="1" t="s">
        <v>792</v>
      </c>
      <c r="D975" s="52">
        <v>46366.597222222219</v>
      </c>
      <c r="E975" s="52">
        <v>46366.597222222219</v>
      </c>
      <c r="F975" s="52">
        <v>46366.71875</v>
      </c>
      <c r="G975" s="53">
        <f t="shared" si="53"/>
        <v>0.12152777778101154</v>
      </c>
      <c r="H975" s="1" t="s">
        <v>343</v>
      </c>
      <c r="J975" s="1" t="s">
        <v>230</v>
      </c>
      <c r="K975" s="1" t="str">
        <f>_xlfn.XLOOKUP(J975,REF!$D$2:$D$12,REF!$E$2:$E$12)</f>
        <v>UFV</v>
      </c>
      <c r="L975" s="1" t="s">
        <v>859</v>
      </c>
      <c r="M975" s="1" t="s">
        <v>302</v>
      </c>
      <c r="N975" s="1" t="s">
        <v>345</v>
      </c>
      <c r="O975" s="1" t="s">
        <v>860</v>
      </c>
      <c r="P975" s="1" t="str">
        <f t="shared" si="51"/>
        <v>Rio Monte IIISG60KTL(COM1-017)_001_00846366,597222222246366,597222222246366,71875</v>
      </c>
      <c r="Q975" s="1" t="str">
        <f t="shared" si="52"/>
        <v>DPRUFV</v>
      </c>
    </row>
    <row r="976" spans="1:17" hidden="1">
      <c r="A976" s="45"/>
      <c r="B976" s="61" t="s">
        <v>448</v>
      </c>
      <c r="C976" s="61" t="s">
        <v>449</v>
      </c>
      <c r="D976" s="62">
        <v>46014.652777777781</v>
      </c>
      <c r="E976" s="62">
        <v>46014.652777777781</v>
      </c>
      <c r="F976" s="62">
        <v>46014.694444444445</v>
      </c>
      <c r="G976" s="63">
        <f>F976-E976</f>
        <v>4.1666666664241347E-2</v>
      </c>
      <c r="H976" s="61" t="s">
        <v>248</v>
      </c>
      <c r="I976" s="61"/>
      <c r="J976" s="61" t="s">
        <v>300</v>
      </c>
      <c r="K976" s="61" t="s">
        <v>350</v>
      </c>
      <c r="L976" s="61" t="s">
        <v>861</v>
      </c>
      <c r="M976" s="61" t="s">
        <v>375</v>
      </c>
      <c r="N976" s="61" t="s">
        <v>266</v>
      </c>
      <c r="O976" s="61" t="s">
        <v>862</v>
      </c>
      <c r="P976" s="61" t="str">
        <f t="shared" si="51"/>
        <v>BC Vazante1.3Inversor 146014,652777777846014,652777777846014,6944444444</v>
      </c>
      <c r="Q976" s="61" t="str">
        <f t="shared" si="52"/>
        <v>DAUINV</v>
      </c>
    </row>
    <row r="977" spans="1:17" hidden="1">
      <c r="A977" s="45"/>
      <c r="B977" s="61" t="s">
        <v>448</v>
      </c>
      <c r="C977" s="61" t="s">
        <v>451</v>
      </c>
      <c r="D977" s="62">
        <v>46014.652777777781</v>
      </c>
      <c r="E977" s="62">
        <v>46014.652777777781</v>
      </c>
      <c r="F977" s="62">
        <v>46014.694444444445</v>
      </c>
      <c r="G977" s="63">
        <f>F977-E977</f>
        <v>4.1666666664241347E-2</v>
      </c>
      <c r="H977" s="61" t="s">
        <v>248</v>
      </c>
      <c r="I977" s="61"/>
      <c r="J977" s="61" t="s">
        <v>300</v>
      </c>
      <c r="K977" s="61" t="s">
        <v>350</v>
      </c>
      <c r="L977" s="61" t="s">
        <v>861</v>
      </c>
      <c r="M977" s="61" t="s">
        <v>375</v>
      </c>
      <c r="N977" s="61" t="s">
        <v>266</v>
      </c>
      <c r="O977" s="61" t="s">
        <v>862</v>
      </c>
      <c r="P977" s="61" t="str">
        <f t="shared" si="51"/>
        <v>BC Vazante1.3Inversor 246014,652777777846014,652777777846014,6944444444</v>
      </c>
      <c r="Q977" s="61" t="str">
        <f t="shared" si="52"/>
        <v>DAUINV</v>
      </c>
    </row>
    <row r="978" spans="1:17" hidden="1">
      <c r="A978" s="45"/>
      <c r="B978" s="61" t="s">
        <v>448</v>
      </c>
      <c r="C978" s="61" t="s">
        <v>452</v>
      </c>
      <c r="D978" s="62">
        <v>46014.652777777781</v>
      </c>
      <c r="E978" s="62">
        <v>46014.652777777781</v>
      </c>
      <c r="F978" s="62">
        <v>46014.694444444445</v>
      </c>
      <c r="G978" s="63">
        <f>F978-E978</f>
        <v>4.1666666664241347E-2</v>
      </c>
      <c r="H978" s="61" t="s">
        <v>248</v>
      </c>
      <c r="I978" s="61"/>
      <c r="J978" s="61" t="s">
        <v>300</v>
      </c>
      <c r="K978" s="61" t="s">
        <v>350</v>
      </c>
      <c r="L978" s="61" t="s">
        <v>861</v>
      </c>
      <c r="M978" s="61" t="s">
        <v>375</v>
      </c>
      <c r="N978" s="61" t="s">
        <v>266</v>
      </c>
      <c r="O978" s="61" t="s">
        <v>862</v>
      </c>
      <c r="P978" s="61" t="str">
        <f t="shared" si="51"/>
        <v>BC Vazante1.3Inversor 346014,652777777846014,652777777846014,6944444444</v>
      </c>
      <c r="Q978" s="61" t="str">
        <f t="shared" si="52"/>
        <v>DAUINV</v>
      </c>
    </row>
    <row r="979" spans="1:17" hidden="1">
      <c r="A979" s="45"/>
      <c r="B979" s="61" t="s">
        <v>448</v>
      </c>
      <c r="C979" s="61" t="s">
        <v>453</v>
      </c>
      <c r="D979" s="62">
        <v>46014.652777777781</v>
      </c>
      <c r="E979" s="62">
        <v>46014.652777777781</v>
      </c>
      <c r="F979" s="62">
        <v>46014.694444444445</v>
      </c>
      <c r="G979" s="63">
        <f>F979-E979</f>
        <v>4.1666666664241347E-2</v>
      </c>
      <c r="H979" s="61" t="s">
        <v>248</v>
      </c>
      <c r="I979" s="61"/>
      <c r="J979" s="61" t="s">
        <v>300</v>
      </c>
      <c r="K979" s="61" t="s">
        <v>350</v>
      </c>
      <c r="L979" s="61" t="s">
        <v>861</v>
      </c>
      <c r="M979" s="61" t="s">
        <v>375</v>
      </c>
      <c r="N979" s="61" t="s">
        <v>266</v>
      </c>
      <c r="O979" s="61" t="s">
        <v>862</v>
      </c>
      <c r="P979" s="61" t="str">
        <f t="shared" si="51"/>
        <v>BC Vazante1.3Inversor 446014,652777777846014,652777777846014,6944444444</v>
      </c>
      <c r="Q979" s="61" t="str">
        <f t="shared" si="52"/>
        <v>DAUINV</v>
      </c>
    </row>
    <row r="980" spans="1:17" hidden="1">
      <c r="A980" s="45"/>
      <c r="B980" s="61" t="s">
        <v>448</v>
      </c>
      <c r="C980" s="61" t="s">
        <v>454</v>
      </c>
      <c r="D980" s="62">
        <v>46014.652777777781</v>
      </c>
      <c r="E980" s="62">
        <v>46014.652777777781</v>
      </c>
      <c r="F980" s="62">
        <v>46014.694444444445</v>
      </c>
      <c r="G980" s="63">
        <f>F980-E980</f>
        <v>4.1666666664241347E-2</v>
      </c>
      <c r="H980" s="61" t="s">
        <v>248</v>
      </c>
      <c r="I980" s="61"/>
      <c r="J980" s="61" t="s">
        <v>300</v>
      </c>
      <c r="K980" s="61" t="s">
        <v>350</v>
      </c>
      <c r="L980" s="61" t="s">
        <v>861</v>
      </c>
      <c r="M980" s="61" t="s">
        <v>375</v>
      </c>
      <c r="N980" s="61" t="s">
        <v>266</v>
      </c>
      <c r="O980" s="61" t="s">
        <v>862</v>
      </c>
      <c r="P980" s="61" t="str">
        <f t="shared" si="51"/>
        <v>BC Vazante1.3Inversor 546014,652777777846014,652777777846014,6944444444</v>
      </c>
      <c r="Q980" s="61" t="str">
        <f t="shared" si="52"/>
        <v>DAUINV</v>
      </c>
    </row>
    <row r="981" spans="1:17" hidden="1">
      <c r="A981" s="45"/>
      <c r="B981" s="61" t="s">
        <v>448</v>
      </c>
      <c r="C981" s="61" t="s">
        <v>455</v>
      </c>
      <c r="D981" s="62">
        <v>46014.652777777781</v>
      </c>
      <c r="E981" s="62">
        <v>46014.652777777781</v>
      </c>
      <c r="F981" s="62">
        <v>46014.694444444445</v>
      </c>
      <c r="G981" s="63">
        <f>F981-E981</f>
        <v>4.1666666664241347E-2</v>
      </c>
      <c r="H981" s="61" t="s">
        <v>248</v>
      </c>
      <c r="I981" s="61"/>
      <c r="J981" s="61" t="s">
        <v>300</v>
      </c>
      <c r="K981" s="61" t="s">
        <v>350</v>
      </c>
      <c r="L981" s="61" t="s">
        <v>861</v>
      </c>
      <c r="M981" s="61" t="s">
        <v>375</v>
      </c>
      <c r="N981" s="61" t="s">
        <v>266</v>
      </c>
      <c r="O981" s="61" t="s">
        <v>862</v>
      </c>
      <c r="P981" s="61" t="str">
        <f t="shared" si="51"/>
        <v>BC Vazante1.3Inversor 646014,652777777846014,652777777846014,6944444444</v>
      </c>
      <c r="Q981" s="61" t="str">
        <f t="shared" si="52"/>
        <v>DAUINV</v>
      </c>
    </row>
    <row r="982" spans="1:17" hidden="1">
      <c r="A982" s="45"/>
      <c r="B982" s="61" t="s">
        <v>448</v>
      </c>
      <c r="C982" s="61" t="s">
        <v>456</v>
      </c>
      <c r="D982" s="62">
        <v>46014.652777777781</v>
      </c>
      <c r="E982" s="62">
        <v>46014.652777777781</v>
      </c>
      <c r="F982" s="62">
        <v>46014.694444444445</v>
      </c>
      <c r="G982" s="63">
        <f>F982-E982</f>
        <v>4.1666666664241347E-2</v>
      </c>
      <c r="H982" s="61" t="s">
        <v>248</v>
      </c>
      <c r="I982" s="61"/>
      <c r="J982" s="61" t="s">
        <v>300</v>
      </c>
      <c r="K982" s="61" t="s">
        <v>350</v>
      </c>
      <c r="L982" s="61" t="s">
        <v>861</v>
      </c>
      <c r="M982" s="61" t="s">
        <v>375</v>
      </c>
      <c r="N982" s="61" t="s">
        <v>266</v>
      </c>
      <c r="O982" s="61" t="s">
        <v>862</v>
      </c>
      <c r="P982" s="61" t="str">
        <f t="shared" si="51"/>
        <v>BC Vazante1.3Inversor 746014,652777777846014,652777777846014,6944444444</v>
      </c>
      <c r="Q982" s="61" t="str">
        <f t="shared" si="52"/>
        <v>DAUINV</v>
      </c>
    </row>
    <row r="983" spans="1:17" hidden="1">
      <c r="A983" s="45"/>
      <c r="B983" s="61" t="s">
        <v>448</v>
      </c>
      <c r="C983" s="61" t="s">
        <v>457</v>
      </c>
      <c r="D983" s="62">
        <v>46014.652777777781</v>
      </c>
      <c r="E983" s="62">
        <v>46014.652777777781</v>
      </c>
      <c r="F983" s="62">
        <v>46014.694444444445</v>
      </c>
      <c r="G983" s="63">
        <f>F983-E983</f>
        <v>4.1666666664241347E-2</v>
      </c>
      <c r="H983" s="61" t="s">
        <v>248</v>
      </c>
      <c r="I983" s="61"/>
      <c r="J983" s="61" t="s">
        <v>300</v>
      </c>
      <c r="K983" s="61" t="s">
        <v>350</v>
      </c>
      <c r="L983" s="61" t="s">
        <v>861</v>
      </c>
      <c r="M983" s="61" t="s">
        <v>375</v>
      </c>
      <c r="N983" s="61" t="s">
        <v>266</v>
      </c>
      <c r="O983" s="61" t="s">
        <v>862</v>
      </c>
      <c r="P983" s="61" t="str">
        <f t="shared" si="51"/>
        <v>BC Vazante1.3Inversor 846014,652777777846014,652777777846014,6944444444</v>
      </c>
      <c r="Q983" s="61" t="str">
        <f t="shared" si="52"/>
        <v>DAUINV</v>
      </c>
    </row>
    <row r="984" spans="1:17" hidden="1">
      <c r="A984" s="45"/>
      <c r="B984" s="61" t="s">
        <v>448</v>
      </c>
      <c r="C984" s="61" t="s">
        <v>458</v>
      </c>
      <c r="D984" s="62">
        <v>46014.652777777781</v>
      </c>
      <c r="E984" s="62">
        <v>46014.652777777781</v>
      </c>
      <c r="F984" s="62">
        <v>46014.694444444445</v>
      </c>
      <c r="G984" s="63">
        <f>F984-E984</f>
        <v>4.1666666664241347E-2</v>
      </c>
      <c r="H984" s="61" t="s">
        <v>248</v>
      </c>
      <c r="I984" s="61"/>
      <c r="J984" s="61" t="s">
        <v>300</v>
      </c>
      <c r="K984" s="61" t="s">
        <v>350</v>
      </c>
      <c r="L984" s="61" t="s">
        <v>861</v>
      </c>
      <c r="M984" s="61" t="s">
        <v>375</v>
      </c>
      <c r="N984" s="61" t="s">
        <v>266</v>
      </c>
      <c r="O984" s="61" t="s">
        <v>862</v>
      </c>
      <c r="P984" s="61" t="str">
        <f t="shared" si="51"/>
        <v>BC Vazante1.3Inversor 946014,652777777846014,652777777846014,6944444444</v>
      </c>
      <c r="Q984" s="61" t="str">
        <f t="shared" si="52"/>
        <v>DAUINV</v>
      </c>
    </row>
    <row r="985" spans="1:17" hidden="1">
      <c r="A985" s="45"/>
      <c r="B985" s="61" t="s">
        <v>437</v>
      </c>
      <c r="C985" s="61" t="s">
        <v>354</v>
      </c>
      <c r="D985" s="62">
        <v>46015.542361111111</v>
      </c>
      <c r="E985" s="62">
        <v>46015.542361111111</v>
      </c>
      <c r="F985" s="62">
        <v>46015.680555555555</v>
      </c>
      <c r="G985" s="63">
        <f>F985-E985</f>
        <v>0.13819444444379769</v>
      </c>
      <c r="H985" s="61" t="s">
        <v>248</v>
      </c>
      <c r="I985" s="61"/>
      <c r="J985" s="61" t="s">
        <v>249</v>
      </c>
      <c r="K985" s="61" t="s">
        <v>349</v>
      </c>
      <c r="L985" s="61" t="s">
        <v>863</v>
      </c>
      <c r="M985" s="61" t="s">
        <v>251</v>
      </c>
      <c r="N985" s="61" t="s">
        <v>330</v>
      </c>
      <c r="O985" s="61" t="s">
        <v>356</v>
      </c>
      <c r="P985" s="61" t="str">
        <f t="shared" si="51"/>
        <v>BC Ibiuna 1.1Inverter(MBUS-12)46015,542361111146015,542361111146015,6805555556</v>
      </c>
      <c r="Q985" s="61" t="str">
        <f t="shared" si="52"/>
        <v>DAURDE</v>
      </c>
    </row>
    <row r="986" spans="1:17" hidden="1">
      <c r="A986" s="45"/>
      <c r="B986" s="61" t="s">
        <v>437</v>
      </c>
      <c r="C986" s="61" t="s">
        <v>357</v>
      </c>
      <c r="D986" s="62">
        <v>46015.542361111111</v>
      </c>
      <c r="E986" s="62">
        <v>46015.542361111111</v>
      </c>
      <c r="F986" s="62">
        <v>46015.680555555555</v>
      </c>
      <c r="G986" s="63">
        <f>F986-E986</f>
        <v>0.13819444444379769</v>
      </c>
      <c r="H986" s="61" t="s">
        <v>248</v>
      </c>
      <c r="I986" s="61"/>
      <c r="J986" s="61" t="s">
        <v>249</v>
      </c>
      <c r="K986" s="61" t="s">
        <v>349</v>
      </c>
      <c r="L986" s="61" t="s">
        <v>863</v>
      </c>
      <c r="M986" s="61" t="s">
        <v>251</v>
      </c>
      <c r="N986" s="61" t="s">
        <v>330</v>
      </c>
      <c r="O986" s="61" t="s">
        <v>356</v>
      </c>
      <c r="P986" s="61" t="str">
        <f t="shared" ref="P986:P1049" si="54">_xlfn.CONCAT(B986,C986,D986,E986,F986)</f>
        <v>BC Ibiuna 1.1Inverter(MBUS-13)46015,542361111146015,542361111146015,6805555556</v>
      </c>
      <c r="Q986" s="61" t="str">
        <f t="shared" ref="Q986:Q1049" si="55">_xlfn.CONCAT(H986,I986,J986)</f>
        <v>DAURDE</v>
      </c>
    </row>
    <row r="987" spans="1:17" hidden="1">
      <c r="A987" s="45"/>
      <c r="B987" s="61" t="s">
        <v>437</v>
      </c>
      <c r="C987" s="61" t="s">
        <v>358</v>
      </c>
      <c r="D987" s="62">
        <v>46015.542361111111</v>
      </c>
      <c r="E987" s="62">
        <v>46015.542361111111</v>
      </c>
      <c r="F987" s="62">
        <v>46015.680555555555</v>
      </c>
      <c r="G987" s="63">
        <f>F987-E987</f>
        <v>0.13819444444379769</v>
      </c>
      <c r="H987" s="61" t="s">
        <v>248</v>
      </c>
      <c r="I987" s="61"/>
      <c r="J987" s="61" t="s">
        <v>249</v>
      </c>
      <c r="K987" s="61" t="s">
        <v>349</v>
      </c>
      <c r="L987" s="61" t="s">
        <v>863</v>
      </c>
      <c r="M987" s="61" t="s">
        <v>251</v>
      </c>
      <c r="N987" s="61" t="s">
        <v>330</v>
      </c>
      <c r="O987" s="61" t="s">
        <v>356</v>
      </c>
      <c r="P987" s="61" t="str">
        <f t="shared" si="54"/>
        <v>BC Ibiuna 1.1Inverter(MBUS-14)46015,542361111146015,542361111146015,6805555556</v>
      </c>
      <c r="Q987" s="61" t="str">
        <f t="shared" si="55"/>
        <v>DAURDE</v>
      </c>
    </row>
    <row r="988" spans="1:17" hidden="1">
      <c r="A988" s="45"/>
      <c r="B988" s="61" t="s">
        <v>437</v>
      </c>
      <c r="C988" s="61" t="s">
        <v>359</v>
      </c>
      <c r="D988" s="62">
        <v>46015.542361111111</v>
      </c>
      <c r="E988" s="62">
        <v>46015.542361111111</v>
      </c>
      <c r="F988" s="62">
        <v>46015.680555555555</v>
      </c>
      <c r="G988" s="63">
        <f>F988-E988</f>
        <v>0.13819444444379769</v>
      </c>
      <c r="H988" s="61" t="s">
        <v>248</v>
      </c>
      <c r="I988" s="61"/>
      <c r="J988" s="61" t="s">
        <v>249</v>
      </c>
      <c r="K988" s="61" t="s">
        <v>349</v>
      </c>
      <c r="L988" s="61" t="s">
        <v>863</v>
      </c>
      <c r="M988" s="61" t="s">
        <v>251</v>
      </c>
      <c r="N988" s="61" t="s">
        <v>330</v>
      </c>
      <c r="O988" s="61" t="s">
        <v>356</v>
      </c>
      <c r="P988" s="61" t="str">
        <f t="shared" si="54"/>
        <v>BC Ibiuna 1.1Inverter(MBUS-15)46015,542361111146015,542361111146015,6805555556</v>
      </c>
      <c r="Q988" s="61" t="str">
        <f t="shared" si="55"/>
        <v>DAURDE</v>
      </c>
    </row>
    <row r="989" spans="1:17" hidden="1">
      <c r="A989" s="45"/>
      <c r="B989" s="61" t="s">
        <v>439</v>
      </c>
      <c r="C989" s="61" t="s">
        <v>354</v>
      </c>
      <c r="D989" s="62">
        <v>46015.542361111111</v>
      </c>
      <c r="E989" s="62">
        <v>46015.542361111111</v>
      </c>
      <c r="F989" s="62">
        <v>46015.680555555555</v>
      </c>
      <c r="G989" s="63">
        <f>F989-E989</f>
        <v>0.13819444444379769</v>
      </c>
      <c r="H989" s="61" t="s">
        <v>248</v>
      </c>
      <c r="I989" s="61"/>
      <c r="J989" s="61" t="s">
        <v>249</v>
      </c>
      <c r="K989" s="61" t="s">
        <v>349</v>
      </c>
      <c r="L989" s="61" t="s">
        <v>863</v>
      </c>
      <c r="M989" s="61" t="s">
        <v>251</v>
      </c>
      <c r="N989" s="61" t="s">
        <v>330</v>
      </c>
      <c r="O989" s="61" t="s">
        <v>356</v>
      </c>
      <c r="P989" s="61" t="str">
        <f t="shared" si="54"/>
        <v>BC Ibiuna 1.2Inverter(MBUS-12)46015,542361111146015,542361111146015,6805555556</v>
      </c>
      <c r="Q989" s="61" t="str">
        <f t="shared" si="55"/>
        <v>DAURDE</v>
      </c>
    </row>
    <row r="990" spans="1:17" hidden="1">
      <c r="A990" s="45"/>
      <c r="B990" s="61" t="s">
        <v>439</v>
      </c>
      <c r="C990" s="61" t="s">
        <v>357</v>
      </c>
      <c r="D990" s="62">
        <v>46015.542361111111</v>
      </c>
      <c r="E990" s="62">
        <v>46015.542361111111</v>
      </c>
      <c r="F990" s="62">
        <v>46015.680555555555</v>
      </c>
      <c r="G990" s="63">
        <f>F990-E990</f>
        <v>0.13819444444379769</v>
      </c>
      <c r="H990" s="61" t="s">
        <v>248</v>
      </c>
      <c r="I990" s="61"/>
      <c r="J990" s="61" t="s">
        <v>249</v>
      </c>
      <c r="K990" s="61" t="s">
        <v>349</v>
      </c>
      <c r="L990" s="61" t="s">
        <v>863</v>
      </c>
      <c r="M990" s="61" t="s">
        <v>251</v>
      </c>
      <c r="N990" s="61" t="s">
        <v>330</v>
      </c>
      <c r="O990" s="61" t="s">
        <v>356</v>
      </c>
      <c r="P990" s="61" t="str">
        <f t="shared" si="54"/>
        <v>BC Ibiuna 1.2Inverter(MBUS-13)46015,542361111146015,542361111146015,6805555556</v>
      </c>
      <c r="Q990" s="61" t="str">
        <f t="shared" si="55"/>
        <v>DAURDE</v>
      </c>
    </row>
    <row r="991" spans="1:17" hidden="1">
      <c r="A991" s="45"/>
      <c r="B991" s="61" t="s">
        <v>439</v>
      </c>
      <c r="C991" s="61" t="s">
        <v>358</v>
      </c>
      <c r="D991" s="62">
        <v>46015.542361111111</v>
      </c>
      <c r="E991" s="62">
        <v>46015.542361111111</v>
      </c>
      <c r="F991" s="62">
        <v>46015.680555555555</v>
      </c>
      <c r="G991" s="63">
        <f>F991-E991</f>
        <v>0.13819444444379769</v>
      </c>
      <c r="H991" s="61" t="s">
        <v>248</v>
      </c>
      <c r="I991" s="61"/>
      <c r="J991" s="61" t="s">
        <v>249</v>
      </c>
      <c r="K991" s="61" t="s">
        <v>349</v>
      </c>
      <c r="L991" s="61" t="s">
        <v>863</v>
      </c>
      <c r="M991" s="61" t="s">
        <v>251</v>
      </c>
      <c r="N991" s="61" t="s">
        <v>330</v>
      </c>
      <c r="O991" s="61" t="s">
        <v>356</v>
      </c>
      <c r="P991" s="61" t="str">
        <f t="shared" si="54"/>
        <v>BC Ibiuna 1.2Inverter(MBUS-14)46015,542361111146015,542361111146015,6805555556</v>
      </c>
      <c r="Q991" s="61" t="str">
        <f t="shared" si="55"/>
        <v>DAURDE</v>
      </c>
    </row>
    <row r="992" spans="1:17" ht="15" hidden="1" customHeight="1">
      <c r="A992" s="45"/>
      <c r="B992" s="61" t="s">
        <v>439</v>
      </c>
      <c r="C992" s="61" t="s">
        <v>359</v>
      </c>
      <c r="D992" s="62">
        <v>46015.542361111111</v>
      </c>
      <c r="E992" s="62">
        <v>46015.542361111111</v>
      </c>
      <c r="F992" s="62">
        <v>46015.680555555555</v>
      </c>
      <c r="G992" s="63">
        <f>F992-E992</f>
        <v>0.13819444444379769</v>
      </c>
      <c r="H992" s="61" t="s">
        <v>248</v>
      </c>
      <c r="I992" s="61"/>
      <c r="J992" s="61" t="s">
        <v>249</v>
      </c>
      <c r="K992" s="61" t="s">
        <v>349</v>
      </c>
      <c r="L992" s="61" t="s">
        <v>863</v>
      </c>
      <c r="M992" s="61" t="s">
        <v>251</v>
      </c>
      <c r="N992" s="61" t="s">
        <v>330</v>
      </c>
      <c r="O992" s="61" t="s">
        <v>356</v>
      </c>
      <c r="P992" s="61" t="str">
        <f t="shared" si="54"/>
        <v>BC Ibiuna 1.2Inverter(MBUS-15)46015,542361111146015,542361111146015,6805555556</v>
      </c>
      <c r="Q992" s="61" t="str">
        <f t="shared" si="55"/>
        <v>DAURDE</v>
      </c>
    </row>
    <row r="993" spans="1:17" hidden="1">
      <c r="A993" s="45"/>
      <c r="B993" s="61" t="s">
        <v>327</v>
      </c>
      <c r="C993" s="61" t="s">
        <v>328</v>
      </c>
      <c r="D993" s="62">
        <v>46015.572916666664</v>
      </c>
      <c r="E993" s="62">
        <v>46015.572916666664</v>
      </c>
      <c r="F993" s="62">
        <v>46015.582638888889</v>
      </c>
      <c r="G993" s="63">
        <f>F993-E993</f>
        <v>9.7222222248092294E-3</v>
      </c>
      <c r="H993" s="61" t="s">
        <v>248</v>
      </c>
      <c r="I993" s="61"/>
      <c r="J993" s="61" t="s">
        <v>249</v>
      </c>
      <c r="K993" s="61" t="s">
        <v>349</v>
      </c>
      <c r="L993" s="61" t="s">
        <v>849</v>
      </c>
      <c r="M993" s="61" t="s">
        <v>251</v>
      </c>
      <c r="N993" s="61" t="s">
        <v>330</v>
      </c>
      <c r="O993" s="61" t="s">
        <v>331</v>
      </c>
      <c r="P993" s="61" t="str">
        <f t="shared" si="54"/>
        <v>BC Aracu5.1Inverter(MBUS-1)46015,572916666746015,572916666746015,5826388889</v>
      </c>
      <c r="Q993" s="61" t="str">
        <f t="shared" si="55"/>
        <v>DAURDE</v>
      </c>
    </row>
    <row r="994" spans="1:17" hidden="1">
      <c r="A994" s="45"/>
      <c r="B994" s="61" t="s">
        <v>332</v>
      </c>
      <c r="C994" s="61" t="s">
        <v>328</v>
      </c>
      <c r="D994" s="62">
        <v>46015.572916666664</v>
      </c>
      <c r="E994" s="62">
        <v>46015.572916666664</v>
      </c>
      <c r="F994" s="62">
        <v>46015.582638888889</v>
      </c>
      <c r="G994" s="63">
        <f>F994-E994</f>
        <v>9.7222222248092294E-3</v>
      </c>
      <c r="H994" s="61" t="s">
        <v>248</v>
      </c>
      <c r="I994" s="61"/>
      <c r="J994" s="61" t="s">
        <v>249</v>
      </c>
      <c r="K994" s="61" t="s">
        <v>349</v>
      </c>
      <c r="L994" s="61" t="s">
        <v>849</v>
      </c>
      <c r="M994" s="61" t="s">
        <v>251</v>
      </c>
      <c r="N994" s="61" t="s">
        <v>330</v>
      </c>
      <c r="O994" s="61" t="s">
        <v>331</v>
      </c>
      <c r="P994" s="61" t="str">
        <f t="shared" si="54"/>
        <v>BC Aracu5.2Inverter(MBUS-1)46015,572916666746015,572916666746015,5826388889</v>
      </c>
      <c r="Q994" s="61" t="str">
        <f t="shared" si="55"/>
        <v>DAURDE</v>
      </c>
    </row>
    <row r="995" spans="1:17" hidden="1">
      <c r="A995" s="45"/>
      <c r="B995" s="61" t="s">
        <v>333</v>
      </c>
      <c r="C995" s="61" t="s">
        <v>328</v>
      </c>
      <c r="D995" s="62">
        <v>46015.572916666664</v>
      </c>
      <c r="E995" s="62">
        <v>46015.572916666664</v>
      </c>
      <c r="F995" s="62">
        <v>46015.582638888889</v>
      </c>
      <c r="G995" s="63">
        <f>F995-E995</f>
        <v>9.7222222248092294E-3</v>
      </c>
      <c r="H995" s="61" t="s">
        <v>248</v>
      </c>
      <c r="I995" s="61"/>
      <c r="J995" s="61" t="s">
        <v>249</v>
      </c>
      <c r="K995" s="61" t="s">
        <v>349</v>
      </c>
      <c r="L995" s="61" t="s">
        <v>849</v>
      </c>
      <c r="M995" s="61" t="s">
        <v>251</v>
      </c>
      <c r="N995" s="61" t="s">
        <v>330</v>
      </c>
      <c r="O995" s="61" t="s">
        <v>331</v>
      </c>
      <c r="P995" s="61" t="str">
        <f t="shared" si="54"/>
        <v>BC Aracu5.3Inverter(MBUS-1)46015,572916666746015,572916666746015,5826388889</v>
      </c>
      <c r="Q995" s="61" t="str">
        <f t="shared" si="55"/>
        <v>DAURDE</v>
      </c>
    </row>
    <row r="996" spans="1:17" hidden="1">
      <c r="A996" s="45"/>
      <c r="B996" s="61" t="s">
        <v>334</v>
      </c>
      <c r="C996" s="61" t="s">
        <v>328</v>
      </c>
      <c r="D996" s="62">
        <v>46015.572916666664</v>
      </c>
      <c r="E996" s="62">
        <v>46015.572916666664</v>
      </c>
      <c r="F996" s="62">
        <v>46015.582638888889</v>
      </c>
      <c r="G996" s="63">
        <f>F996-E996</f>
        <v>9.7222222248092294E-3</v>
      </c>
      <c r="H996" s="61" t="s">
        <v>248</v>
      </c>
      <c r="I996" s="61"/>
      <c r="J996" s="61" t="s">
        <v>249</v>
      </c>
      <c r="K996" s="61" t="s">
        <v>349</v>
      </c>
      <c r="L996" s="61" t="s">
        <v>849</v>
      </c>
      <c r="M996" s="61" t="s">
        <v>251</v>
      </c>
      <c r="N996" s="61" t="s">
        <v>330</v>
      </c>
      <c r="O996" s="61" t="s">
        <v>331</v>
      </c>
      <c r="P996" s="61" t="str">
        <f t="shared" si="54"/>
        <v>BC Aracu5.4Inverter(MBUS-1)46015,572916666746015,572916666746015,5826388889</v>
      </c>
      <c r="Q996" s="61" t="str">
        <f t="shared" si="55"/>
        <v>DAURDE</v>
      </c>
    </row>
    <row r="997" spans="1:17" hidden="1">
      <c r="A997" s="45"/>
      <c r="B997" s="61" t="s">
        <v>335</v>
      </c>
      <c r="C997" s="61" t="s">
        <v>328</v>
      </c>
      <c r="D997" s="62">
        <v>46015.572916666664</v>
      </c>
      <c r="E997" s="62">
        <v>46015.572916666664</v>
      </c>
      <c r="F997" s="62">
        <v>46015.582638888889</v>
      </c>
      <c r="G997" s="63">
        <f>F997-E997</f>
        <v>9.7222222248092294E-3</v>
      </c>
      <c r="H997" s="61" t="s">
        <v>248</v>
      </c>
      <c r="I997" s="61"/>
      <c r="J997" s="61" t="s">
        <v>249</v>
      </c>
      <c r="K997" s="61" t="s">
        <v>349</v>
      </c>
      <c r="L997" s="61" t="s">
        <v>849</v>
      </c>
      <c r="M997" s="61" t="s">
        <v>251</v>
      </c>
      <c r="N997" s="61" t="s">
        <v>330</v>
      </c>
      <c r="O997" s="61" t="s">
        <v>331</v>
      </c>
      <c r="P997" s="61" t="str">
        <f t="shared" si="54"/>
        <v>BC Aracu5.5Inverter(MBUS-1)46015,572916666746015,572916666746015,5826388889</v>
      </c>
      <c r="Q997" s="61" t="str">
        <f t="shared" si="55"/>
        <v>DAURDE</v>
      </c>
    </row>
    <row r="998" spans="1:17">
      <c r="B998" s="1" t="s">
        <v>834</v>
      </c>
      <c r="C998" s="1" t="s">
        <v>460</v>
      </c>
      <c r="D998" s="52">
        <v>46001.750694444447</v>
      </c>
      <c r="E998" s="52">
        <v>46001.750694444447</v>
      </c>
      <c r="F998" s="52">
        <v>46002.5</v>
      </c>
      <c r="G998" s="53">
        <f>+F998-E998</f>
        <v>0.74930555555329192</v>
      </c>
      <c r="H998" s="1" t="s">
        <v>260</v>
      </c>
      <c r="I998" s="1" t="s">
        <v>261</v>
      </c>
      <c r="J998" s="1" t="s">
        <v>262</v>
      </c>
      <c r="K998" s="1" t="str">
        <f>_xlfn.XLOOKUP(J998,REF!$D$2:$D$12,REF!$E$2:$E$12)</f>
        <v>Comunicação</v>
      </c>
      <c r="L998" s="1" t="s">
        <v>426</v>
      </c>
      <c r="M998" s="1" t="s">
        <v>391</v>
      </c>
      <c r="N998" s="1" t="s">
        <v>433</v>
      </c>
      <c r="O998" s="1" t="s">
        <v>864</v>
      </c>
      <c r="P998" s="1" t="str">
        <f t="shared" si="54"/>
        <v>VARJÃO 2 - UFV 2.1215KTL-H0(MBUS-12)46001,750694444446001,750694444446002,5</v>
      </c>
      <c r="Q998" s="1" t="str">
        <f t="shared" si="55"/>
        <v>LIGRFOCOM</v>
      </c>
    </row>
    <row r="999" spans="1:17">
      <c r="B999" s="1" t="s">
        <v>834</v>
      </c>
      <c r="C999" s="1" t="s">
        <v>463</v>
      </c>
      <c r="D999" s="52">
        <v>46001.750694444447</v>
      </c>
      <c r="E999" s="52">
        <v>46001.750694444447</v>
      </c>
      <c r="F999" s="52">
        <v>46002.5</v>
      </c>
      <c r="G999" s="53">
        <f t="shared" ref="G998:G1061" si="56">F999-E999</f>
        <v>0.74930555555329192</v>
      </c>
      <c r="H999" s="1" t="s">
        <v>260</v>
      </c>
      <c r="I999" s="1" t="s">
        <v>261</v>
      </c>
      <c r="J999" s="1" t="s">
        <v>262</v>
      </c>
      <c r="K999" s="1" t="str">
        <f>_xlfn.XLOOKUP(J999,REF!$D$2:$D$12,REF!$E$2:$E$12)</f>
        <v>Comunicação</v>
      </c>
      <c r="L999" s="1" t="s">
        <v>426</v>
      </c>
      <c r="M999" s="1" t="s">
        <v>391</v>
      </c>
      <c r="N999" s="1" t="s">
        <v>433</v>
      </c>
      <c r="O999" s="1" t="s">
        <v>864</v>
      </c>
      <c r="P999" s="1" t="str">
        <f t="shared" si="54"/>
        <v>VARJÃO 2 - UFV 2.1215KTL-H0(MBUS-13)46001,750694444446001,750694444446002,5</v>
      </c>
      <c r="Q999" s="1" t="str">
        <f t="shared" si="55"/>
        <v>LIGRFOCOM</v>
      </c>
    </row>
    <row r="1000" spans="1:17">
      <c r="B1000" s="1" t="s">
        <v>834</v>
      </c>
      <c r="C1000" s="1" t="s">
        <v>464</v>
      </c>
      <c r="D1000" s="52">
        <v>46001.750694444447</v>
      </c>
      <c r="E1000" s="52">
        <v>46001.750694444447</v>
      </c>
      <c r="F1000" s="52">
        <v>46002.5</v>
      </c>
      <c r="G1000" s="53">
        <f t="shared" si="56"/>
        <v>0.74930555555329192</v>
      </c>
      <c r="H1000" s="1" t="s">
        <v>260</v>
      </c>
      <c r="I1000" s="1" t="s">
        <v>261</v>
      </c>
      <c r="J1000" s="1" t="s">
        <v>262</v>
      </c>
      <c r="K1000" s="1" t="str">
        <f>_xlfn.XLOOKUP(J1000,REF!$D$2:$D$12,REF!$E$2:$E$12)</f>
        <v>Comunicação</v>
      </c>
      <c r="L1000" s="1" t="s">
        <v>426</v>
      </c>
      <c r="M1000" s="1" t="s">
        <v>391</v>
      </c>
      <c r="N1000" s="1" t="s">
        <v>433</v>
      </c>
      <c r="O1000" s="1" t="s">
        <v>864</v>
      </c>
      <c r="P1000" s="1" t="str">
        <f t="shared" si="54"/>
        <v>VARJÃO 2 - UFV 2.1215KTL-H0(MBUS-14)46001,750694444446001,750694444446002,5</v>
      </c>
      <c r="Q1000" s="1" t="str">
        <f t="shared" si="55"/>
        <v>LIGRFOCOM</v>
      </c>
    </row>
    <row r="1001" spans="1:17">
      <c r="B1001" s="1" t="s">
        <v>834</v>
      </c>
      <c r="C1001" s="1" t="s">
        <v>465</v>
      </c>
      <c r="D1001" s="52">
        <v>46001.750694444447</v>
      </c>
      <c r="E1001" s="52">
        <v>46001.750694444447</v>
      </c>
      <c r="F1001" s="52">
        <v>46002.5</v>
      </c>
      <c r="G1001" s="53">
        <f t="shared" si="56"/>
        <v>0.74930555555329192</v>
      </c>
      <c r="H1001" s="1" t="s">
        <v>260</v>
      </c>
      <c r="I1001" s="1" t="s">
        <v>261</v>
      </c>
      <c r="J1001" s="1" t="s">
        <v>262</v>
      </c>
      <c r="K1001" s="1" t="str">
        <f>_xlfn.XLOOKUP(J1001,REF!$D$2:$D$12,REF!$E$2:$E$12)</f>
        <v>Comunicação</v>
      </c>
      <c r="L1001" s="1" t="s">
        <v>426</v>
      </c>
      <c r="M1001" s="1" t="s">
        <v>391</v>
      </c>
      <c r="N1001" s="1" t="s">
        <v>433</v>
      </c>
      <c r="O1001" s="1" t="s">
        <v>864</v>
      </c>
      <c r="P1001" s="1" t="str">
        <f t="shared" si="54"/>
        <v>VARJÃO 2 - UFV 2.1215KTL-H0(MBUS-15)46001,750694444446001,750694444446002,5</v>
      </c>
      <c r="Q1001" s="1" t="str">
        <f t="shared" si="55"/>
        <v>LIGRFOCOM</v>
      </c>
    </row>
    <row r="1002" spans="1:17">
      <c r="B1002" s="1" t="s">
        <v>834</v>
      </c>
      <c r="C1002" s="1" t="s">
        <v>466</v>
      </c>
      <c r="D1002" s="52">
        <v>46001.750694444447</v>
      </c>
      <c r="E1002" s="52">
        <v>46001.750694444447</v>
      </c>
      <c r="F1002" s="52">
        <v>46002.5</v>
      </c>
      <c r="G1002" s="53">
        <f t="shared" si="56"/>
        <v>0.74930555555329192</v>
      </c>
      <c r="H1002" s="1" t="s">
        <v>260</v>
      </c>
      <c r="I1002" s="1" t="s">
        <v>261</v>
      </c>
      <c r="J1002" s="1" t="s">
        <v>262</v>
      </c>
      <c r="K1002" s="1" t="str">
        <f>_xlfn.XLOOKUP(J1002,REF!$D$2:$D$12,REF!$E$2:$E$12)</f>
        <v>Comunicação</v>
      </c>
      <c r="L1002" s="1" t="s">
        <v>426</v>
      </c>
      <c r="M1002" s="1" t="s">
        <v>391</v>
      </c>
      <c r="N1002" s="1" t="s">
        <v>433</v>
      </c>
      <c r="O1002" s="1" t="s">
        <v>864</v>
      </c>
      <c r="P1002" s="1" t="str">
        <f t="shared" si="54"/>
        <v>VARJÃO 2 - UFV 2.1215KTL-H0(MBUS-16)46001,750694444446001,750694444446002,5</v>
      </c>
      <c r="Q1002" s="1" t="str">
        <f t="shared" si="55"/>
        <v>LIGRFOCOM</v>
      </c>
    </row>
    <row r="1003" spans="1:17">
      <c r="B1003" s="1" t="s">
        <v>835</v>
      </c>
      <c r="C1003" s="1" t="s">
        <v>463</v>
      </c>
      <c r="D1003" s="52">
        <v>46001.750694444447</v>
      </c>
      <c r="E1003" s="52">
        <v>46001.750694444447</v>
      </c>
      <c r="F1003" s="52">
        <v>46002.5</v>
      </c>
      <c r="G1003" s="53">
        <f t="shared" si="56"/>
        <v>0.74930555555329192</v>
      </c>
      <c r="H1003" s="1" t="s">
        <v>260</v>
      </c>
      <c r="I1003" s="1" t="s">
        <v>261</v>
      </c>
      <c r="J1003" s="1" t="s">
        <v>262</v>
      </c>
      <c r="K1003" s="1" t="str">
        <f>_xlfn.XLOOKUP(J1003,REF!$D$2:$D$12,REF!$E$2:$E$12)</f>
        <v>Comunicação</v>
      </c>
      <c r="L1003" s="1" t="s">
        <v>426</v>
      </c>
      <c r="M1003" s="1" t="s">
        <v>391</v>
      </c>
      <c r="N1003" s="1" t="s">
        <v>433</v>
      </c>
      <c r="O1003" s="1" t="s">
        <v>864</v>
      </c>
      <c r="P1003" s="1" t="str">
        <f t="shared" si="54"/>
        <v>VARJÃO 2 - UFV 2.2215KTL-H0(MBUS-13)46001,750694444446001,750694444446002,5</v>
      </c>
      <c r="Q1003" s="1" t="str">
        <f t="shared" si="55"/>
        <v>LIGRFOCOM</v>
      </c>
    </row>
    <row r="1004" spans="1:17">
      <c r="B1004" s="1" t="s">
        <v>835</v>
      </c>
      <c r="C1004" s="1" t="s">
        <v>464</v>
      </c>
      <c r="D1004" s="52">
        <v>46001.750694444447</v>
      </c>
      <c r="E1004" s="52">
        <v>46001.750694444447</v>
      </c>
      <c r="F1004" s="52">
        <v>46002.5</v>
      </c>
      <c r="G1004" s="53">
        <f t="shared" si="56"/>
        <v>0.74930555555329192</v>
      </c>
      <c r="H1004" s="1" t="s">
        <v>260</v>
      </c>
      <c r="I1004" s="1" t="s">
        <v>261</v>
      </c>
      <c r="J1004" s="1" t="s">
        <v>262</v>
      </c>
      <c r="K1004" s="1" t="str">
        <f>_xlfn.XLOOKUP(J1004,REF!$D$2:$D$12,REF!$E$2:$E$12)</f>
        <v>Comunicação</v>
      </c>
      <c r="L1004" s="1" t="s">
        <v>426</v>
      </c>
      <c r="M1004" s="1" t="s">
        <v>391</v>
      </c>
      <c r="N1004" s="1" t="s">
        <v>433</v>
      </c>
      <c r="O1004" s="1" t="s">
        <v>864</v>
      </c>
      <c r="P1004" s="1" t="str">
        <f t="shared" si="54"/>
        <v>VARJÃO 2 - UFV 2.2215KTL-H0(MBUS-14)46001,750694444446001,750694444446002,5</v>
      </c>
      <c r="Q1004" s="1" t="str">
        <f t="shared" si="55"/>
        <v>LIGRFOCOM</v>
      </c>
    </row>
    <row r="1005" spans="1:17">
      <c r="B1005" s="1" t="s">
        <v>835</v>
      </c>
      <c r="C1005" s="1" t="s">
        <v>465</v>
      </c>
      <c r="D1005" s="52">
        <v>46001.750694444447</v>
      </c>
      <c r="E1005" s="52">
        <v>46001.750694444447</v>
      </c>
      <c r="F1005" s="52">
        <v>46002.5</v>
      </c>
      <c r="G1005" s="53">
        <f t="shared" si="56"/>
        <v>0.74930555555329192</v>
      </c>
      <c r="H1005" s="1" t="s">
        <v>260</v>
      </c>
      <c r="I1005" s="1" t="s">
        <v>261</v>
      </c>
      <c r="J1005" s="1" t="s">
        <v>262</v>
      </c>
      <c r="K1005" s="1" t="str">
        <f>_xlfn.XLOOKUP(J1005,REF!$D$2:$D$12,REF!$E$2:$E$12)</f>
        <v>Comunicação</v>
      </c>
      <c r="L1005" s="1" t="s">
        <v>426</v>
      </c>
      <c r="M1005" s="1" t="s">
        <v>391</v>
      </c>
      <c r="N1005" s="1" t="s">
        <v>433</v>
      </c>
      <c r="O1005" s="1" t="s">
        <v>864</v>
      </c>
      <c r="P1005" s="1" t="str">
        <f t="shared" si="54"/>
        <v>VARJÃO 2 - UFV 2.2215KTL-H0(MBUS-15)46001,750694444446001,750694444446002,5</v>
      </c>
      <c r="Q1005" s="1" t="str">
        <f t="shared" si="55"/>
        <v>LIGRFOCOM</v>
      </c>
    </row>
    <row r="1006" spans="1:17">
      <c r="B1006" s="1" t="s">
        <v>835</v>
      </c>
      <c r="C1006" s="1" t="s">
        <v>466</v>
      </c>
      <c r="D1006" s="52">
        <v>46001.750694444447</v>
      </c>
      <c r="E1006" s="52">
        <v>46001.750694444447</v>
      </c>
      <c r="F1006" s="52">
        <v>46002.5</v>
      </c>
      <c r="G1006" s="53">
        <f t="shared" si="56"/>
        <v>0.74930555555329192</v>
      </c>
      <c r="H1006" s="1" t="s">
        <v>260</v>
      </c>
      <c r="I1006" s="1" t="s">
        <v>261</v>
      </c>
      <c r="J1006" s="1" t="s">
        <v>262</v>
      </c>
      <c r="K1006" s="1" t="str">
        <f>_xlfn.XLOOKUP(J1006,REF!$D$2:$D$12,REF!$E$2:$E$12)</f>
        <v>Comunicação</v>
      </c>
      <c r="L1006" s="1" t="s">
        <v>426</v>
      </c>
      <c r="M1006" s="1" t="s">
        <v>391</v>
      </c>
      <c r="N1006" s="1" t="s">
        <v>433</v>
      </c>
      <c r="O1006" s="1" t="s">
        <v>864</v>
      </c>
      <c r="P1006" s="1" t="str">
        <f t="shared" si="54"/>
        <v>VARJÃO 2 - UFV 2.2215KTL-H0(MBUS-16)46001,750694444446001,750694444446002,5</v>
      </c>
      <c r="Q1006" s="1" t="str">
        <f t="shared" si="55"/>
        <v>LIGRFOCOM</v>
      </c>
    </row>
    <row r="1007" spans="1:17">
      <c r="B1007" s="1" t="s">
        <v>835</v>
      </c>
      <c r="C1007" s="1" t="s">
        <v>460</v>
      </c>
      <c r="D1007" s="52">
        <v>46001.750694444447</v>
      </c>
      <c r="E1007" s="52">
        <v>46001.750694444447</v>
      </c>
      <c r="F1007" s="52">
        <v>46002.5</v>
      </c>
      <c r="G1007" s="53">
        <f t="shared" si="56"/>
        <v>0.74930555555329192</v>
      </c>
      <c r="H1007" s="1" t="s">
        <v>260</v>
      </c>
      <c r="I1007" s="1" t="s">
        <v>261</v>
      </c>
      <c r="J1007" s="1" t="s">
        <v>262</v>
      </c>
      <c r="K1007" s="1" t="str">
        <f>_xlfn.XLOOKUP(J1007,REF!$D$2:$D$12,REF!$E$2:$E$12)</f>
        <v>Comunicação</v>
      </c>
      <c r="L1007" s="1" t="s">
        <v>426</v>
      </c>
      <c r="M1007" s="1" t="s">
        <v>391</v>
      </c>
      <c r="N1007" s="1" t="s">
        <v>433</v>
      </c>
      <c r="O1007" s="1" t="s">
        <v>864</v>
      </c>
      <c r="P1007" s="1" t="str">
        <f t="shared" si="54"/>
        <v>VARJÃO 2 - UFV 2.2215KTL-H0(MBUS-12)46001,750694444446001,750694444446002,5</v>
      </c>
      <c r="Q1007" s="1" t="str">
        <f t="shared" si="55"/>
        <v>LIGRFOCOM</v>
      </c>
    </row>
    <row r="1008" spans="1:17">
      <c r="B1008" s="1" t="s">
        <v>836</v>
      </c>
      <c r="C1008" s="1" t="s">
        <v>469</v>
      </c>
      <c r="D1008" s="52">
        <v>46001.750694444447</v>
      </c>
      <c r="E1008" s="52">
        <v>46001.750694444447</v>
      </c>
      <c r="F1008" s="52">
        <v>46002.5</v>
      </c>
      <c r="G1008" s="53">
        <f t="shared" si="56"/>
        <v>0.74930555555329192</v>
      </c>
      <c r="H1008" s="1" t="s">
        <v>260</v>
      </c>
      <c r="I1008" s="1" t="s">
        <v>261</v>
      </c>
      <c r="J1008" s="1" t="s">
        <v>262</v>
      </c>
      <c r="K1008" s="1" t="str">
        <f>_xlfn.XLOOKUP(J1008,REF!$D$2:$D$12,REF!$E$2:$E$12)</f>
        <v>Comunicação</v>
      </c>
      <c r="L1008" s="1" t="s">
        <v>426</v>
      </c>
      <c r="M1008" s="1" t="s">
        <v>391</v>
      </c>
      <c r="N1008" s="1" t="s">
        <v>433</v>
      </c>
      <c r="O1008" s="1" t="s">
        <v>864</v>
      </c>
      <c r="P1008" s="1" t="str">
        <f t="shared" si="54"/>
        <v>VARJÃO 2 - UFV 2.3100KTL-H1(MBUS-1)46001,750694444446001,750694444446002,5</v>
      </c>
      <c r="Q1008" s="1" t="str">
        <f t="shared" si="55"/>
        <v>LIGRFOCOM</v>
      </c>
    </row>
    <row r="1009" spans="1:17">
      <c r="B1009" s="1" t="s">
        <v>836</v>
      </c>
      <c r="C1009" s="1" t="s">
        <v>463</v>
      </c>
      <c r="D1009" s="52">
        <v>46001.750694444447</v>
      </c>
      <c r="E1009" s="52">
        <v>46001.750694444447</v>
      </c>
      <c r="F1009" s="52">
        <v>46002.5</v>
      </c>
      <c r="G1009" s="53">
        <f t="shared" si="56"/>
        <v>0.74930555555329192</v>
      </c>
      <c r="H1009" s="1" t="s">
        <v>260</v>
      </c>
      <c r="I1009" s="1" t="s">
        <v>261</v>
      </c>
      <c r="J1009" s="1" t="s">
        <v>262</v>
      </c>
      <c r="K1009" s="1" t="str">
        <f>_xlfn.XLOOKUP(J1009,REF!$D$2:$D$12,REF!$E$2:$E$12)</f>
        <v>Comunicação</v>
      </c>
      <c r="L1009" s="1" t="s">
        <v>426</v>
      </c>
      <c r="M1009" s="1" t="s">
        <v>391</v>
      </c>
      <c r="N1009" s="1" t="s">
        <v>433</v>
      </c>
      <c r="O1009" s="1" t="s">
        <v>864</v>
      </c>
      <c r="P1009" s="1" t="str">
        <f t="shared" si="54"/>
        <v>VARJÃO 2 - UFV 2.3215KTL-H0(MBUS-13)46001,750694444446001,750694444446002,5</v>
      </c>
      <c r="Q1009" s="1" t="str">
        <f t="shared" si="55"/>
        <v>LIGRFOCOM</v>
      </c>
    </row>
    <row r="1010" spans="1:17">
      <c r="B1010" s="1" t="s">
        <v>836</v>
      </c>
      <c r="C1010" s="1" t="s">
        <v>460</v>
      </c>
      <c r="D1010" s="52">
        <v>46001.750694444447</v>
      </c>
      <c r="E1010" s="52">
        <v>46001.750694444447</v>
      </c>
      <c r="F1010" s="52">
        <v>46002.5</v>
      </c>
      <c r="G1010" s="53">
        <f t="shared" si="56"/>
        <v>0.74930555555329192</v>
      </c>
      <c r="H1010" s="1" t="s">
        <v>260</v>
      </c>
      <c r="I1010" s="1" t="s">
        <v>261</v>
      </c>
      <c r="J1010" s="1" t="s">
        <v>262</v>
      </c>
      <c r="K1010" s="1" t="str">
        <f>_xlfn.XLOOKUP(J1010,REF!$D$2:$D$12,REF!$E$2:$E$12)</f>
        <v>Comunicação</v>
      </c>
      <c r="L1010" s="1" t="s">
        <v>426</v>
      </c>
      <c r="M1010" s="1" t="s">
        <v>391</v>
      </c>
      <c r="N1010" s="1" t="s">
        <v>433</v>
      </c>
      <c r="O1010" s="1" t="s">
        <v>864</v>
      </c>
      <c r="P1010" s="1" t="str">
        <f t="shared" si="54"/>
        <v>VARJÃO 2 - UFV 2.3215KTL-H0(MBUS-12)46001,750694444446001,750694444446002,5</v>
      </c>
      <c r="Q1010" s="1" t="str">
        <f t="shared" si="55"/>
        <v>LIGRFOCOM</v>
      </c>
    </row>
    <row r="1011" spans="1:17" hidden="1">
      <c r="B1011" s="1" t="s">
        <v>782</v>
      </c>
      <c r="C1011" s="1" t="s">
        <v>783</v>
      </c>
      <c r="D1011" s="52">
        <v>45996.256944444445</v>
      </c>
      <c r="E1011" s="52">
        <v>45996.256944444445</v>
      </c>
      <c r="F1011" s="52">
        <v>45996.383333333331</v>
      </c>
      <c r="G1011" s="53">
        <f t="shared" si="56"/>
        <v>0.12638888888614019</v>
      </c>
      <c r="H1011" s="1" t="s">
        <v>248</v>
      </c>
      <c r="J1011" s="1" t="s">
        <v>249</v>
      </c>
      <c r="K1011" s="1" t="str">
        <f>_xlfn.XLOOKUP(J1011,REF!$D$2:$D$12,REF!$E$2:$E$12)</f>
        <v>Rede</v>
      </c>
      <c r="L1011" s="1" t="s">
        <v>865</v>
      </c>
      <c r="M1011" s="1" t="s">
        <v>251</v>
      </c>
      <c r="N1011" s="1" t="s">
        <v>252</v>
      </c>
      <c r="O1011" s="1" t="s">
        <v>723</v>
      </c>
      <c r="P1011" s="1" t="str">
        <f t="shared" si="54"/>
        <v>Rio Monte IIISG60KTL(COM1-008)_001_01645996,256944444445996,256944444445996,3833333333</v>
      </c>
      <c r="Q1011" s="1" t="str">
        <f t="shared" si="55"/>
        <v>DAURDE</v>
      </c>
    </row>
    <row r="1012" spans="1:17" hidden="1">
      <c r="B1012" s="1" t="s">
        <v>782</v>
      </c>
      <c r="C1012" s="1" t="s">
        <v>784</v>
      </c>
      <c r="D1012" s="52">
        <v>45996.256944444445</v>
      </c>
      <c r="E1012" s="52">
        <v>45996.256944444445</v>
      </c>
      <c r="F1012" s="52">
        <v>45996.383333333331</v>
      </c>
      <c r="G1012" s="53">
        <f t="shared" si="56"/>
        <v>0.12638888888614019</v>
      </c>
      <c r="H1012" s="1" t="s">
        <v>248</v>
      </c>
      <c r="J1012" s="1" t="s">
        <v>249</v>
      </c>
      <c r="K1012" s="1" t="str">
        <f>_xlfn.XLOOKUP(J1012,REF!$D$2:$D$12,REF!$E$2:$E$12)</f>
        <v>Rede</v>
      </c>
      <c r="L1012" s="1" t="s">
        <v>865</v>
      </c>
      <c r="M1012" s="1" t="s">
        <v>251</v>
      </c>
      <c r="N1012" s="1" t="s">
        <v>252</v>
      </c>
      <c r="O1012" s="1" t="s">
        <v>723</v>
      </c>
      <c r="P1012" s="1" t="str">
        <f t="shared" si="54"/>
        <v>Rio Monte IIISG60KTL(COM1-009)_001_01045996,256944444445996,256944444445996,3833333333</v>
      </c>
      <c r="Q1012" s="1" t="str">
        <f t="shared" si="55"/>
        <v>DAURDE</v>
      </c>
    </row>
    <row r="1013" spans="1:17" hidden="1">
      <c r="B1013" s="1" t="s">
        <v>782</v>
      </c>
      <c r="C1013" s="1" t="s">
        <v>785</v>
      </c>
      <c r="D1013" s="52">
        <v>45996.256944444445</v>
      </c>
      <c r="E1013" s="52">
        <v>45996.256944444445</v>
      </c>
      <c r="F1013" s="52">
        <v>45996.383333333331</v>
      </c>
      <c r="G1013" s="53">
        <f t="shared" si="56"/>
        <v>0.12638888888614019</v>
      </c>
      <c r="H1013" s="1" t="s">
        <v>248</v>
      </c>
      <c r="J1013" s="1" t="s">
        <v>249</v>
      </c>
      <c r="K1013" s="1" t="str">
        <f>_xlfn.XLOOKUP(J1013,REF!$D$2:$D$12,REF!$E$2:$E$12)</f>
        <v>Rede</v>
      </c>
      <c r="L1013" s="1" t="s">
        <v>865</v>
      </c>
      <c r="M1013" s="1" t="s">
        <v>251</v>
      </c>
      <c r="N1013" s="1" t="s">
        <v>252</v>
      </c>
      <c r="O1013" s="1" t="s">
        <v>723</v>
      </c>
      <c r="P1013" s="1" t="str">
        <f t="shared" si="54"/>
        <v>Rio Monte IIISG60KTL(COM1-010)_001_01245996,256944444445996,256944444445996,3833333333</v>
      </c>
      <c r="Q1013" s="1" t="str">
        <f t="shared" si="55"/>
        <v>DAURDE</v>
      </c>
    </row>
    <row r="1014" spans="1:17" hidden="1">
      <c r="B1014" s="1" t="s">
        <v>782</v>
      </c>
      <c r="C1014" s="1" t="s">
        <v>786</v>
      </c>
      <c r="D1014" s="52">
        <v>45996.256944444445</v>
      </c>
      <c r="E1014" s="52">
        <v>45996.256944444445</v>
      </c>
      <c r="F1014" s="52">
        <v>45996.383333333331</v>
      </c>
      <c r="G1014" s="53">
        <f t="shared" si="56"/>
        <v>0.12638888888614019</v>
      </c>
      <c r="H1014" s="1" t="s">
        <v>248</v>
      </c>
      <c r="J1014" s="1" t="s">
        <v>249</v>
      </c>
      <c r="K1014" s="1" t="str">
        <f>_xlfn.XLOOKUP(J1014,REF!$D$2:$D$12,REF!$E$2:$E$12)</f>
        <v>Rede</v>
      </c>
      <c r="L1014" s="1" t="s">
        <v>865</v>
      </c>
      <c r="M1014" s="1" t="s">
        <v>251</v>
      </c>
      <c r="N1014" s="1" t="s">
        <v>252</v>
      </c>
      <c r="O1014" s="1" t="s">
        <v>723</v>
      </c>
      <c r="P1014" s="1" t="str">
        <f t="shared" si="54"/>
        <v>Rio Monte IIISG60KTL(COM1-011)_001_00245996,256944444445996,256944444445996,3833333333</v>
      </c>
      <c r="Q1014" s="1" t="str">
        <f t="shared" si="55"/>
        <v>DAURDE</v>
      </c>
    </row>
    <row r="1015" spans="1:17" hidden="1">
      <c r="B1015" s="1" t="s">
        <v>782</v>
      </c>
      <c r="C1015" s="1" t="s">
        <v>787</v>
      </c>
      <c r="D1015" s="52">
        <v>45996.256944444445</v>
      </c>
      <c r="E1015" s="52">
        <v>45996.256944444445</v>
      </c>
      <c r="F1015" s="52">
        <v>45996.383333333331</v>
      </c>
      <c r="G1015" s="53">
        <f t="shared" si="56"/>
        <v>0.12638888888614019</v>
      </c>
      <c r="H1015" s="1" t="s">
        <v>248</v>
      </c>
      <c r="J1015" s="1" t="s">
        <v>249</v>
      </c>
      <c r="K1015" s="1" t="str">
        <f>_xlfn.XLOOKUP(J1015,REF!$D$2:$D$12,REF!$E$2:$E$12)</f>
        <v>Rede</v>
      </c>
      <c r="L1015" s="1" t="s">
        <v>865</v>
      </c>
      <c r="M1015" s="1" t="s">
        <v>251</v>
      </c>
      <c r="N1015" s="1" t="s">
        <v>252</v>
      </c>
      <c r="O1015" s="1" t="s">
        <v>723</v>
      </c>
      <c r="P1015" s="1" t="str">
        <f t="shared" si="54"/>
        <v>Rio Monte IIISG60KTL(COM1-012)_001_01545996,256944444445996,256944444445996,3833333333</v>
      </c>
      <c r="Q1015" s="1" t="str">
        <f t="shared" si="55"/>
        <v>DAURDE</v>
      </c>
    </row>
    <row r="1016" spans="1:17" hidden="1">
      <c r="B1016" s="1" t="s">
        <v>782</v>
      </c>
      <c r="C1016" s="1" t="s">
        <v>788</v>
      </c>
      <c r="D1016" s="52">
        <v>45996.256944444445</v>
      </c>
      <c r="E1016" s="52">
        <v>45996.256944444445</v>
      </c>
      <c r="F1016" s="52">
        <v>45996.383333333331</v>
      </c>
      <c r="G1016" s="53">
        <f t="shared" si="56"/>
        <v>0.12638888888614019</v>
      </c>
      <c r="H1016" s="1" t="s">
        <v>248</v>
      </c>
      <c r="J1016" s="1" t="s">
        <v>249</v>
      </c>
      <c r="K1016" s="1" t="str">
        <f>_xlfn.XLOOKUP(J1016,REF!$D$2:$D$12,REF!$E$2:$E$12)</f>
        <v>Rede</v>
      </c>
      <c r="L1016" s="1" t="s">
        <v>865</v>
      </c>
      <c r="M1016" s="1" t="s">
        <v>251</v>
      </c>
      <c r="N1016" s="1" t="s">
        <v>252</v>
      </c>
      <c r="O1016" s="1" t="s">
        <v>723</v>
      </c>
      <c r="P1016" s="1" t="str">
        <f t="shared" si="54"/>
        <v>Rio Monte IIISG60KTL(COM1-013)_001_00345996,256944444445996,256944444445996,3833333333</v>
      </c>
      <c r="Q1016" s="1" t="str">
        <f t="shared" si="55"/>
        <v>DAURDE</v>
      </c>
    </row>
    <row r="1017" spans="1:17" hidden="1">
      <c r="B1017" s="1" t="s">
        <v>782</v>
      </c>
      <c r="C1017" s="1" t="s">
        <v>789</v>
      </c>
      <c r="D1017" s="52">
        <v>45996.256944444445</v>
      </c>
      <c r="E1017" s="52">
        <v>45996.256944444445</v>
      </c>
      <c r="F1017" s="52">
        <v>45996.383333333331</v>
      </c>
      <c r="G1017" s="53">
        <f t="shared" si="56"/>
        <v>0.12638888888614019</v>
      </c>
      <c r="H1017" s="1" t="s">
        <v>248</v>
      </c>
      <c r="J1017" s="1" t="s">
        <v>249</v>
      </c>
      <c r="K1017" s="1" t="str">
        <f>_xlfn.XLOOKUP(J1017,REF!$D$2:$D$12,REF!$E$2:$E$12)</f>
        <v>Rede</v>
      </c>
      <c r="L1017" s="1" t="s">
        <v>865</v>
      </c>
      <c r="M1017" s="1" t="s">
        <v>251</v>
      </c>
      <c r="N1017" s="1" t="s">
        <v>252</v>
      </c>
      <c r="O1017" s="1" t="s">
        <v>723</v>
      </c>
      <c r="P1017" s="1" t="str">
        <f t="shared" si="54"/>
        <v>Rio Monte IIISG60KTL(COM1-014)_001_00445996,256944444445996,256944444445996,3833333333</v>
      </c>
      <c r="Q1017" s="1" t="str">
        <f t="shared" si="55"/>
        <v>DAURDE</v>
      </c>
    </row>
    <row r="1018" spans="1:17" hidden="1">
      <c r="B1018" s="1" t="s">
        <v>782</v>
      </c>
      <c r="C1018" s="1" t="s">
        <v>790</v>
      </c>
      <c r="D1018" s="52">
        <v>45996.256944444445</v>
      </c>
      <c r="E1018" s="52">
        <v>45996.256944444445</v>
      </c>
      <c r="F1018" s="52">
        <v>45996.383333333331</v>
      </c>
      <c r="G1018" s="53">
        <f t="shared" si="56"/>
        <v>0.12638888888614019</v>
      </c>
      <c r="H1018" s="1" t="s">
        <v>248</v>
      </c>
      <c r="J1018" s="1" t="s">
        <v>249</v>
      </c>
      <c r="K1018" s="1" t="str">
        <f>_xlfn.XLOOKUP(J1018,REF!$D$2:$D$12,REF!$E$2:$E$12)</f>
        <v>Rede</v>
      </c>
      <c r="L1018" s="1" t="s">
        <v>865</v>
      </c>
      <c r="M1018" s="1" t="s">
        <v>251</v>
      </c>
      <c r="N1018" s="1" t="s">
        <v>252</v>
      </c>
      <c r="O1018" s="1" t="s">
        <v>723</v>
      </c>
      <c r="P1018" s="1" t="str">
        <f t="shared" si="54"/>
        <v>Rio Monte IIISG60KTL(COM1-015)_001_01345996,256944444445996,256944444445996,3833333333</v>
      </c>
      <c r="Q1018" s="1" t="str">
        <f t="shared" si="55"/>
        <v>DAURDE</v>
      </c>
    </row>
    <row r="1019" spans="1:17" hidden="1">
      <c r="B1019" s="1" t="s">
        <v>782</v>
      </c>
      <c r="C1019" s="1" t="s">
        <v>791</v>
      </c>
      <c r="D1019" s="52">
        <v>45996.256944444445</v>
      </c>
      <c r="E1019" s="52">
        <v>45996.256944444445</v>
      </c>
      <c r="F1019" s="52">
        <v>45996.383333333331</v>
      </c>
      <c r="G1019" s="53">
        <f t="shared" si="56"/>
        <v>0.12638888888614019</v>
      </c>
      <c r="H1019" s="1" t="s">
        <v>248</v>
      </c>
      <c r="J1019" s="1" t="s">
        <v>249</v>
      </c>
      <c r="K1019" s="1" t="str">
        <f>_xlfn.XLOOKUP(J1019,REF!$D$2:$D$12,REF!$E$2:$E$12)</f>
        <v>Rede</v>
      </c>
      <c r="L1019" s="1" t="s">
        <v>865</v>
      </c>
      <c r="M1019" s="1" t="s">
        <v>251</v>
      </c>
      <c r="N1019" s="1" t="s">
        <v>252</v>
      </c>
      <c r="O1019" s="1" t="s">
        <v>723</v>
      </c>
      <c r="P1019" s="1" t="str">
        <f t="shared" si="54"/>
        <v>Rio Monte IIISG60KTL(COM1-016)_001_01445996,256944444445996,256944444445996,3833333333</v>
      </c>
      <c r="Q1019" s="1" t="str">
        <f t="shared" si="55"/>
        <v>DAURDE</v>
      </c>
    </row>
    <row r="1020" spans="1:17" hidden="1">
      <c r="B1020" s="1" t="s">
        <v>782</v>
      </c>
      <c r="C1020" s="1" t="s">
        <v>792</v>
      </c>
      <c r="D1020" s="52">
        <v>45996.256944444445</v>
      </c>
      <c r="E1020" s="52">
        <v>45996.256944444445</v>
      </c>
      <c r="F1020" s="52">
        <v>45996.383333333331</v>
      </c>
      <c r="G1020" s="53">
        <f t="shared" si="56"/>
        <v>0.12638888888614019</v>
      </c>
      <c r="H1020" s="1" t="s">
        <v>248</v>
      </c>
      <c r="J1020" s="1" t="s">
        <v>249</v>
      </c>
      <c r="K1020" s="1" t="str">
        <f>_xlfn.XLOOKUP(J1020,REF!$D$2:$D$12,REF!$E$2:$E$12)</f>
        <v>Rede</v>
      </c>
      <c r="L1020" s="1" t="s">
        <v>865</v>
      </c>
      <c r="M1020" s="1" t="s">
        <v>251</v>
      </c>
      <c r="N1020" s="1" t="s">
        <v>252</v>
      </c>
      <c r="O1020" s="1" t="s">
        <v>723</v>
      </c>
      <c r="P1020" s="1" t="str">
        <f t="shared" si="54"/>
        <v>Rio Monte IIISG60KTL(COM1-017)_001_00845996,256944444445996,256944444445996,3833333333</v>
      </c>
      <c r="Q1020" s="1" t="str">
        <f t="shared" si="55"/>
        <v>DAURDE</v>
      </c>
    </row>
    <row r="1021" spans="1:17">
      <c r="A1021" s="45"/>
      <c r="B1021" s="61" t="s">
        <v>363</v>
      </c>
      <c r="C1021" s="61" t="s">
        <v>357</v>
      </c>
      <c r="D1021" s="62">
        <v>46016.013888888891</v>
      </c>
      <c r="E1021" s="62">
        <v>46016.013888888891</v>
      </c>
      <c r="F1021" s="62">
        <v>46016.076388888891</v>
      </c>
      <c r="G1021" s="63">
        <f>F1021-E1021</f>
        <v>6.25E-2</v>
      </c>
      <c r="H1021" s="61" t="s">
        <v>260</v>
      </c>
      <c r="I1021" s="61" t="s">
        <v>261</v>
      </c>
      <c r="J1021" s="61" t="s">
        <v>262</v>
      </c>
      <c r="K1021" s="61" t="s">
        <v>263</v>
      </c>
      <c r="L1021" s="61" t="s">
        <v>866</v>
      </c>
      <c r="M1021" s="61" t="s">
        <v>265</v>
      </c>
      <c r="N1021" s="61" t="s">
        <v>266</v>
      </c>
      <c r="O1021" s="61" t="s">
        <v>867</v>
      </c>
      <c r="P1021" s="61" t="str">
        <f t="shared" si="54"/>
        <v>ARAGUATINS 2.1Inverter(MBUS-13)46016,013888888946016,013888888946016,0763888889</v>
      </c>
      <c r="Q1021" s="61" t="str">
        <f t="shared" si="55"/>
        <v>LIGRFOCOM</v>
      </c>
    </row>
    <row r="1022" spans="1:17">
      <c r="A1022" s="45"/>
      <c r="B1022" s="61" t="s">
        <v>363</v>
      </c>
      <c r="C1022" s="61" t="s">
        <v>354</v>
      </c>
      <c r="D1022" s="62">
        <v>46016.013888888891</v>
      </c>
      <c r="E1022" s="62">
        <v>46016.013888888891</v>
      </c>
      <c r="F1022" s="62">
        <v>46016.076388888891</v>
      </c>
      <c r="G1022" s="63">
        <f>F1022-E1022</f>
        <v>6.25E-2</v>
      </c>
      <c r="H1022" s="61" t="s">
        <v>260</v>
      </c>
      <c r="I1022" s="61" t="s">
        <v>261</v>
      </c>
      <c r="J1022" s="61" t="s">
        <v>262</v>
      </c>
      <c r="K1022" s="61" t="s">
        <v>263</v>
      </c>
      <c r="L1022" s="61" t="s">
        <v>866</v>
      </c>
      <c r="M1022" s="61" t="s">
        <v>265</v>
      </c>
      <c r="N1022" s="61" t="s">
        <v>266</v>
      </c>
      <c r="O1022" s="61" t="s">
        <v>867</v>
      </c>
      <c r="P1022" s="61" t="str">
        <f t="shared" si="54"/>
        <v>ARAGUATINS 2.1Inverter(MBUS-12)46016,013888888946016,013888888946016,0763888889</v>
      </c>
      <c r="Q1022" s="61" t="str">
        <f t="shared" si="55"/>
        <v>LIGRFOCOM</v>
      </c>
    </row>
    <row r="1023" spans="1:17">
      <c r="A1023" s="45"/>
      <c r="B1023" s="61" t="s">
        <v>363</v>
      </c>
      <c r="C1023" s="61" t="s">
        <v>359</v>
      </c>
      <c r="D1023" s="62">
        <v>46016.013888888891</v>
      </c>
      <c r="E1023" s="62">
        <v>46016.013888888891</v>
      </c>
      <c r="F1023" s="62">
        <v>46016.076388888891</v>
      </c>
      <c r="G1023" s="63">
        <f>F1023-E1023</f>
        <v>6.25E-2</v>
      </c>
      <c r="H1023" s="61" t="s">
        <v>260</v>
      </c>
      <c r="I1023" s="61" t="s">
        <v>261</v>
      </c>
      <c r="J1023" s="61" t="s">
        <v>262</v>
      </c>
      <c r="K1023" s="61" t="s">
        <v>263</v>
      </c>
      <c r="L1023" s="61" t="s">
        <v>866</v>
      </c>
      <c r="M1023" s="61" t="s">
        <v>265</v>
      </c>
      <c r="N1023" s="61" t="s">
        <v>266</v>
      </c>
      <c r="O1023" s="61" t="s">
        <v>867</v>
      </c>
      <c r="P1023" s="61" t="str">
        <f t="shared" si="54"/>
        <v>ARAGUATINS 2.1Inverter(MBUS-15)46016,013888888946016,013888888946016,0763888889</v>
      </c>
      <c r="Q1023" s="61" t="str">
        <f t="shared" si="55"/>
        <v>LIGRFOCOM</v>
      </c>
    </row>
    <row r="1024" spans="1:17">
      <c r="A1024" s="45"/>
      <c r="B1024" s="61" t="s">
        <v>363</v>
      </c>
      <c r="C1024" s="61" t="s">
        <v>358</v>
      </c>
      <c r="D1024" s="62">
        <v>46016.013888888891</v>
      </c>
      <c r="E1024" s="62">
        <v>46016.013888888891</v>
      </c>
      <c r="F1024" s="62">
        <v>46016.076388888891</v>
      </c>
      <c r="G1024" s="63">
        <f>F1024-E1024</f>
        <v>6.25E-2</v>
      </c>
      <c r="H1024" s="61" t="s">
        <v>260</v>
      </c>
      <c r="I1024" s="61" t="s">
        <v>261</v>
      </c>
      <c r="J1024" s="61" t="s">
        <v>262</v>
      </c>
      <c r="K1024" s="61" t="s">
        <v>263</v>
      </c>
      <c r="L1024" s="61" t="s">
        <v>866</v>
      </c>
      <c r="M1024" s="61" t="s">
        <v>265</v>
      </c>
      <c r="N1024" s="61" t="s">
        <v>266</v>
      </c>
      <c r="O1024" s="61" t="s">
        <v>867</v>
      </c>
      <c r="P1024" s="61" t="str">
        <f t="shared" si="54"/>
        <v>ARAGUATINS 2.1Inverter(MBUS-14)46016,013888888946016,013888888946016,0763888889</v>
      </c>
      <c r="Q1024" s="61" t="str">
        <f t="shared" si="55"/>
        <v>LIGRFOCOM</v>
      </c>
    </row>
    <row r="1025" spans="1:17" hidden="1">
      <c r="A1025" s="45"/>
      <c r="B1025" s="61" t="s">
        <v>429</v>
      </c>
      <c r="C1025" s="61" t="s">
        <v>357</v>
      </c>
      <c r="D1025" s="62">
        <v>46017.213194444441</v>
      </c>
      <c r="E1025" s="62">
        <v>46017.213194444441</v>
      </c>
      <c r="F1025" s="62">
        <v>46017.583333333336</v>
      </c>
      <c r="G1025" s="63">
        <f>F1025-E1025</f>
        <v>0.37013888889487134</v>
      </c>
      <c r="H1025" s="61" t="s">
        <v>248</v>
      </c>
      <c r="I1025" s="61"/>
      <c r="J1025" s="61" t="s">
        <v>249</v>
      </c>
      <c r="K1025" s="61" t="s">
        <v>349</v>
      </c>
      <c r="L1025" s="61" t="s">
        <v>868</v>
      </c>
      <c r="M1025" s="61" t="s">
        <v>251</v>
      </c>
      <c r="N1025" s="61" t="s">
        <v>252</v>
      </c>
      <c r="O1025" s="61" t="s">
        <v>676</v>
      </c>
      <c r="P1025" s="61" t="str">
        <f t="shared" si="54"/>
        <v>BC Formoso1.1Inverter(MBUS-13)46017,213194444446017,213194444446017,5833333333</v>
      </c>
      <c r="Q1025" s="61" t="str">
        <f t="shared" si="55"/>
        <v>DAURDE</v>
      </c>
    </row>
    <row r="1026" spans="1:17" hidden="1">
      <c r="A1026" s="45"/>
      <c r="B1026" s="61" t="s">
        <v>429</v>
      </c>
      <c r="C1026" s="61" t="s">
        <v>354</v>
      </c>
      <c r="D1026" s="62">
        <v>46017.213194444441</v>
      </c>
      <c r="E1026" s="62">
        <v>46017.213194444441</v>
      </c>
      <c r="F1026" s="62">
        <v>46017.583333333336</v>
      </c>
      <c r="G1026" s="63">
        <f>F1026-E1026</f>
        <v>0.37013888889487134</v>
      </c>
      <c r="H1026" s="61" t="s">
        <v>248</v>
      </c>
      <c r="I1026" s="61"/>
      <c r="J1026" s="61" t="s">
        <v>249</v>
      </c>
      <c r="K1026" s="61" t="s">
        <v>349</v>
      </c>
      <c r="L1026" s="61" t="s">
        <v>868</v>
      </c>
      <c r="M1026" s="61" t="s">
        <v>251</v>
      </c>
      <c r="N1026" s="61" t="s">
        <v>252</v>
      </c>
      <c r="O1026" s="61" t="s">
        <v>676</v>
      </c>
      <c r="P1026" s="61" t="str">
        <f t="shared" si="54"/>
        <v>BC Formoso1.1Inverter(MBUS-12)46017,213194444446017,213194444446017,5833333333</v>
      </c>
      <c r="Q1026" s="61" t="str">
        <f t="shared" si="55"/>
        <v>DAURDE</v>
      </c>
    </row>
    <row r="1027" spans="1:17" hidden="1">
      <c r="A1027" s="45"/>
      <c r="B1027" s="61" t="s">
        <v>429</v>
      </c>
      <c r="C1027" s="61" t="s">
        <v>359</v>
      </c>
      <c r="D1027" s="62">
        <v>46017.213194444441</v>
      </c>
      <c r="E1027" s="62">
        <v>46017.213194444441</v>
      </c>
      <c r="F1027" s="62">
        <v>46017.583333333336</v>
      </c>
      <c r="G1027" s="63">
        <f>F1027-E1027</f>
        <v>0.37013888889487134</v>
      </c>
      <c r="H1027" s="61" t="s">
        <v>248</v>
      </c>
      <c r="I1027" s="61"/>
      <c r="J1027" s="61" t="s">
        <v>249</v>
      </c>
      <c r="K1027" s="61" t="s">
        <v>349</v>
      </c>
      <c r="L1027" s="61" t="s">
        <v>868</v>
      </c>
      <c r="M1027" s="61" t="s">
        <v>251</v>
      </c>
      <c r="N1027" s="61" t="s">
        <v>252</v>
      </c>
      <c r="O1027" s="61" t="s">
        <v>676</v>
      </c>
      <c r="P1027" s="61" t="str">
        <f t="shared" si="54"/>
        <v>BC Formoso1.1Inverter(MBUS-15)46017,213194444446017,213194444446017,5833333333</v>
      </c>
      <c r="Q1027" s="61" t="str">
        <f t="shared" si="55"/>
        <v>DAURDE</v>
      </c>
    </row>
    <row r="1028" spans="1:17" hidden="1">
      <c r="A1028" s="45"/>
      <c r="B1028" s="61" t="s">
        <v>429</v>
      </c>
      <c r="C1028" s="61" t="s">
        <v>358</v>
      </c>
      <c r="D1028" s="62">
        <v>46017.213194444441</v>
      </c>
      <c r="E1028" s="62">
        <v>46017.213194444441</v>
      </c>
      <c r="F1028" s="62">
        <v>46017.583333333336</v>
      </c>
      <c r="G1028" s="63">
        <f>F1028-E1028</f>
        <v>0.37013888889487134</v>
      </c>
      <c r="H1028" s="61" t="s">
        <v>248</v>
      </c>
      <c r="I1028" s="61"/>
      <c r="J1028" s="61" t="s">
        <v>249</v>
      </c>
      <c r="K1028" s="61" t="s">
        <v>349</v>
      </c>
      <c r="L1028" s="61" t="s">
        <v>868</v>
      </c>
      <c r="M1028" s="61" t="s">
        <v>251</v>
      </c>
      <c r="N1028" s="61" t="s">
        <v>252</v>
      </c>
      <c r="O1028" s="61" t="s">
        <v>676</v>
      </c>
      <c r="P1028" s="61" t="str">
        <f t="shared" si="54"/>
        <v>BC Formoso1.1Inverter(MBUS-14)46017,213194444446017,213194444446017,5833333333</v>
      </c>
      <c r="Q1028" s="61" t="str">
        <f t="shared" si="55"/>
        <v>DAURDE</v>
      </c>
    </row>
    <row r="1029" spans="1:17" hidden="1">
      <c r="A1029" s="45"/>
      <c r="B1029" s="61" t="s">
        <v>421</v>
      </c>
      <c r="C1029" s="61" t="s">
        <v>357</v>
      </c>
      <c r="D1029" s="62">
        <v>46017.213194444441</v>
      </c>
      <c r="E1029" s="62">
        <v>46017.213194444441</v>
      </c>
      <c r="F1029" s="62">
        <v>46017.583333333336</v>
      </c>
      <c r="G1029" s="63">
        <f>F1029-E1029</f>
        <v>0.37013888889487134</v>
      </c>
      <c r="H1029" s="61" t="s">
        <v>248</v>
      </c>
      <c r="I1029" s="61"/>
      <c r="J1029" s="61" t="s">
        <v>249</v>
      </c>
      <c r="K1029" s="61" t="s">
        <v>349</v>
      </c>
      <c r="L1029" s="61" t="s">
        <v>868</v>
      </c>
      <c r="M1029" s="61" t="s">
        <v>251</v>
      </c>
      <c r="N1029" s="61" t="s">
        <v>252</v>
      </c>
      <c r="O1029" s="61" t="s">
        <v>676</v>
      </c>
      <c r="P1029" s="61" t="str">
        <f t="shared" si="54"/>
        <v>BC Formoso1.2Inverter(MBUS-13)46017,213194444446017,213194444446017,5833333333</v>
      </c>
      <c r="Q1029" s="61" t="str">
        <f t="shared" si="55"/>
        <v>DAURDE</v>
      </c>
    </row>
    <row r="1030" spans="1:17" hidden="1">
      <c r="A1030" s="45"/>
      <c r="B1030" s="61" t="s">
        <v>421</v>
      </c>
      <c r="C1030" s="61" t="s">
        <v>354</v>
      </c>
      <c r="D1030" s="62">
        <v>46017.213194444441</v>
      </c>
      <c r="E1030" s="62">
        <v>46017.213194444441</v>
      </c>
      <c r="F1030" s="62">
        <v>46017.583333333336</v>
      </c>
      <c r="G1030" s="63">
        <f>F1030-E1030</f>
        <v>0.37013888889487134</v>
      </c>
      <c r="H1030" s="61" t="s">
        <v>248</v>
      </c>
      <c r="I1030" s="61"/>
      <c r="J1030" s="61" t="s">
        <v>249</v>
      </c>
      <c r="K1030" s="61" t="s">
        <v>349</v>
      </c>
      <c r="L1030" s="61" t="s">
        <v>868</v>
      </c>
      <c r="M1030" s="61" t="s">
        <v>251</v>
      </c>
      <c r="N1030" s="61" t="s">
        <v>252</v>
      </c>
      <c r="O1030" s="61" t="s">
        <v>676</v>
      </c>
      <c r="P1030" s="61" t="str">
        <f t="shared" si="54"/>
        <v>BC Formoso1.2Inverter(MBUS-12)46017,213194444446017,213194444446017,5833333333</v>
      </c>
      <c r="Q1030" s="61" t="str">
        <f t="shared" si="55"/>
        <v>DAURDE</v>
      </c>
    </row>
    <row r="1031" spans="1:17" hidden="1">
      <c r="A1031" s="45"/>
      <c r="B1031" s="61" t="s">
        <v>421</v>
      </c>
      <c r="C1031" s="61" t="s">
        <v>359</v>
      </c>
      <c r="D1031" s="62">
        <v>46017.213194444441</v>
      </c>
      <c r="E1031" s="62">
        <v>46017.213194444441</v>
      </c>
      <c r="F1031" s="62">
        <v>46017.583333333336</v>
      </c>
      <c r="G1031" s="63">
        <f>F1031-E1031</f>
        <v>0.37013888889487134</v>
      </c>
      <c r="H1031" s="61" t="s">
        <v>248</v>
      </c>
      <c r="I1031" s="61"/>
      <c r="J1031" s="61" t="s">
        <v>249</v>
      </c>
      <c r="K1031" s="61" t="s">
        <v>349</v>
      </c>
      <c r="L1031" s="61" t="s">
        <v>868</v>
      </c>
      <c r="M1031" s="61" t="s">
        <v>251</v>
      </c>
      <c r="N1031" s="61" t="s">
        <v>252</v>
      </c>
      <c r="O1031" s="61" t="s">
        <v>676</v>
      </c>
      <c r="P1031" s="61" t="str">
        <f t="shared" si="54"/>
        <v>BC Formoso1.2Inverter(MBUS-15)46017,213194444446017,213194444446017,5833333333</v>
      </c>
      <c r="Q1031" s="61" t="str">
        <f t="shared" si="55"/>
        <v>DAURDE</v>
      </c>
    </row>
    <row r="1032" spans="1:17" hidden="1">
      <c r="A1032" s="45"/>
      <c r="B1032" s="61" t="s">
        <v>421</v>
      </c>
      <c r="C1032" s="61" t="s">
        <v>358</v>
      </c>
      <c r="D1032" s="62">
        <v>46017.213194444441</v>
      </c>
      <c r="E1032" s="62">
        <v>46017.213194444441</v>
      </c>
      <c r="F1032" s="62">
        <v>46017.583333333336</v>
      </c>
      <c r="G1032" s="63">
        <f>F1032-E1032</f>
        <v>0.37013888889487134</v>
      </c>
      <c r="H1032" s="61" t="s">
        <v>248</v>
      </c>
      <c r="I1032" s="61"/>
      <c r="J1032" s="61" t="s">
        <v>249</v>
      </c>
      <c r="K1032" s="61" t="s">
        <v>349</v>
      </c>
      <c r="L1032" s="61" t="s">
        <v>868</v>
      </c>
      <c r="M1032" s="61" t="s">
        <v>251</v>
      </c>
      <c r="N1032" s="61" t="s">
        <v>252</v>
      </c>
      <c r="O1032" s="61" t="s">
        <v>676</v>
      </c>
      <c r="P1032" s="61" t="str">
        <f t="shared" si="54"/>
        <v>BC Formoso1.2Inverter(MBUS-14)46017,213194444446017,213194444446017,5833333333</v>
      </c>
      <c r="Q1032" s="61" t="str">
        <f t="shared" si="55"/>
        <v>DAURDE</v>
      </c>
    </row>
    <row r="1033" spans="1:17" hidden="1">
      <c r="A1033" s="45"/>
      <c r="B1033" s="61" t="s">
        <v>430</v>
      </c>
      <c r="C1033" s="61" t="s">
        <v>357</v>
      </c>
      <c r="D1033" s="62">
        <v>46017.213194444441</v>
      </c>
      <c r="E1033" s="62">
        <v>46017.213194444441</v>
      </c>
      <c r="F1033" s="62">
        <v>46017.583333333336</v>
      </c>
      <c r="G1033" s="63">
        <f>F1033-E1033</f>
        <v>0.37013888889487134</v>
      </c>
      <c r="H1033" s="61" t="s">
        <v>248</v>
      </c>
      <c r="I1033" s="61"/>
      <c r="J1033" s="61" t="s">
        <v>249</v>
      </c>
      <c r="K1033" s="61" t="s">
        <v>349</v>
      </c>
      <c r="L1033" s="61" t="s">
        <v>868</v>
      </c>
      <c r="M1033" s="61" t="s">
        <v>251</v>
      </c>
      <c r="N1033" s="61" t="s">
        <v>252</v>
      </c>
      <c r="O1033" s="61" t="s">
        <v>676</v>
      </c>
      <c r="P1033" s="61" t="str">
        <f t="shared" si="54"/>
        <v>BC Formoso1.3Inverter(MBUS-13)46017,213194444446017,213194444446017,5833333333</v>
      </c>
      <c r="Q1033" s="61" t="str">
        <f t="shared" si="55"/>
        <v>DAURDE</v>
      </c>
    </row>
    <row r="1034" spans="1:17" hidden="1">
      <c r="A1034" s="45"/>
      <c r="B1034" s="61" t="s">
        <v>430</v>
      </c>
      <c r="C1034" s="61" t="s">
        <v>354</v>
      </c>
      <c r="D1034" s="62">
        <v>46017.213194444441</v>
      </c>
      <c r="E1034" s="62">
        <v>46017.213194444441</v>
      </c>
      <c r="F1034" s="62">
        <v>46017.583333333336</v>
      </c>
      <c r="G1034" s="63">
        <f>F1034-E1034</f>
        <v>0.37013888889487134</v>
      </c>
      <c r="H1034" s="61" t="s">
        <v>248</v>
      </c>
      <c r="I1034" s="61"/>
      <c r="J1034" s="61" t="s">
        <v>249</v>
      </c>
      <c r="K1034" s="61" t="s">
        <v>349</v>
      </c>
      <c r="L1034" s="61" t="s">
        <v>868</v>
      </c>
      <c r="M1034" s="61" t="s">
        <v>251</v>
      </c>
      <c r="N1034" s="61" t="s">
        <v>252</v>
      </c>
      <c r="O1034" s="61" t="s">
        <v>676</v>
      </c>
      <c r="P1034" s="61" t="str">
        <f t="shared" si="54"/>
        <v>BC Formoso1.3Inverter(MBUS-12)46017,213194444446017,213194444446017,5833333333</v>
      </c>
      <c r="Q1034" s="61" t="str">
        <f t="shared" si="55"/>
        <v>DAURDE</v>
      </c>
    </row>
    <row r="1035" spans="1:17" hidden="1">
      <c r="A1035" s="45"/>
      <c r="B1035" s="61" t="s">
        <v>423</v>
      </c>
      <c r="C1035" s="61" t="s">
        <v>354</v>
      </c>
      <c r="D1035" s="62">
        <v>46017.213194444441</v>
      </c>
      <c r="E1035" s="62">
        <v>46017.213194444441</v>
      </c>
      <c r="F1035" s="62">
        <v>46017.583333333336</v>
      </c>
      <c r="G1035" s="63">
        <f>F1035-E1035</f>
        <v>0.37013888889487134</v>
      </c>
      <c r="H1035" s="61" t="s">
        <v>248</v>
      </c>
      <c r="I1035" s="61"/>
      <c r="J1035" s="61" t="s">
        <v>249</v>
      </c>
      <c r="K1035" s="61" t="s">
        <v>349</v>
      </c>
      <c r="L1035" s="61" t="s">
        <v>868</v>
      </c>
      <c r="M1035" s="61" t="s">
        <v>251</v>
      </c>
      <c r="N1035" s="61" t="s">
        <v>252</v>
      </c>
      <c r="O1035" s="61" t="s">
        <v>676</v>
      </c>
      <c r="P1035" s="61" t="str">
        <f t="shared" si="54"/>
        <v>BC Formoso2.1Inverter(MBUS-12)46017,213194444446017,213194444446017,5833333333</v>
      </c>
      <c r="Q1035" s="61" t="str">
        <f t="shared" si="55"/>
        <v>DAURDE</v>
      </c>
    </row>
    <row r="1036" spans="1:17" hidden="1">
      <c r="A1036" s="45"/>
      <c r="B1036" s="61" t="s">
        <v>423</v>
      </c>
      <c r="C1036" s="61" t="s">
        <v>358</v>
      </c>
      <c r="D1036" s="62">
        <v>46017.213194444441</v>
      </c>
      <c r="E1036" s="62">
        <v>46017.213194444441</v>
      </c>
      <c r="F1036" s="62">
        <v>46017.583333333336</v>
      </c>
      <c r="G1036" s="63">
        <f>F1036-E1036</f>
        <v>0.37013888889487134</v>
      </c>
      <c r="H1036" s="61" t="s">
        <v>248</v>
      </c>
      <c r="I1036" s="61"/>
      <c r="J1036" s="61" t="s">
        <v>249</v>
      </c>
      <c r="K1036" s="61" t="s">
        <v>349</v>
      </c>
      <c r="L1036" s="61" t="s">
        <v>868</v>
      </c>
      <c r="M1036" s="61" t="s">
        <v>251</v>
      </c>
      <c r="N1036" s="61" t="s">
        <v>252</v>
      </c>
      <c r="O1036" s="61" t="s">
        <v>676</v>
      </c>
      <c r="P1036" s="61" t="str">
        <f t="shared" si="54"/>
        <v>BC Formoso2.1Inverter(MBUS-14)46017,213194444446017,213194444446017,5833333333</v>
      </c>
      <c r="Q1036" s="61" t="str">
        <f t="shared" si="55"/>
        <v>DAURDE</v>
      </c>
    </row>
    <row r="1037" spans="1:17" hidden="1">
      <c r="A1037" s="45"/>
      <c r="B1037" s="61" t="s">
        <v>423</v>
      </c>
      <c r="C1037" s="61" t="s">
        <v>357</v>
      </c>
      <c r="D1037" s="62">
        <v>46017.213194444441</v>
      </c>
      <c r="E1037" s="62">
        <v>46017.213194444441</v>
      </c>
      <c r="F1037" s="62">
        <v>46017.583333333336</v>
      </c>
      <c r="G1037" s="63">
        <f>F1037-E1037</f>
        <v>0.37013888889487134</v>
      </c>
      <c r="H1037" s="61" t="s">
        <v>248</v>
      </c>
      <c r="I1037" s="61"/>
      <c r="J1037" s="61" t="s">
        <v>249</v>
      </c>
      <c r="K1037" s="61" t="s">
        <v>349</v>
      </c>
      <c r="L1037" s="61" t="s">
        <v>868</v>
      </c>
      <c r="M1037" s="61" t="s">
        <v>251</v>
      </c>
      <c r="N1037" s="61" t="s">
        <v>252</v>
      </c>
      <c r="O1037" s="61" t="s">
        <v>676</v>
      </c>
      <c r="P1037" s="61" t="str">
        <f t="shared" si="54"/>
        <v>BC Formoso2.1Inverter(MBUS-13)46017,213194444446017,213194444446017,5833333333</v>
      </c>
      <c r="Q1037" s="61" t="str">
        <f t="shared" si="55"/>
        <v>DAURDE</v>
      </c>
    </row>
    <row r="1038" spans="1:17" hidden="1">
      <c r="A1038" s="45"/>
      <c r="B1038" s="61" t="s">
        <v>423</v>
      </c>
      <c r="C1038" s="61" t="s">
        <v>328</v>
      </c>
      <c r="D1038" s="62">
        <v>46017.213194444441</v>
      </c>
      <c r="E1038" s="62">
        <v>46017.213194444441</v>
      </c>
      <c r="F1038" s="62">
        <v>46017.583333333336</v>
      </c>
      <c r="G1038" s="63">
        <f>F1038-E1038</f>
        <v>0.37013888889487134</v>
      </c>
      <c r="H1038" s="61" t="s">
        <v>248</v>
      </c>
      <c r="I1038" s="61"/>
      <c r="J1038" s="61" t="s">
        <v>249</v>
      </c>
      <c r="K1038" s="61" t="s">
        <v>349</v>
      </c>
      <c r="L1038" s="61" t="s">
        <v>868</v>
      </c>
      <c r="M1038" s="61" t="s">
        <v>251</v>
      </c>
      <c r="N1038" s="61" t="s">
        <v>252</v>
      </c>
      <c r="O1038" s="61" t="s">
        <v>676</v>
      </c>
      <c r="P1038" s="61" t="str">
        <f t="shared" si="54"/>
        <v>BC Formoso2.1Inverter(MBUS-1)46017,213194444446017,213194444446017,5833333333</v>
      </c>
      <c r="Q1038" s="61" t="str">
        <f t="shared" si="55"/>
        <v>DAURDE</v>
      </c>
    </row>
    <row r="1039" spans="1:17" hidden="1">
      <c r="A1039" s="45"/>
      <c r="B1039" s="61" t="s">
        <v>424</v>
      </c>
      <c r="C1039" s="61" t="s">
        <v>358</v>
      </c>
      <c r="D1039" s="62">
        <v>46017.213194444441</v>
      </c>
      <c r="E1039" s="62">
        <v>46017.213194444441</v>
      </c>
      <c r="F1039" s="62">
        <v>46017.583333333336</v>
      </c>
      <c r="G1039" s="63">
        <f>F1039-E1039</f>
        <v>0.37013888889487134</v>
      </c>
      <c r="H1039" s="61" t="s">
        <v>248</v>
      </c>
      <c r="I1039" s="61"/>
      <c r="J1039" s="61" t="s">
        <v>249</v>
      </c>
      <c r="K1039" s="61" t="s">
        <v>349</v>
      </c>
      <c r="L1039" s="61" t="s">
        <v>868</v>
      </c>
      <c r="M1039" s="61" t="s">
        <v>251</v>
      </c>
      <c r="N1039" s="61" t="s">
        <v>252</v>
      </c>
      <c r="O1039" s="61" t="s">
        <v>676</v>
      </c>
      <c r="P1039" s="61" t="str">
        <f t="shared" si="54"/>
        <v>BC Formoso2.2Inverter(MBUS-14)46017,213194444446017,213194444446017,5833333333</v>
      </c>
      <c r="Q1039" s="61" t="str">
        <f t="shared" si="55"/>
        <v>DAURDE</v>
      </c>
    </row>
    <row r="1040" spans="1:17" hidden="1">
      <c r="A1040" s="45"/>
      <c r="B1040" s="61" t="s">
        <v>424</v>
      </c>
      <c r="C1040" s="61" t="s">
        <v>357</v>
      </c>
      <c r="D1040" s="62">
        <v>46017.213194444441</v>
      </c>
      <c r="E1040" s="62">
        <v>46017.213194444441</v>
      </c>
      <c r="F1040" s="62">
        <v>46017.583333333336</v>
      </c>
      <c r="G1040" s="63">
        <f>F1040-E1040</f>
        <v>0.37013888889487134</v>
      </c>
      <c r="H1040" s="61" t="s">
        <v>248</v>
      </c>
      <c r="I1040" s="61"/>
      <c r="J1040" s="61" t="s">
        <v>249</v>
      </c>
      <c r="K1040" s="61" t="s">
        <v>349</v>
      </c>
      <c r="L1040" s="61" t="s">
        <v>868</v>
      </c>
      <c r="M1040" s="61" t="s">
        <v>251</v>
      </c>
      <c r="N1040" s="61" t="s">
        <v>252</v>
      </c>
      <c r="O1040" s="61" t="s">
        <v>676</v>
      </c>
      <c r="P1040" s="61" t="str">
        <f t="shared" si="54"/>
        <v>BC Formoso2.2Inverter(MBUS-13)46017,213194444446017,213194444446017,5833333333</v>
      </c>
      <c r="Q1040" s="61" t="str">
        <f t="shared" si="55"/>
        <v>DAURDE</v>
      </c>
    </row>
    <row r="1041" spans="1:17" hidden="1">
      <c r="A1041" s="45"/>
      <c r="B1041" s="61" t="s">
        <v>424</v>
      </c>
      <c r="C1041" s="61" t="s">
        <v>354</v>
      </c>
      <c r="D1041" s="62">
        <v>46017.213194444441</v>
      </c>
      <c r="E1041" s="62">
        <v>46017.213194444441</v>
      </c>
      <c r="F1041" s="62">
        <v>46017.583333333336</v>
      </c>
      <c r="G1041" s="63">
        <f>F1041-E1041</f>
        <v>0.37013888889487134</v>
      </c>
      <c r="H1041" s="61" t="s">
        <v>248</v>
      </c>
      <c r="I1041" s="61"/>
      <c r="J1041" s="61" t="s">
        <v>249</v>
      </c>
      <c r="K1041" s="61" t="s">
        <v>349</v>
      </c>
      <c r="L1041" s="61" t="s">
        <v>868</v>
      </c>
      <c r="M1041" s="61" t="s">
        <v>251</v>
      </c>
      <c r="N1041" s="61" t="s">
        <v>252</v>
      </c>
      <c r="O1041" s="61" t="s">
        <v>676</v>
      </c>
      <c r="P1041" s="61" t="str">
        <f t="shared" si="54"/>
        <v>BC Formoso2.2Inverter(MBUS-12)46017,213194444446017,213194444446017,5833333333</v>
      </c>
      <c r="Q1041" s="61" t="str">
        <f t="shared" si="55"/>
        <v>DAURDE</v>
      </c>
    </row>
    <row r="1042" spans="1:17" hidden="1">
      <c r="A1042" s="45"/>
      <c r="B1042" s="61" t="s">
        <v>424</v>
      </c>
      <c r="C1042" s="61" t="s">
        <v>328</v>
      </c>
      <c r="D1042" s="62">
        <v>46017.213194444441</v>
      </c>
      <c r="E1042" s="62">
        <v>46017.213194444441</v>
      </c>
      <c r="F1042" s="62">
        <v>46017.583333333336</v>
      </c>
      <c r="G1042" s="63">
        <f>F1042-E1042</f>
        <v>0.37013888889487134</v>
      </c>
      <c r="H1042" s="61" t="s">
        <v>248</v>
      </c>
      <c r="I1042" s="61"/>
      <c r="J1042" s="61" t="s">
        <v>249</v>
      </c>
      <c r="K1042" s="61" t="s">
        <v>349</v>
      </c>
      <c r="L1042" s="61" t="s">
        <v>868</v>
      </c>
      <c r="M1042" s="61" t="s">
        <v>251</v>
      </c>
      <c r="N1042" s="61" t="s">
        <v>252</v>
      </c>
      <c r="O1042" s="61" t="s">
        <v>676</v>
      </c>
      <c r="P1042" s="61" t="str">
        <f t="shared" si="54"/>
        <v>BC Formoso2.2Inverter(MBUS-1)46017,213194444446017,213194444446017,5833333333</v>
      </c>
      <c r="Q1042" s="61" t="str">
        <f t="shared" si="55"/>
        <v>DAURDE</v>
      </c>
    </row>
    <row r="1043" spans="1:17" hidden="1">
      <c r="A1043" s="45"/>
      <c r="B1043" s="61" t="s">
        <v>425</v>
      </c>
      <c r="C1043" s="61" t="s">
        <v>357</v>
      </c>
      <c r="D1043" s="62">
        <v>46017.213194444441</v>
      </c>
      <c r="E1043" s="62">
        <v>46017.213194444441</v>
      </c>
      <c r="F1043" s="62">
        <v>46017.583333333336</v>
      </c>
      <c r="G1043" s="63">
        <f>F1043-E1043</f>
        <v>0.37013888889487134</v>
      </c>
      <c r="H1043" s="61" t="s">
        <v>248</v>
      </c>
      <c r="I1043" s="61"/>
      <c r="J1043" s="61" t="s">
        <v>249</v>
      </c>
      <c r="K1043" s="61" t="s">
        <v>349</v>
      </c>
      <c r="L1043" s="61" t="s">
        <v>868</v>
      </c>
      <c r="M1043" s="61" t="s">
        <v>251</v>
      </c>
      <c r="N1043" s="61" t="s">
        <v>252</v>
      </c>
      <c r="O1043" s="61" t="s">
        <v>676</v>
      </c>
      <c r="P1043" s="61" t="str">
        <f t="shared" si="54"/>
        <v>BC Formoso2.3Inverter(MBUS-13)46017,213194444446017,213194444446017,5833333333</v>
      </c>
      <c r="Q1043" s="61" t="str">
        <f t="shared" si="55"/>
        <v>DAURDE</v>
      </c>
    </row>
    <row r="1044" spans="1:17" hidden="1">
      <c r="A1044" s="45"/>
      <c r="B1044" s="61" t="s">
        <v>425</v>
      </c>
      <c r="C1044" s="61" t="s">
        <v>354</v>
      </c>
      <c r="D1044" s="62">
        <v>46017.213194444441</v>
      </c>
      <c r="E1044" s="62">
        <v>46017.213194444441</v>
      </c>
      <c r="F1044" s="62">
        <v>46017.583333333336</v>
      </c>
      <c r="G1044" s="63">
        <f>F1044-E1044</f>
        <v>0.37013888889487134</v>
      </c>
      <c r="H1044" s="61" t="s">
        <v>248</v>
      </c>
      <c r="I1044" s="61"/>
      <c r="J1044" s="61" t="s">
        <v>249</v>
      </c>
      <c r="K1044" s="61" t="s">
        <v>349</v>
      </c>
      <c r="L1044" s="61" t="s">
        <v>868</v>
      </c>
      <c r="M1044" s="61" t="s">
        <v>251</v>
      </c>
      <c r="N1044" s="61" t="s">
        <v>252</v>
      </c>
      <c r="O1044" s="61" t="s">
        <v>676</v>
      </c>
      <c r="P1044" s="61" t="str">
        <f t="shared" si="54"/>
        <v>BC Formoso2.3Inverter(MBUS-12)46017,213194444446017,213194444446017,5833333333</v>
      </c>
      <c r="Q1044" s="61" t="str">
        <f t="shared" si="55"/>
        <v>DAURDE</v>
      </c>
    </row>
    <row r="1045" spans="1:17" hidden="1">
      <c r="B1045" s="1" t="s">
        <v>782</v>
      </c>
      <c r="C1045" s="1" t="s">
        <v>783</v>
      </c>
      <c r="D1045" s="52">
        <v>45998.277777777781</v>
      </c>
      <c r="E1045" s="52">
        <v>45998.277777777781</v>
      </c>
      <c r="F1045" s="52">
        <v>45998.290277777778</v>
      </c>
      <c r="G1045" s="53">
        <f>F1045-E1045</f>
        <v>1.2499999997089617E-2</v>
      </c>
      <c r="H1045" s="1" t="s">
        <v>248</v>
      </c>
      <c r="J1045" s="1" t="s">
        <v>249</v>
      </c>
      <c r="K1045" s="1" t="s">
        <v>349</v>
      </c>
      <c r="L1045" s="1" t="s">
        <v>865</v>
      </c>
      <c r="M1045" s="1" t="s">
        <v>251</v>
      </c>
      <c r="N1045" s="1" t="s">
        <v>252</v>
      </c>
      <c r="O1045" s="1" t="s">
        <v>723</v>
      </c>
      <c r="P1045" s="1" t="str">
        <f t="shared" si="54"/>
        <v>Rio Monte IIISG60KTL(COM1-008)_001_01645998,277777777845998,277777777845998,2902777778</v>
      </c>
      <c r="Q1045" s="1" t="str">
        <f t="shared" si="55"/>
        <v>DAURDE</v>
      </c>
    </row>
    <row r="1046" spans="1:17" hidden="1">
      <c r="B1046" s="1" t="s">
        <v>782</v>
      </c>
      <c r="C1046" s="1" t="s">
        <v>784</v>
      </c>
      <c r="D1046" s="52">
        <v>45998.277777777781</v>
      </c>
      <c r="E1046" s="52">
        <v>45998.277777777781</v>
      </c>
      <c r="F1046" s="52">
        <v>45998.290277777778</v>
      </c>
      <c r="G1046" s="53">
        <f t="shared" ref="G1046:G1109" si="57">F1046-E1046</f>
        <v>1.2499999997089617E-2</v>
      </c>
      <c r="H1046" s="1" t="s">
        <v>248</v>
      </c>
      <c r="J1046" s="1" t="s">
        <v>249</v>
      </c>
      <c r="K1046" s="1" t="s">
        <v>349</v>
      </c>
      <c r="L1046" s="1" t="s">
        <v>865</v>
      </c>
      <c r="M1046" s="1" t="s">
        <v>251</v>
      </c>
      <c r="N1046" s="1" t="s">
        <v>252</v>
      </c>
      <c r="O1046" s="1" t="s">
        <v>723</v>
      </c>
      <c r="P1046" s="1" t="str">
        <f t="shared" si="54"/>
        <v>Rio Monte IIISG60KTL(COM1-009)_001_01045998,277777777845998,277777777845998,2902777778</v>
      </c>
      <c r="Q1046" s="1" t="str">
        <f t="shared" si="55"/>
        <v>DAURDE</v>
      </c>
    </row>
    <row r="1047" spans="1:17" hidden="1">
      <c r="B1047" s="1" t="s">
        <v>782</v>
      </c>
      <c r="C1047" s="1" t="s">
        <v>785</v>
      </c>
      <c r="D1047" s="52">
        <v>45998.277777777781</v>
      </c>
      <c r="E1047" s="52">
        <v>45998.277777777781</v>
      </c>
      <c r="F1047" s="52">
        <v>45998.290277777778</v>
      </c>
      <c r="G1047" s="53">
        <f t="shared" si="57"/>
        <v>1.2499999997089617E-2</v>
      </c>
      <c r="H1047" s="1" t="s">
        <v>248</v>
      </c>
      <c r="J1047" s="1" t="s">
        <v>249</v>
      </c>
      <c r="K1047" s="1" t="s">
        <v>349</v>
      </c>
      <c r="L1047" s="1" t="s">
        <v>865</v>
      </c>
      <c r="M1047" s="1" t="s">
        <v>251</v>
      </c>
      <c r="N1047" s="1" t="s">
        <v>252</v>
      </c>
      <c r="O1047" s="1" t="s">
        <v>723</v>
      </c>
      <c r="P1047" s="1" t="str">
        <f t="shared" si="54"/>
        <v>Rio Monte IIISG60KTL(COM1-010)_001_01245998,277777777845998,277777777845998,2902777778</v>
      </c>
      <c r="Q1047" s="1" t="str">
        <f t="shared" si="55"/>
        <v>DAURDE</v>
      </c>
    </row>
    <row r="1048" spans="1:17" hidden="1">
      <c r="B1048" s="1" t="s">
        <v>782</v>
      </c>
      <c r="C1048" s="1" t="s">
        <v>786</v>
      </c>
      <c r="D1048" s="52">
        <v>45998.277777777781</v>
      </c>
      <c r="E1048" s="52">
        <v>45998.277777777781</v>
      </c>
      <c r="F1048" s="52">
        <v>45998.290277777778</v>
      </c>
      <c r="G1048" s="53">
        <f t="shared" si="57"/>
        <v>1.2499999997089617E-2</v>
      </c>
      <c r="H1048" s="1" t="s">
        <v>248</v>
      </c>
      <c r="J1048" s="1" t="s">
        <v>249</v>
      </c>
      <c r="K1048" s="1" t="s">
        <v>349</v>
      </c>
      <c r="L1048" s="1" t="s">
        <v>865</v>
      </c>
      <c r="M1048" s="1" t="s">
        <v>251</v>
      </c>
      <c r="N1048" s="1" t="s">
        <v>252</v>
      </c>
      <c r="O1048" s="1" t="s">
        <v>723</v>
      </c>
      <c r="P1048" s="1" t="str">
        <f t="shared" si="54"/>
        <v>Rio Monte IIISG60KTL(COM1-011)_001_00245998,277777777845998,277777777845998,2902777778</v>
      </c>
      <c r="Q1048" s="1" t="str">
        <f t="shared" si="55"/>
        <v>DAURDE</v>
      </c>
    </row>
    <row r="1049" spans="1:17" hidden="1">
      <c r="B1049" s="1" t="s">
        <v>782</v>
      </c>
      <c r="C1049" s="1" t="s">
        <v>787</v>
      </c>
      <c r="D1049" s="52">
        <v>45998.277777777781</v>
      </c>
      <c r="E1049" s="52">
        <v>45998.277777777781</v>
      </c>
      <c r="F1049" s="52">
        <v>45998.290277777778</v>
      </c>
      <c r="G1049" s="53">
        <f t="shared" si="57"/>
        <v>1.2499999997089617E-2</v>
      </c>
      <c r="H1049" s="1" t="s">
        <v>248</v>
      </c>
      <c r="J1049" s="1" t="s">
        <v>249</v>
      </c>
      <c r="K1049" s="1" t="s">
        <v>349</v>
      </c>
      <c r="L1049" s="1" t="s">
        <v>865</v>
      </c>
      <c r="M1049" s="1" t="s">
        <v>251</v>
      </c>
      <c r="N1049" s="1" t="s">
        <v>252</v>
      </c>
      <c r="O1049" s="1" t="s">
        <v>723</v>
      </c>
      <c r="P1049" s="1" t="str">
        <f t="shared" si="54"/>
        <v>Rio Monte IIISG60KTL(COM1-012)_001_01545998,277777777845998,277777777845998,2902777778</v>
      </c>
      <c r="Q1049" s="1" t="str">
        <f t="shared" si="55"/>
        <v>DAURDE</v>
      </c>
    </row>
    <row r="1050" spans="1:17" hidden="1">
      <c r="B1050" s="1" t="s">
        <v>782</v>
      </c>
      <c r="C1050" s="1" t="s">
        <v>788</v>
      </c>
      <c r="D1050" s="52">
        <v>45998.277777777781</v>
      </c>
      <c r="E1050" s="52">
        <v>45998.277777777781</v>
      </c>
      <c r="F1050" s="52">
        <v>45998.290277777778</v>
      </c>
      <c r="G1050" s="53">
        <f t="shared" si="57"/>
        <v>1.2499999997089617E-2</v>
      </c>
      <c r="H1050" s="1" t="s">
        <v>248</v>
      </c>
      <c r="J1050" s="1" t="s">
        <v>249</v>
      </c>
      <c r="K1050" s="1" t="s">
        <v>349</v>
      </c>
      <c r="L1050" s="1" t="s">
        <v>865</v>
      </c>
      <c r="M1050" s="1" t="s">
        <v>251</v>
      </c>
      <c r="N1050" s="1" t="s">
        <v>252</v>
      </c>
      <c r="O1050" s="1" t="s">
        <v>723</v>
      </c>
      <c r="P1050" s="1" t="str">
        <f t="shared" ref="P1050:P1113" si="58">_xlfn.CONCAT(B1050,C1050,D1050,E1050,F1050)</f>
        <v>Rio Monte IIISG60KTL(COM1-013)_001_00345998,277777777845998,277777777845998,2902777778</v>
      </c>
      <c r="Q1050" s="1" t="str">
        <f t="shared" ref="Q1050:Q1113" si="59">_xlfn.CONCAT(H1050,I1050,J1050)</f>
        <v>DAURDE</v>
      </c>
    </row>
    <row r="1051" spans="1:17" hidden="1">
      <c r="B1051" s="1" t="s">
        <v>782</v>
      </c>
      <c r="C1051" s="1" t="s">
        <v>789</v>
      </c>
      <c r="D1051" s="52">
        <v>45998.277777777781</v>
      </c>
      <c r="E1051" s="52">
        <v>45998.277777777781</v>
      </c>
      <c r="F1051" s="52">
        <v>45998.290277777778</v>
      </c>
      <c r="G1051" s="53">
        <f t="shared" si="57"/>
        <v>1.2499999997089617E-2</v>
      </c>
      <c r="H1051" s="1" t="s">
        <v>248</v>
      </c>
      <c r="J1051" s="1" t="s">
        <v>249</v>
      </c>
      <c r="K1051" s="1" t="s">
        <v>349</v>
      </c>
      <c r="L1051" s="1" t="s">
        <v>865</v>
      </c>
      <c r="M1051" s="1" t="s">
        <v>251</v>
      </c>
      <c r="N1051" s="1" t="s">
        <v>252</v>
      </c>
      <c r="O1051" s="1" t="s">
        <v>723</v>
      </c>
      <c r="P1051" s="1" t="str">
        <f t="shared" si="58"/>
        <v>Rio Monte IIISG60KTL(COM1-014)_001_00445998,277777777845998,277777777845998,2902777778</v>
      </c>
      <c r="Q1051" s="1" t="str">
        <f t="shared" si="59"/>
        <v>DAURDE</v>
      </c>
    </row>
    <row r="1052" spans="1:17" hidden="1">
      <c r="B1052" s="1" t="s">
        <v>782</v>
      </c>
      <c r="C1052" s="1" t="s">
        <v>790</v>
      </c>
      <c r="D1052" s="52">
        <v>45998.277777777781</v>
      </c>
      <c r="E1052" s="52">
        <v>45998.277777777781</v>
      </c>
      <c r="F1052" s="52">
        <v>45998.290277777778</v>
      </c>
      <c r="G1052" s="53">
        <f t="shared" si="57"/>
        <v>1.2499999997089617E-2</v>
      </c>
      <c r="H1052" s="1" t="s">
        <v>248</v>
      </c>
      <c r="J1052" s="1" t="s">
        <v>249</v>
      </c>
      <c r="K1052" s="1" t="s">
        <v>349</v>
      </c>
      <c r="L1052" s="1" t="s">
        <v>865</v>
      </c>
      <c r="M1052" s="1" t="s">
        <v>251</v>
      </c>
      <c r="N1052" s="1" t="s">
        <v>252</v>
      </c>
      <c r="O1052" s="1" t="s">
        <v>723</v>
      </c>
      <c r="P1052" s="1" t="str">
        <f t="shared" si="58"/>
        <v>Rio Monte IIISG60KTL(COM1-015)_001_01345998,277777777845998,277777777845998,2902777778</v>
      </c>
      <c r="Q1052" s="1" t="str">
        <f t="shared" si="59"/>
        <v>DAURDE</v>
      </c>
    </row>
    <row r="1053" spans="1:17" hidden="1">
      <c r="B1053" s="1" t="s">
        <v>782</v>
      </c>
      <c r="C1053" s="1" t="s">
        <v>791</v>
      </c>
      <c r="D1053" s="52">
        <v>45998.277777777781</v>
      </c>
      <c r="E1053" s="52">
        <v>45998.277777777781</v>
      </c>
      <c r="F1053" s="52">
        <v>45998.290277777778</v>
      </c>
      <c r="G1053" s="53">
        <f t="shared" si="57"/>
        <v>1.2499999997089617E-2</v>
      </c>
      <c r="H1053" s="1" t="s">
        <v>248</v>
      </c>
      <c r="J1053" s="1" t="s">
        <v>249</v>
      </c>
      <c r="K1053" s="1" t="s">
        <v>349</v>
      </c>
      <c r="L1053" s="1" t="s">
        <v>865</v>
      </c>
      <c r="M1053" s="1" t="s">
        <v>251</v>
      </c>
      <c r="N1053" s="1" t="s">
        <v>252</v>
      </c>
      <c r="O1053" s="1" t="s">
        <v>723</v>
      </c>
      <c r="P1053" s="1" t="str">
        <f t="shared" si="58"/>
        <v>Rio Monte IIISG60KTL(COM1-016)_001_01445998,277777777845998,277777777845998,2902777778</v>
      </c>
      <c r="Q1053" s="1" t="str">
        <f t="shared" si="59"/>
        <v>DAURDE</v>
      </c>
    </row>
    <row r="1054" spans="1:17" hidden="1">
      <c r="B1054" s="1" t="s">
        <v>782</v>
      </c>
      <c r="C1054" s="1" t="s">
        <v>792</v>
      </c>
      <c r="D1054" s="52">
        <v>45998.277777777781</v>
      </c>
      <c r="E1054" s="52">
        <v>45998.277777777781</v>
      </c>
      <c r="F1054" s="52">
        <v>45998.290277777778</v>
      </c>
      <c r="G1054" s="53">
        <f t="shared" si="57"/>
        <v>1.2499999997089617E-2</v>
      </c>
      <c r="H1054" s="1" t="s">
        <v>248</v>
      </c>
      <c r="J1054" s="1" t="s">
        <v>249</v>
      </c>
      <c r="K1054" s="1" t="s">
        <v>349</v>
      </c>
      <c r="L1054" s="1" t="s">
        <v>865</v>
      </c>
      <c r="M1054" s="1" t="s">
        <v>251</v>
      </c>
      <c r="N1054" s="1" t="s">
        <v>252</v>
      </c>
      <c r="O1054" s="1" t="s">
        <v>723</v>
      </c>
      <c r="P1054" s="1" t="str">
        <f t="shared" si="58"/>
        <v>Rio Monte IIISG60KTL(COM1-017)_001_00845998,277777777845998,277777777845998,2902777778</v>
      </c>
      <c r="Q1054" s="1" t="str">
        <f t="shared" si="59"/>
        <v>DAURDE</v>
      </c>
    </row>
    <row r="1055" spans="1:17" hidden="1">
      <c r="B1055" s="1" t="s">
        <v>869</v>
      </c>
      <c r="C1055" s="1" t="s">
        <v>747</v>
      </c>
      <c r="D1055" s="52">
        <v>45999.240972222222</v>
      </c>
      <c r="E1055" s="52">
        <v>45999.240972222222</v>
      </c>
      <c r="F1055" s="52">
        <v>45999.246527777781</v>
      </c>
      <c r="G1055" s="53">
        <f t="shared" si="57"/>
        <v>5.5555555591126904E-3</v>
      </c>
      <c r="H1055" s="1" t="s">
        <v>248</v>
      </c>
      <c r="J1055" s="1" t="s">
        <v>249</v>
      </c>
      <c r="K1055" s="1" t="s">
        <v>349</v>
      </c>
      <c r="L1055" s="1" t="s">
        <v>865</v>
      </c>
      <c r="M1055" s="1" t="s">
        <v>251</v>
      </c>
      <c r="N1055" s="1" t="s">
        <v>252</v>
      </c>
      <c r="O1055" s="1" t="s">
        <v>723</v>
      </c>
      <c r="P1055" s="1" t="str">
        <f t="shared" si="58"/>
        <v>Rio Bonito ISG36KTL-M-17_001_01745999,240972222245999,240972222245999,2465277778</v>
      </c>
      <c r="Q1055" s="1" t="str">
        <f t="shared" si="59"/>
        <v>DAURDE</v>
      </c>
    </row>
    <row r="1056" spans="1:17" hidden="1">
      <c r="B1056" s="1" t="s">
        <v>869</v>
      </c>
      <c r="C1056" s="1" t="s">
        <v>748</v>
      </c>
      <c r="D1056" s="52">
        <v>45999.240972222222</v>
      </c>
      <c r="E1056" s="52">
        <v>45999.240972222222</v>
      </c>
      <c r="F1056" s="52">
        <v>45999.246527777781</v>
      </c>
      <c r="G1056" s="53">
        <f t="shared" si="57"/>
        <v>5.5555555591126904E-3</v>
      </c>
      <c r="H1056" s="1" t="s">
        <v>248</v>
      </c>
      <c r="J1056" s="1" t="s">
        <v>249</v>
      </c>
      <c r="K1056" s="1" t="s">
        <v>349</v>
      </c>
      <c r="L1056" s="1" t="s">
        <v>865</v>
      </c>
      <c r="M1056" s="1" t="s">
        <v>251</v>
      </c>
      <c r="N1056" s="1" t="s">
        <v>252</v>
      </c>
      <c r="O1056" s="1" t="s">
        <v>723</v>
      </c>
      <c r="P1056" s="1" t="str">
        <f t="shared" si="58"/>
        <v>Rio Bonito ISG60KTL-10_001_01045999,240972222245999,240972222245999,2465277778</v>
      </c>
      <c r="Q1056" s="1" t="str">
        <f t="shared" si="59"/>
        <v>DAURDE</v>
      </c>
    </row>
    <row r="1057" spans="2:17" hidden="1">
      <c r="B1057" s="1" t="s">
        <v>869</v>
      </c>
      <c r="C1057" s="1" t="s">
        <v>749</v>
      </c>
      <c r="D1057" s="52">
        <v>45999.240972222222</v>
      </c>
      <c r="E1057" s="52">
        <v>45999.240972222222</v>
      </c>
      <c r="F1057" s="52">
        <v>45999.246527777781</v>
      </c>
      <c r="G1057" s="53">
        <f t="shared" si="57"/>
        <v>5.5555555591126904E-3</v>
      </c>
      <c r="H1057" s="1" t="s">
        <v>248</v>
      </c>
      <c r="J1057" s="1" t="s">
        <v>249</v>
      </c>
      <c r="K1057" s="1" t="s">
        <v>349</v>
      </c>
      <c r="L1057" s="1" t="s">
        <v>865</v>
      </c>
      <c r="M1057" s="1" t="s">
        <v>251</v>
      </c>
      <c r="N1057" s="1" t="s">
        <v>252</v>
      </c>
      <c r="O1057" s="1" t="s">
        <v>723</v>
      </c>
      <c r="P1057" s="1" t="str">
        <f t="shared" si="58"/>
        <v>Rio Bonito ISG60KTL-11_001_01145999,240972222245999,240972222245999,2465277778</v>
      </c>
      <c r="Q1057" s="1" t="str">
        <f t="shared" si="59"/>
        <v>DAURDE</v>
      </c>
    </row>
    <row r="1058" spans="2:17" hidden="1">
      <c r="B1058" s="1" t="s">
        <v>869</v>
      </c>
      <c r="C1058" s="1" t="s">
        <v>750</v>
      </c>
      <c r="D1058" s="52">
        <v>45999.240972222222</v>
      </c>
      <c r="E1058" s="52">
        <v>45999.240972222222</v>
      </c>
      <c r="F1058" s="52">
        <v>45999.246527777781</v>
      </c>
      <c r="G1058" s="53">
        <f t="shared" si="57"/>
        <v>5.5555555591126904E-3</v>
      </c>
      <c r="H1058" s="1" t="s">
        <v>248</v>
      </c>
      <c r="J1058" s="1" t="s">
        <v>249</v>
      </c>
      <c r="K1058" s="1" t="s">
        <v>349</v>
      </c>
      <c r="L1058" s="1" t="s">
        <v>865</v>
      </c>
      <c r="M1058" s="1" t="s">
        <v>251</v>
      </c>
      <c r="N1058" s="1" t="s">
        <v>252</v>
      </c>
      <c r="O1058" s="1" t="s">
        <v>723</v>
      </c>
      <c r="P1058" s="1" t="str">
        <f t="shared" si="58"/>
        <v>Rio Bonito ISG60KTL-12_001_01245999,240972222245999,240972222245999,2465277778</v>
      </c>
      <c r="Q1058" s="1" t="str">
        <f t="shared" si="59"/>
        <v>DAURDE</v>
      </c>
    </row>
    <row r="1059" spans="2:17" hidden="1">
      <c r="B1059" s="1" t="s">
        <v>869</v>
      </c>
      <c r="C1059" s="1" t="s">
        <v>751</v>
      </c>
      <c r="D1059" s="52">
        <v>45999.240972222222</v>
      </c>
      <c r="E1059" s="52">
        <v>45999.240972222222</v>
      </c>
      <c r="F1059" s="52">
        <v>45999.246527777781</v>
      </c>
      <c r="G1059" s="53">
        <f t="shared" si="57"/>
        <v>5.5555555591126904E-3</v>
      </c>
      <c r="H1059" s="1" t="s">
        <v>248</v>
      </c>
      <c r="J1059" s="1" t="s">
        <v>249</v>
      </c>
      <c r="K1059" s="1" t="s">
        <v>349</v>
      </c>
      <c r="L1059" s="1" t="s">
        <v>865</v>
      </c>
      <c r="M1059" s="1" t="s">
        <v>251</v>
      </c>
      <c r="N1059" s="1" t="s">
        <v>252</v>
      </c>
      <c r="O1059" s="1" t="s">
        <v>723</v>
      </c>
      <c r="P1059" s="1" t="str">
        <f t="shared" si="58"/>
        <v>Rio Bonito ISG60KTL-13_001_01345999,240972222245999,240972222245999,2465277778</v>
      </c>
      <c r="Q1059" s="1" t="str">
        <f t="shared" si="59"/>
        <v>DAURDE</v>
      </c>
    </row>
    <row r="1060" spans="2:17" hidden="1">
      <c r="B1060" s="1" t="s">
        <v>869</v>
      </c>
      <c r="C1060" s="1" t="s">
        <v>752</v>
      </c>
      <c r="D1060" s="52">
        <v>45999.240972222222</v>
      </c>
      <c r="E1060" s="52">
        <v>45999.240972222222</v>
      </c>
      <c r="F1060" s="52">
        <v>45999.246527777781</v>
      </c>
      <c r="G1060" s="53">
        <f t="shared" si="57"/>
        <v>5.5555555591126904E-3</v>
      </c>
      <c r="H1060" s="1" t="s">
        <v>248</v>
      </c>
      <c r="J1060" s="1" t="s">
        <v>249</v>
      </c>
      <c r="K1060" s="1" t="s">
        <v>349</v>
      </c>
      <c r="L1060" s="1" t="s">
        <v>865</v>
      </c>
      <c r="M1060" s="1" t="s">
        <v>251</v>
      </c>
      <c r="N1060" s="1" t="s">
        <v>252</v>
      </c>
      <c r="O1060" s="1" t="s">
        <v>723</v>
      </c>
      <c r="P1060" s="1" t="str">
        <f t="shared" si="58"/>
        <v>Rio Bonito ISG60KTL-14_001_01445999,240972222245999,240972222245999,2465277778</v>
      </c>
      <c r="Q1060" s="1" t="str">
        <f t="shared" si="59"/>
        <v>DAURDE</v>
      </c>
    </row>
    <row r="1061" spans="2:17" hidden="1">
      <c r="B1061" s="1" t="s">
        <v>869</v>
      </c>
      <c r="C1061" s="1" t="s">
        <v>753</v>
      </c>
      <c r="D1061" s="52">
        <v>45999.240972222222</v>
      </c>
      <c r="E1061" s="52">
        <v>45999.240972222222</v>
      </c>
      <c r="F1061" s="52">
        <v>45999.246527777781</v>
      </c>
      <c r="G1061" s="53">
        <f t="shared" si="57"/>
        <v>5.5555555591126904E-3</v>
      </c>
      <c r="H1061" s="1" t="s">
        <v>248</v>
      </c>
      <c r="J1061" s="1" t="s">
        <v>249</v>
      </c>
      <c r="K1061" s="1" t="s">
        <v>349</v>
      </c>
      <c r="L1061" s="1" t="s">
        <v>865</v>
      </c>
      <c r="M1061" s="1" t="s">
        <v>251</v>
      </c>
      <c r="N1061" s="1" t="s">
        <v>252</v>
      </c>
      <c r="O1061" s="1" t="s">
        <v>723</v>
      </c>
      <c r="P1061" s="1" t="str">
        <f t="shared" si="58"/>
        <v>Rio Bonito ISG60KTL-15_001_01545999,240972222245999,240972222245999,2465277778</v>
      </c>
      <c r="Q1061" s="1" t="str">
        <f t="shared" si="59"/>
        <v>DAURDE</v>
      </c>
    </row>
    <row r="1062" spans="2:17" hidden="1">
      <c r="B1062" s="1" t="s">
        <v>869</v>
      </c>
      <c r="C1062" s="1" t="s">
        <v>754</v>
      </c>
      <c r="D1062" s="52">
        <v>45999.240972222222</v>
      </c>
      <c r="E1062" s="52">
        <v>45999.240972222222</v>
      </c>
      <c r="F1062" s="52">
        <v>45999.246527777781</v>
      </c>
      <c r="G1062" s="53">
        <f t="shared" si="57"/>
        <v>5.5555555591126904E-3</v>
      </c>
      <c r="H1062" s="1" t="s">
        <v>248</v>
      </c>
      <c r="J1062" s="1" t="s">
        <v>249</v>
      </c>
      <c r="K1062" s="1" t="s">
        <v>349</v>
      </c>
      <c r="L1062" s="1" t="s">
        <v>865</v>
      </c>
      <c r="M1062" s="1" t="s">
        <v>251</v>
      </c>
      <c r="N1062" s="1" t="s">
        <v>252</v>
      </c>
      <c r="O1062" s="1" t="s">
        <v>723</v>
      </c>
      <c r="P1062" s="1" t="str">
        <f t="shared" si="58"/>
        <v>Rio Bonito ISG60KTL-16_001_01645999,240972222245999,240972222245999,2465277778</v>
      </c>
      <c r="Q1062" s="1" t="str">
        <f t="shared" si="59"/>
        <v>DAURDE</v>
      </c>
    </row>
    <row r="1063" spans="2:17" hidden="1">
      <c r="B1063" s="1" t="s">
        <v>869</v>
      </c>
      <c r="C1063" s="1" t="s">
        <v>755</v>
      </c>
      <c r="D1063" s="52">
        <v>45999.240972222222</v>
      </c>
      <c r="E1063" s="52">
        <v>45999.240972222222</v>
      </c>
      <c r="F1063" s="52">
        <v>45999.246527777781</v>
      </c>
      <c r="G1063" s="53">
        <f t="shared" si="57"/>
        <v>5.5555555591126904E-3</v>
      </c>
      <c r="H1063" s="1" t="s">
        <v>248</v>
      </c>
      <c r="J1063" s="1" t="s">
        <v>249</v>
      </c>
      <c r="K1063" s="1" t="s">
        <v>349</v>
      </c>
      <c r="L1063" s="1" t="s">
        <v>865</v>
      </c>
      <c r="M1063" s="1" t="s">
        <v>251</v>
      </c>
      <c r="N1063" s="1" t="s">
        <v>252</v>
      </c>
      <c r="O1063" s="1" t="s">
        <v>723</v>
      </c>
      <c r="P1063" s="1" t="str">
        <f t="shared" si="58"/>
        <v>Rio Bonito ISG60KTL-1_001_00145999,240972222245999,240972222245999,2465277778</v>
      </c>
      <c r="Q1063" s="1" t="str">
        <f t="shared" si="59"/>
        <v>DAURDE</v>
      </c>
    </row>
    <row r="1064" spans="2:17" hidden="1">
      <c r="B1064" s="1" t="s">
        <v>869</v>
      </c>
      <c r="C1064" s="1" t="s">
        <v>756</v>
      </c>
      <c r="D1064" s="52">
        <v>45999.240972222222</v>
      </c>
      <c r="E1064" s="52">
        <v>45999.240972222222</v>
      </c>
      <c r="F1064" s="52">
        <v>45999.246527777781</v>
      </c>
      <c r="G1064" s="53">
        <f t="shared" si="57"/>
        <v>5.5555555591126904E-3</v>
      </c>
      <c r="H1064" s="1" t="s">
        <v>248</v>
      </c>
      <c r="J1064" s="1" t="s">
        <v>249</v>
      </c>
      <c r="K1064" s="1" t="s">
        <v>349</v>
      </c>
      <c r="L1064" s="1" t="s">
        <v>865</v>
      </c>
      <c r="M1064" s="1" t="s">
        <v>251</v>
      </c>
      <c r="N1064" s="1" t="s">
        <v>252</v>
      </c>
      <c r="O1064" s="1" t="s">
        <v>723</v>
      </c>
      <c r="P1064" s="1" t="str">
        <f t="shared" si="58"/>
        <v>Rio Bonito ISG60KTL-2_001_00245999,240972222245999,240972222245999,2465277778</v>
      </c>
      <c r="Q1064" s="1" t="str">
        <f t="shared" si="59"/>
        <v>DAURDE</v>
      </c>
    </row>
    <row r="1065" spans="2:17" hidden="1">
      <c r="B1065" s="1" t="s">
        <v>869</v>
      </c>
      <c r="C1065" s="1" t="s">
        <v>757</v>
      </c>
      <c r="D1065" s="52">
        <v>45999.240972222222</v>
      </c>
      <c r="E1065" s="52">
        <v>45999.240972222222</v>
      </c>
      <c r="F1065" s="52">
        <v>45999.246527777781</v>
      </c>
      <c r="G1065" s="53">
        <f t="shared" si="57"/>
        <v>5.5555555591126904E-3</v>
      </c>
      <c r="H1065" s="1" t="s">
        <v>248</v>
      </c>
      <c r="J1065" s="1" t="s">
        <v>249</v>
      </c>
      <c r="K1065" s="1" t="str">
        <f>_xlfn.XLOOKUP(J1065,REF!$D$2:$D$12,REF!$E$2:$E$12)</f>
        <v>Rede</v>
      </c>
      <c r="L1065" s="1" t="s">
        <v>865</v>
      </c>
      <c r="M1065" s="1" t="s">
        <v>251</v>
      </c>
      <c r="N1065" s="1" t="s">
        <v>252</v>
      </c>
      <c r="O1065" s="1" t="s">
        <v>723</v>
      </c>
      <c r="P1065" s="1" t="str">
        <f t="shared" si="58"/>
        <v>Rio Bonito ISG60KTL-3_001_00345999,240972222245999,240972222245999,2465277778</v>
      </c>
      <c r="Q1065" s="1" t="str">
        <f t="shared" si="59"/>
        <v>DAURDE</v>
      </c>
    </row>
    <row r="1066" spans="2:17" hidden="1">
      <c r="B1066" s="1" t="s">
        <v>869</v>
      </c>
      <c r="C1066" s="1" t="s">
        <v>758</v>
      </c>
      <c r="D1066" s="52">
        <v>45999.240972222222</v>
      </c>
      <c r="E1066" s="52">
        <v>45999.240972222222</v>
      </c>
      <c r="F1066" s="52">
        <v>45999.246527777781</v>
      </c>
      <c r="G1066" s="53">
        <f t="shared" si="57"/>
        <v>5.5555555591126904E-3</v>
      </c>
      <c r="H1066" s="1" t="s">
        <v>248</v>
      </c>
      <c r="J1066" s="1" t="s">
        <v>249</v>
      </c>
      <c r="K1066" s="1" t="str">
        <f>_xlfn.XLOOKUP(J1066,REF!$D$2:$D$12,REF!$E$2:$E$12)</f>
        <v>Rede</v>
      </c>
      <c r="L1066" s="1" t="s">
        <v>865</v>
      </c>
      <c r="M1066" s="1" t="s">
        <v>251</v>
      </c>
      <c r="N1066" s="1" t="s">
        <v>252</v>
      </c>
      <c r="O1066" s="1" t="s">
        <v>723</v>
      </c>
      <c r="P1066" s="1" t="str">
        <f t="shared" si="58"/>
        <v>Rio Bonito ISG60KTL-4_001_00445999,240972222245999,240972222245999,2465277778</v>
      </c>
      <c r="Q1066" s="1" t="str">
        <f t="shared" si="59"/>
        <v>DAURDE</v>
      </c>
    </row>
    <row r="1067" spans="2:17" hidden="1">
      <c r="B1067" s="1" t="s">
        <v>869</v>
      </c>
      <c r="C1067" s="1" t="s">
        <v>759</v>
      </c>
      <c r="D1067" s="52">
        <v>45999.240972222222</v>
      </c>
      <c r="E1067" s="52">
        <v>45999.240972222222</v>
      </c>
      <c r="F1067" s="52">
        <v>45999.246527777781</v>
      </c>
      <c r="G1067" s="53">
        <f t="shared" si="57"/>
        <v>5.5555555591126904E-3</v>
      </c>
      <c r="H1067" s="1" t="s">
        <v>248</v>
      </c>
      <c r="J1067" s="1" t="s">
        <v>249</v>
      </c>
      <c r="K1067" s="1" t="str">
        <f>_xlfn.XLOOKUP(J1067,REF!$D$2:$D$12,REF!$E$2:$E$12)</f>
        <v>Rede</v>
      </c>
      <c r="L1067" s="1" t="s">
        <v>865</v>
      </c>
      <c r="M1067" s="1" t="s">
        <v>251</v>
      </c>
      <c r="N1067" s="1" t="s">
        <v>252</v>
      </c>
      <c r="O1067" s="1" t="s">
        <v>723</v>
      </c>
      <c r="P1067" s="1" t="str">
        <f t="shared" si="58"/>
        <v>Rio Bonito ISG60KTL-5_001_00545999,240972222245999,240972222245999,2465277778</v>
      </c>
      <c r="Q1067" s="1" t="str">
        <f t="shared" si="59"/>
        <v>DAURDE</v>
      </c>
    </row>
    <row r="1068" spans="2:17" hidden="1">
      <c r="B1068" s="1" t="s">
        <v>869</v>
      </c>
      <c r="C1068" s="1" t="s">
        <v>760</v>
      </c>
      <c r="D1068" s="52">
        <v>45999.240972222222</v>
      </c>
      <c r="E1068" s="52">
        <v>45999.240972222222</v>
      </c>
      <c r="F1068" s="52">
        <v>45999.246527777781</v>
      </c>
      <c r="G1068" s="53">
        <f t="shared" si="57"/>
        <v>5.5555555591126904E-3</v>
      </c>
      <c r="H1068" s="1" t="s">
        <v>248</v>
      </c>
      <c r="J1068" s="1" t="s">
        <v>249</v>
      </c>
      <c r="K1068" s="1" t="str">
        <f>_xlfn.XLOOKUP(J1068,REF!$D$2:$D$12,REF!$E$2:$E$12)</f>
        <v>Rede</v>
      </c>
      <c r="L1068" s="1" t="s">
        <v>865</v>
      </c>
      <c r="M1068" s="1" t="s">
        <v>251</v>
      </c>
      <c r="N1068" s="1" t="s">
        <v>252</v>
      </c>
      <c r="O1068" s="1" t="s">
        <v>723</v>
      </c>
      <c r="P1068" s="1" t="str">
        <f t="shared" si="58"/>
        <v>Rio Bonito ISG60KTL-6_001_00645999,240972222245999,240972222245999,2465277778</v>
      </c>
      <c r="Q1068" s="1" t="str">
        <f t="shared" si="59"/>
        <v>DAURDE</v>
      </c>
    </row>
    <row r="1069" spans="2:17" hidden="1">
      <c r="B1069" s="1" t="s">
        <v>869</v>
      </c>
      <c r="C1069" s="1" t="s">
        <v>761</v>
      </c>
      <c r="D1069" s="52">
        <v>45999.240972222222</v>
      </c>
      <c r="E1069" s="52">
        <v>45999.240972222222</v>
      </c>
      <c r="F1069" s="52">
        <v>45999.246527777781</v>
      </c>
      <c r="G1069" s="53">
        <f t="shared" si="57"/>
        <v>5.5555555591126904E-3</v>
      </c>
      <c r="H1069" s="1" t="s">
        <v>248</v>
      </c>
      <c r="J1069" s="1" t="s">
        <v>249</v>
      </c>
      <c r="K1069" s="1" t="str">
        <f>_xlfn.XLOOKUP(J1069,REF!$D$2:$D$12,REF!$E$2:$E$12)</f>
        <v>Rede</v>
      </c>
      <c r="L1069" s="1" t="s">
        <v>865</v>
      </c>
      <c r="M1069" s="1" t="s">
        <v>251</v>
      </c>
      <c r="N1069" s="1" t="s">
        <v>252</v>
      </c>
      <c r="O1069" s="1" t="s">
        <v>723</v>
      </c>
      <c r="P1069" s="1" t="str">
        <f t="shared" si="58"/>
        <v>Rio Bonito ISG60KTL-7_001_00745999,240972222245999,240972222245999,2465277778</v>
      </c>
      <c r="Q1069" s="1" t="str">
        <f t="shared" si="59"/>
        <v>DAURDE</v>
      </c>
    </row>
    <row r="1070" spans="2:17" hidden="1">
      <c r="B1070" s="1" t="s">
        <v>869</v>
      </c>
      <c r="C1070" s="1" t="s">
        <v>762</v>
      </c>
      <c r="D1070" s="52">
        <v>45999.240972222222</v>
      </c>
      <c r="E1070" s="52">
        <v>45999.240972222222</v>
      </c>
      <c r="F1070" s="52">
        <v>45999.246527777781</v>
      </c>
      <c r="G1070" s="53">
        <f t="shared" si="57"/>
        <v>5.5555555591126904E-3</v>
      </c>
      <c r="H1070" s="1" t="s">
        <v>248</v>
      </c>
      <c r="J1070" s="1" t="s">
        <v>249</v>
      </c>
      <c r="K1070" s="1" t="str">
        <f>_xlfn.XLOOKUP(J1070,REF!$D$2:$D$12,REF!$E$2:$E$12)</f>
        <v>Rede</v>
      </c>
      <c r="L1070" s="1" t="s">
        <v>865</v>
      </c>
      <c r="M1070" s="1" t="s">
        <v>251</v>
      </c>
      <c r="N1070" s="1" t="s">
        <v>252</v>
      </c>
      <c r="O1070" s="1" t="s">
        <v>723</v>
      </c>
      <c r="P1070" s="1" t="str">
        <f t="shared" si="58"/>
        <v>Rio Bonito ISG60KTL-8_001_00845999,240972222245999,240972222245999,2465277778</v>
      </c>
      <c r="Q1070" s="1" t="str">
        <f t="shared" si="59"/>
        <v>DAURDE</v>
      </c>
    </row>
    <row r="1071" spans="2:17" hidden="1">
      <c r="B1071" s="1" t="s">
        <v>869</v>
      </c>
      <c r="C1071" s="1" t="s">
        <v>763</v>
      </c>
      <c r="D1071" s="52">
        <v>45999.240972222222</v>
      </c>
      <c r="E1071" s="52">
        <v>45999.240972222222</v>
      </c>
      <c r="F1071" s="52">
        <v>45999.246527777781</v>
      </c>
      <c r="G1071" s="53">
        <f t="shared" si="57"/>
        <v>5.5555555591126904E-3</v>
      </c>
      <c r="H1071" s="1" t="s">
        <v>248</v>
      </c>
      <c r="J1071" s="1" t="s">
        <v>249</v>
      </c>
      <c r="K1071" s="1" t="str">
        <f>_xlfn.XLOOKUP(J1071,REF!$D$2:$D$12,REF!$E$2:$E$12)</f>
        <v>Rede</v>
      </c>
      <c r="L1071" s="1" t="s">
        <v>865</v>
      </c>
      <c r="M1071" s="1" t="s">
        <v>251</v>
      </c>
      <c r="N1071" s="1" t="s">
        <v>252</v>
      </c>
      <c r="O1071" s="1" t="s">
        <v>723</v>
      </c>
      <c r="P1071" s="1" t="str">
        <f t="shared" si="58"/>
        <v>Rio Bonito ISG60KTL-9_001_00945999,240972222245999,240972222245999,2465277778</v>
      </c>
      <c r="Q1071" s="1" t="str">
        <f t="shared" si="59"/>
        <v>DAURDE</v>
      </c>
    </row>
    <row r="1072" spans="2:17" hidden="1">
      <c r="B1072" s="1" t="s">
        <v>870</v>
      </c>
      <c r="C1072" s="1" t="s">
        <v>373</v>
      </c>
      <c r="D1072" s="52">
        <v>46002.561805555553</v>
      </c>
      <c r="E1072" s="52">
        <v>46002.561805555553</v>
      </c>
      <c r="F1072" s="52">
        <v>46002.784722222219</v>
      </c>
      <c r="G1072" s="53">
        <f t="shared" si="57"/>
        <v>0.22291666666569654</v>
      </c>
      <c r="H1072" s="1" t="s">
        <v>343</v>
      </c>
      <c r="J1072" s="1" t="s">
        <v>230</v>
      </c>
      <c r="K1072" s="1" t="str">
        <f>_xlfn.XLOOKUP(J1072,REF!$D$2:$D$12,REF!$E$2:$E$12)</f>
        <v>UFV</v>
      </c>
      <c r="L1072" s="1" t="s">
        <v>859</v>
      </c>
      <c r="M1072" s="1" t="s">
        <v>302</v>
      </c>
      <c r="N1072" s="1" t="s">
        <v>345</v>
      </c>
      <c r="O1072" s="1" t="s">
        <v>860</v>
      </c>
      <c r="P1072" s="1" t="str">
        <f t="shared" si="58"/>
        <v>Barra do Garças IInverter__546002,561805555646002,561805555646002,7847222222</v>
      </c>
      <c r="Q1072" s="1" t="str">
        <f t="shared" si="59"/>
        <v>DPRUFV</v>
      </c>
    </row>
    <row r="1073" spans="2:17" hidden="1">
      <c r="B1073" s="1" t="s">
        <v>870</v>
      </c>
      <c r="C1073" s="1" t="s">
        <v>378</v>
      </c>
      <c r="D1073" s="52">
        <v>46002.561805555553</v>
      </c>
      <c r="E1073" s="52">
        <v>46002.561805555553</v>
      </c>
      <c r="F1073" s="52">
        <v>46002.784722222219</v>
      </c>
      <c r="G1073" s="53">
        <f t="shared" si="57"/>
        <v>0.22291666666569654</v>
      </c>
      <c r="H1073" s="1" t="s">
        <v>343</v>
      </c>
      <c r="J1073" s="1" t="s">
        <v>230</v>
      </c>
      <c r="K1073" s="1" t="str">
        <f>_xlfn.XLOOKUP(J1073,REF!$D$2:$D$12,REF!$E$2:$E$12)</f>
        <v>UFV</v>
      </c>
      <c r="L1073" s="1" t="s">
        <v>859</v>
      </c>
      <c r="M1073" s="1" t="s">
        <v>302</v>
      </c>
      <c r="N1073" s="1" t="s">
        <v>345</v>
      </c>
      <c r="O1073" s="1" t="s">
        <v>860</v>
      </c>
      <c r="P1073" s="1" t="str">
        <f t="shared" si="58"/>
        <v>Barra do Garças IInverter__146002,561805555646002,561805555646002,7847222222</v>
      </c>
      <c r="Q1073" s="1" t="str">
        <f t="shared" si="59"/>
        <v>DPRUFV</v>
      </c>
    </row>
    <row r="1074" spans="2:17" hidden="1">
      <c r="B1074" s="1" t="s">
        <v>871</v>
      </c>
      <c r="C1074" s="1" t="s">
        <v>872</v>
      </c>
      <c r="D1074" s="52">
        <v>46002.561805555553</v>
      </c>
      <c r="E1074" s="52">
        <v>46002.561805555553</v>
      </c>
      <c r="F1074" s="52">
        <v>46002.784722222219</v>
      </c>
      <c r="G1074" s="53">
        <f t="shared" si="57"/>
        <v>0.22291666666569654</v>
      </c>
      <c r="H1074" s="1" t="s">
        <v>343</v>
      </c>
      <c r="J1074" s="1" t="s">
        <v>230</v>
      </c>
      <c r="K1074" s="1" t="str">
        <f>_xlfn.XLOOKUP(J1074,REF!$D$2:$D$12,REF!$E$2:$E$12)</f>
        <v>UFV</v>
      </c>
      <c r="L1074" s="1" t="s">
        <v>859</v>
      </c>
      <c r="M1074" s="1" t="s">
        <v>302</v>
      </c>
      <c r="N1074" s="1" t="s">
        <v>345</v>
      </c>
      <c r="O1074" s="1" t="s">
        <v>860</v>
      </c>
      <c r="P1074" s="1" t="str">
        <f t="shared" si="58"/>
        <v>Barra do Garças IIInverter__446002,561805555646002,561805555646002,7847222222</v>
      </c>
      <c r="Q1074" s="1" t="str">
        <f t="shared" si="59"/>
        <v>DPRUFV</v>
      </c>
    </row>
    <row r="1075" spans="2:17" hidden="1">
      <c r="B1075" s="1" t="s">
        <v>871</v>
      </c>
      <c r="C1075" s="1" t="s">
        <v>873</v>
      </c>
      <c r="D1075" s="52">
        <v>46002.561805555553</v>
      </c>
      <c r="E1075" s="52">
        <v>46002.561805555553</v>
      </c>
      <c r="F1075" s="52">
        <v>46002.784722222219</v>
      </c>
      <c r="G1075" s="53">
        <f t="shared" si="57"/>
        <v>0.22291666666569654</v>
      </c>
      <c r="H1075" s="1" t="s">
        <v>343</v>
      </c>
      <c r="J1075" s="1" t="s">
        <v>230</v>
      </c>
      <c r="K1075" s="1" t="str">
        <f>_xlfn.XLOOKUP(J1075,REF!$D$2:$D$12,REF!$E$2:$E$12)</f>
        <v>UFV</v>
      </c>
      <c r="L1075" s="1" t="s">
        <v>859</v>
      </c>
      <c r="M1075" s="1" t="s">
        <v>302</v>
      </c>
      <c r="N1075" s="1" t="s">
        <v>345</v>
      </c>
      <c r="O1075" s="1" t="s">
        <v>860</v>
      </c>
      <c r="P1075" s="1" t="str">
        <f t="shared" si="58"/>
        <v>Barra do Garças IIInverter__346002,561805555646002,561805555646002,7847222222</v>
      </c>
      <c r="Q1075" s="1" t="str">
        <f t="shared" si="59"/>
        <v>DPRUFV</v>
      </c>
    </row>
    <row r="1076" spans="2:17" hidden="1">
      <c r="B1076" s="1" t="s">
        <v>871</v>
      </c>
      <c r="C1076" s="1" t="s">
        <v>874</v>
      </c>
      <c r="D1076" s="52">
        <v>46002.561805555553</v>
      </c>
      <c r="E1076" s="52">
        <v>46002.561805555553</v>
      </c>
      <c r="F1076" s="52">
        <v>46002.784722222219</v>
      </c>
      <c r="G1076" s="53">
        <f t="shared" si="57"/>
        <v>0.22291666666569654</v>
      </c>
      <c r="H1076" s="1" t="s">
        <v>343</v>
      </c>
      <c r="J1076" s="1" t="s">
        <v>230</v>
      </c>
      <c r="K1076" s="1" t="str">
        <f>_xlfn.XLOOKUP(J1076,REF!$D$2:$D$12,REF!$E$2:$E$12)</f>
        <v>UFV</v>
      </c>
      <c r="L1076" s="1" t="s">
        <v>859</v>
      </c>
      <c r="M1076" s="1" t="s">
        <v>302</v>
      </c>
      <c r="N1076" s="1" t="s">
        <v>345</v>
      </c>
      <c r="O1076" s="1" t="s">
        <v>860</v>
      </c>
      <c r="P1076" s="1" t="str">
        <f t="shared" si="58"/>
        <v>Barra do Garças IIInverter__246002,561805555646002,561805555646002,7847222222</v>
      </c>
      <c r="Q1076" s="1" t="str">
        <f t="shared" si="59"/>
        <v>DPRUFV</v>
      </c>
    </row>
    <row r="1077" spans="2:17" hidden="1">
      <c r="B1077" s="1" t="s">
        <v>871</v>
      </c>
      <c r="C1077" s="1" t="s">
        <v>875</v>
      </c>
      <c r="D1077" s="52">
        <v>46002.561805555553</v>
      </c>
      <c r="E1077" s="52">
        <v>46002.561805555553</v>
      </c>
      <c r="F1077" s="52">
        <v>46002.784722222219</v>
      </c>
      <c r="G1077" s="53">
        <f t="shared" si="57"/>
        <v>0.22291666666569654</v>
      </c>
      <c r="H1077" s="1" t="s">
        <v>343</v>
      </c>
      <c r="J1077" s="1" t="s">
        <v>230</v>
      </c>
      <c r="K1077" s="1" t="str">
        <f>_xlfn.XLOOKUP(J1077,REF!$D$2:$D$12,REF!$E$2:$E$12)</f>
        <v>UFV</v>
      </c>
      <c r="L1077" s="1" t="s">
        <v>859</v>
      </c>
      <c r="M1077" s="1" t="s">
        <v>302</v>
      </c>
      <c r="N1077" s="1" t="s">
        <v>345</v>
      </c>
      <c r="O1077" s="1" t="s">
        <v>860</v>
      </c>
      <c r="P1077" s="1" t="str">
        <f t="shared" si="58"/>
        <v>Barra do Garças IIInverter__746002,561805555646002,561805555646002,7847222222</v>
      </c>
      <c r="Q1077" s="1" t="str">
        <f t="shared" si="59"/>
        <v>DPRUFV</v>
      </c>
    </row>
    <row r="1078" spans="2:17" hidden="1">
      <c r="B1078" s="1" t="s">
        <v>876</v>
      </c>
      <c r="C1078" s="1" t="s">
        <v>877</v>
      </c>
      <c r="D1078" s="52">
        <v>46002.561805555553</v>
      </c>
      <c r="E1078" s="52">
        <v>46002.561805555553</v>
      </c>
      <c r="F1078" s="52">
        <v>46002.784722222219</v>
      </c>
      <c r="G1078" s="53">
        <f t="shared" si="57"/>
        <v>0.22291666666569654</v>
      </c>
      <c r="H1078" s="1" t="s">
        <v>343</v>
      </c>
      <c r="J1078" s="1" t="s">
        <v>230</v>
      </c>
      <c r="K1078" s="1" t="str">
        <f>_xlfn.XLOOKUP(J1078,REF!$D$2:$D$12,REF!$E$2:$E$12)</f>
        <v>UFV</v>
      </c>
      <c r="L1078" s="1" t="s">
        <v>859</v>
      </c>
      <c r="M1078" s="1" t="s">
        <v>302</v>
      </c>
      <c r="N1078" s="1" t="s">
        <v>345</v>
      </c>
      <c r="O1078" s="1" t="s">
        <v>860</v>
      </c>
      <c r="P1078" s="1" t="str">
        <f t="shared" si="58"/>
        <v>Barra do Garças IIIInverter__946002,561805555646002,561805555646002,7847222222</v>
      </c>
      <c r="Q1078" s="1" t="str">
        <f t="shared" si="59"/>
        <v>DPRUFV</v>
      </c>
    </row>
    <row r="1079" spans="2:17" hidden="1">
      <c r="B1079" s="1" t="s">
        <v>876</v>
      </c>
      <c r="C1079" s="1" t="s">
        <v>878</v>
      </c>
      <c r="D1079" s="52">
        <v>46002.561805555553</v>
      </c>
      <c r="E1079" s="52">
        <v>46002.561805555553</v>
      </c>
      <c r="F1079" s="52">
        <v>46002.784722222219</v>
      </c>
      <c r="G1079" s="53">
        <f t="shared" si="57"/>
        <v>0.22291666666569654</v>
      </c>
      <c r="H1079" s="1" t="s">
        <v>343</v>
      </c>
      <c r="J1079" s="1" t="s">
        <v>230</v>
      </c>
      <c r="K1079" s="1" t="str">
        <f>_xlfn.XLOOKUP(J1079,REF!$D$2:$D$12,REF!$E$2:$E$12)</f>
        <v>UFV</v>
      </c>
      <c r="L1079" s="1" t="s">
        <v>859</v>
      </c>
      <c r="M1079" s="1" t="s">
        <v>302</v>
      </c>
      <c r="N1079" s="1" t="s">
        <v>345</v>
      </c>
      <c r="O1079" s="1" t="s">
        <v>860</v>
      </c>
      <c r="P1079" s="1" t="str">
        <f t="shared" si="58"/>
        <v>Barra do Garças IIIInverter__846002,561805555646002,561805555646002,7847222222</v>
      </c>
      <c r="Q1079" s="1" t="str">
        <f t="shared" si="59"/>
        <v>DPRUFV</v>
      </c>
    </row>
    <row r="1080" spans="2:17" hidden="1">
      <c r="B1080" s="1" t="s">
        <v>876</v>
      </c>
      <c r="C1080" s="1" t="s">
        <v>879</v>
      </c>
      <c r="D1080" s="52">
        <v>46002.561805555553</v>
      </c>
      <c r="E1080" s="52">
        <v>46002.561805555553</v>
      </c>
      <c r="F1080" s="52">
        <v>46002.784722222219</v>
      </c>
      <c r="G1080" s="53">
        <f t="shared" si="57"/>
        <v>0.22291666666569654</v>
      </c>
      <c r="H1080" s="1" t="s">
        <v>343</v>
      </c>
      <c r="J1080" s="1" t="s">
        <v>230</v>
      </c>
      <c r="K1080" s="1" t="str">
        <f>_xlfn.XLOOKUP(J1080,REF!$D$2:$D$12,REF!$E$2:$E$12)</f>
        <v>UFV</v>
      </c>
      <c r="L1080" s="1" t="s">
        <v>859</v>
      </c>
      <c r="M1080" s="1" t="s">
        <v>302</v>
      </c>
      <c r="N1080" s="1" t="s">
        <v>345</v>
      </c>
      <c r="O1080" s="1" t="s">
        <v>860</v>
      </c>
      <c r="P1080" s="1" t="str">
        <f t="shared" si="58"/>
        <v>Barra do Garças IIIInverter__1046002,561805555646002,561805555646002,7847222222</v>
      </c>
      <c r="Q1080" s="1" t="str">
        <f t="shared" si="59"/>
        <v>DPRUFV</v>
      </c>
    </row>
    <row r="1081" spans="2:17" hidden="1">
      <c r="B1081" s="1" t="s">
        <v>876</v>
      </c>
      <c r="C1081" s="1" t="s">
        <v>880</v>
      </c>
      <c r="D1081" s="52">
        <v>46002.561805555553</v>
      </c>
      <c r="E1081" s="52">
        <v>46002.561805555553</v>
      </c>
      <c r="F1081" s="52">
        <v>46002.784722222219</v>
      </c>
      <c r="G1081" s="53">
        <f t="shared" si="57"/>
        <v>0.22291666666569654</v>
      </c>
      <c r="H1081" s="1" t="s">
        <v>343</v>
      </c>
      <c r="J1081" s="1" t="s">
        <v>230</v>
      </c>
      <c r="K1081" s="1" t="str">
        <f>_xlfn.XLOOKUP(J1081,REF!$D$2:$D$12,REF!$E$2:$E$12)</f>
        <v>UFV</v>
      </c>
      <c r="L1081" s="1" t="s">
        <v>859</v>
      </c>
      <c r="M1081" s="1" t="s">
        <v>302</v>
      </c>
      <c r="N1081" s="1" t="s">
        <v>345</v>
      </c>
      <c r="O1081" s="1" t="s">
        <v>860</v>
      </c>
      <c r="P1081" s="1" t="str">
        <f t="shared" si="58"/>
        <v>Barra do Garças IIIInverter__646002,561805555646002,561805555646002,7847222222</v>
      </c>
      <c r="Q1081" s="1" t="str">
        <f t="shared" si="59"/>
        <v>DPRUFV</v>
      </c>
    </row>
    <row r="1082" spans="2:17">
      <c r="B1082" s="1" t="s">
        <v>481</v>
      </c>
      <c r="C1082" s="1" t="s">
        <v>358</v>
      </c>
      <c r="D1082" s="52">
        <v>46003.350694444445</v>
      </c>
      <c r="E1082" s="52">
        <v>46003.350694444445</v>
      </c>
      <c r="F1082" s="52">
        <v>46003.399305555555</v>
      </c>
      <c r="G1082" s="53">
        <f t="shared" si="57"/>
        <v>4.8611111109494232E-2</v>
      </c>
      <c r="H1082" s="1" t="s">
        <v>260</v>
      </c>
      <c r="I1082" s="1" t="s">
        <v>261</v>
      </c>
      <c r="J1082" s="1" t="s">
        <v>262</v>
      </c>
      <c r="K1082" s="1" t="str">
        <f>_xlfn.XLOOKUP(J1082,REF!$D$2:$D$12,REF!$E$2:$E$12)</f>
        <v>Comunicação</v>
      </c>
      <c r="L1082" s="1" t="s">
        <v>426</v>
      </c>
      <c r="M1082" s="1" t="s">
        <v>391</v>
      </c>
      <c r="N1082" s="1" t="s">
        <v>266</v>
      </c>
      <c r="O1082" s="1" t="s">
        <v>392</v>
      </c>
      <c r="P1082" s="1" t="str">
        <f t="shared" si="58"/>
        <v>BC Turvania1.1Inverter(MBUS-14)46003,350694444446003,350694444446003,3993055556</v>
      </c>
      <c r="Q1082" s="1" t="str">
        <f t="shared" si="59"/>
        <v>LIGRFOCOM</v>
      </c>
    </row>
    <row r="1083" spans="2:17">
      <c r="B1083" s="1" t="s">
        <v>481</v>
      </c>
      <c r="C1083" s="1" t="s">
        <v>359</v>
      </c>
      <c r="D1083" s="52">
        <v>46003.350694444445</v>
      </c>
      <c r="E1083" s="52">
        <v>46003.350694444445</v>
      </c>
      <c r="F1083" s="52">
        <v>46003.399305555555</v>
      </c>
      <c r="G1083" s="53">
        <f t="shared" si="57"/>
        <v>4.8611111109494232E-2</v>
      </c>
      <c r="H1083" s="1" t="s">
        <v>260</v>
      </c>
      <c r="I1083" s="1" t="s">
        <v>261</v>
      </c>
      <c r="J1083" s="1" t="s">
        <v>262</v>
      </c>
      <c r="K1083" s="1" t="str">
        <f>_xlfn.XLOOKUP(J1083,REF!$D$2:$D$12,REF!$E$2:$E$12)</f>
        <v>Comunicação</v>
      </c>
      <c r="L1083" s="1" t="s">
        <v>426</v>
      </c>
      <c r="M1083" s="1" t="s">
        <v>391</v>
      </c>
      <c r="N1083" s="1" t="s">
        <v>266</v>
      </c>
      <c r="O1083" s="1" t="s">
        <v>392</v>
      </c>
      <c r="P1083" s="1" t="str">
        <f t="shared" si="58"/>
        <v>BC Turvania1.1Inverter(MBUS-15)46003,350694444446003,350694444446003,3993055556</v>
      </c>
      <c r="Q1083" s="1" t="str">
        <f t="shared" si="59"/>
        <v>LIGRFOCOM</v>
      </c>
    </row>
    <row r="1084" spans="2:17">
      <c r="B1084" s="1" t="s">
        <v>481</v>
      </c>
      <c r="C1084" s="1" t="s">
        <v>354</v>
      </c>
      <c r="D1084" s="52">
        <v>46003.350694444445</v>
      </c>
      <c r="E1084" s="52">
        <v>46003.350694444445</v>
      </c>
      <c r="F1084" s="52">
        <v>46003.399305555555</v>
      </c>
      <c r="G1084" s="53">
        <f t="shared" si="57"/>
        <v>4.8611111109494232E-2</v>
      </c>
      <c r="H1084" s="1" t="s">
        <v>260</v>
      </c>
      <c r="I1084" s="1" t="s">
        <v>261</v>
      </c>
      <c r="J1084" s="1" t="s">
        <v>262</v>
      </c>
      <c r="K1084" s="1" t="str">
        <f>_xlfn.XLOOKUP(J1084,REF!$D$2:$D$12,REF!$E$2:$E$12)</f>
        <v>Comunicação</v>
      </c>
      <c r="L1084" s="1" t="s">
        <v>426</v>
      </c>
      <c r="M1084" s="1" t="s">
        <v>391</v>
      </c>
      <c r="N1084" s="1" t="s">
        <v>266</v>
      </c>
      <c r="O1084" s="1" t="s">
        <v>392</v>
      </c>
      <c r="P1084" s="1" t="str">
        <f t="shared" si="58"/>
        <v>BC Turvania1.1Inverter(MBUS-12)46003,350694444446003,350694444446003,3993055556</v>
      </c>
      <c r="Q1084" s="1" t="str">
        <f t="shared" si="59"/>
        <v>LIGRFOCOM</v>
      </c>
    </row>
    <row r="1085" spans="2:17">
      <c r="B1085" s="1" t="s">
        <v>481</v>
      </c>
      <c r="C1085" s="1" t="s">
        <v>357</v>
      </c>
      <c r="D1085" s="52">
        <v>46003.350694444445</v>
      </c>
      <c r="E1085" s="52">
        <v>46003.350694444445</v>
      </c>
      <c r="F1085" s="52">
        <v>46003.399305555555</v>
      </c>
      <c r="G1085" s="53">
        <f t="shared" si="57"/>
        <v>4.8611111109494232E-2</v>
      </c>
      <c r="H1085" s="1" t="s">
        <v>260</v>
      </c>
      <c r="I1085" s="1" t="s">
        <v>261</v>
      </c>
      <c r="J1085" s="1" t="s">
        <v>262</v>
      </c>
      <c r="K1085" s="1" t="str">
        <f>_xlfn.XLOOKUP(J1085,REF!$D$2:$D$12,REF!$E$2:$E$12)</f>
        <v>Comunicação</v>
      </c>
      <c r="L1085" s="1" t="s">
        <v>426</v>
      </c>
      <c r="M1085" s="1" t="s">
        <v>391</v>
      </c>
      <c r="N1085" s="1" t="s">
        <v>266</v>
      </c>
      <c r="O1085" s="1" t="s">
        <v>392</v>
      </c>
      <c r="P1085" s="1" t="str">
        <f t="shared" si="58"/>
        <v>BC Turvania1.1Inverter(MBUS-13)46003,350694444446003,350694444446003,3993055556</v>
      </c>
      <c r="Q1085" s="1" t="str">
        <f t="shared" si="59"/>
        <v>LIGRFOCOM</v>
      </c>
    </row>
    <row r="1086" spans="2:17">
      <c r="B1086" s="1" t="s">
        <v>482</v>
      </c>
      <c r="C1086" s="1" t="s">
        <v>358</v>
      </c>
      <c r="D1086" s="52">
        <v>46003.350694444445</v>
      </c>
      <c r="E1086" s="52">
        <v>46003.350694444445</v>
      </c>
      <c r="F1086" s="52">
        <v>46003.399305555555</v>
      </c>
      <c r="G1086" s="53">
        <f t="shared" si="57"/>
        <v>4.8611111109494232E-2</v>
      </c>
      <c r="H1086" s="1" t="s">
        <v>260</v>
      </c>
      <c r="I1086" s="1" t="s">
        <v>261</v>
      </c>
      <c r="J1086" s="1" t="s">
        <v>262</v>
      </c>
      <c r="K1086" s="1" t="str">
        <f>_xlfn.XLOOKUP(J1086,REF!$D$2:$D$12,REF!$E$2:$E$12)</f>
        <v>Comunicação</v>
      </c>
      <c r="L1086" s="1" t="s">
        <v>426</v>
      </c>
      <c r="M1086" s="1" t="s">
        <v>391</v>
      </c>
      <c r="N1086" s="1" t="s">
        <v>266</v>
      </c>
      <c r="O1086" s="1" t="s">
        <v>392</v>
      </c>
      <c r="P1086" s="1" t="str">
        <f t="shared" si="58"/>
        <v>BC Turvania1.2Inverter(MBUS-14)46003,350694444446003,350694444446003,3993055556</v>
      </c>
      <c r="Q1086" s="1" t="str">
        <f t="shared" si="59"/>
        <v>LIGRFOCOM</v>
      </c>
    </row>
    <row r="1087" spans="2:17">
      <c r="B1087" s="1" t="s">
        <v>482</v>
      </c>
      <c r="C1087" s="1" t="s">
        <v>357</v>
      </c>
      <c r="D1087" s="52">
        <v>46003.350694444445</v>
      </c>
      <c r="E1087" s="52">
        <v>46003.350694444445</v>
      </c>
      <c r="F1087" s="52">
        <v>46003.399305555555</v>
      </c>
      <c r="G1087" s="53">
        <f t="shared" si="57"/>
        <v>4.8611111109494232E-2</v>
      </c>
      <c r="H1087" s="1" t="s">
        <v>260</v>
      </c>
      <c r="I1087" s="1" t="s">
        <v>261</v>
      </c>
      <c r="J1087" s="1" t="s">
        <v>262</v>
      </c>
      <c r="K1087" s="1" t="str">
        <f>_xlfn.XLOOKUP(J1087,REF!$D$2:$D$12,REF!$E$2:$E$12)</f>
        <v>Comunicação</v>
      </c>
      <c r="L1087" s="1" t="s">
        <v>426</v>
      </c>
      <c r="M1087" s="1" t="s">
        <v>391</v>
      </c>
      <c r="N1087" s="1" t="s">
        <v>266</v>
      </c>
      <c r="O1087" s="1" t="s">
        <v>392</v>
      </c>
      <c r="P1087" s="1" t="str">
        <f t="shared" si="58"/>
        <v>BC Turvania1.2Inverter(MBUS-13)46003,350694444446003,350694444446003,3993055556</v>
      </c>
      <c r="Q1087" s="1" t="str">
        <f t="shared" si="59"/>
        <v>LIGRFOCOM</v>
      </c>
    </row>
    <row r="1088" spans="2:17">
      <c r="B1088" s="1" t="s">
        <v>482</v>
      </c>
      <c r="C1088" s="1" t="s">
        <v>354</v>
      </c>
      <c r="D1088" s="52">
        <v>46003.350694444445</v>
      </c>
      <c r="E1088" s="52">
        <v>46003.350694444445</v>
      </c>
      <c r="F1088" s="52">
        <v>46003.399305555555</v>
      </c>
      <c r="G1088" s="53">
        <f t="shared" si="57"/>
        <v>4.8611111109494232E-2</v>
      </c>
      <c r="H1088" s="1" t="s">
        <v>260</v>
      </c>
      <c r="I1088" s="1" t="s">
        <v>261</v>
      </c>
      <c r="J1088" s="1" t="s">
        <v>262</v>
      </c>
      <c r="K1088" s="1" t="str">
        <f>_xlfn.XLOOKUP(J1088,REF!$D$2:$D$12,REF!$E$2:$E$12)</f>
        <v>Comunicação</v>
      </c>
      <c r="L1088" s="1" t="s">
        <v>426</v>
      </c>
      <c r="M1088" s="1" t="s">
        <v>391</v>
      </c>
      <c r="N1088" s="1" t="s">
        <v>266</v>
      </c>
      <c r="O1088" s="1" t="s">
        <v>392</v>
      </c>
      <c r="P1088" s="1" t="str">
        <f t="shared" si="58"/>
        <v>BC Turvania1.2Inverter(MBUS-12)46003,350694444446003,350694444446003,3993055556</v>
      </c>
      <c r="Q1088" s="1" t="str">
        <f t="shared" si="59"/>
        <v>LIGRFOCOM</v>
      </c>
    </row>
    <row r="1089" spans="2:17">
      <c r="B1089" s="1" t="s">
        <v>482</v>
      </c>
      <c r="C1089" s="1" t="s">
        <v>359</v>
      </c>
      <c r="D1089" s="52">
        <v>46003.350694444445</v>
      </c>
      <c r="E1089" s="52">
        <v>46003.350694444445</v>
      </c>
      <c r="F1089" s="52">
        <v>46003.399305555555</v>
      </c>
      <c r="G1089" s="53">
        <f t="shared" si="57"/>
        <v>4.8611111109494232E-2</v>
      </c>
      <c r="H1089" s="1" t="s">
        <v>260</v>
      </c>
      <c r="I1089" s="1" t="s">
        <v>261</v>
      </c>
      <c r="J1089" s="1" t="s">
        <v>262</v>
      </c>
      <c r="K1089" s="1" t="str">
        <f>_xlfn.XLOOKUP(J1089,REF!$D$2:$D$12,REF!$E$2:$E$12)</f>
        <v>Comunicação</v>
      </c>
      <c r="L1089" s="1" t="s">
        <v>426</v>
      </c>
      <c r="M1089" s="1" t="s">
        <v>391</v>
      </c>
      <c r="N1089" s="1" t="s">
        <v>266</v>
      </c>
      <c r="O1089" s="1" t="s">
        <v>392</v>
      </c>
      <c r="P1089" s="1" t="str">
        <f t="shared" si="58"/>
        <v>BC Turvania1.2Inverter(MBUS-15)46003,350694444446003,350694444446003,3993055556</v>
      </c>
      <c r="Q1089" s="1" t="str">
        <f t="shared" si="59"/>
        <v>LIGRFOCOM</v>
      </c>
    </row>
    <row r="1090" spans="2:17">
      <c r="B1090" s="1" t="s">
        <v>483</v>
      </c>
      <c r="C1090" s="1" t="s">
        <v>357</v>
      </c>
      <c r="D1090" s="52">
        <v>46003.350694444445</v>
      </c>
      <c r="E1090" s="52">
        <v>46003.350694444445</v>
      </c>
      <c r="F1090" s="52">
        <v>46003.399305555555</v>
      </c>
      <c r="G1090" s="53">
        <f t="shared" si="57"/>
        <v>4.8611111109494232E-2</v>
      </c>
      <c r="H1090" s="1" t="s">
        <v>260</v>
      </c>
      <c r="I1090" s="1" t="s">
        <v>261</v>
      </c>
      <c r="J1090" s="1" t="s">
        <v>262</v>
      </c>
      <c r="K1090" s="1" t="str">
        <f>_xlfn.XLOOKUP(J1090,REF!$D$2:$D$12,REF!$E$2:$E$12)</f>
        <v>Comunicação</v>
      </c>
      <c r="L1090" s="1" t="s">
        <v>426</v>
      </c>
      <c r="M1090" s="1" t="s">
        <v>391</v>
      </c>
      <c r="N1090" s="1" t="s">
        <v>266</v>
      </c>
      <c r="O1090" s="1" t="s">
        <v>392</v>
      </c>
      <c r="P1090" s="1" t="str">
        <f t="shared" si="58"/>
        <v>BC Turvania1.3Inverter(MBUS-13)46003,350694444446003,350694444446003,3993055556</v>
      </c>
      <c r="Q1090" s="1" t="str">
        <f t="shared" si="59"/>
        <v>LIGRFOCOM</v>
      </c>
    </row>
    <row r="1091" spans="2:17">
      <c r="B1091" s="1" t="s">
        <v>483</v>
      </c>
      <c r="C1091" s="1" t="s">
        <v>358</v>
      </c>
      <c r="D1091" s="52">
        <v>46003.350694444445</v>
      </c>
      <c r="E1091" s="52">
        <v>46003.350694444445</v>
      </c>
      <c r="F1091" s="52">
        <v>46003.399305555555</v>
      </c>
      <c r="G1091" s="53">
        <f t="shared" si="57"/>
        <v>4.8611111109494232E-2</v>
      </c>
      <c r="H1091" s="1" t="s">
        <v>260</v>
      </c>
      <c r="I1091" s="1" t="s">
        <v>261</v>
      </c>
      <c r="J1091" s="1" t="s">
        <v>262</v>
      </c>
      <c r="K1091" s="1" t="str">
        <f>_xlfn.XLOOKUP(J1091,REF!$D$2:$D$12,REF!$E$2:$E$12)</f>
        <v>Comunicação</v>
      </c>
      <c r="L1091" s="1" t="s">
        <v>426</v>
      </c>
      <c r="M1091" s="1" t="s">
        <v>391</v>
      </c>
      <c r="N1091" s="1" t="s">
        <v>266</v>
      </c>
      <c r="O1091" s="1" t="s">
        <v>392</v>
      </c>
      <c r="P1091" s="1" t="str">
        <f t="shared" si="58"/>
        <v>BC Turvania1.3Inverter(MBUS-14)46003,350694444446003,350694444446003,3993055556</v>
      </c>
      <c r="Q1091" s="1" t="str">
        <f t="shared" si="59"/>
        <v>LIGRFOCOM</v>
      </c>
    </row>
    <row r="1092" spans="2:17">
      <c r="B1092" s="1" t="s">
        <v>483</v>
      </c>
      <c r="C1092" s="1" t="s">
        <v>359</v>
      </c>
      <c r="D1092" s="52">
        <v>46003.350694444445</v>
      </c>
      <c r="E1092" s="52">
        <v>46003.350694444445</v>
      </c>
      <c r="F1092" s="52">
        <v>46003.399305555555</v>
      </c>
      <c r="G1092" s="53">
        <f t="shared" si="57"/>
        <v>4.8611111109494232E-2</v>
      </c>
      <c r="H1092" s="1" t="s">
        <v>260</v>
      </c>
      <c r="I1092" s="1" t="s">
        <v>261</v>
      </c>
      <c r="J1092" s="1" t="s">
        <v>262</v>
      </c>
      <c r="K1092" s="1" t="str">
        <f>_xlfn.XLOOKUP(J1092,REF!$D$2:$D$12,REF!$E$2:$E$12)</f>
        <v>Comunicação</v>
      </c>
      <c r="L1092" s="1" t="s">
        <v>426</v>
      </c>
      <c r="M1092" s="1" t="s">
        <v>391</v>
      </c>
      <c r="N1092" s="1" t="s">
        <v>266</v>
      </c>
      <c r="O1092" s="1" t="s">
        <v>392</v>
      </c>
      <c r="P1092" s="1" t="str">
        <f t="shared" si="58"/>
        <v>BC Turvania1.3Inverter(MBUS-15)46003,350694444446003,350694444446003,3993055556</v>
      </c>
      <c r="Q1092" s="1" t="str">
        <f t="shared" si="59"/>
        <v>LIGRFOCOM</v>
      </c>
    </row>
    <row r="1093" spans="2:17">
      <c r="B1093" s="1" t="s">
        <v>483</v>
      </c>
      <c r="C1093" s="1" t="s">
        <v>328</v>
      </c>
      <c r="D1093" s="52">
        <v>46003.350694444445</v>
      </c>
      <c r="E1093" s="52">
        <v>46003.350694444445</v>
      </c>
      <c r="F1093" s="52">
        <v>46003.399305555555</v>
      </c>
      <c r="G1093" s="53">
        <f t="shared" si="57"/>
        <v>4.8611111109494232E-2</v>
      </c>
      <c r="H1093" s="1" t="s">
        <v>260</v>
      </c>
      <c r="I1093" s="1" t="s">
        <v>261</v>
      </c>
      <c r="J1093" s="1" t="s">
        <v>262</v>
      </c>
      <c r="K1093" s="1" t="str">
        <f>_xlfn.XLOOKUP(J1093,REF!$D$2:$D$12,REF!$E$2:$E$12)</f>
        <v>Comunicação</v>
      </c>
      <c r="L1093" s="1" t="s">
        <v>426</v>
      </c>
      <c r="M1093" s="1" t="s">
        <v>391</v>
      </c>
      <c r="N1093" s="1" t="s">
        <v>266</v>
      </c>
      <c r="O1093" s="1" t="s">
        <v>392</v>
      </c>
      <c r="P1093" s="1" t="str">
        <f t="shared" si="58"/>
        <v>BC Turvania1.3Inverter(MBUS-1)46003,350694444446003,350694444446003,3993055556</v>
      </c>
      <c r="Q1093" s="1" t="str">
        <f t="shared" si="59"/>
        <v>LIGRFOCOM</v>
      </c>
    </row>
    <row r="1094" spans="2:17">
      <c r="B1094" s="1" t="s">
        <v>484</v>
      </c>
      <c r="C1094" s="1" t="s">
        <v>358</v>
      </c>
      <c r="D1094" s="52">
        <v>46003.350694444445</v>
      </c>
      <c r="E1094" s="52">
        <v>46003.350694444445</v>
      </c>
      <c r="F1094" s="52">
        <v>46003.399305555555</v>
      </c>
      <c r="G1094" s="53">
        <f t="shared" si="57"/>
        <v>4.8611111109494232E-2</v>
      </c>
      <c r="H1094" s="1" t="s">
        <v>260</v>
      </c>
      <c r="I1094" s="1" t="s">
        <v>261</v>
      </c>
      <c r="J1094" s="1" t="s">
        <v>262</v>
      </c>
      <c r="K1094" s="1" t="str">
        <f>_xlfn.XLOOKUP(J1094,REF!$D$2:$D$12,REF!$E$2:$E$12)</f>
        <v>Comunicação</v>
      </c>
      <c r="L1094" s="1" t="s">
        <v>426</v>
      </c>
      <c r="M1094" s="1" t="s">
        <v>391</v>
      </c>
      <c r="N1094" s="1" t="s">
        <v>266</v>
      </c>
      <c r="O1094" s="1" t="s">
        <v>392</v>
      </c>
      <c r="P1094" s="1" t="str">
        <f t="shared" si="58"/>
        <v>BC Turvania1.4Inverter(MBUS-14)46003,350694444446003,350694444446003,3993055556</v>
      </c>
      <c r="Q1094" s="1" t="str">
        <f t="shared" si="59"/>
        <v>LIGRFOCOM</v>
      </c>
    </row>
    <row r="1095" spans="2:17">
      <c r="B1095" s="1" t="s">
        <v>484</v>
      </c>
      <c r="C1095" s="1" t="s">
        <v>359</v>
      </c>
      <c r="D1095" s="52">
        <v>46003.350694444445</v>
      </c>
      <c r="E1095" s="52">
        <v>46003.350694444445</v>
      </c>
      <c r="F1095" s="52">
        <v>46003.399305555555</v>
      </c>
      <c r="G1095" s="53">
        <f t="shared" si="57"/>
        <v>4.8611111109494232E-2</v>
      </c>
      <c r="H1095" s="1" t="s">
        <v>260</v>
      </c>
      <c r="I1095" s="1" t="s">
        <v>261</v>
      </c>
      <c r="J1095" s="1" t="s">
        <v>262</v>
      </c>
      <c r="K1095" s="1" t="str">
        <f>_xlfn.XLOOKUP(J1095,REF!$D$2:$D$12,REF!$E$2:$E$12)</f>
        <v>Comunicação</v>
      </c>
      <c r="L1095" s="1" t="s">
        <v>426</v>
      </c>
      <c r="M1095" s="1" t="s">
        <v>391</v>
      </c>
      <c r="N1095" s="1" t="s">
        <v>266</v>
      </c>
      <c r="O1095" s="1" t="s">
        <v>392</v>
      </c>
      <c r="P1095" s="1" t="str">
        <f t="shared" si="58"/>
        <v>BC Turvania1.4Inverter(MBUS-15)46003,350694444446003,350694444446003,3993055556</v>
      </c>
      <c r="Q1095" s="1" t="str">
        <f t="shared" si="59"/>
        <v>LIGRFOCOM</v>
      </c>
    </row>
    <row r="1096" spans="2:17">
      <c r="B1096" s="1" t="s">
        <v>484</v>
      </c>
      <c r="C1096" s="1" t="s">
        <v>357</v>
      </c>
      <c r="D1096" s="52">
        <v>46003.350694444445</v>
      </c>
      <c r="E1096" s="52">
        <v>46003.350694444445</v>
      </c>
      <c r="F1096" s="52">
        <v>46003.399305555555</v>
      </c>
      <c r="G1096" s="53">
        <f t="shared" si="57"/>
        <v>4.8611111109494232E-2</v>
      </c>
      <c r="H1096" s="1" t="s">
        <v>260</v>
      </c>
      <c r="I1096" s="1" t="s">
        <v>261</v>
      </c>
      <c r="J1096" s="1" t="s">
        <v>262</v>
      </c>
      <c r="K1096" s="1" t="str">
        <f>_xlfn.XLOOKUP(J1096,REF!$D$2:$D$12,REF!$E$2:$E$12)</f>
        <v>Comunicação</v>
      </c>
      <c r="L1096" s="1" t="s">
        <v>426</v>
      </c>
      <c r="M1096" s="1" t="s">
        <v>391</v>
      </c>
      <c r="N1096" s="1" t="s">
        <v>266</v>
      </c>
      <c r="O1096" s="1" t="s">
        <v>392</v>
      </c>
      <c r="P1096" s="1" t="str">
        <f t="shared" si="58"/>
        <v>BC Turvania1.4Inverter(MBUS-13)46003,350694444446003,350694444446003,3993055556</v>
      </c>
      <c r="Q1096" s="1" t="str">
        <f t="shared" si="59"/>
        <v>LIGRFOCOM</v>
      </c>
    </row>
    <row r="1097" spans="2:17">
      <c r="B1097" s="1" t="s">
        <v>484</v>
      </c>
      <c r="C1097" s="1" t="s">
        <v>354</v>
      </c>
      <c r="D1097" s="52">
        <v>46003.350694444445</v>
      </c>
      <c r="E1097" s="52">
        <v>46003.350694444445</v>
      </c>
      <c r="F1097" s="52">
        <v>46003.399305555555</v>
      </c>
      <c r="G1097" s="53">
        <f t="shared" si="57"/>
        <v>4.8611111109494232E-2</v>
      </c>
      <c r="H1097" s="1" t="s">
        <v>260</v>
      </c>
      <c r="I1097" s="1" t="s">
        <v>261</v>
      </c>
      <c r="J1097" s="1" t="s">
        <v>262</v>
      </c>
      <c r="K1097" s="1" t="str">
        <f>_xlfn.XLOOKUP(J1097,REF!$D$2:$D$12,REF!$E$2:$E$12)</f>
        <v>Comunicação</v>
      </c>
      <c r="L1097" s="1" t="s">
        <v>426</v>
      </c>
      <c r="M1097" s="1" t="s">
        <v>391</v>
      </c>
      <c r="N1097" s="1" t="s">
        <v>266</v>
      </c>
      <c r="O1097" s="1" t="s">
        <v>392</v>
      </c>
      <c r="P1097" s="1" t="str">
        <f t="shared" si="58"/>
        <v>BC Turvania1.4Inverter(MBUS-12)46003,350694444446003,350694444446003,3993055556</v>
      </c>
      <c r="Q1097" s="1" t="str">
        <f t="shared" si="59"/>
        <v>LIGRFOCOM</v>
      </c>
    </row>
    <row r="1098" spans="2:17">
      <c r="B1098" s="1" t="s">
        <v>485</v>
      </c>
      <c r="C1098" s="1" t="s">
        <v>357</v>
      </c>
      <c r="D1098" s="52">
        <v>46003.350694444445</v>
      </c>
      <c r="E1098" s="52">
        <v>46003.350694444445</v>
      </c>
      <c r="F1098" s="52">
        <v>46003.399305555555</v>
      </c>
      <c r="G1098" s="53">
        <f t="shared" si="57"/>
        <v>4.8611111109494232E-2</v>
      </c>
      <c r="H1098" s="1" t="s">
        <v>260</v>
      </c>
      <c r="I1098" s="1" t="s">
        <v>261</v>
      </c>
      <c r="J1098" s="1" t="s">
        <v>262</v>
      </c>
      <c r="K1098" s="1" t="str">
        <f>_xlfn.XLOOKUP(J1098,REF!$D$2:$D$12,REF!$E$2:$E$12)</f>
        <v>Comunicação</v>
      </c>
      <c r="L1098" s="1" t="s">
        <v>426</v>
      </c>
      <c r="M1098" s="1" t="s">
        <v>391</v>
      </c>
      <c r="N1098" s="1" t="s">
        <v>266</v>
      </c>
      <c r="O1098" s="1" t="s">
        <v>392</v>
      </c>
      <c r="P1098" s="1" t="str">
        <f t="shared" si="58"/>
        <v>BC Turvania1.5Inverter(MBUS-13)46003,350694444446003,350694444446003,3993055556</v>
      </c>
      <c r="Q1098" s="1" t="str">
        <f t="shared" si="59"/>
        <v>LIGRFOCOM</v>
      </c>
    </row>
    <row r="1099" spans="2:17">
      <c r="B1099" s="1" t="s">
        <v>485</v>
      </c>
      <c r="C1099" s="1" t="s">
        <v>354</v>
      </c>
      <c r="D1099" s="52">
        <v>46003.350694444445</v>
      </c>
      <c r="E1099" s="52">
        <v>46003.350694444445</v>
      </c>
      <c r="F1099" s="52">
        <v>46003.399305555555</v>
      </c>
      <c r="G1099" s="53">
        <f t="shared" si="57"/>
        <v>4.8611111109494232E-2</v>
      </c>
      <c r="H1099" s="1" t="s">
        <v>260</v>
      </c>
      <c r="I1099" s="1" t="s">
        <v>261</v>
      </c>
      <c r="J1099" s="1" t="s">
        <v>262</v>
      </c>
      <c r="K1099" s="1" t="str">
        <f>_xlfn.XLOOKUP(J1099,REF!$D$2:$D$12,REF!$E$2:$E$12)</f>
        <v>Comunicação</v>
      </c>
      <c r="L1099" s="1" t="s">
        <v>426</v>
      </c>
      <c r="M1099" s="1" t="s">
        <v>391</v>
      </c>
      <c r="N1099" s="1" t="s">
        <v>266</v>
      </c>
      <c r="O1099" s="1" t="s">
        <v>392</v>
      </c>
      <c r="P1099" s="1" t="str">
        <f t="shared" si="58"/>
        <v>BC Turvania1.5Inverter(MBUS-12)46003,350694444446003,350694444446003,3993055556</v>
      </c>
      <c r="Q1099" s="1" t="str">
        <f t="shared" si="59"/>
        <v>LIGRFOCOM</v>
      </c>
    </row>
    <row r="1100" spans="2:17">
      <c r="B1100" s="1" t="s">
        <v>485</v>
      </c>
      <c r="C1100" s="1" t="s">
        <v>358</v>
      </c>
      <c r="D1100" s="52">
        <v>46003.350694444445</v>
      </c>
      <c r="E1100" s="52">
        <v>46003.350694444445</v>
      </c>
      <c r="F1100" s="52">
        <v>46003.399305555555</v>
      </c>
      <c r="G1100" s="53">
        <f t="shared" si="57"/>
        <v>4.8611111109494232E-2</v>
      </c>
      <c r="H1100" s="1" t="s">
        <v>260</v>
      </c>
      <c r="I1100" s="1" t="s">
        <v>261</v>
      </c>
      <c r="J1100" s="1" t="s">
        <v>262</v>
      </c>
      <c r="K1100" s="1" t="str">
        <f>_xlfn.XLOOKUP(J1100,REF!$D$2:$D$12,REF!$E$2:$E$12)</f>
        <v>Comunicação</v>
      </c>
      <c r="L1100" s="1" t="s">
        <v>426</v>
      </c>
      <c r="M1100" s="1" t="s">
        <v>391</v>
      </c>
      <c r="N1100" s="1" t="s">
        <v>266</v>
      </c>
      <c r="O1100" s="1" t="s">
        <v>392</v>
      </c>
      <c r="P1100" s="1" t="str">
        <f t="shared" si="58"/>
        <v>BC Turvania1.5Inverter(MBUS-14)46003,350694444446003,350694444446003,3993055556</v>
      </c>
      <c r="Q1100" s="1" t="str">
        <f t="shared" si="59"/>
        <v>LIGRFOCOM</v>
      </c>
    </row>
    <row r="1101" spans="2:17">
      <c r="B1101" s="1" t="s">
        <v>485</v>
      </c>
      <c r="C1101" s="1" t="s">
        <v>328</v>
      </c>
      <c r="D1101" s="52">
        <v>46003.350694444445</v>
      </c>
      <c r="E1101" s="52">
        <v>46003.350694444445</v>
      </c>
      <c r="F1101" s="52">
        <v>46003.399305555555</v>
      </c>
      <c r="G1101" s="53">
        <f t="shared" si="57"/>
        <v>4.8611111109494232E-2</v>
      </c>
      <c r="H1101" s="1" t="s">
        <v>260</v>
      </c>
      <c r="I1101" s="1" t="s">
        <v>261</v>
      </c>
      <c r="J1101" s="1" t="s">
        <v>262</v>
      </c>
      <c r="K1101" s="1" t="str">
        <f>_xlfn.XLOOKUP(J1101,REF!$D$2:$D$12,REF!$E$2:$E$12)</f>
        <v>Comunicação</v>
      </c>
      <c r="L1101" s="1" t="s">
        <v>426</v>
      </c>
      <c r="M1101" s="1" t="s">
        <v>391</v>
      </c>
      <c r="N1101" s="1" t="s">
        <v>266</v>
      </c>
      <c r="O1101" s="1" t="s">
        <v>392</v>
      </c>
      <c r="P1101" s="1" t="str">
        <f t="shared" si="58"/>
        <v>BC Turvania1.5Inverter(MBUS-1)46003,350694444446003,350694444446003,3993055556</v>
      </c>
      <c r="Q1101" s="1" t="str">
        <f t="shared" si="59"/>
        <v>LIGRFOCOM</v>
      </c>
    </row>
    <row r="1102" spans="2:17">
      <c r="B1102" s="1" t="s">
        <v>353</v>
      </c>
      <c r="C1102" s="1" t="s">
        <v>354</v>
      </c>
      <c r="D1102" s="52">
        <v>46003.944444444445</v>
      </c>
      <c r="E1102" s="52">
        <v>46003.944444444445</v>
      </c>
      <c r="F1102" s="52">
        <v>46003.977083333331</v>
      </c>
      <c r="G1102" s="53">
        <f t="shared" si="57"/>
        <v>3.2638888886140194E-2</v>
      </c>
      <c r="H1102" s="1" t="s">
        <v>260</v>
      </c>
      <c r="I1102" s="1" t="s">
        <v>261</v>
      </c>
      <c r="J1102" s="1" t="s">
        <v>262</v>
      </c>
      <c r="K1102" s="1" t="str">
        <f>_xlfn.XLOOKUP(J1102,REF!$D$2:$D$12,REF!$E$2:$E$12)</f>
        <v>Comunicação</v>
      </c>
      <c r="L1102" s="1" t="s">
        <v>426</v>
      </c>
      <c r="M1102" s="1" t="s">
        <v>391</v>
      </c>
      <c r="N1102" s="1" t="s">
        <v>266</v>
      </c>
      <c r="O1102" s="1" t="s">
        <v>392</v>
      </c>
      <c r="P1102" s="1" t="str">
        <f t="shared" si="58"/>
        <v>ARAGUATINS 1.1Inverter(MBUS-12)46003,944444444446003,944444444446003,9770833333</v>
      </c>
      <c r="Q1102" s="1" t="str">
        <f t="shared" si="59"/>
        <v>LIGRFOCOM</v>
      </c>
    </row>
    <row r="1103" spans="2:17">
      <c r="B1103" s="1" t="s">
        <v>353</v>
      </c>
      <c r="C1103" s="1" t="s">
        <v>357</v>
      </c>
      <c r="D1103" s="52">
        <v>46003.944444444445</v>
      </c>
      <c r="E1103" s="52">
        <v>46003.944444444445</v>
      </c>
      <c r="F1103" s="52">
        <v>46003.977083333331</v>
      </c>
      <c r="G1103" s="53">
        <f t="shared" si="57"/>
        <v>3.2638888886140194E-2</v>
      </c>
      <c r="H1103" s="1" t="s">
        <v>260</v>
      </c>
      <c r="I1103" s="1" t="s">
        <v>261</v>
      </c>
      <c r="J1103" s="1" t="s">
        <v>262</v>
      </c>
      <c r="K1103" s="1" t="str">
        <f>_xlfn.XLOOKUP(J1103,REF!$D$2:$D$12,REF!$E$2:$E$12)</f>
        <v>Comunicação</v>
      </c>
      <c r="L1103" s="1" t="s">
        <v>426</v>
      </c>
      <c r="M1103" s="1" t="s">
        <v>391</v>
      </c>
      <c r="N1103" s="1" t="s">
        <v>266</v>
      </c>
      <c r="O1103" s="1" t="s">
        <v>392</v>
      </c>
      <c r="P1103" s="1" t="str">
        <f t="shared" si="58"/>
        <v>ARAGUATINS 1.1Inverter(MBUS-13)46003,944444444446003,944444444446003,9770833333</v>
      </c>
      <c r="Q1103" s="1" t="str">
        <f t="shared" si="59"/>
        <v>LIGRFOCOM</v>
      </c>
    </row>
    <row r="1104" spans="2:17">
      <c r="B1104" s="1" t="s">
        <v>353</v>
      </c>
      <c r="C1104" s="1" t="s">
        <v>358</v>
      </c>
      <c r="D1104" s="52">
        <v>46003.944444444445</v>
      </c>
      <c r="E1104" s="52">
        <v>46003.944444444445</v>
      </c>
      <c r="F1104" s="52">
        <v>46003.977083333331</v>
      </c>
      <c r="G1104" s="53">
        <f t="shared" si="57"/>
        <v>3.2638888886140194E-2</v>
      </c>
      <c r="H1104" s="1" t="s">
        <v>260</v>
      </c>
      <c r="I1104" s="1" t="s">
        <v>261</v>
      </c>
      <c r="J1104" s="1" t="s">
        <v>262</v>
      </c>
      <c r="K1104" s="1" t="str">
        <f>_xlfn.XLOOKUP(J1104,REF!$D$2:$D$12,REF!$E$2:$E$12)</f>
        <v>Comunicação</v>
      </c>
      <c r="L1104" s="1" t="s">
        <v>426</v>
      </c>
      <c r="M1104" s="1" t="s">
        <v>391</v>
      </c>
      <c r="N1104" s="1" t="s">
        <v>266</v>
      </c>
      <c r="O1104" s="1" t="s">
        <v>392</v>
      </c>
      <c r="P1104" s="1" t="str">
        <f t="shared" si="58"/>
        <v>ARAGUATINS 1.1Inverter(MBUS-14)46003,944444444446003,944444444446003,9770833333</v>
      </c>
      <c r="Q1104" s="1" t="str">
        <f t="shared" si="59"/>
        <v>LIGRFOCOM</v>
      </c>
    </row>
    <row r="1105" spans="2:17">
      <c r="B1105" s="1" t="s">
        <v>353</v>
      </c>
      <c r="C1105" s="1" t="s">
        <v>359</v>
      </c>
      <c r="D1105" s="52">
        <v>46003.944444444445</v>
      </c>
      <c r="E1105" s="52">
        <v>46003.944444444445</v>
      </c>
      <c r="F1105" s="52">
        <v>46003.977083333331</v>
      </c>
      <c r="G1105" s="53">
        <f t="shared" si="57"/>
        <v>3.2638888886140194E-2</v>
      </c>
      <c r="H1105" s="1" t="s">
        <v>260</v>
      </c>
      <c r="I1105" s="1" t="s">
        <v>261</v>
      </c>
      <c r="J1105" s="1" t="s">
        <v>262</v>
      </c>
      <c r="K1105" s="1" t="str">
        <f>_xlfn.XLOOKUP(J1105,REF!$D$2:$D$12,REF!$E$2:$E$12)</f>
        <v>Comunicação</v>
      </c>
      <c r="L1105" s="1" t="s">
        <v>426</v>
      </c>
      <c r="M1105" s="1" t="s">
        <v>391</v>
      </c>
      <c r="N1105" s="1" t="s">
        <v>266</v>
      </c>
      <c r="O1105" s="1" t="s">
        <v>392</v>
      </c>
      <c r="P1105" s="1" t="str">
        <f t="shared" si="58"/>
        <v>ARAGUATINS 1.1Inverter(MBUS-15)46003,944444444446003,944444444446003,9770833333</v>
      </c>
      <c r="Q1105" s="1" t="str">
        <f t="shared" si="59"/>
        <v>LIGRFOCOM</v>
      </c>
    </row>
    <row r="1106" spans="2:17">
      <c r="B1106" s="1" t="s">
        <v>360</v>
      </c>
      <c r="C1106" s="1" t="s">
        <v>354</v>
      </c>
      <c r="D1106" s="52">
        <v>46003.944444444445</v>
      </c>
      <c r="E1106" s="52">
        <v>46003.944444444445</v>
      </c>
      <c r="F1106" s="52">
        <v>46003.977083333331</v>
      </c>
      <c r="G1106" s="53">
        <f t="shared" si="57"/>
        <v>3.2638888886140194E-2</v>
      </c>
      <c r="H1106" s="1" t="s">
        <v>260</v>
      </c>
      <c r="I1106" s="1" t="s">
        <v>261</v>
      </c>
      <c r="J1106" s="1" t="s">
        <v>262</v>
      </c>
      <c r="K1106" s="1" t="str">
        <f>_xlfn.XLOOKUP(J1106,REF!$D$2:$D$12,REF!$E$2:$E$12)</f>
        <v>Comunicação</v>
      </c>
      <c r="L1106" s="1" t="s">
        <v>426</v>
      </c>
      <c r="M1106" s="1" t="s">
        <v>391</v>
      </c>
      <c r="N1106" s="1" t="s">
        <v>266</v>
      </c>
      <c r="O1106" s="1" t="s">
        <v>392</v>
      </c>
      <c r="P1106" s="1" t="str">
        <f t="shared" si="58"/>
        <v>ARAGUATINS 1.2Inverter(MBUS-12)46003,944444444446003,944444444446003,9770833333</v>
      </c>
      <c r="Q1106" s="1" t="str">
        <f t="shared" si="59"/>
        <v>LIGRFOCOM</v>
      </c>
    </row>
    <row r="1107" spans="2:17">
      <c r="B1107" s="1" t="s">
        <v>360</v>
      </c>
      <c r="C1107" s="1" t="s">
        <v>357</v>
      </c>
      <c r="D1107" s="52">
        <v>46003.944444444445</v>
      </c>
      <c r="E1107" s="52">
        <v>46003.944444444445</v>
      </c>
      <c r="F1107" s="52">
        <v>46003.977083333331</v>
      </c>
      <c r="G1107" s="53">
        <f t="shared" si="57"/>
        <v>3.2638888886140194E-2</v>
      </c>
      <c r="H1107" s="1" t="s">
        <v>260</v>
      </c>
      <c r="I1107" s="1" t="s">
        <v>261</v>
      </c>
      <c r="J1107" s="1" t="s">
        <v>262</v>
      </c>
      <c r="K1107" s="1" t="str">
        <f>_xlfn.XLOOKUP(J1107,REF!$D$2:$D$12,REF!$E$2:$E$12)</f>
        <v>Comunicação</v>
      </c>
      <c r="L1107" s="1" t="s">
        <v>426</v>
      </c>
      <c r="M1107" s="1" t="s">
        <v>391</v>
      </c>
      <c r="N1107" s="1" t="s">
        <v>266</v>
      </c>
      <c r="O1107" s="1" t="s">
        <v>392</v>
      </c>
      <c r="P1107" s="1" t="str">
        <f t="shared" si="58"/>
        <v>ARAGUATINS 1.2Inverter(MBUS-13)46003,944444444446003,944444444446003,9770833333</v>
      </c>
      <c r="Q1107" s="1" t="str">
        <f t="shared" si="59"/>
        <v>LIGRFOCOM</v>
      </c>
    </row>
    <row r="1108" spans="2:17">
      <c r="B1108" s="1" t="s">
        <v>360</v>
      </c>
      <c r="C1108" s="1" t="s">
        <v>358</v>
      </c>
      <c r="D1108" s="52">
        <v>46003.944444444445</v>
      </c>
      <c r="E1108" s="52">
        <v>46003.944444444445</v>
      </c>
      <c r="F1108" s="52">
        <v>46003.977083333331</v>
      </c>
      <c r="G1108" s="53">
        <f t="shared" si="57"/>
        <v>3.2638888886140194E-2</v>
      </c>
      <c r="H1108" s="1" t="s">
        <v>260</v>
      </c>
      <c r="I1108" s="1" t="s">
        <v>261</v>
      </c>
      <c r="J1108" s="1" t="s">
        <v>262</v>
      </c>
      <c r="K1108" s="1" t="str">
        <f>_xlfn.XLOOKUP(J1108,REF!$D$2:$D$12,REF!$E$2:$E$12)</f>
        <v>Comunicação</v>
      </c>
      <c r="L1108" s="1" t="s">
        <v>426</v>
      </c>
      <c r="M1108" s="1" t="s">
        <v>391</v>
      </c>
      <c r="N1108" s="1" t="s">
        <v>266</v>
      </c>
      <c r="O1108" s="1" t="s">
        <v>392</v>
      </c>
      <c r="P1108" s="1" t="str">
        <f t="shared" si="58"/>
        <v>ARAGUATINS 1.2Inverter(MBUS-14)46003,944444444446003,944444444446003,9770833333</v>
      </c>
      <c r="Q1108" s="1" t="str">
        <f t="shared" si="59"/>
        <v>LIGRFOCOM</v>
      </c>
    </row>
    <row r="1109" spans="2:17">
      <c r="B1109" s="1" t="s">
        <v>360</v>
      </c>
      <c r="C1109" s="1" t="s">
        <v>359</v>
      </c>
      <c r="D1109" s="52">
        <v>46003.944444444445</v>
      </c>
      <c r="E1109" s="52">
        <v>46003.944444444445</v>
      </c>
      <c r="F1109" s="52">
        <v>46003.977083333331</v>
      </c>
      <c r="G1109" s="53">
        <f t="shared" si="57"/>
        <v>3.2638888886140194E-2</v>
      </c>
      <c r="H1109" s="1" t="s">
        <v>260</v>
      </c>
      <c r="I1109" s="1" t="s">
        <v>261</v>
      </c>
      <c r="J1109" s="1" t="s">
        <v>262</v>
      </c>
      <c r="K1109" s="1" t="str">
        <f>_xlfn.XLOOKUP(J1109,REF!$D$2:$D$12,REF!$E$2:$E$12)</f>
        <v>Comunicação</v>
      </c>
      <c r="L1109" s="1" t="s">
        <v>426</v>
      </c>
      <c r="M1109" s="1" t="s">
        <v>391</v>
      </c>
      <c r="N1109" s="1" t="s">
        <v>266</v>
      </c>
      <c r="O1109" s="1" t="s">
        <v>392</v>
      </c>
      <c r="P1109" s="1" t="str">
        <f t="shared" si="58"/>
        <v>ARAGUATINS 1.2Inverter(MBUS-15)46003,944444444446003,944444444446003,9770833333</v>
      </c>
      <c r="Q1109" s="1" t="str">
        <f t="shared" si="59"/>
        <v>LIGRFOCOM</v>
      </c>
    </row>
    <row r="1110" spans="2:17">
      <c r="B1110" s="1" t="s">
        <v>361</v>
      </c>
      <c r="C1110" s="1" t="s">
        <v>362</v>
      </c>
      <c r="D1110" s="52">
        <v>46003.944444444445</v>
      </c>
      <c r="E1110" s="52">
        <v>46003.944444444445</v>
      </c>
      <c r="F1110" s="52">
        <v>46003.977083333331</v>
      </c>
      <c r="G1110" s="53">
        <f t="shared" ref="G1110:G1173" si="60">F1110-E1110</f>
        <v>3.2638888886140194E-2</v>
      </c>
      <c r="H1110" s="1" t="s">
        <v>260</v>
      </c>
      <c r="I1110" s="1" t="s">
        <v>261</v>
      </c>
      <c r="J1110" s="1" t="s">
        <v>262</v>
      </c>
      <c r="K1110" s="1" t="str">
        <f>_xlfn.XLOOKUP(J1110,REF!$D$2:$D$12,REF!$E$2:$E$12)</f>
        <v>Comunicação</v>
      </c>
      <c r="L1110" s="1" t="s">
        <v>426</v>
      </c>
      <c r="M1110" s="1" t="s">
        <v>391</v>
      </c>
      <c r="N1110" s="1" t="s">
        <v>266</v>
      </c>
      <c r="O1110" s="1" t="s">
        <v>392</v>
      </c>
      <c r="P1110" s="1" t="str">
        <f t="shared" si="58"/>
        <v>ARAGUATINS 1.3Inverter(MBUS-20)46003,944444444446003,944444444446003,9770833333</v>
      </c>
      <c r="Q1110" s="1" t="str">
        <f t="shared" si="59"/>
        <v>LIGRFOCOM</v>
      </c>
    </row>
    <row r="1111" spans="2:17">
      <c r="B1111" s="1" t="s">
        <v>361</v>
      </c>
      <c r="C1111" s="1" t="s">
        <v>328</v>
      </c>
      <c r="D1111" s="52">
        <v>46003.944444444445</v>
      </c>
      <c r="E1111" s="52">
        <v>46003.944444444445</v>
      </c>
      <c r="F1111" s="52">
        <v>46003.977083333331</v>
      </c>
      <c r="G1111" s="53">
        <f t="shared" si="60"/>
        <v>3.2638888886140194E-2</v>
      </c>
      <c r="H1111" s="1" t="s">
        <v>260</v>
      </c>
      <c r="I1111" s="1" t="s">
        <v>261</v>
      </c>
      <c r="J1111" s="1" t="s">
        <v>262</v>
      </c>
      <c r="K1111" s="1" t="str">
        <f>_xlfn.XLOOKUP(J1111,REF!$D$2:$D$12,REF!$E$2:$E$12)</f>
        <v>Comunicação</v>
      </c>
      <c r="L1111" s="1" t="s">
        <v>426</v>
      </c>
      <c r="M1111" s="1" t="s">
        <v>391</v>
      </c>
      <c r="N1111" s="1" t="s">
        <v>266</v>
      </c>
      <c r="O1111" s="1" t="s">
        <v>392</v>
      </c>
      <c r="P1111" s="1" t="str">
        <f t="shared" si="58"/>
        <v>ARAGUATINS 1.3Inverter(MBUS-1)46003,944444444446003,944444444446003,9770833333</v>
      </c>
      <c r="Q1111" s="1" t="str">
        <f t="shared" si="59"/>
        <v>LIGRFOCOM</v>
      </c>
    </row>
    <row r="1112" spans="2:17">
      <c r="B1112" s="1" t="s">
        <v>363</v>
      </c>
      <c r="C1112" s="1" t="s">
        <v>354</v>
      </c>
      <c r="D1112" s="52">
        <v>46003.944444444445</v>
      </c>
      <c r="E1112" s="52">
        <v>46003.944444444445</v>
      </c>
      <c r="F1112" s="52">
        <v>46003.977083333331</v>
      </c>
      <c r="G1112" s="53">
        <f t="shared" si="60"/>
        <v>3.2638888886140194E-2</v>
      </c>
      <c r="H1112" s="1" t="s">
        <v>260</v>
      </c>
      <c r="I1112" s="1" t="s">
        <v>261</v>
      </c>
      <c r="J1112" s="1" t="s">
        <v>262</v>
      </c>
      <c r="K1112" s="1" t="str">
        <f>_xlfn.XLOOKUP(J1112,REF!$D$2:$D$12,REF!$E$2:$E$12)</f>
        <v>Comunicação</v>
      </c>
      <c r="L1112" s="1" t="s">
        <v>426</v>
      </c>
      <c r="M1112" s="1" t="s">
        <v>391</v>
      </c>
      <c r="N1112" s="1" t="s">
        <v>266</v>
      </c>
      <c r="O1112" s="1" t="s">
        <v>392</v>
      </c>
      <c r="P1112" s="1" t="str">
        <f t="shared" si="58"/>
        <v>ARAGUATINS 2.1Inverter(MBUS-12)46003,944444444446003,944444444446003,9770833333</v>
      </c>
      <c r="Q1112" s="1" t="str">
        <f t="shared" si="59"/>
        <v>LIGRFOCOM</v>
      </c>
    </row>
    <row r="1113" spans="2:17">
      <c r="B1113" s="1" t="s">
        <v>363</v>
      </c>
      <c r="C1113" s="1" t="s">
        <v>359</v>
      </c>
      <c r="D1113" s="52">
        <v>46003.944444444445</v>
      </c>
      <c r="E1113" s="52">
        <v>46003.944444444445</v>
      </c>
      <c r="F1113" s="52">
        <v>46003.977083333331</v>
      </c>
      <c r="G1113" s="53">
        <f t="shared" si="60"/>
        <v>3.2638888886140194E-2</v>
      </c>
      <c r="H1113" s="1" t="s">
        <v>260</v>
      </c>
      <c r="I1113" s="1" t="s">
        <v>261</v>
      </c>
      <c r="J1113" s="1" t="s">
        <v>262</v>
      </c>
      <c r="K1113" s="1" t="str">
        <f>_xlfn.XLOOKUP(J1113,REF!$D$2:$D$12,REF!$E$2:$E$12)</f>
        <v>Comunicação</v>
      </c>
      <c r="L1113" s="1" t="s">
        <v>426</v>
      </c>
      <c r="M1113" s="1" t="s">
        <v>391</v>
      </c>
      <c r="N1113" s="1" t="s">
        <v>266</v>
      </c>
      <c r="O1113" s="1" t="s">
        <v>392</v>
      </c>
      <c r="P1113" s="1" t="str">
        <f t="shared" si="58"/>
        <v>ARAGUATINS 2.1Inverter(MBUS-15)46003,944444444446003,944444444446003,9770833333</v>
      </c>
      <c r="Q1113" s="1" t="str">
        <f t="shared" si="59"/>
        <v>LIGRFOCOM</v>
      </c>
    </row>
    <row r="1114" spans="2:17">
      <c r="B1114" s="1" t="s">
        <v>363</v>
      </c>
      <c r="C1114" s="1" t="s">
        <v>358</v>
      </c>
      <c r="D1114" s="52">
        <v>46003.944444444445</v>
      </c>
      <c r="E1114" s="52">
        <v>46003.944444444445</v>
      </c>
      <c r="F1114" s="52">
        <v>46003.977083333331</v>
      </c>
      <c r="G1114" s="53">
        <f t="shared" si="60"/>
        <v>3.2638888886140194E-2</v>
      </c>
      <c r="H1114" s="1" t="s">
        <v>260</v>
      </c>
      <c r="I1114" s="1" t="s">
        <v>261</v>
      </c>
      <c r="J1114" s="1" t="s">
        <v>262</v>
      </c>
      <c r="K1114" s="1" t="str">
        <f>_xlfn.XLOOKUP(J1114,REF!$D$2:$D$12,REF!$E$2:$E$12)</f>
        <v>Comunicação</v>
      </c>
      <c r="L1114" s="1" t="s">
        <v>426</v>
      </c>
      <c r="M1114" s="1" t="s">
        <v>391</v>
      </c>
      <c r="N1114" s="1" t="s">
        <v>266</v>
      </c>
      <c r="O1114" s="1" t="s">
        <v>392</v>
      </c>
      <c r="P1114" s="1" t="str">
        <f t="shared" ref="P1114:P1177" si="61">_xlfn.CONCAT(B1114,C1114,D1114,E1114,F1114)</f>
        <v>ARAGUATINS 2.1Inverter(MBUS-14)46003,944444444446003,944444444446003,9770833333</v>
      </c>
      <c r="Q1114" s="1" t="str">
        <f t="shared" ref="Q1114:Q1177" si="62">_xlfn.CONCAT(H1114,I1114,J1114)</f>
        <v>LIGRFOCOM</v>
      </c>
    </row>
    <row r="1115" spans="2:17">
      <c r="B1115" s="1" t="s">
        <v>363</v>
      </c>
      <c r="C1115" s="1" t="s">
        <v>328</v>
      </c>
      <c r="D1115" s="52">
        <v>46003.944444444445</v>
      </c>
      <c r="E1115" s="52">
        <v>46003.944444444445</v>
      </c>
      <c r="F1115" s="52">
        <v>46003.977083333331</v>
      </c>
      <c r="G1115" s="53">
        <f t="shared" si="60"/>
        <v>3.2638888886140194E-2</v>
      </c>
      <c r="H1115" s="1" t="s">
        <v>260</v>
      </c>
      <c r="I1115" s="1" t="s">
        <v>261</v>
      </c>
      <c r="J1115" s="1" t="s">
        <v>262</v>
      </c>
      <c r="K1115" s="1" t="str">
        <f>_xlfn.XLOOKUP(J1115,REF!$D$2:$D$12,REF!$E$2:$E$12)</f>
        <v>Comunicação</v>
      </c>
      <c r="L1115" s="1" t="s">
        <v>426</v>
      </c>
      <c r="M1115" s="1" t="s">
        <v>391</v>
      </c>
      <c r="N1115" s="1" t="s">
        <v>266</v>
      </c>
      <c r="O1115" s="1" t="s">
        <v>392</v>
      </c>
      <c r="P1115" s="1" t="str">
        <f t="shared" si="61"/>
        <v>ARAGUATINS 2.1Inverter(MBUS-1)46003,944444444446003,944444444446003,9770833333</v>
      </c>
      <c r="Q1115" s="1" t="str">
        <f t="shared" si="62"/>
        <v>LIGRFOCOM</v>
      </c>
    </row>
    <row r="1116" spans="2:17">
      <c r="B1116" s="1" t="s">
        <v>369</v>
      </c>
      <c r="C1116" s="1" t="s">
        <v>359</v>
      </c>
      <c r="D1116" s="52">
        <v>46003.944444444445</v>
      </c>
      <c r="E1116" s="52">
        <v>46003.944444444445</v>
      </c>
      <c r="F1116" s="52">
        <v>46003.977083333331</v>
      </c>
      <c r="G1116" s="53">
        <f t="shared" si="60"/>
        <v>3.2638888886140194E-2</v>
      </c>
      <c r="H1116" s="1" t="s">
        <v>260</v>
      </c>
      <c r="I1116" s="1" t="s">
        <v>261</v>
      </c>
      <c r="J1116" s="1" t="s">
        <v>262</v>
      </c>
      <c r="K1116" s="1" t="str">
        <f>_xlfn.XLOOKUP(J1116,REF!$D$2:$D$12,REF!$E$2:$E$12)</f>
        <v>Comunicação</v>
      </c>
      <c r="L1116" s="1" t="s">
        <v>426</v>
      </c>
      <c r="M1116" s="1" t="s">
        <v>391</v>
      </c>
      <c r="N1116" s="1" t="s">
        <v>266</v>
      </c>
      <c r="O1116" s="1" t="s">
        <v>392</v>
      </c>
      <c r="P1116" s="1" t="str">
        <f t="shared" si="61"/>
        <v>ARAGUATINS 2.2Inverter(MBUS-15)46003,944444444446003,944444444446003,9770833333</v>
      </c>
      <c r="Q1116" s="1" t="str">
        <f t="shared" si="62"/>
        <v>LIGRFOCOM</v>
      </c>
    </row>
    <row r="1117" spans="2:17">
      <c r="B1117" s="1" t="s">
        <v>369</v>
      </c>
      <c r="C1117" s="1" t="s">
        <v>357</v>
      </c>
      <c r="D1117" s="52">
        <v>46003.944444444445</v>
      </c>
      <c r="E1117" s="52">
        <v>46003.944444444445</v>
      </c>
      <c r="F1117" s="52">
        <v>46003.977083333331</v>
      </c>
      <c r="G1117" s="53">
        <f t="shared" si="60"/>
        <v>3.2638888886140194E-2</v>
      </c>
      <c r="H1117" s="1" t="s">
        <v>260</v>
      </c>
      <c r="I1117" s="1" t="s">
        <v>261</v>
      </c>
      <c r="J1117" s="1" t="s">
        <v>262</v>
      </c>
      <c r="K1117" s="1" t="str">
        <f>_xlfn.XLOOKUP(J1117,REF!$D$2:$D$12,REF!$E$2:$E$12)</f>
        <v>Comunicação</v>
      </c>
      <c r="L1117" s="1" t="s">
        <v>426</v>
      </c>
      <c r="M1117" s="1" t="s">
        <v>391</v>
      </c>
      <c r="N1117" s="1" t="s">
        <v>266</v>
      </c>
      <c r="O1117" s="1" t="s">
        <v>392</v>
      </c>
      <c r="P1117" s="1" t="str">
        <f t="shared" si="61"/>
        <v>ARAGUATINS 2.2Inverter(MBUS-13)46003,944444444446003,944444444446003,9770833333</v>
      </c>
      <c r="Q1117" s="1" t="str">
        <f t="shared" si="62"/>
        <v>LIGRFOCOM</v>
      </c>
    </row>
    <row r="1118" spans="2:17">
      <c r="B1118" s="1" t="s">
        <v>369</v>
      </c>
      <c r="C1118" s="1" t="s">
        <v>358</v>
      </c>
      <c r="D1118" s="52">
        <v>46003.944444444445</v>
      </c>
      <c r="E1118" s="52">
        <v>46003.944444444445</v>
      </c>
      <c r="F1118" s="52">
        <v>46003.977083333331</v>
      </c>
      <c r="G1118" s="53">
        <f t="shared" si="60"/>
        <v>3.2638888886140194E-2</v>
      </c>
      <c r="H1118" s="1" t="s">
        <v>260</v>
      </c>
      <c r="I1118" s="1" t="s">
        <v>261</v>
      </c>
      <c r="J1118" s="1" t="s">
        <v>262</v>
      </c>
      <c r="K1118" s="1" t="str">
        <f>_xlfn.XLOOKUP(J1118,REF!$D$2:$D$12,REF!$E$2:$E$12)</f>
        <v>Comunicação</v>
      </c>
      <c r="L1118" s="1" t="s">
        <v>426</v>
      </c>
      <c r="M1118" s="1" t="s">
        <v>391</v>
      </c>
      <c r="N1118" s="1" t="s">
        <v>266</v>
      </c>
      <c r="O1118" s="1" t="s">
        <v>392</v>
      </c>
      <c r="P1118" s="1" t="str">
        <f t="shared" si="61"/>
        <v>ARAGUATINS 2.2Inverter(MBUS-14)46003,944444444446003,944444444446003,9770833333</v>
      </c>
      <c r="Q1118" s="1" t="str">
        <f t="shared" si="62"/>
        <v>LIGRFOCOM</v>
      </c>
    </row>
    <row r="1119" spans="2:17">
      <c r="B1119" s="1" t="s">
        <v>369</v>
      </c>
      <c r="C1119" s="1" t="s">
        <v>354</v>
      </c>
      <c r="D1119" s="52">
        <v>46003.944444444445</v>
      </c>
      <c r="E1119" s="52">
        <v>46003.944444444445</v>
      </c>
      <c r="F1119" s="52">
        <v>46003.977083333331</v>
      </c>
      <c r="G1119" s="53">
        <f t="shared" si="60"/>
        <v>3.2638888886140194E-2</v>
      </c>
      <c r="H1119" s="1" t="s">
        <v>260</v>
      </c>
      <c r="I1119" s="1" t="s">
        <v>261</v>
      </c>
      <c r="J1119" s="1" t="s">
        <v>262</v>
      </c>
      <c r="K1119" s="1" t="str">
        <f>_xlfn.XLOOKUP(J1119,REF!$D$2:$D$12,REF!$E$2:$E$12)</f>
        <v>Comunicação</v>
      </c>
      <c r="L1119" s="1" t="s">
        <v>426</v>
      </c>
      <c r="M1119" s="1" t="s">
        <v>391</v>
      </c>
      <c r="N1119" s="1" t="s">
        <v>266</v>
      </c>
      <c r="O1119" s="1" t="s">
        <v>392</v>
      </c>
      <c r="P1119" s="1" t="str">
        <f t="shared" si="61"/>
        <v>ARAGUATINS 2.2Inverter(MBUS-12)46003,944444444446003,944444444446003,9770833333</v>
      </c>
      <c r="Q1119" s="1" t="str">
        <f t="shared" si="62"/>
        <v>LIGRFOCOM</v>
      </c>
    </row>
    <row r="1120" spans="2:17">
      <c r="B1120" s="1" t="s">
        <v>370</v>
      </c>
      <c r="C1120" s="1" t="s">
        <v>354</v>
      </c>
      <c r="D1120" s="52">
        <v>46003.944444444445</v>
      </c>
      <c r="E1120" s="52">
        <v>46003.944444444445</v>
      </c>
      <c r="F1120" s="52">
        <v>46003.977083333331</v>
      </c>
      <c r="G1120" s="53">
        <f t="shared" si="60"/>
        <v>3.2638888886140194E-2</v>
      </c>
      <c r="H1120" s="1" t="s">
        <v>260</v>
      </c>
      <c r="I1120" s="1" t="s">
        <v>261</v>
      </c>
      <c r="J1120" s="1" t="s">
        <v>262</v>
      </c>
      <c r="K1120" s="1" t="str">
        <f>_xlfn.XLOOKUP(J1120,REF!$D$2:$D$12,REF!$E$2:$E$12)</f>
        <v>Comunicação</v>
      </c>
      <c r="L1120" s="1" t="s">
        <v>426</v>
      </c>
      <c r="M1120" s="1" t="s">
        <v>391</v>
      </c>
      <c r="N1120" s="1" t="s">
        <v>266</v>
      </c>
      <c r="O1120" s="1" t="s">
        <v>392</v>
      </c>
      <c r="P1120" s="1" t="str">
        <f t="shared" si="61"/>
        <v>ARAGUATINS 2.3Inverter(MBUS-12)46003,944444444446003,944444444446003,9770833333</v>
      </c>
      <c r="Q1120" s="1" t="str">
        <f t="shared" si="62"/>
        <v>LIGRFOCOM</v>
      </c>
    </row>
    <row r="1121" spans="1:17">
      <c r="B1121" s="1" t="s">
        <v>370</v>
      </c>
      <c r="C1121" s="1" t="s">
        <v>357</v>
      </c>
      <c r="D1121" s="52">
        <v>46003.944444444445</v>
      </c>
      <c r="E1121" s="52">
        <v>46003.944444444445</v>
      </c>
      <c r="F1121" s="52">
        <v>46003.977083333331</v>
      </c>
      <c r="G1121" s="53">
        <f t="shared" si="60"/>
        <v>3.2638888886140194E-2</v>
      </c>
      <c r="H1121" s="1" t="s">
        <v>260</v>
      </c>
      <c r="I1121" s="1" t="s">
        <v>261</v>
      </c>
      <c r="J1121" s="1" t="s">
        <v>262</v>
      </c>
      <c r="K1121" s="1" t="str">
        <f>_xlfn.XLOOKUP(J1121,REF!$D$2:$D$12,REF!$E$2:$E$12)</f>
        <v>Comunicação</v>
      </c>
      <c r="L1121" s="1" t="s">
        <v>426</v>
      </c>
      <c r="M1121" s="1" t="s">
        <v>391</v>
      </c>
      <c r="N1121" s="1" t="s">
        <v>266</v>
      </c>
      <c r="O1121" s="1" t="s">
        <v>392</v>
      </c>
      <c r="P1121" s="1" t="str">
        <f t="shared" si="61"/>
        <v>ARAGUATINS 2.3Inverter(MBUS-13)46003,944444444446003,944444444446003,9770833333</v>
      </c>
      <c r="Q1121" s="1" t="str">
        <f t="shared" si="62"/>
        <v>LIGRFOCOM</v>
      </c>
    </row>
    <row r="1122" spans="1:17" hidden="1">
      <c r="A1122" s="45"/>
      <c r="B1122" s="61" t="s">
        <v>678</v>
      </c>
      <c r="C1122" s="61" t="s">
        <v>557</v>
      </c>
      <c r="D1122" s="62">
        <v>46017.517361111109</v>
      </c>
      <c r="E1122" s="62">
        <v>46017.517361111109</v>
      </c>
      <c r="F1122" s="62">
        <v>46017.583333333336</v>
      </c>
      <c r="G1122" s="63">
        <f>F1122-E1122</f>
        <v>6.5972222226264421E-2</v>
      </c>
      <c r="H1122" s="61" t="s">
        <v>248</v>
      </c>
      <c r="I1122" s="61"/>
      <c r="J1122" s="61" t="s">
        <v>300</v>
      </c>
      <c r="K1122" s="61" t="s">
        <v>350</v>
      </c>
      <c r="L1122" s="61" t="s">
        <v>881</v>
      </c>
      <c r="M1122" s="61" t="s">
        <v>375</v>
      </c>
      <c r="N1122" s="61" t="s">
        <v>266</v>
      </c>
      <c r="O1122" s="61" t="s">
        <v>882</v>
      </c>
      <c r="P1122" s="61" t="str">
        <f t="shared" si="61"/>
        <v>BC Vazante1.1Inverter1346017,517361111146017,517361111146017,5833333333</v>
      </c>
      <c r="Q1122" s="61" t="str">
        <f t="shared" si="62"/>
        <v>DAUINV</v>
      </c>
    </row>
    <row r="1123" spans="1:17" hidden="1">
      <c r="A1123" s="45"/>
      <c r="B1123" s="61" t="s">
        <v>477</v>
      </c>
      <c r="C1123" s="61" t="s">
        <v>486</v>
      </c>
      <c r="D1123" s="62">
        <v>46017.628472222219</v>
      </c>
      <c r="E1123" s="62">
        <v>46017.628472222219</v>
      </c>
      <c r="F1123" s="62">
        <v>46017.775000000001</v>
      </c>
      <c r="G1123" s="63">
        <f>F1123-E1123</f>
        <v>0.14652777778246673</v>
      </c>
      <c r="H1123" s="61" t="s">
        <v>248</v>
      </c>
      <c r="I1123" s="61"/>
      <c r="J1123" s="61" t="s">
        <v>249</v>
      </c>
      <c r="K1123" s="61" t="s">
        <v>349</v>
      </c>
      <c r="L1123" s="61" t="s">
        <v>868</v>
      </c>
      <c r="M1123" s="61" t="s">
        <v>251</v>
      </c>
      <c r="N1123" s="61" t="s">
        <v>252</v>
      </c>
      <c r="O1123" s="61" t="s">
        <v>331</v>
      </c>
      <c r="P1123" s="61" t="str">
        <f t="shared" si="61"/>
        <v>BC Rio Monte1Inverter3546017,628472222246017,628472222246017,775</v>
      </c>
      <c r="Q1123" s="61" t="str">
        <f t="shared" si="62"/>
        <v>DAURDE</v>
      </c>
    </row>
    <row r="1124" spans="1:17" hidden="1">
      <c r="A1124" s="45"/>
      <c r="B1124" s="61" t="s">
        <v>477</v>
      </c>
      <c r="C1124" s="61" t="s">
        <v>487</v>
      </c>
      <c r="D1124" s="62">
        <v>46017.628472222219</v>
      </c>
      <c r="E1124" s="62">
        <v>46017.628472222219</v>
      </c>
      <c r="F1124" s="62">
        <v>46017.775000000001</v>
      </c>
      <c r="G1124" s="63">
        <f>F1124-E1124</f>
        <v>0.14652777778246673</v>
      </c>
      <c r="H1124" s="61" t="s">
        <v>248</v>
      </c>
      <c r="I1124" s="61"/>
      <c r="J1124" s="61" t="s">
        <v>249</v>
      </c>
      <c r="K1124" s="61" t="s">
        <v>349</v>
      </c>
      <c r="L1124" s="61" t="s">
        <v>868</v>
      </c>
      <c r="M1124" s="61" t="s">
        <v>251</v>
      </c>
      <c r="N1124" s="61" t="s">
        <v>252</v>
      </c>
      <c r="O1124" s="61" t="s">
        <v>331</v>
      </c>
      <c r="P1124" s="61" t="str">
        <f t="shared" si="61"/>
        <v>BC Rio Monte1Inverter4046017,628472222246017,628472222246017,775</v>
      </c>
      <c r="Q1124" s="61" t="str">
        <f t="shared" si="62"/>
        <v>DAURDE</v>
      </c>
    </row>
    <row r="1125" spans="1:17" hidden="1">
      <c r="A1125" s="45"/>
      <c r="B1125" s="61" t="s">
        <v>477</v>
      </c>
      <c r="C1125" s="61" t="s">
        <v>488</v>
      </c>
      <c r="D1125" s="62">
        <v>46017.628472222219</v>
      </c>
      <c r="E1125" s="62">
        <v>46017.628472222219</v>
      </c>
      <c r="F1125" s="62">
        <v>46017.775000000001</v>
      </c>
      <c r="G1125" s="63">
        <f>F1125-E1125</f>
        <v>0.14652777778246673</v>
      </c>
      <c r="H1125" s="61" t="s">
        <v>248</v>
      </c>
      <c r="I1125" s="61"/>
      <c r="J1125" s="61" t="s">
        <v>249</v>
      </c>
      <c r="K1125" s="61" t="s">
        <v>349</v>
      </c>
      <c r="L1125" s="61" t="s">
        <v>868</v>
      </c>
      <c r="M1125" s="61" t="s">
        <v>251</v>
      </c>
      <c r="N1125" s="61" t="s">
        <v>252</v>
      </c>
      <c r="O1125" s="61" t="s">
        <v>331</v>
      </c>
      <c r="P1125" s="61" t="str">
        <f t="shared" si="61"/>
        <v>BC Rio Monte1Inverter4246017,628472222246017,628472222246017,775</v>
      </c>
      <c r="Q1125" s="61" t="str">
        <f t="shared" si="62"/>
        <v>DAURDE</v>
      </c>
    </row>
    <row r="1126" spans="1:17" hidden="1">
      <c r="A1126" s="45"/>
      <c r="B1126" s="61" t="s">
        <v>477</v>
      </c>
      <c r="C1126" s="61" t="s">
        <v>489</v>
      </c>
      <c r="D1126" s="62">
        <v>46017.628472222219</v>
      </c>
      <c r="E1126" s="62">
        <v>46017.628472222219</v>
      </c>
      <c r="F1126" s="62">
        <v>46017.775000000001</v>
      </c>
      <c r="G1126" s="63">
        <f>F1126-E1126</f>
        <v>0.14652777778246673</v>
      </c>
      <c r="H1126" s="61" t="s">
        <v>248</v>
      </c>
      <c r="I1126" s="61"/>
      <c r="J1126" s="61" t="s">
        <v>249</v>
      </c>
      <c r="K1126" s="61" t="s">
        <v>349</v>
      </c>
      <c r="L1126" s="61" t="s">
        <v>868</v>
      </c>
      <c r="M1126" s="61" t="s">
        <v>251</v>
      </c>
      <c r="N1126" s="61" t="s">
        <v>252</v>
      </c>
      <c r="O1126" s="61" t="s">
        <v>331</v>
      </c>
      <c r="P1126" s="61" t="str">
        <f t="shared" si="61"/>
        <v>BC Rio Monte1Inverter4146017,628472222246017,628472222246017,775</v>
      </c>
      <c r="Q1126" s="61" t="str">
        <f t="shared" si="62"/>
        <v>DAURDE</v>
      </c>
    </row>
    <row r="1127" spans="1:17" hidden="1">
      <c r="A1127" s="45"/>
      <c r="B1127" s="61" t="s">
        <v>477</v>
      </c>
      <c r="C1127" s="61" t="s">
        <v>490</v>
      </c>
      <c r="D1127" s="62">
        <v>46017.628472222219</v>
      </c>
      <c r="E1127" s="62">
        <v>46017.628472222219</v>
      </c>
      <c r="F1127" s="62">
        <v>46017.775000000001</v>
      </c>
      <c r="G1127" s="63">
        <f>F1127-E1127</f>
        <v>0.14652777778246673</v>
      </c>
      <c r="H1127" s="61" t="s">
        <v>248</v>
      </c>
      <c r="I1127" s="61"/>
      <c r="J1127" s="61" t="s">
        <v>249</v>
      </c>
      <c r="K1127" s="61" t="s">
        <v>349</v>
      </c>
      <c r="L1127" s="61" t="s">
        <v>868</v>
      </c>
      <c r="M1127" s="61" t="s">
        <v>251</v>
      </c>
      <c r="N1127" s="61" t="s">
        <v>252</v>
      </c>
      <c r="O1127" s="61" t="s">
        <v>331</v>
      </c>
      <c r="P1127" s="61" t="str">
        <f t="shared" si="61"/>
        <v>BC Rio Monte1Inverter4446017,628472222246017,628472222246017,775</v>
      </c>
      <c r="Q1127" s="61" t="str">
        <f t="shared" si="62"/>
        <v>DAURDE</v>
      </c>
    </row>
    <row r="1128" spans="1:17" hidden="1">
      <c r="A1128" s="45"/>
      <c r="B1128" s="61" t="s">
        <v>477</v>
      </c>
      <c r="C1128" s="61" t="s">
        <v>491</v>
      </c>
      <c r="D1128" s="62">
        <v>46017.628472222219</v>
      </c>
      <c r="E1128" s="62">
        <v>46017.628472222219</v>
      </c>
      <c r="F1128" s="62">
        <v>46017.775000000001</v>
      </c>
      <c r="G1128" s="63">
        <f>F1128-E1128</f>
        <v>0.14652777778246673</v>
      </c>
      <c r="H1128" s="61" t="s">
        <v>248</v>
      </c>
      <c r="I1128" s="61"/>
      <c r="J1128" s="61" t="s">
        <v>249</v>
      </c>
      <c r="K1128" s="61" t="s">
        <v>349</v>
      </c>
      <c r="L1128" s="61" t="s">
        <v>868</v>
      </c>
      <c r="M1128" s="61" t="s">
        <v>251</v>
      </c>
      <c r="N1128" s="61" t="s">
        <v>252</v>
      </c>
      <c r="O1128" s="61" t="s">
        <v>331</v>
      </c>
      <c r="P1128" s="61" t="str">
        <f t="shared" si="61"/>
        <v>BC Rio Monte1Inverter4346017,628472222246017,628472222246017,775</v>
      </c>
      <c r="Q1128" s="61" t="str">
        <f t="shared" si="62"/>
        <v>DAURDE</v>
      </c>
    </row>
    <row r="1129" spans="1:17" hidden="1">
      <c r="A1129" s="45"/>
      <c r="B1129" s="61" t="s">
        <v>477</v>
      </c>
      <c r="C1129" s="61" t="s">
        <v>492</v>
      </c>
      <c r="D1129" s="62">
        <v>46017.628472222219</v>
      </c>
      <c r="E1129" s="62">
        <v>46017.628472222219</v>
      </c>
      <c r="F1129" s="62">
        <v>46017.775000000001</v>
      </c>
      <c r="G1129" s="63">
        <f>F1129-E1129</f>
        <v>0.14652777778246673</v>
      </c>
      <c r="H1129" s="61" t="s">
        <v>248</v>
      </c>
      <c r="I1129" s="61"/>
      <c r="J1129" s="61" t="s">
        <v>249</v>
      </c>
      <c r="K1129" s="61" t="s">
        <v>349</v>
      </c>
      <c r="L1129" s="61" t="s">
        <v>868</v>
      </c>
      <c r="M1129" s="61" t="s">
        <v>251</v>
      </c>
      <c r="N1129" s="61" t="s">
        <v>252</v>
      </c>
      <c r="O1129" s="61" t="s">
        <v>331</v>
      </c>
      <c r="P1129" s="61" t="str">
        <f t="shared" si="61"/>
        <v>BC Rio Monte1Inverter4546017,628472222246017,628472222246017,775</v>
      </c>
      <c r="Q1129" s="61" t="str">
        <f t="shared" si="62"/>
        <v>DAURDE</v>
      </c>
    </row>
    <row r="1130" spans="1:17" hidden="1">
      <c r="A1130" s="45"/>
      <c r="B1130" s="61" t="s">
        <v>477</v>
      </c>
      <c r="C1130" s="61" t="s">
        <v>627</v>
      </c>
      <c r="D1130" s="62">
        <v>46017.628472222219</v>
      </c>
      <c r="E1130" s="62">
        <v>46017.628472222219</v>
      </c>
      <c r="F1130" s="62">
        <v>46017.775000000001</v>
      </c>
      <c r="G1130" s="63">
        <f>F1130-E1130</f>
        <v>0.14652777778246673</v>
      </c>
      <c r="H1130" s="61" t="s">
        <v>248</v>
      </c>
      <c r="I1130" s="61"/>
      <c r="J1130" s="61" t="s">
        <v>249</v>
      </c>
      <c r="K1130" s="61" t="s">
        <v>349</v>
      </c>
      <c r="L1130" s="61" t="s">
        <v>868</v>
      </c>
      <c r="M1130" s="61" t="s">
        <v>251</v>
      </c>
      <c r="N1130" s="61" t="s">
        <v>252</v>
      </c>
      <c r="O1130" s="61" t="s">
        <v>331</v>
      </c>
      <c r="P1130" s="61" t="str">
        <f t="shared" si="61"/>
        <v>BC Rio Monte1Inverter3446017,628472222246017,628472222246017,775</v>
      </c>
      <c r="Q1130" s="61" t="str">
        <f t="shared" si="62"/>
        <v>DAURDE</v>
      </c>
    </row>
    <row r="1131" spans="1:17" hidden="1">
      <c r="A1131" s="45"/>
      <c r="B1131" s="61" t="s">
        <v>477</v>
      </c>
      <c r="C1131" s="61" t="s">
        <v>628</v>
      </c>
      <c r="D1131" s="62">
        <v>46017.628472222219</v>
      </c>
      <c r="E1131" s="62">
        <v>46017.628472222219</v>
      </c>
      <c r="F1131" s="62">
        <v>46017.775000000001</v>
      </c>
      <c r="G1131" s="63">
        <f>F1131-E1131</f>
        <v>0.14652777778246673</v>
      </c>
      <c r="H1131" s="61" t="s">
        <v>248</v>
      </c>
      <c r="I1131" s="61"/>
      <c r="J1131" s="61" t="s">
        <v>249</v>
      </c>
      <c r="K1131" s="61" t="s">
        <v>349</v>
      </c>
      <c r="L1131" s="61" t="s">
        <v>868</v>
      </c>
      <c r="M1131" s="61" t="s">
        <v>251</v>
      </c>
      <c r="N1131" s="61" t="s">
        <v>252</v>
      </c>
      <c r="O1131" s="61" t="s">
        <v>331</v>
      </c>
      <c r="P1131" s="61" t="str">
        <f t="shared" si="61"/>
        <v>BC Rio Monte1Inverter3746017,628472222246017,628472222246017,775</v>
      </c>
      <c r="Q1131" s="61" t="str">
        <f t="shared" si="62"/>
        <v>DAURDE</v>
      </c>
    </row>
    <row r="1132" spans="1:17" hidden="1">
      <c r="A1132" s="45"/>
      <c r="B1132" s="61" t="s">
        <v>477</v>
      </c>
      <c r="C1132" s="61" t="s">
        <v>629</v>
      </c>
      <c r="D1132" s="62">
        <v>46017.628472222219</v>
      </c>
      <c r="E1132" s="62">
        <v>46017.628472222219</v>
      </c>
      <c r="F1132" s="62">
        <v>46017.775000000001</v>
      </c>
      <c r="G1132" s="63">
        <f>F1132-E1132</f>
        <v>0.14652777778246673</v>
      </c>
      <c r="H1132" s="61" t="s">
        <v>248</v>
      </c>
      <c r="I1132" s="61"/>
      <c r="J1132" s="61" t="s">
        <v>249</v>
      </c>
      <c r="K1132" s="61" t="s">
        <v>349</v>
      </c>
      <c r="L1132" s="61" t="s">
        <v>868</v>
      </c>
      <c r="M1132" s="61" t="s">
        <v>251</v>
      </c>
      <c r="N1132" s="61" t="s">
        <v>252</v>
      </c>
      <c r="O1132" s="61" t="s">
        <v>331</v>
      </c>
      <c r="P1132" s="61" t="str">
        <f t="shared" si="61"/>
        <v>BC Rio Monte1Inverter3346017,628472222246017,628472222246017,775</v>
      </c>
      <c r="Q1132" s="61" t="str">
        <f t="shared" si="62"/>
        <v>DAURDE</v>
      </c>
    </row>
    <row r="1133" spans="1:17" hidden="1">
      <c r="A1133" s="45"/>
      <c r="B1133" s="61" t="s">
        <v>477</v>
      </c>
      <c r="C1133" s="61" t="s">
        <v>630</v>
      </c>
      <c r="D1133" s="62">
        <v>46017.628472222219</v>
      </c>
      <c r="E1133" s="62">
        <v>46017.628472222219</v>
      </c>
      <c r="F1133" s="62">
        <v>46017.775000000001</v>
      </c>
      <c r="G1133" s="63">
        <f>F1133-E1133</f>
        <v>0.14652777778246673</v>
      </c>
      <c r="H1133" s="61" t="s">
        <v>248</v>
      </c>
      <c r="I1133" s="61"/>
      <c r="J1133" s="61" t="s">
        <v>249</v>
      </c>
      <c r="K1133" s="61" t="s">
        <v>349</v>
      </c>
      <c r="L1133" s="61" t="s">
        <v>868</v>
      </c>
      <c r="M1133" s="61" t="s">
        <v>251</v>
      </c>
      <c r="N1133" s="61" t="s">
        <v>252</v>
      </c>
      <c r="O1133" s="61" t="s">
        <v>331</v>
      </c>
      <c r="P1133" s="61" t="str">
        <f t="shared" si="61"/>
        <v>BC Rio Monte1Inverter2946017,628472222246017,628472222246017,775</v>
      </c>
      <c r="Q1133" s="61" t="str">
        <f t="shared" si="62"/>
        <v>DAURDE</v>
      </c>
    </row>
    <row r="1134" spans="1:17" hidden="1">
      <c r="A1134" s="45"/>
      <c r="B1134" s="61" t="s">
        <v>477</v>
      </c>
      <c r="C1134" s="61" t="s">
        <v>478</v>
      </c>
      <c r="D1134" s="62">
        <v>46017.628472222219</v>
      </c>
      <c r="E1134" s="62">
        <v>46017.628472222219</v>
      </c>
      <c r="F1134" s="62">
        <v>46017.775000000001</v>
      </c>
      <c r="G1134" s="63">
        <f>F1134-E1134</f>
        <v>0.14652777778246673</v>
      </c>
      <c r="H1134" s="61" t="s">
        <v>248</v>
      </c>
      <c r="I1134" s="61"/>
      <c r="J1134" s="61" t="s">
        <v>249</v>
      </c>
      <c r="K1134" s="61" t="s">
        <v>349</v>
      </c>
      <c r="L1134" s="61" t="s">
        <v>868</v>
      </c>
      <c r="M1134" s="61" t="s">
        <v>251</v>
      </c>
      <c r="N1134" s="61" t="s">
        <v>252</v>
      </c>
      <c r="O1134" s="61" t="s">
        <v>331</v>
      </c>
      <c r="P1134" s="61" t="str">
        <f t="shared" si="61"/>
        <v>BC Rio Monte1Inverter3646017,628472222246017,628472222246017,775</v>
      </c>
      <c r="Q1134" s="61" t="str">
        <f t="shared" si="62"/>
        <v>DAURDE</v>
      </c>
    </row>
    <row r="1135" spans="1:17" hidden="1">
      <c r="A1135" s="45"/>
      <c r="B1135" s="61" t="s">
        <v>477</v>
      </c>
      <c r="C1135" s="61" t="s">
        <v>631</v>
      </c>
      <c r="D1135" s="62">
        <v>46017.628472222219</v>
      </c>
      <c r="E1135" s="62">
        <v>46017.628472222219</v>
      </c>
      <c r="F1135" s="62">
        <v>46017.775000000001</v>
      </c>
      <c r="G1135" s="63">
        <f>F1135-E1135</f>
        <v>0.14652777778246673</v>
      </c>
      <c r="H1135" s="61" t="s">
        <v>248</v>
      </c>
      <c r="I1135" s="61"/>
      <c r="J1135" s="61" t="s">
        <v>249</v>
      </c>
      <c r="K1135" s="61" t="s">
        <v>349</v>
      </c>
      <c r="L1135" s="61" t="s">
        <v>868</v>
      </c>
      <c r="M1135" s="61" t="s">
        <v>251</v>
      </c>
      <c r="N1135" s="61" t="s">
        <v>252</v>
      </c>
      <c r="O1135" s="61" t="s">
        <v>331</v>
      </c>
      <c r="P1135" s="61" t="str">
        <f t="shared" si="61"/>
        <v>BC Rio Monte1Inverter3946017,628472222246017,628472222246017,775</v>
      </c>
      <c r="Q1135" s="61" t="str">
        <f t="shared" si="62"/>
        <v>DAURDE</v>
      </c>
    </row>
    <row r="1136" spans="1:17" hidden="1">
      <c r="A1136" s="45"/>
      <c r="B1136" s="61" t="s">
        <v>477</v>
      </c>
      <c r="C1136" s="61" t="s">
        <v>632</v>
      </c>
      <c r="D1136" s="62">
        <v>46017.628472222219</v>
      </c>
      <c r="E1136" s="62">
        <v>46017.628472222219</v>
      </c>
      <c r="F1136" s="62">
        <v>46017.775000000001</v>
      </c>
      <c r="G1136" s="63">
        <f>F1136-E1136</f>
        <v>0.14652777778246673</v>
      </c>
      <c r="H1136" s="61" t="s">
        <v>248</v>
      </c>
      <c r="I1136" s="61"/>
      <c r="J1136" s="61" t="s">
        <v>249</v>
      </c>
      <c r="K1136" s="61" t="s">
        <v>349</v>
      </c>
      <c r="L1136" s="61" t="s">
        <v>868</v>
      </c>
      <c r="M1136" s="61" t="s">
        <v>251</v>
      </c>
      <c r="N1136" s="61" t="s">
        <v>252</v>
      </c>
      <c r="O1136" s="61" t="s">
        <v>331</v>
      </c>
      <c r="P1136" s="61" t="str">
        <f t="shared" si="61"/>
        <v>BC Rio Monte1Inverter3146017,628472222246017,628472222246017,775</v>
      </c>
      <c r="Q1136" s="61" t="str">
        <f t="shared" si="62"/>
        <v>DAURDE</v>
      </c>
    </row>
    <row r="1137" spans="1:17" hidden="1">
      <c r="A1137" s="45"/>
      <c r="B1137" s="61" t="s">
        <v>477</v>
      </c>
      <c r="C1137" s="61" t="s">
        <v>633</v>
      </c>
      <c r="D1137" s="62">
        <v>46017.628472222219</v>
      </c>
      <c r="E1137" s="62">
        <v>46017.628472222219</v>
      </c>
      <c r="F1137" s="62">
        <v>46017.775000000001</v>
      </c>
      <c r="G1137" s="63">
        <f>F1137-E1137</f>
        <v>0.14652777778246673</v>
      </c>
      <c r="H1137" s="61" t="s">
        <v>248</v>
      </c>
      <c r="I1137" s="61"/>
      <c r="J1137" s="61" t="s">
        <v>249</v>
      </c>
      <c r="K1137" s="61" t="s">
        <v>349</v>
      </c>
      <c r="L1137" s="61" t="s">
        <v>868</v>
      </c>
      <c r="M1137" s="61" t="s">
        <v>251</v>
      </c>
      <c r="N1137" s="61" t="s">
        <v>252</v>
      </c>
      <c r="O1137" s="61" t="s">
        <v>331</v>
      </c>
      <c r="P1137" s="61" t="str">
        <f t="shared" si="61"/>
        <v>BC Rio Monte1Inverter3046017,628472222246017,628472222246017,775</v>
      </c>
      <c r="Q1137" s="61" t="str">
        <f t="shared" si="62"/>
        <v>DAURDE</v>
      </c>
    </row>
    <row r="1138" spans="1:17" hidden="1">
      <c r="A1138" s="45"/>
      <c r="B1138" s="61" t="s">
        <v>477</v>
      </c>
      <c r="C1138" s="61" t="s">
        <v>634</v>
      </c>
      <c r="D1138" s="62">
        <v>46017.628472222219</v>
      </c>
      <c r="E1138" s="62">
        <v>46017.628472222219</v>
      </c>
      <c r="F1138" s="62">
        <v>46017.775000000001</v>
      </c>
      <c r="G1138" s="63">
        <f>F1138-E1138</f>
        <v>0.14652777778246673</v>
      </c>
      <c r="H1138" s="61" t="s">
        <v>248</v>
      </c>
      <c r="I1138" s="61"/>
      <c r="J1138" s="61" t="s">
        <v>249</v>
      </c>
      <c r="K1138" s="61" t="s">
        <v>349</v>
      </c>
      <c r="L1138" s="61" t="s">
        <v>868</v>
      </c>
      <c r="M1138" s="61" t="s">
        <v>251</v>
      </c>
      <c r="N1138" s="61" t="s">
        <v>252</v>
      </c>
      <c r="O1138" s="61" t="s">
        <v>331</v>
      </c>
      <c r="P1138" s="61" t="str">
        <f t="shared" si="61"/>
        <v>BC Rio Monte1Inverter3846017,628472222246017,628472222246017,775</v>
      </c>
      <c r="Q1138" s="61" t="str">
        <f t="shared" si="62"/>
        <v>DAURDE</v>
      </c>
    </row>
    <row r="1139" spans="1:17" hidden="1">
      <c r="A1139" s="45"/>
      <c r="B1139" s="61" t="s">
        <v>477</v>
      </c>
      <c r="C1139" s="61" t="s">
        <v>635</v>
      </c>
      <c r="D1139" s="62">
        <v>46017.628472222219</v>
      </c>
      <c r="E1139" s="62">
        <v>46017.628472222219</v>
      </c>
      <c r="F1139" s="62">
        <v>46017.775000000001</v>
      </c>
      <c r="G1139" s="63">
        <f>F1139-E1139</f>
        <v>0.14652777778246673</v>
      </c>
      <c r="H1139" s="61" t="s">
        <v>248</v>
      </c>
      <c r="I1139" s="61"/>
      <c r="J1139" s="61" t="s">
        <v>249</v>
      </c>
      <c r="K1139" s="61" t="s">
        <v>349</v>
      </c>
      <c r="L1139" s="61" t="s">
        <v>868</v>
      </c>
      <c r="M1139" s="61" t="s">
        <v>251</v>
      </c>
      <c r="N1139" s="61" t="s">
        <v>252</v>
      </c>
      <c r="O1139" s="61" t="s">
        <v>331</v>
      </c>
      <c r="P1139" s="61" t="str">
        <f t="shared" si="61"/>
        <v>BC Rio Monte1Inverter3246017,628472222246017,628472222246017,775</v>
      </c>
      <c r="Q1139" s="61" t="str">
        <f t="shared" si="62"/>
        <v>DAURDE</v>
      </c>
    </row>
    <row r="1140" spans="1:17">
      <c r="B1140" s="1" t="s">
        <v>361</v>
      </c>
      <c r="C1140" s="1" t="s">
        <v>362</v>
      </c>
      <c r="D1140" s="52">
        <v>46004.944444444445</v>
      </c>
      <c r="E1140" s="52">
        <v>46004.944444444445</v>
      </c>
      <c r="F1140" s="52">
        <v>46006.667361111111</v>
      </c>
      <c r="G1140" s="53">
        <f t="shared" si="60"/>
        <v>1.7229166666656965</v>
      </c>
      <c r="H1140" s="1" t="s">
        <v>260</v>
      </c>
      <c r="I1140" s="1" t="s">
        <v>261</v>
      </c>
      <c r="J1140" s="1" t="s">
        <v>262</v>
      </c>
      <c r="K1140" s="1" t="s">
        <v>263</v>
      </c>
      <c r="L1140" s="1" t="s">
        <v>426</v>
      </c>
      <c r="M1140" s="1" t="s">
        <v>391</v>
      </c>
      <c r="N1140" s="1" t="s">
        <v>266</v>
      </c>
      <c r="O1140" s="1" t="s">
        <v>392</v>
      </c>
      <c r="P1140" s="1" t="str">
        <f t="shared" si="61"/>
        <v>ARAGUATINS 1.3Inverter(MBUS-20)46004,944444444446004,944444444446006,6673611111</v>
      </c>
      <c r="Q1140" s="1" t="str">
        <f t="shared" si="62"/>
        <v>LIGRFOCOM</v>
      </c>
    </row>
    <row r="1141" spans="1:17">
      <c r="B1141" s="1" t="s">
        <v>361</v>
      </c>
      <c r="C1141" s="1" t="s">
        <v>328</v>
      </c>
      <c r="D1141" s="52">
        <v>46004.944444444445</v>
      </c>
      <c r="E1141" s="52">
        <v>46004.944444444445</v>
      </c>
      <c r="F1141" s="52">
        <v>46006.667361111111</v>
      </c>
      <c r="G1141" s="53">
        <f t="shared" si="60"/>
        <v>1.7229166666656965</v>
      </c>
      <c r="H1141" s="1" t="s">
        <v>260</v>
      </c>
      <c r="I1141" s="1" t="s">
        <v>261</v>
      </c>
      <c r="J1141" s="1" t="s">
        <v>262</v>
      </c>
      <c r="K1141" s="1" t="s">
        <v>263</v>
      </c>
      <c r="L1141" s="1" t="s">
        <v>426</v>
      </c>
      <c r="M1141" s="1" t="s">
        <v>391</v>
      </c>
      <c r="N1141" s="1" t="s">
        <v>266</v>
      </c>
      <c r="O1141" s="1" t="s">
        <v>392</v>
      </c>
      <c r="P1141" s="1" t="str">
        <f t="shared" si="61"/>
        <v>ARAGUATINS 1.3Inverter(MBUS-1)46004,944444444446004,944444444446006,6673611111</v>
      </c>
      <c r="Q1141" s="1" t="str">
        <f t="shared" si="62"/>
        <v>LIGRFOCOM</v>
      </c>
    </row>
    <row r="1142" spans="1:17" hidden="1">
      <c r="A1142" s="45"/>
      <c r="B1142" s="61" t="s">
        <v>429</v>
      </c>
      <c r="C1142" s="61" t="s">
        <v>357</v>
      </c>
      <c r="D1142" s="62">
        <v>46017.784722222219</v>
      </c>
      <c r="E1142" s="62">
        <v>46017.784722222219</v>
      </c>
      <c r="F1142" s="62">
        <v>46018.676388888889</v>
      </c>
      <c r="G1142" s="63">
        <f>F1142-E1142</f>
        <v>0.89166666667006211</v>
      </c>
      <c r="H1142" s="61" t="s">
        <v>248</v>
      </c>
      <c r="I1142" s="61"/>
      <c r="J1142" s="61" t="s">
        <v>249</v>
      </c>
      <c r="K1142" s="61" t="s">
        <v>349</v>
      </c>
      <c r="L1142" s="61" t="s">
        <v>868</v>
      </c>
      <c r="M1142" s="61" t="s">
        <v>251</v>
      </c>
      <c r="N1142" s="61" t="s">
        <v>252</v>
      </c>
      <c r="O1142" s="61" t="s">
        <v>676</v>
      </c>
      <c r="P1142" s="61" t="str">
        <f t="shared" si="61"/>
        <v>BC Formoso1.1Inverter(MBUS-13)46017,784722222246017,784722222246018,6763888889</v>
      </c>
      <c r="Q1142" s="61" t="str">
        <f t="shared" si="62"/>
        <v>DAURDE</v>
      </c>
    </row>
    <row r="1143" spans="1:17" hidden="1">
      <c r="A1143" s="45"/>
      <c r="B1143" s="61" t="s">
        <v>429</v>
      </c>
      <c r="C1143" s="61" t="s">
        <v>354</v>
      </c>
      <c r="D1143" s="62">
        <v>46017.784722222219</v>
      </c>
      <c r="E1143" s="62">
        <v>46017.784722222219</v>
      </c>
      <c r="F1143" s="62">
        <v>46018.676388888889</v>
      </c>
      <c r="G1143" s="63">
        <f>F1143-E1143</f>
        <v>0.89166666667006211</v>
      </c>
      <c r="H1143" s="61" t="s">
        <v>248</v>
      </c>
      <c r="I1143" s="61"/>
      <c r="J1143" s="61" t="s">
        <v>249</v>
      </c>
      <c r="K1143" s="61" t="s">
        <v>349</v>
      </c>
      <c r="L1143" s="61" t="s">
        <v>868</v>
      </c>
      <c r="M1143" s="61" t="s">
        <v>251</v>
      </c>
      <c r="N1143" s="61" t="s">
        <v>252</v>
      </c>
      <c r="O1143" s="61" t="s">
        <v>676</v>
      </c>
      <c r="P1143" s="61" t="str">
        <f t="shared" si="61"/>
        <v>BC Formoso1.1Inverter(MBUS-12)46017,784722222246017,784722222246018,6763888889</v>
      </c>
      <c r="Q1143" s="61" t="str">
        <f t="shared" si="62"/>
        <v>DAURDE</v>
      </c>
    </row>
    <row r="1144" spans="1:17" hidden="1">
      <c r="A1144" s="45"/>
      <c r="B1144" s="61" t="s">
        <v>429</v>
      </c>
      <c r="C1144" s="61" t="s">
        <v>359</v>
      </c>
      <c r="D1144" s="62">
        <v>46017.784722222219</v>
      </c>
      <c r="E1144" s="62">
        <v>46017.784722222219</v>
      </c>
      <c r="F1144" s="62">
        <v>46018.676388888889</v>
      </c>
      <c r="G1144" s="63">
        <f>F1144-E1144</f>
        <v>0.89166666667006211</v>
      </c>
      <c r="H1144" s="61" t="s">
        <v>248</v>
      </c>
      <c r="I1144" s="61"/>
      <c r="J1144" s="61" t="s">
        <v>249</v>
      </c>
      <c r="K1144" s="61" t="s">
        <v>349</v>
      </c>
      <c r="L1144" s="61" t="s">
        <v>868</v>
      </c>
      <c r="M1144" s="61" t="s">
        <v>251</v>
      </c>
      <c r="N1144" s="61" t="s">
        <v>252</v>
      </c>
      <c r="O1144" s="61" t="s">
        <v>676</v>
      </c>
      <c r="P1144" s="61" t="str">
        <f t="shared" si="61"/>
        <v>BC Formoso1.1Inverter(MBUS-15)46017,784722222246017,784722222246018,6763888889</v>
      </c>
      <c r="Q1144" s="61" t="str">
        <f t="shared" si="62"/>
        <v>DAURDE</v>
      </c>
    </row>
    <row r="1145" spans="1:17" hidden="1">
      <c r="A1145" s="45"/>
      <c r="B1145" s="61" t="s">
        <v>429</v>
      </c>
      <c r="C1145" s="61" t="s">
        <v>358</v>
      </c>
      <c r="D1145" s="62">
        <v>46017.784722222219</v>
      </c>
      <c r="E1145" s="62">
        <v>46017.784722222219</v>
      </c>
      <c r="F1145" s="62">
        <v>46018.676388888889</v>
      </c>
      <c r="G1145" s="63">
        <f>F1145-E1145</f>
        <v>0.89166666667006211</v>
      </c>
      <c r="H1145" s="61" t="s">
        <v>248</v>
      </c>
      <c r="I1145" s="61"/>
      <c r="J1145" s="61" t="s">
        <v>249</v>
      </c>
      <c r="K1145" s="61" t="s">
        <v>349</v>
      </c>
      <c r="L1145" s="61" t="s">
        <v>868</v>
      </c>
      <c r="M1145" s="61" t="s">
        <v>251</v>
      </c>
      <c r="N1145" s="61" t="s">
        <v>252</v>
      </c>
      <c r="O1145" s="61" t="s">
        <v>676</v>
      </c>
      <c r="P1145" s="61" t="str">
        <f t="shared" si="61"/>
        <v>BC Formoso1.1Inverter(MBUS-14)46017,784722222246017,784722222246018,6763888889</v>
      </c>
      <c r="Q1145" s="61" t="str">
        <f t="shared" si="62"/>
        <v>DAURDE</v>
      </c>
    </row>
    <row r="1146" spans="1:17" hidden="1">
      <c r="A1146" s="45"/>
      <c r="B1146" s="61" t="s">
        <v>424</v>
      </c>
      <c r="C1146" s="61" t="s">
        <v>358</v>
      </c>
      <c r="D1146" s="62">
        <v>46017.784722222219</v>
      </c>
      <c r="E1146" s="62">
        <v>46017.784722222219</v>
      </c>
      <c r="F1146" s="62">
        <v>46018.676388888889</v>
      </c>
      <c r="G1146" s="63">
        <f>F1146-E1146</f>
        <v>0.89166666667006211</v>
      </c>
      <c r="H1146" s="61" t="s">
        <v>248</v>
      </c>
      <c r="I1146" s="61"/>
      <c r="J1146" s="61" t="s">
        <v>249</v>
      </c>
      <c r="K1146" s="61" t="s">
        <v>349</v>
      </c>
      <c r="L1146" s="61" t="s">
        <v>868</v>
      </c>
      <c r="M1146" s="61" t="s">
        <v>251</v>
      </c>
      <c r="N1146" s="61" t="s">
        <v>252</v>
      </c>
      <c r="O1146" s="61" t="s">
        <v>676</v>
      </c>
      <c r="P1146" s="61" t="str">
        <f t="shared" si="61"/>
        <v>BC Formoso2.2Inverter(MBUS-14)46017,784722222246017,784722222246018,6763888889</v>
      </c>
      <c r="Q1146" s="61" t="str">
        <f t="shared" si="62"/>
        <v>DAURDE</v>
      </c>
    </row>
    <row r="1147" spans="1:17" hidden="1">
      <c r="A1147" s="45"/>
      <c r="B1147" s="61" t="s">
        <v>424</v>
      </c>
      <c r="C1147" s="61" t="s">
        <v>357</v>
      </c>
      <c r="D1147" s="62">
        <v>46017.784722222219</v>
      </c>
      <c r="E1147" s="62">
        <v>46017.784722222219</v>
      </c>
      <c r="F1147" s="62">
        <v>46018.676388888889</v>
      </c>
      <c r="G1147" s="63">
        <f>F1147-E1147</f>
        <v>0.89166666667006211</v>
      </c>
      <c r="H1147" s="61" t="s">
        <v>248</v>
      </c>
      <c r="I1147" s="61"/>
      <c r="J1147" s="61" t="s">
        <v>249</v>
      </c>
      <c r="K1147" s="61" t="s">
        <v>349</v>
      </c>
      <c r="L1147" s="61" t="s">
        <v>868</v>
      </c>
      <c r="M1147" s="61" t="s">
        <v>251</v>
      </c>
      <c r="N1147" s="61" t="s">
        <v>252</v>
      </c>
      <c r="O1147" s="61" t="s">
        <v>676</v>
      </c>
      <c r="P1147" s="61" t="str">
        <f t="shared" si="61"/>
        <v>BC Formoso2.2Inverter(MBUS-13)46017,784722222246017,784722222246018,6763888889</v>
      </c>
      <c r="Q1147" s="61" t="str">
        <f t="shared" si="62"/>
        <v>DAURDE</v>
      </c>
    </row>
    <row r="1148" spans="1:17" hidden="1">
      <c r="A1148" s="45"/>
      <c r="B1148" s="61" t="s">
        <v>424</v>
      </c>
      <c r="C1148" s="61" t="s">
        <v>354</v>
      </c>
      <c r="D1148" s="62">
        <v>46017.784722222219</v>
      </c>
      <c r="E1148" s="62">
        <v>46017.784722222219</v>
      </c>
      <c r="F1148" s="62">
        <v>46018.676388888889</v>
      </c>
      <c r="G1148" s="63">
        <f>F1148-E1148</f>
        <v>0.89166666667006211</v>
      </c>
      <c r="H1148" s="61" t="s">
        <v>248</v>
      </c>
      <c r="I1148" s="61"/>
      <c r="J1148" s="61" t="s">
        <v>249</v>
      </c>
      <c r="K1148" s="61" t="s">
        <v>349</v>
      </c>
      <c r="L1148" s="61" t="s">
        <v>868</v>
      </c>
      <c r="M1148" s="61" t="s">
        <v>251</v>
      </c>
      <c r="N1148" s="61" t="s">
        <v>252</v>
      </c>
      <c r="O1148" s="61" t="s">
        <v>676</v>
      </c>
      <c r="P1148" s="61" t="str">
        <f t="shared" si="61"/>
        <v>BC Formoso2.2Inverter(MBUS-12)46017,784722222246017,784722222246018,6763888889</v>
      </c>
      <c r="Q1148" s="61" t="str">
        <f t="shared" si="62"/>
        <v>DAURDE</v>
      </c>
    </row>
    <row r="1149" spans="1:17" hidden="1">
      <c r="A1149" s="45"/>
      <c r="B1149" s="61" t="s">
        <v>424</v>
      </c>
      <c r="C1149" s="61" t="s">
        <v>328</v>
      </c>
      <c r="D1149" s="62">
        <v>46017.784722222219</v>
      </c>
      <c r="E1149" s="62">
        <v>46017.784722222219</v>
      </c>
      <c r="F1149" s="62">
        <v>46018.676388888889</v>
      </c>
      <c r="G1149" s="63">
        <f>F1149-E1149</f>
        <v>0.89166666667006211</v>
      </c>
      <c r="H1149" s="61" t="s">
        <v>248</v>
      </c>
      <c r="I1149" s="61"/>
      <c r="J1149" s="61" t="s">
        <v>249</v>
      </c>
      <c r="K1149" s="61" t="s">
        <v>349</v>
      </c>
      <c r="L1149" s="61" t="s">
        <v>868</v>
      </c>
      <c r="M1149" s="61" t="s">
        <v>251</v>
      </c>
      <c r="N1149" s="61" t="s">
        <v>252</v>
      </c>
      <c r="O1149" s="61" t="s">
        <v>676</v>
      </c>
      <c r="P1149" s="61" t="str">
        <f t="shared" si="61"/>
        <v>BC Formoso2.2Inverter(MBUS-1)46017,784722222246017,784722222246018,6763888889</v>
      </c>
      <c r="Q1149" s="61" t="str">
        <f t="shared" si="62"/>
        <v>DAURDE</v>
      </c>
    </row>
    <row r="1150" spans="1:17" hidden="1">
      <c r="A1150" s="45"/>
      <c r="B1150" s="61" t="s">
        <v>268</v>
      </c>
      <c r="C1150" s="61" t="s">
        <v>269</v>
      </c>
      <c r="D1150" s="62">
        <v>46017.621527777781</v>
      </c>
      <c r="E1150" s="62">
        <v>46017.621527777781</v>
      </c>
      <c r="F1150" s="62">
        <v>46017.826388888891</v>
      </c>
      <c r="G1150" s="63">
        <f>F1150-E1150</f>
        <v>0.20486111110949423</v>
      </c>
      <c r="H1150" s="61" t="s">
        <v>248</v>
      </c>
      <c r="I1150" s="61"/>
      <c r="J1150" s="61" t="s">
        <v>249</v>
      </c>
      <c r="K1150" s="61" t="s">
        <v>349</v>
      </c>
      <c r="L1150" s="61" t="s">
        <v>745</v>
      </c>
      <c r="M1150" s="61" t="s">
        <v>251</v>
      </c>
      <c r="N1150" s="61" t="s">
        <v>330</v>
      </c>
      <c r="O1150" s="61" t="s">
        <v>331</v>
      </c>
      <c r="P1150" s="61" t="str">
        <f t="shared" si="61"/>
        <v>BC Caiaponia1SG60KTL(COM1-001)_001_00746017,621527777846017,621527777846017,8263888889</v>
      </c>
      <c r="Q1150" s="61" t="str">
        <f t="shared" si="62"/>
        <v>DAURDE</v>
      </c>
    </row>
    <row r="1151" spans="1:17" hidden="1">
      <c r="A1151" s="45"/>
      <c r="B1151" s="61" t="s">
        <v>268</v>
      </c>
      <c r="C1151" s="61" t="s">
        <v>270</v>
      </c>
      <c r="D1151" s="62">
        <v>46017.621527777781</v>
      </c>
      <c r="E1151" s="62">
        <v>46017.621527777781</v>
      </c>
      <c r="F1151" s="62">
        <v>46017.826388888891</v>
      </c>
      <c r="G1151" s="63">
        <f>F1151-E1151</f>
        <v>0.20486111110949423</v>
      </c>
      <c r="H1151" s="61" t="s">
        <v>248</v>
      </c>
      <c r="I1151" s="61"/>
      <c r="J1151" s="61" t="s">
        <v>249</v>
      </c>
      <c r="K1151" s="61" t="s">
        <v>349</v>
      </c>
      <c r="L1151" s="61" t="s">
        <v>745</v>
      </c>
      <c r="M1151" s="61" t="s">
        <v>251</v>
      </c>
      <c r="N1151" s="61" t="s">
        <v>330</v>
      </c>
      <c r="O1151" s="61" t="s">
        <v>331</v>
      </c>
      <c r="P1151" s="61" t="str">
        <f t="shared" si="61"/>
        <v>BC Caiaponia1SG60KTL(COM1-002)_001_01046017,621527777846017,621527777846017,8263888889</v>
      </c>
      <c r="Q1151" s="61" t="str">
        <f t="shared" si="62"/>
        <v>DAURDE</v>
      </c>
    </row>
    <row r="1152" spans="1:17" hidden="1">
      <c r="A1152" s="45"/>
      <c r="B1152" s="61" t="s">
        <v>268</v>
      </c>
      <c r="C1152" s="61" t="s">
        <v>271</v>
      </c>
      <c r="D1152" s="62">
        <v>46017.621527777781</v>
      </c>
      <c r="E1152" s="62">
        <v>46017.621527777781</v>
      </c>
      <c r="F1152" s="62">
        <v>46017.826388888891</v>
      </c>
      <c r="G1152" s="63">
        <f>F1152-E1152</f>
        <v>0.20486111110949423</v>
      </c>
      <c r="H1152" s="61" t="s">
        <v>248</v>
      </c>
      <c r="I1152" s="61"/>
      <c r="J1152" s="61" t="s">
        <v>249</v>
      </c>
      <c r="K1152" s="61" t="s">
        <v>349</v>
      </c>
      <c r="L1152" s="61" t="s">
        <v>745</v>
      </c>
      <c r="M1152" s="61" t="s">
        <v>251</v>
      </c>
      <c r="N1152" s="61" t="s">
        <v>330</v>
      </c>
      <c r="O1152" s="61" t="s">
        <v>331</v>
      </c>
      <c r="P1152" s="61" t="str">
        <f t="shared" si="61"/>
        <v>BC Caiaponia1SG60KTL(COM1-003)_001_01146017,621527777846017,621527777846017,8263888889</v>
      </c>
      <c r="Q1152" s="61" t="str">
        <f t="shared" si="62"/>
        <v>DAURDE</v>
      </c>
    </row>
    <row r="1153" spans="1:17" hidden="1">
      <c r="A1153" s="45"/>
      <c r="B1153" s="61" t="s">
        <v>268</v>
      </c>
      <c r="C1153" s="61" t="s">
        <v>272</v>
      </c>
      <c r="D1153" s="62">
        <v>46017.621527777781</v>
      </c>
      <c r="E1153" s="62">
        <v>46017.621527777781</v>
      </c>
      <c r="F1153" s="62">
        <v>46017.826388888891</v>
      </c>
      <c r="G1153" s="63">
        <f>F1153-E1153</f>
        <v>0.20486111110949423</v>
      </c>
      <c r="H1153" s="61" t="s">
        <v>248</v>
      </c>
      <c r="I1153" s="61"/>
      <c r="J1153" s="61" t="s">
        <v>249</v>
      </c>
      <c r="K1153" s="61" t="s">
        <v>349</v>
      </c>
      <c r="L1153" s="61" t="s">
        <v>745</v>
      </c>
      <c r="M1153" s="61" t="s">
        <v>251</v>
      </c>
      <c r="N1153" s="61" t="s">
        <v>330</v>
      </c>
      <c r="O1153" s="61" t="s">
        <v>331</v>
      </c>
      <c r="P1153" s="61" t="str">
        <f t="shared" si="61"/>
        <v>BC Caiaponia1SG60KTL(COM1-004)_001_01446017,621527777846017,621527777846017,8263888889</v>
      </c>
      <c r="Q1153" s="61" t="str">
        <f t="shared" si="62"/>
        <v>DAURDE</v>
      </c>
    </row>
    <row r="1154" spans="1:17" hidden="1">
      <c r="A1154" s="45"/>
      <c r="B1154" s="61" t="s">
        <v>268</v>
      </c>
      <c r="C1154" s="61" t="s">
        <v>273</v>
      </c>
      <c r="D1154" s="62">
        <v>46017.621527777781</v>
      </c>
      <c r="E1154" s="62">
        <v>46017.621527777781</v>
      </c>
      <c r="F1154" s="62">
        <v>46017.826388888891</v>
      </c>
      <c r="G1154" s="63">
        <f>F1154-E1154</f>
        <v>0.20486111110949423</v>
      </c>
      <c r="H1154" s="61" t="s">
        <v>248</v>
      </c>
      <c r="I1154" s="61"/>
      <c r="J1154" s="61" t="s">
        <v>249</v>
      </c>
      <c r="K1154" s="61" t="s">
        <v>349</v>
      </c>
      <c r="L1154" s="61" t="s">
        <v>745</v>
      </c>
      <c r="M1154" s="61" t="s">
        <v>251</v>
      </c>
      <c r="N1154" s="61" t="s">
        <v>330</v>
      </c>
      <c r="O1154" s="61" t="s">
        <v>331</v>
      </c>
      <c r="P1154" s="61" t="str">
        <f t="shared" si="61"/>
        <v>BC Caiaponia1SG60KTL(COM1-005)_001_01746017,621527777846017,621527777846017,8263888889</v>
      </c>
      <c r="Q1154" s="61" t="str">
        <f t="shared" si="62"/>
        <v>DAURDE</v>
      </c>
    </row>
    <row r="1155" spans="1:17" hidden="1">
      <c r="A1155" s="45"/>
      <c r="B1155" s="61" t="s">
        <v>268</v>
      </c>
      <c r="C1155" s="61" t="s">
        <v>274</v>
      </c>
      <c r="D1155" s="62">
        <v>46017.621527777781</v>
      </c>
      <c r="E1155" s="62">
        <v>46017.621527777781</v>
      </c>
      <c r="F1155" s="62">
        <v>46017.826388888891</v>
      </c>
      <c r="G1155" s="63">
        <f>F1155-E1155</f>
        <v>0.20486111110949423</v>
      </c>
      <c r="H1155" s="61" t="s">
        <v>248</v>
      </c>
      <c r="I1155" s="61"/>
      <c r="J1155" s="61" t="s">
        <v>249</v>
      </c>
      <c r="K1155" s="61" t="s">
        <v>349</v>
      </c>
      <c r="L1155" s="61" t="s">
        <v>745</v>
      </c>
      <c r="M1155" s="61" t="s">
        <v>251</v>
      </c>
      <c r="N1155" s="61" t="s">
        <v>330</v>
      </c>
      <c r="O1155" s="61" t="s">
        <v>331</v>
      </c>
      <c r="P1155" s="61" t="str">
        <f t="shared" si="61"/>
        <v>BC Caiaponia1SG60KTL(COM1-006)_001_01646017,621527777846017,621527777846017,8263888889</v>
      </c>
      <c r="Q1155" s="61" t="str">
        <f t="shared" si="62"/>
        <v>DAURDE</v>
      </c>
    </row>
    <row r="1156" spans="1:17" hidden="1">
      <c r="A1156" s="45"/>
      <c r="B1156" s="61" t="s">
        <v>268</v>
      </c>
      <c r="C1156" s="61" t="s">
        <v>275</v>
      </c>
      <c r="D1156" s="62">
        <v>46017.621527777781</v>
      </c>
      <c r="E1156" s="62">
        <v>46017.621527777781</v>
      </c>
      <c r="F1156" s="62">
        <v>46017.826388888891</v>
      </c>
      <c r="G1156" s="63">
        <f>F1156-E1156</f>
        <v>0.20486111110949423</v>
      </c>
      <c r="H1156" s="61" t="s">
        <v>248</v>
      </c>
      <c r="I1156" s="61"/>
      <c r="J1156" s="61" t="s">
        <v>249</v>
      </c>
      <c r="K1156" s="61" t="s">
        <v>349</v>
      </c>
      <c r="L1156" s="61" t="s">
        <v>745</v>
      </c>
      <c r="M1156" s="61" t="s">
        <v>251</v>
      </c>
      <c r="N1156" s="61" t="s">
        <v>330</v>
      </c>
      <c r="O1156" s="61" t="s">
        <v>331</v>
      </c>
      <c r="P1156" s="61" t="str">
        <f t="shared" si="61"/>
        <v>BC Caiaponia1SG60KTL(COM1-007)_001_01346017,621527777846017,621527777846017,8263888889</v>
      </c>
      <c r="Q1156" s="61" t="str">
        <f t="shared" si="62"/>
        <v>DAURDE</v>
      </c>
    </row>
    <row r="1157" spans="1:17" hidden="1">
      <c r="A1157" s="45"/>
      <c r="B1157" s="61" t="s">
        <v>268</v>
      </c>
      <c r="C1157" s="61" t="s">
        <v>276</v>
      </c>
      <c r="D1157" s="62">
        <v>46017.621527777781</v>
      </c>
      <c r="E1157" s="62">
        <v>46017.621527777781</v>
      </c>
      <c r="F1157" s="62">
        <v>46017.826388888891</v>
      </c>
      <c r="G1157" s="63">
        <f>F1157-E1157</f>
        <v>0.20486111110949423</v>
      </c>
      <c r="H1157" s="61" t="s">
        <v>248</v>
      </c>
      <c r="I1157" s="61"/>
      <c r="J1157" s="61" t="s">
        <v>249</v>
      </c>
      <c r="K1157" s="61" t="s">
        <v>349</v>
      </c>
      <c r="L1157" s="61" t="s">
        <v>745</v>
      </c>
      <c r="M1157" s="61" t="s">
        <v>251</v>
      </c>
      <c r="N1157" s="61" t="s">
        <v>330</v>
      </c>
      <c r="O1157" s="61" t="s">
        <v>331</v>
      </c>
      <c r="P1157" s="61" t="str">
        <f t="shared" si="61"/>
        <v>BC Caiaponia1SG60KTL(COM1-008)_001_00146017,621527777846017,621527777846017,8263888889</v>
      </c>
      <c r="Q1157" s="61" t="str">
        <f t="shared" si="62"/>
        <v>DAURDE</v>
      </c>
    </row>
    <row r="1158" spans="1:17" hidden="1">
      <c r="A1158" s="45"/>
      <c r="B1158" s="61" t="s">
        <v>268</v>
      </c>
      <c r="C1158" s="61" t="s">
        <v>277</v>
      </c>
      <c r="D1158" s="62">
        <v>46017.621527777781</v>
      </c>
      <c r="E1158" s="62">
        <v>46017.621527777781</v>
      </c>
      <c r="F1158" s="62">
        <v>46017.826388888891</v>
      </c>
      <c r="G1158" s="63">
        <f>F1158-E1158</f>
        <v>0.20486111110949423</v>
      </c>
      <c r="H1158" s="61" t="s">
        <v>248</v>
      </c>
      <c r="I1158" s="61"/>
      <c r="J1158" s="61" t="s">
        <v>249</v>
      </c>
      <c r="K1158" s="61" t="s">
        <v>349</v>
      </c>
      <c r="L1158" s="61" t="s">
        <v>745</v>
      </c>
      <c r="M1158" s="61" t="s">
        <v>251</v>
      </c>
      <c r="N1158" s="61" t="s">
        <v>330</v>
      </c>
      <c r="O1158" s="61" t="s">
        <v>331</v>
      </c>
      <c r="P1158" s="61" t="str">
        <f t="shared" si="61"/>
        <v>BC Caiaponia1SG60KTL(COM1-009)46017,621527777846017,621527777846017,8263888889</v>
      </c>
      <c r="Q1158" s="61" t="str">
        <f t="shared" si="62"/>
        <v>DAURDE</v>
      </c>
    </row>
    <row r="1159" spans="1:17" hidden="1">
      <c r="A1159" s="45"/>
      <c r="B1159" s="61" t="s">
        <v>268</v>
      </c>
      <c r="C1159" s="61" t="s">
        <v>278</v>
      </c>
      <c r="D1159" s="62">
        <v>46017.621527777781</v>
      </c>
      <c r="E1159" s="62">
        <v>46017.621527777781</v>
      </c>
      <c r="F1159" s="62">
        <v>46017.826388888891</v>
      </c>
      <c r="G1159" s="63">
        <f>F1159-E1159</f>
        <v>0.20486111110949423</v>
      </c>
      <c r="H1159" s="61" t="s">
        <v>248</v>
      </c>
      <c r="I1159" s="61"/>
      <c r="J1159" s="61" t="s">
        <v>249</v>
      </c>
      <c r="K1159" s="61" t="s">
        <v>349</v>
      </c>
      <c r="L1159" s="61" t="s">
        <v>745</v>
      </c>
      <c r="M1159" s="61" t="s">
        <v>251</v>
      </c>
      <c r="N1159" s="61" t="s">
        <v>330</v>
      </c>
      <c r="O1159" s="61" t="s">
        <v>331</v>
      </c>
      <c r="P1159" s="61" t="str">
        <f t="shared" si="61"/>
        <v>BC Caiaponia1SG60KTL(COM1-010)46017,621527777846017,621527777846017,8263888889</v>
      </c>
      <c r="Q1159" s="61" t="str">
        <f t="shared" si="62"/>
        <v>DAURDE</v>
      </c>
    </row>
    <row r="1160" spans="1:17" hidden="1">
      <c r="A1160" s="45"/>
      <c r="B1160" s="61" t="s">
        <v>268</v>
      </c>
      <c r="C1160" s="61" t="s">
        <v>279</v>
      </c>
      <c r="D1160" s="62">
        <v>46017.621527777781</v>
      </c>
      <c r="E1160" s="62">
        <v>46017.621527777781</v>
      </c>
      <c r="F1160" s="62">
        <v>46017.826388888891</v>
      </c>
      <c r="G1160" s="63">
        <f>F1160-E1160</f>
        <v>0.20486111110949423</v>
      </c>
      <c r="H1160" s="61" t="s">
        <v>248</v>
      </c>
      <c r="I1160" s="61"/>
      <c r="J1160" s="61" t="s">
        <v>249</v>
      </c>
      <c r="K1160" s="61" t="s">
        <v>349</v>
      </c>
      <c r="L1160" s="61" t="s">
        <v>745</v>
      </c>
      <c r="M1160" s="61" t="s">
        <v>251</v>
      </c>
      <c r="N1160" s="61" t="s">
        <v>330</v>
      </c>
      <c r="O1160" s="61" t="s">
        <v>331</v>
      </c>
      <c r="P1160" s="61" t="str">
        <f t="shared" si="61"/>
        <v>BC Caiaponia1SG60KTL(COM1-011)46017,621527777846017,621527777846017,8263888889</v>
      </c>
      <c r="Q1160" s="61" t="str">
        <f t="shared" si="62"/>
        <v>DAURDE</v>
      </c>
    </row>
    <row r="1161" spans="1:17" hidden="1">
      <c r="A1161" s="45"/>
      <c r="B1161" s="61" t="s">
        <v>268</v>
      </c>
      <c r="C1161" s="61" t="s">
        <v>280</v>
      </c>
      <c r="D1161" s="62">
        <v>46017.621527777781</v>
      </c>
      <c r="E1161" s="62">
        <v>46017.621527777781</v>
      </c>
      <c r="F1161" s="62">
        <v>46017.826388888891</v>
      </c>
      <c r="G1161" s="63">
        <f>F1161-E1161</f>
        <v>0.20486111110949423</v>
      </c>
      <c r="H1161" s="61" t="s">
        <v>248</v>
      </c>
      <c r="I1161" s="61"/>
      <c r="J1161" s="61" t="s">
        <v>249</v>
      </c>
      <c r="K1161" s="61" t="s">
        <v>349</v>
      </c>
      <c r="L1161" s="61" t="s">
        <v>745</v>
      </c>
      <c r="M1161" s="61" t="s">
        <v>251</v>
      </c>
      <c r="N1161" s="61" t="s">
        <v>330</v>
      </c>
      <c r="O1161" s="61" t="s">
        <v>331</v>
      </c>
      <c r="P1161" s="61" t="str">
        <f t="shared" si="61"/>
        <v>BC Caiaponia1SG60KTL(COM1-012)46017,621527777846017,621527777846017,8263888889</v>
      </c>
      <c r="Q1161" s="61" t="str">
        <f t="shared" si="62"/>
        <v>DAURDE</v>
      </c>
    </row>
    <row r="1162" spans="1:17" hidden="1">
      <c r="A1162" s="45"/>
      <c r="B1162" s="61" t="s">
        <v>268</v>
      </c>
      <c r="C1162" s="61" t="s">
        <v>281</v>
      </c>
      <c r="D1162" s="62">
        <v>46017.621527777781</v>
      </c>
      <c r="E1162" s="62">
        <v>46017.621527777781</v>
      </c>
      <c r="F1162" s="62">
        <v>46017.826388888891</v>
      </c>
      <c r="G1162" s="63">
        <f>F1162-E1162</f>
        <v>0.20486111110949423</v>
      </c>
      <c r="H1162" s="61" t="s">
        <v>248</v>
      </c>
      <c r="I1162" s="61"/>
      <c r="J1162" s="61" t="s">
        <v>249</v>
      </c>
      <c r="K1162" s="61" t="s">
        <v>349</v>
      </c>
      <c r="L1162" s="61" t="s">
        <v>745</v>
      </c>
      <c r="M1162" s="61" t="s">
        <v>251</v>
      </c>
      <c r="N1162" s="61" t="s">
        <v>330</v>
      </c>
      <c r="O1162" s="61" t="s">
        <v>331</v>
      </c>
      <c r="P1162" s="61" t="str">
        <f t="shared" si="61"/>
        <v>BC Caiaponia1SG60KTL(COM1-013)46017,621527777846017,621527777846017,8263888889</v>
      </c>
      <c r="Q1162" s="61" t="str">
        <f t="shared" si="62"/>
        <v>DAURDE</v>
      </c>
    </row>
    <row r="1163" spans="1:17" hidden="1">
      <c r="A1163" s="45"/>
      <c r="B1163" s="61" t="s">
        <v>268</v>
      </c>
      <c r="C1163" s="61" t="s">
        <v>282</v>
      </c>
      <c r="D1163" s="62">
        <v>46017.621527777781</v>
      </c>
      <c r="E1163" s="62">
        <v>46017.621527777781</v>
      </c>
      <c r="F1163" s="62">
        <v>46017.826388888891</v>
      </c>
      <c r="G1163" s="63">
        <f>F1163-E1163</f>
        <v>0.20486111110949423</v>
      </c>
      <c r="H1163" s="61" t="s">
        <v>248</v>
      </c>
      <c r="I1163" s="61"/>
      <c r="J1163" s="61" t="s">
        <v>249</v>
      </c>
      <c r="K1163" s="61" t="s">
        <v>349</v>
      </c>
      <c r="L1163" s="61" t="s">
        <v>745</v>
      </c>
      <c r="M1163" s="61" t="s">
        <v>251</v>
      </c>
      <c r="N1163" s="61" t="s">
        <v>330</v>
      </c>
      <c r="O1163" s="61" t="s">
        <v>331</v>
      </c>
      <c r="P1163" s="61" t="str">
        <f t="shared" si="61"/>
        <v>BC Caiaponia1SG60KTL(COM1-014)46017,621527777846017,621527777846017,8263888889</v>
      </c>
      <c r="Q1163" s="61" t="str">
        <f t="shared" si="62"/>
        <v>DAURDE</v>
      </c>
    </row>
    <row r="1164" spans="1:17" hidden="1">
      <c r="A1164" s="45"/>
      <c r="B1164" s="61" t="s">
        <v>268</v>
      </c>
      <c r="C1164" s="61" t="s">
        <v>283</v>
      </c>
      <c r="D1164" s="62">
        <v>46017.621527777781</v>
      </c>
      <c r="E1164" s="62">
        <v>46017.621527777781</v>
      </c>
      <c r="F1164" s="62">
        <v>46017.826388888891</v>
      </c>
      <c r="G1164" s="63">
        <f>F1164-E1164</f>
        <v>0.20486111110949423</v>
      </c>
      <c r="H1164" s="61" t="s">
        <v>248</v>
      </c>
      <c r="I1164" s="61"/>
      <c r="J1164" s="61" t="s">
        <v>249</v>
      </c>
      <c r="K1164" s="61" t="s">
        <v>349</v>
      </c>
      <c r="L1164" s="61" t="s">
        <v>745</v>
      </c>
      <c r="M1164" s="61" t="s">
        <v>251</v>
      </c>
      <c r="N1164" s="61" t="s">
        <v>330</v>
      </c>
      <c r="O1164" s="61" t="s">
        <v>331</v>
      </c>
      <c r="P1164" s="61" t="str">
        <f t="shared" si="61"/>
        <v>BC Caiaponia1SG60KTL(COM1-015)46017,621527777846017,621527777846017,8263888889</v>
      </c>
      <c r="Q1164" s="61" t="str">
        <f t="shared" si="62"/>
        <v>DAURDE</v>
      </c>
    </row>
    <row r="1165" spans="1:17" hidden="1">
      <c r="A1165" s="45"/>
      <c r="B1165" s="61" t="s">
        <v>268</v>
      </c>
      <c r="C1165" s="61" t="s">
        <v>284</v>
      </c>
      <c r="D1165" s="62">
        <v>46017.621527777781</v>
      </c>
      <c r="E1165" s="62">
        <v>46017.621527777781</v>
      </c>
      <c r="F1165" s="62">
        <v>46017.826388888891</v>
      </c>
      <c r="G1165" s="63">
        <f>F1165-E1165</f>
        <v>0.20486111110949423</v>
      </c>
      <c r="H1165" s="61" t="s">
        <v>248</v>
      </c>
      <c r="I1165" s="61"/>
      <c r="J1165" s="61" t="s">
        <v>249</v>
      </c>
      <c r="K1165" s="61" t="s">
        <v>349</v>
      </c>
      <c r="L1165" s="61" t="s">
        <v>745</v>
      </c>
      <c r="M1165" s="61" t="s">
        <v>251</v>
      </c>
      <c r="N1165" s="61" t="s">
        <v>330</v>
      </c>
      <c r="O1165" s="61" t="s">
        <v>331</v>
      </c>
      <c r="P1165" s="61" t="str">
        <f t="shared" si="61"/>
        <v>BC Caiaponia1SG60KTL(COM3-016)_001_00946017,621527777846017,621527777846017,8263888889</v>
      </c>
      <c r="Q1165" s="61" t="str">
        <f t="shared" si="62"/>
        <v>DAURDE</v>
      </c>
    </row>
    <row r="1166" spans="1:17" hidden="1">
      <c r="A1166" s="45"/>
      <c r="B1166" s="61" t="s">
        <v>268</v>
      </c>
      <c r="C1166" s="61" t="s">
        <v>285</v>
      </c>
      <c r="D1166" s="62">
        <v>46017.621527777781</v>
      </c>
      <c r="E1166" s="62">
        <v>46017.621527777781</v>
      </c>
      <c r="F1166" s="62">
        <v>46017.826388888891</v>
      </c>
      <c r="G1166" s="63">
        <f>F1166-E1166</f>
        <v>0.20486111110949423</v>
      </c>
      <c r="H1166" s="61" t="s">
        <v>248</v>
      </c>
      <c r="I1166" s="61"/>
      <c r="J1166" s="61" t="s">
        <v>249</v>
      </c>
      <c r="K1166" s="61" t="s">
        <v>349</v>
      </c>
      <c r="L1166" s="61" t="s">
        <v>745</v>
      </c>
      <c r="M1166" s="61" t="s">
        <v>251</v>
      </c>
      <c r="N1166" s="61" t="s">
        <v>330</v>
      </c>
      <c r="O1166" s="61" t="s">
        <v>331</v>
      </c>
      <c r="P1166" s="61" t="str">
        <f t="shared" si="61"/>
        <v>BC Caiaponia1SG60KTL(COM3-017)_001_01246017,621527777846017,621527777846017,8263888889</v>
      </c>
      <c r="Q1166" s="61" t="str">
        <f t="shared" si="62"/>
        <v>DAURDE</v>
      </c>
    </row>
    <row r="1167" spans="1:17" hidden="1">
      <c r="A1167" s="45"/>
      <c r="B1167" s="61" t="s">
        <v>268</v>
      </c>
      <c r="C1167" s="61" t="s">
        <v>286</v>
      </c>
      <c r="D1167" s="62">
        <v>46017.621527777781</v>
      </c>
      <c r="E1167" s="62">
        <v>46017.621527777781</v>
      </c>
      <c r="F1167" s="62">
        <v>46017.826388888891</v>
      </c>
      <c r="G1167" s="63">
        <f>F1167-E1167</f>
        <v>0.20486111110949423</v>
      </c>
      <c r="H1167" s="61" t="s">
        <v>248</v>
      </c>
      <c r="I1167" s="61"/>
      <c r="J1167" s="61" t="s">
        <v>249</v>
      </c>
      <c r="K1167" s="61" t="s">
        <v>349</v>
      </c>
      <c r="L1167" s="61" t="s">
        <v>745</v>
      </c>
      <c r="M1167" s="61" t="s">
        <v>251</v>
      </c>
      <c r="N1167" s="61" t="s">
        <v>330</v>
      </c>
      <c r="O1167" s="61" t="s">
        <v>331</v>
      </c>
      <c r="P1167" s="61" t="str">
        <f t="shared" si="61"/>
        <v>BC Caiaponia1SG60KTL(COM3-018)_001_00846017,621527777846017,621527777846017,8263888889</v>
      </c>
      <c r="Q1167" s="61" t="str">
        <f t="shared" si="62"/>
        <v>DAURDE</v>
      </c>
    </row>
    <row r="1168" spans="1:17" hidden="1">
      <c r="A1168" s="45"/>
      <c r="B1168" s="61" t="s">
        <v>268</v>
      </c>
      <c r="C1168" s="61" t="s">
        <v>287</v>
      </c>
      <c r="D1168" s="62">
        <v>46017.621527777781</v>
      </c>
      <c r="E1168" s="62">
        <v>46017.621527777781</v>
      </c>
      <c r="F1168" s="62">
        <v>46017.826388888891</v>
      </c>
      <c r="G1168" s="63">
        <f>F1168-E1168</f>
        <v>0.20486111110949423</v>
      </c>
      <c r="H1168" s="61" t="s">
        <v>248</v>
      </c>
      <c r="I1168" s="61"/>
      <c r="J1168" s="61" t="s">
        <v>249</v>
      </c>
      <c r="K1168" s="61" t="s">
        <v>349</v>
      </c>
      <c r="L1168" s="61" t="s">
        <v>745</v>
      </c>
      <c r="M1168" s="61" t="s">
        <v>251</v>
      </c>
      <c r="N1168" s="61" t="s">
        <v>330</v>
      </c>
      <c r="O1168" s="61" t="s">
        <v>331</v>
      </c>
      <c r="P1168" s="61" t="str">
        <f t="shared" si="61"/>
        <v>BC Caiaponia1SG60KTL(COM3-019)_001_01946017,621527777846017,621527777846017,8263888889</v>
      </c>
      <c r="Q1168" s="61" t="str">
        <f t="shared" si="62"/>
        <v>DAURDE</v>
      </c>
    </row>
    <row r="1169" spans="1:17" hidden="1">
      <c r="A1169" s="45"/>
      <c r="B1169" s="61" t="s">
        <v>268</v>
      </c>
      <c r="C1169" s="61" t="s">
        <v>288</v>
      </c>
      <c r="D1169" s="62">
        <v>46017.621527777781</v>
      </c>
      <c r="E1169" s="62">
        <v>46017.621527777781</v>
      </c>
      <c r="F1169" s="62">
        <v>46017.826388888891</v>
      </c>
      <c r="G1169" s="63">
        <f>F1169-E1169</f>
        <v>0.20486111110949423</v>
      </c>
      <c r="H1169" s="61" t="s">
        <v>248</v>
      </c>
      <c r="I1169" s="61"/>
      <c r="J1169" s="61" t="s">
        <v>249</v>
      </c>
      <c r="K1169" s="61" t="s">
        <v>349</v>
      </c>
      <c r="L1169" s="61" t="s">
        <v>745</v>
      </c>
      <c r="M1169" s="61" t="s">
        <v>251</v>
      </c>
      <c r="N1169" s="61" t="s">
        <v>330</v>
      </c>
      <c r="O1169" s="61" t="s">
        <v>331</v>
      </c>
      <c r="P1169" s="61" t="str">
        <f t="shared" si="61"/>
        <v>BC Caiaponia1SG60KTL(COM3-020)_001_02046017,621527777846017,621527777846017,8263888889</v>
      </c>
      <c r="Q1169" s="61" t="str">
        <f t="shared" si="62"/>
        <v>DAURDE</v>
      </c>
    </row>
    <row r="1170" spans="1:17" hidden="1">
      <c r="A1170" s="45"/>
      <c r="B1170" s="61" t="s">
        <v>268</v>
      </c>
      <c r="C1170" s="61" t="s">
        <v>289</v>
      </c>
      <c r="D1170" s="62">
        <v>46017.621527777781</v>
      </c>
      <c r="E1170" s="62">
        <v>46017.621527777781</v>
      </c>
      <c r="F1170" s="62">
        <v>46017.826388888891</v>
      </c>
      <c r="G1170" s="63">
        <f>F1170-E1170</f>
        <v>0.20486111110949423</v>
      </c>
      <c r="H1170" s="61" t="s">
        <v>248</v>
      </c>
      <c r="I1170" s="61"/>
      <c r="J1170" s="61" t="s">
        <v>249</v>
      </c>
      <c r="K1170" s="61" t="s">
        <v>349</v>
      </c>
      <c r="L1170" s="61" t="s">
        <v>745</v>
      </c>
      <c r="M1170" s="61" t="s">
        <v>251</v>
      </c>
      <c r="N1170" s="61" t="s">
        <v>330</v>
      </c>
      <c r="O1170" s="61" t="s">
        <v>331</v>
      </c>
      <c r="P1170" s="61" t="str">
        <f t="shared" si="61"/>
        <v>BC Caiaponia1SG60KTL(COM2-026)46017,621527777846017,621527777846017,8263888889</v>
      </c>
      <c r="Q1170" s="61" t="str">
        <f t="shared" si="62"/>
        <v>DAURDE</v>
      </c>
    </row>
    <row r="1171" spans="1:17" hidden="1">
      <c r="A1171" s="45"/>
      <c r="B1171" s="61" t="s">
        <v>268</v>
      </c>
      <c r="C1171" s="61" t="s">
        <v>290</v>
      </c>
      <c r="D1171" s="62">
        <v>46017.621527777781</v>
      </c>
      <c r="E1171" s="62">
        <v>46017.621527777781</v>
      </c>
      <c r="F1171" s="62">
        <v>46017.826388888891</v>
      </c>
      <c r="G1171" s="63">
        <f>F1171-E1171</f>
        <v>0.20486111110949423</v>
      </c>
      <c r="H1171" s="61" t="s">
        <v>248</v>
      </c>
      <c r="I1171" s="61"/>
      <c r="J1171" s="61" t="s">
        <v>249</v>
      </c>
      <c r="K1171" s="61" t="s">
        <v>349</v>
      </c>
      <c r="L1171" s="61" t="s">
        <v>745</v>
      </c>
      <c r="M1171" s="61" t="s">
        <v>251</v>
      </c>
      <c r="N1171" s="61" t="s">
        <v>330</v>
      </c>
      <c r="O1171" s="61" t="s">
        <v>331</v>
      </c>
      <c r="P1171" s="61" t="str">
        <f t="shared" si="61"/>
        <v>BC Caiaponia1SG60KTL(COM2-027)46017,621527777846017,621527777846017,8263888889</v>
      </c>
      <c r="Q1171" s="61" t="str">
        <f t="shared" si="62"/>
        <v>DAURDE</v>
      </c>
    </row>
    <row r="1172" spans="1:17" hidden="1">
      <c r="A1172" s="45"/>
      <c r="B1172" s="61" t="s">
        <v>268</v>
      </c>
      <c r="C1172" s="61" t="s">
        <v>291</v>
      </c>
      <c r="D1172" s="62">
        <v>46017.621527777781</v>
      </c>
      <c r="E1172" s="62">
        <v>46017.621527777781</v>
      </c>
      <c r="F1172" s="62">
        <v>46017.826388888891</v>
      </c>
      <c r="G1172" s="63">
        <f>F1172-E1172</f>
        <v>0.20486111110949423</v>
      </c>
      <c r="H1172" s="61" t="s">
        <v>248</v>
      </c>
      <c r="I1172" s="61"/>
      <c r="J1172" s="61" t="s">
        <v>249</v>
      </c>
      <c r="K1172" s="61" t="s">
        <v>349</v>
      </c>
      <c r="L1172" s="61" t="s">
        <v>745</v>
      </c>
      <c r="M1172" s="61" t="s">
        <v>251</v>
      </c>
      <c r="N1172" s="61" t="s">
        <v>330</v>
      </c>
      <c r="O1172" s="61" t="s">
        <v>331</v>
      </c>
      <c r="P1172" s="61" t="str">
        <f t="shared" si="61"/>
        <v>BC Caiaponia1SG60KTL(COM2-028)46017,621527777846017,621527777846017,8263888889</v>
      </c>
      <c r="Q1172" s="61" t="str">
        <f t="shared" si="62"/>
        <v>DAURDE</v>
      </c>
    </row>
    <row r="1173" spans="1:17" hidden="1">
      <c r="A1173" s="45"/>
      <c r="B1173" s="61" t="s">
        <v>268</v>
      </c>
      <c r="C1173" s="61" t="s">
        <v>292</v>
      </c>
      <c r="D1173" s="62">
        <v>46017.621527777781</v>
      </c>
      <c r="E1173" s="62">
        <v>46017.621527777781</v>
      </c>
      <c r="F1173" s="62">
        <v>46017.826388888891</v>
      </c>
      <c r="G1173" s="63">
        <f>F1173-E1173</f>
        <v>0.20486111110949423</v>
      </c>
      <c r="H1173" s="61" t="s">
        <v>248</v>
      </c>
      <c r="I1173" s="61"/>
      <c r="J1173" s="61" t="s">
        <v>249</v>
      </c>
      <c r="K1173" s="61" t="s">
        <v>349</v>
      </c>
      <c r="L1173" s="61" t="s">
        <v>745</v>
      </c>
      <c r="M1173" s="61" t="s">
        <v>251</v>
      </c>
      <c r="N1173" s="61" t="s">
        <v>330</v>
      </c>
      <c r="O1173" s="61" t="s">
        <v>331</v>
      </c>
      <c r="P1173" s="61" t="str">
        <f t="shared" si="61"/>
        <v>BC Caiaponia1SG60KTL(COM2-029)46017,621527777846017,621527777846017,8263888889</v>
      </c>
      <c r="Q1173" s="61" t="str">
        <f t="shared" si="62"/>
        <v>DAURDE</v>
      </c>
    </row>
    <row r="1174" spans="1:17" hidden="1">
      <c r="A1174" s="45"/>
      <c r="B1174" s="61" t="s">
        <v>268</v>
      </c>
      <c r="C1174" s="61" t="s">
        <v>293</v>
      </c>
      <c r="D1174" s="62">
        <v>46017.621527777781</v>
      </c>
      <c r="E1174" s="62">
        <v>46017.621527777781</v>
      </c>
      <c r="F1174" s="62">
        <v>46017.826388888891</v>
      </c>
      <c r="G1174" s="63">
        <f>F1174-E1174</f>
        <v>0.20486111110949423</v>
      </c>
      <c r="H1174" s="61" t="s">
        <v>248</v>
      </c>
      <c r="I1174" s="61"/>
      <c r="J1174" s="61" t="s">
        <v>249</v>
      </c>
      <c r="K1174" s="61" t="s">
        <v>349</v>
      </c>
      <c r="L1174" s="61" t="s">
        <v>745</v>
      </c>
      <c r="M1174" s="61" t="s">
        <v>251</v>
      </c>
      <c r="N1174" s="61" t="s">
        <v>330</v>
      </c>
      <c r="O1174" s="61" t="s">
        <v>331</v>
      </c>
      <c r="P1174" s="61" t="str">
        <f t="shared" si="61"/>
        <v>BC Caiaponia1SG50CX(COM1-021)46017,621527777846017,621527777846017,8263888889</v>
      </c>
      <c r="Q1174" s="61" t="str">
        <f t="shared" si="62"/>
        <v>DAURDE</v>
      </c>
    </row>
    <row r="1175" spans="1:17" hidden="1">
      <c r="A1175" s="45"/>
      <c r="B1175" s="61" t="s">
        <v>268</v>
      </c>
      <c r="C1175" s="61" t="s">
        <v>294</v>
      </c>
      <c r="D1175" s="62">
        <v>46017.621527777781</v>
      </c>
      <c r="E1175" s="62">
        <v>46017.621527777781</v>
      </c>
      <c r="F1175" s="62">
        <v>46017.826388888891</v>
      </c>
      <c r="G1175" s="63">
        <f>F1175-E1175</f>
        <v>0.20486111110949423</v>
      </c>
      <c r="H1175" s="61" t="s">
        <v>248</v>
      </c>
      <c r="I1175" s="61"/>
      <c r="J1175" s="61" t="s">
        <v>249</v>
      </c>
      <c r="K1175" s="61" t="s">
        <v>349</v>
      </c>
      <c r="L1175" s="61" t="s">
        <v>745</v>
      </c>
      <c r="M1175" s="61" t="s">
        <v>251</v>
      </c>
      <c r="N1175" s="61" t="s">
        <v>330</v>
      </c>
      <c r="O1175" s="61" t="s">
        <v>331</v>
      </c>
      <c r="P1175" s="61" t="str">
        <f t="shared" si="61"/>
        <v>BC Caiaponia1SG50CX(COM1-022)46017,621527777846017,621527777846017,8263888889</v>
      </c>
      <c r="Q1175" s="61" t="str">
        <f t="shared" si="62"/>
        <v>DAURDE</v>
      </c>
    </row>
    <row r="1176" spans="1:17" hidden="1">
      <c r="A1176" s="45"/>
      <c r="B1176" s="61" t="s">
        <v>268</v>
      </c>
      <c r="C1176" s="61" t="s">
        <v>295</v>
      </c>
      <c r="D1176" s="62">
        <v>46017.621527777781</v>
      </c>
      <c r="E1176" s="62">
        <v>46017.621527777781</v>
      </c>
      <c r="F1176" s="62">
        <v>46017.826388888891</v>
      </c>
      <c r="G1176" s="63">
        <f>F1176-E1176</f>
        <v>0.20486111110949423</v>
      </c>
      <c r="H1176" s="61" t="s">
        <v>248</v>
      </c>
      <c r="I1176" s="61"/>
      <c r="J1176" s="61" t="s">
        <v>249</v>
      </c>
      <c r="K1176" s="61" t="s">
        <v>349</v>
      </c>
      <c r="L1176" s="61" t="s">
        <v>745</v>
      </c>
      <c r="M1176" s="61" t="s">
        <v>251</v>
      </c>
      <c r="N1176" s="61" t="s">
        <v>330</v>
      </c>
      <c r="O1176" s="61" t="s">
        <v>331</v>
      </c>
      <c r="P1176" s="61" t="str">
        <f t="shared" si="61"/>
        <v>BC Caiaponia1SG50CX(COM1-023)46017,621527777846017,621527777846017,8263888889</v>
      </c>
      <c r="Q1176" s="61" t="str">
        <f t="shared" si="62"/>
        <v>DAURDE</v>
      </c>
    </row>
    <row r="1177" spans="1:17" hidden="1">
      <c r="A1177" s="45"/>
      <c r="B1177" s="61" t="s">
        <v>268</v>
      </c>
      <c r="C1177" s="61" t="s">
        <v>296</v>
      </c>
      <c r="D1177" s="62">
        <v>46017.621527777781</v>
      </c>
      <c r="E1177" s="62">
        <v>46017.621527777781</v>
      </c>
      <c r="F1177" s="62">
        <v>46017.826388888891</v>
      </c>
      <c r="G1177" s="63">
        <f>F1177-E1177</f>
        <v>0.20486111110949423</v>
      </c>
      <c r="H1177" s="61" t="s">
        <v>248</v>
      </c>
      <c r="I1177" s="61"/>
      <c r="J1177" s="61" t="s">
        <v>249</v>
      </c>
      <c r="K1177" s="61" t="s">
        <v>349</v>
      </c>
      <c r="L1177" s="61" t="s">
        <v>745</v>
      </c>
      <c r="M1177" s="61" t="s">
        <v>251</v>
      </c>
      <c r="N1177" s="61" t="s">
        <v>330</v>
      </c>
      <c r="O1177" s="61" t="s">
        <v>331</v>
      </c>
      <c r="P1177" s="61" t="str">
        <f t="shared" si="61"/>
        <v>BC Caiaponia1SG50CX(COM1-024)46017,621527777846017,621527777846017,8263888889</v>
      </c>
      <c r="Q1177" s="61" t="str">
        <f t="shared" si="62"/>
        <v>DAURDE</v>
      </c>
    </row>
    <row r="1178" spans="1:17" hidden="1">
      <c r="A1178" s="45"/>
      <c r="B1178" s="61" t="s">
        <v>268</v>
      </c>
      <c r="C1178" s="61" t="s">
        <v>297</v>
      </c>
      <c r="D1178" s="62">
        <v>46017.621527777781</v>
      </c>
      <c r="E1178" s="62">
        <v>46017.621527777781</v>
      </c>
      <c r="F1178" s="62">
        <v>46017.826388888891</v>
      </c>
      <c r="G1178" s="63">
        <f>F1178-E1178</f>
        <v>0.20486111110949423</v>
      </c>
      <c r="H1178" s="61" t="s">
        <v>248</v>
      </c>
      <c r="I1178" s="61"/>
      <c r="J1178" s="61" t="s">
        <v>249</v>
      </c>
      <c r="K1178" s="61" t="s">
        <v>349</v>
      </c>
      <c r="L1178" s="61" t="s">
        <v>745</v>
      </c>
      <c r="M1178" s="61" t="s">
        <v>251</v>
      </c>
      <c r="N1178" s="61" t="s">
        <v>330</v>
      </c>
      <c r="O1178" s="61" t="s">
        <v>331</v>
      </c>
      <c r="P1178" s="61" t="str">
        <f t="shared" ref="P1178:P1241" si="63">_xlfn.CONCAT(B1178,C1178,D1178,E1178,F1178)</f>
        <v>BC Caiaponia1SG50CX(COM1-025)46017,621527777846017,621527777846017,8263888889</v>
      </c>
      <c r="Q1178" s="61" t="str">
        <f t="shared" ref="Q1178:Q1241" si="64">_xlfn.CONCAT(H1178,I1178,J1178)</f>
        <v>DAURDE</v>
      </c>
    </row>
    <row r="1179" spans="1:17" hidden="1">
      <c r="A1179" s="45"/>
      <c r="B1179" s="61" t="s">
        <v>246</v>
      </c>
      <c r="C1179" s="61" t="s">
        <v>247</v>
      </c>
      <c r="D1179" s="62">
        <v>46017.621527777781</v>
      </c>
      <c r="E1179" s="62">
        <v>46017.621527777781</v>
      </c>
      <c r="F1179" s="62">
        <v>46017.826388888891</v>
      </c>
      <c r="G1179" s="63">
        <f>F1179-E1179</f>
        <v>0.20486111110949423</v>
      </c>
      <c r="H1179" s="61" t="s">
        <v>248</v>
      </c>
      <c r="I1179" s="61"/>
      <c r="J1179" s="61" t="s">
        <v>249</v>
      </c>
      <c r="K1179" s="61" t="s">
        <v>349</v>
      </c>
      <c r="L1179" s="61" t="s">
        <v>745</v>
      </c>
      <c r="M1179" s="61" t="s">
        <v>251</v>
      </c>
      <c r="N1179" s="61" t="s">
        <v>330</v>
      </c>
      <c r="O1179" s="61" t="s">
        <v>331</v>
      </c>
      <c r="P1179" s="61" t="str">
        <f t="shared" si="63"/>
        <v>BC Caiaponia2.1215KTL-H3(MBUS-12)46017,621527777846017,621527777846017,8263888889</v>
      </c>
      <c r="Q1179" s="61" t="str">
        <f t="shared" si="64"/>
        <v>DAURDE</v>
      </c>
    </row>
    <row r="1180" spans="1:17" hidden="1">
      <c r="A1180" s="45"/>
      <c r="B1180" s="61" t="s">
        <v>246</v>
      </c>
      <c r="C1180" s="61" t="s">
        <v>254</v>
      </c>
      <c r="D1180" s="62">
        <v>46017.621527777781</v>
      </c>
      <c r="E1180" s="62">
        <v>46017.621527777781</v>
      </c>
      <c r="F1180" s="62">
        <v>46017.826388888891</v>
      </c>
      <c r="G1180" s="63">
        <f>F1180-E1180</f>
        <v>0.20486111110949423</v>
      </c>
      <c r="H1180" s="61" t="s">
        <v>248</v>
      </c>
      <c r="I1180" s="61"/>
      <c r="J1180" s="61" t="s">
        <v>249</v>
      </c>
      <c r="K1180" s="61" t="s">
        <v>349</v>
      </c>
      <c r="L1180" s="61" t="s">
        <v>745</v>
      </c>
      <c r="M1180" s="61" t="s">
        <v>251</v>
      </c>
      <c r="N1180" s="61" t="s">
        <v>330</v>
      </c>
      <c r="O1180" s="61" t="s">
        <v>331</v>
      </c>
      <c r="P1180" s="61" t="str">
        <f t="shared" si="63"/>
        <v>BC Caiaponia2.1215KTL-H3(MBUS-13)46017,621527777846017,621527777846017,8263888889</v>
      </c>
      <c r="Q1180" s="61" t="str">
        <f t="shared" si="64"/>
        <v>DAURDE</v>
      </c>
    </row>
    <row r="1181" spans="1:17" hidden="1">
      <c r="A1181" s="45"/>
      <c r="B1181" s="61" t="s">
        <v>246</v>
      </c>
      <c r="C1181" s="61" t="s">
        <v>255</v>
      </c>
      <c r="D1181" s="62">
        <v>46017.621527777781</v>
      </c>
      <c r="E1181" s="62">
        <v>46017.621527777781</v>
      </c>
      <c r="F1181" s="62">
        <v>46017.826388888891</v>
      </c>
      <c r="G1181" s="63">
        <f>F1181-E1181</f>
        <v>0.20486111110949423</v>
      </c>
      <c r="H1181" s="61" t="s">
        <v>248</v>
      </c>
      <c r="I1181" s="61"/>
      <c r="J1181" s="61" t="s">
        <v>249</v>
      </c>
      <c r="K1181" s="61" t="s">
        <v>349</v>
      </c>
      <c r="L1181" s="61" t="s">
        <v>745</v>
      </c>
      <c r="M1181" s="61" t="s">
        <v>251</v>
      </c>
      <c r="N1181" s="61" t="s">
        <v>330</v>
      </c>
      <c r="O1181" s="61" t="s">
        <v>331</v>
      </c>
      <c r="P1181" s="61" t="str">
        <f t="shared" si="63"/>
        <v>BC Caiaponia2.1215KTL-H3(MBUS-14)46017,621527777846017,621527777846017,8263888889</v>
      </c>
      <c r="Q1181" s="61" t="str">
        <f t="shared" si="64"/>
        <v>DAURDE</v>
      </c>
    </row>
    <row r="1182" spans="1:17" hidden="1">
      <c r="A1182" s="45"/>
      <c r="B1182" s="61" t="s">
        <v>246</v>
      </c>
      <c r="C1182" s="61" t="s">
        <v>256</v>
      </c>
      <c r="D1182" s="62">
        <v>46017.621527777781</v>
      </c>
      <c r="E1182" s="62">
        <v>46017.621527777781</v>
      </c>
      <c r="F1182" s="62">
        <v>46017.826388888891</v>
      </c>
      <c r="G1182" s="63">
        <f>F1182-E1182</f>
        <v>0.20486111110949423</v>
      </c>
      <c r="H1182" s="61" t="s">
        <v>248</v>
      </c>
      <c r="I1182" s="61"/>
      <c r="J1182" s="61" t="s">
        <v>249</v>
      </c>
      <c r="K1182" s="61" t="s">
        <v>349</v>
      </c>
      <c r="L1182" s="61" t="s">
        <v>745</v>
      </c>
      <c r="M1182" s="61" t="s">
        <v>251</v>
      </c>
      <c r="N1182" s="61" t="s">
        <v>330</v>
      </c>
      <c r="O1182" s="61" t="s">
        <v>331</v>
      </c>
      <c r="P1182" s="61" t="str">
        <f t="shared" si="63"/>
        <v>BC Caiaponia2.1215KTL-H3(MBUS-15)46017,621527777846017,621527777846017,8263888889</v>
      </c>
      <c r="Q1182" s="61" t="str">
        <f t="shared" si="64"/>
        <v>DAURDE</v>
      </c>
    </row>
    <row r="1183" spans="1:17" hidden="1">
      <c r="A1183" s="45"/>
      <c r="B1183" s="61" t="s">
        <v>246</v>
      </c>
      <c r="C1183" s="61" t="s">
        <v>257</v>
      </c>
      <c r="D1183" s="62">
        <v>46017.621527777781</v>
      </c>
      <c r="E1183" s="62">
        <v>46017.621527777781</v>
      </c>
      <c r="F1183" s="62">
        <v>46017.826388888891</v>
      </c>
      <c r="G1183" s="63">
        <f>F1183-E1183</f>
        <v>0.20486111110949423</v>
      </c>
      <c r="H1183" s="61" t="s">
        <v>248</v>
      </c>
      <c r="I1183" s="61"/>
      <c r="J1183" s="61" t="s">
        <v>249</v>
      </c>
      <c r="K1183" s="61" t="s">
        <v>349</v>
      </c>
      <c r="L1183" s="61" t="s">
        <v>745</v>
      </c>
      <c r="M1183" s="61" t="s">
        <v>251</v>
      </c>
      <c r="N1183" s="61" t="s">
        <v>330</v>
      </c>
      <c r="O1183" s="61" t="s">
        <v>331</v>
      </c>
      <c r="P1183" s="61" t="str">
        <f t="shared" si="63"/>
        <v>BC Caiaponia2.1215KTL-H3(MBUS-16)46017,621527777846017,621527777846017,8263888889</v>
      </c>
      <c r="Q1183" s="61" t="str">
        <f t="shared" si="64"/>
        <v>DAURDE</v>
      </c>
    </row>
    <row r="1184" spans="1:17" hidden="1">
      <c r="A1184" s="45"/>
      <c r="B1184" s="61" t="s">
        <v>258</v>
      </c>
      <c r="C1184" s="61" t="s">
        <v>247</v>
      </c>
      <c r="D1184" s="62">
        <v>46017.621527777781</v>
      </c>
      <c r="E1184" s="62">
        <v>46017.621527777781</v>
      </c>
      <c r="F1184" s="62">
        <v>46017.826388888891</v>
      </c>
      <c r="G1184" s="63">
        <f>F1184-E1184</f>
        <v>0.20486111110949423</v>
      </c>
      <c r="H1184" s="61" t="s">
        <v>248</v>
      </c>
      <c r="I1184" s="61"/>
      <c r="J1184" s="61" t="s">
        <v>249</v>
      </c>
      <c r="K1184" s="61" t="s">
        <v>349</v>
      </c>
      <c r="L1184" s="61" t="s">
        <v>745</v>
      </c>
      <c r="M1184" s="61" t="s">
        <v>251</v>
      </c>
      <c r="N1184" s="61" t="s">
        <v>330</v>
      </c>
      <c r="O1184" s="61" t="s">
        <v>331</v>
      </c>
      <c r="P1184" s="61" t="str">
        <f t="shared" si="63"/>
        <v>BC Caiaponia2.2215KTL-H3(MBUS-12)46017,621527777846017,621527777846017,8263888889</v>
      </c>
      <c r="Q1184" s="61" t="str">
        <f t="shared" si="64"/>
        <v>DAURDE</v>
      </c>
    </row>
    <row r="1185" spans="1:17" hidden="1">
      <c r="A1185" s="45"/>
      <c r="B1185" s="61" t="s">
        <v>258</v>
      </c>
      <c r="C1185" s="61" t="s">
        <v>254</v>
      </c>
      <c r="D1185" s="62">
        <v>46017.621527777781</v>
      </c>
      <c r="E1185" s="62">
        <v>46017.621527777781</v>
      </c>
      <c r="F1185" s="62">
        <v>46017.826388888891</v>
      </c>
      <c r="G1185" s="63">
        <f>F1185-E1185</f>
        <v>0.20486111110949423</v>
      </c>
      <c r="H1185" s="61" t="s">
        <v>248</v>
      </c>
      <c r="I1185" s="61"/>
      <c r="J1185" s="61" t="s">
        <v>249</v>
      </c>
      <c r="K1185" s="61" t="s">
        <v>349</v>
      </c>
      <c r="L1185" s="61" t="s">
        <v>745</v>
      </c>
      <c r="M1185" s="61" t="s">
        <v>251</v>
      </c>
      <c r="N1185" s="61" t="s">
        <v>330</v>
      </c>
      <c r="O1185" s="61" t="s">
        <v>331</v>
      </c>
      <c r="P1185" s="61" t="str">
        <f t="shared" si="63"/>
        <v>BC Caiaponia2.2215KTL-H3(MBUS-13)46017,621527777846017,621527777846017,8263888889</v>
      </c>
      <c r="Q1185" s="61" t="str">
        <f t="shared" si="64"/>
        <v>DAURDE</v>
      </c>
    </row>
    <row r="1186" spans="1:17" hidden="1">
      <c r="A1186" s="45"/>
      <c r="B1186" s="61" t="s">
        <v>258</v>
      </c>
      <c r="C1186" s="61" t="s">
        <v>255</v>
      </c>
      <c r="D1186" s="62">
        <v>46017.621527777781</v>
      </c>
      <c r="E1186" s="62">
        <v>46017.621527777781</v>
      </c>
      <c r="F1186" s="62">
        <v>46017.826388888891</v>
      </c>
      <c r="G1186" s="63">
        <f>F1186-E1186</f>
        <v>0.20486111110949423</v>
      </c>
      <c r="H1186" s="61" t="s">
        <v>248</v>
      </c>
      <c r="I1186" s="61"/>
      <c r="J1186" s="61" t="s">
        <v>249</v>
      </c>
      <c r="K1186" s="61" t="s">
        <v>349</v>
      </c>
      <c r="L1186" s="61" t="s">
        <v>745</v>
      </c>
      <c r="M1186" s="61" t="s">
        <v>251</v>
      </c>
      <c r="N1186" s="61" t="s">
        <v>330</v>
      </c>
      <c r="O1186" s="61" t="s">
        <v>331</v>
      </c>
      <c r="P1186" s="61" t="str">
        <f t="shared" si="63"/>
        <v>BC Caiaponia2.2215KTL-H3(MBUS-14)46017,621527777846017,621527777846017,8263888889</v>
      </c>
      <c r="Q1186" s="61" t="str">
        <f t="shared" si="64"/>
        <v>DAURDE</v>
      </c>
    </row>
    <row r="1187" spans="1:17" hidden="1">
      <c r="A1187" s="45"/>
      <c r="B1187" s="61" t="s">
        <v>258</v>
      </c>
      <c r="C1187" s="61" t="s">
        <v>256</v>
      </c>
      <c r="D1187" s="62">
        <v>46017.621527777781</v>
      </c>
      <c r="E1187" s="62">
        <v>46017.621527777781</v>
      </c>
      <c r="F1187" s="62">
        <v>46017.826388888891</v>
      </c>
      <c r="G1187" s="63">
        <f>F1187-E1187</f>
        <v>0.20486111110949423</v>
      </c>
      <c r="H1187" s="61" t="s">
        <v>248</v>
      </c>
      <c r="I1187" s="61"/>
      <c r="J1187" s="61" t="s">
        <v>249</v>
      </c>
      <c r="K1187" s="61" t="s">
        <v>349</v>
      </c>
      <c r="L1187" s="61" t="s">
        <v>745</v>
      </c>
      <c r="M1187" s="61" t="s">
        <v>251</v>
      </c>
      <c r="N1187" s="61" t="s">
        <v>330</v>
      </c>
      <c r="O1187" s="61" t="s">
        <v>331</v>
      </c>
      <c r="P1187" s="61" t="str">
        <f t="shared" si="63"/>
        <v>BC Caiaponia2.2215KTL-H3(MBUS-15)46017,621527777846017,621527777846017,8263888889</v>
      </c>
      <c r="Q1187" s="61" t="str">
        <f t="shared" si="64"/>
        <v>DAURDE</v>
      </c>
    </row>
    <row r="1188" spans="1:17" hidden="1">
      <c r="A1188" s="45"/>
      <c r="B1188" s="61" t="s">
        <v>258</v>
      </c>
      <c r="C1188" s="61" t="s">
        <v>257</v>
      </c>
      <c r="D1188" s="62">
        <v>46017.621527777781</v>
      </c>
      <c r="E1188" s="62">
        <v>46017.621527777781</v>
      </c>
      <c r="F1188" s="62">
        <v>46017.826388888891</v>
      </c>
      <c r="G1188" s="63">
        <f>F1188-E1188</f>
        <v>0.20486111110949423</v>
      </c>
      <c r="H1188" s="61" t="s">
        <v>248</v>
      </c>
      <c r="I1188" s="61"/>
      <c r="J1188" s="61" t="s">
        <v>249</v>
      </c>
      <c r="K1188" s="61" t="s">
        <v>349</v>
      </c>
      <c r="L1188" s="61" t="s">
        <v>745</v>
      </c>
      <c r="M1188" s="61" t="s">
        <v>251</v>
      </c>
      <c r="N1188" s="61" t="s">
        <v>330</v>
      </c>
      <c r="O1188" s="61" t="s">
        <v>331</v>
      </c>
      <c r="P1188" s="61" t="str">
        <f t="shared" si="63"/>
        <v>BC Caiaponia2.2215KTL-H3(MBUS-16)46017,621527777846017,621527777846017,8263888889</v>
      </c>
      <c r="Q1188" s="61" t="str">
        <f t="shared" si="64"/>
        <v>DAURDE</v>
      </c>
    </row>
    <row r="1189" spans="1:17" hidden="1">
      <c r="A1189" s="45"/>
      <c r="B1189" s="61" t="s">
        <v>259</v>
      </c>
      <c r="C1189" s="61" t="s">
        <v>247</v>
      </c>
      <c r="D1189" s="62">
        <v>46017.621527777781</v>
      </c>
      <c r="E1189" s="62">
        <v>46017.621527777781</v>
      </c>
      <c r="F1189" s="62">
        <v>46017.826388888891</v>
      </c>
      <c r="G1189" s="63">
        <f>F1189-E1189</f>
        <v>0.20486111110949423</v>
      </c>
      <c r="H1189" s="61" t="s">
        <v>248</v>
      </c>
      <c r="I1189" s="61"/>
      <c r="J1189" s="61" t="s">
        <v>249</v>
      </c>
      <c r="K1189" s="61" t="s">
        <v>349</v>
      </c>
      <c r="L1189" s="61" t="s">
        <v>745</v>
      </c>
      <c r="M1189" s="61" t="s">
        <v>251</v>
      </c>
      <c r="N1189" s="61" t="s">
        <v>330</v>
      </c>
      <c r="O1189" s="61" t="s">
        <v>331</v>
      </c>
      <c r="P1189" s="61" t="str">
        <f t="shared" si="63"/>
        <v>BC Caiaponia2.3215KTL-H3(MBUS-12)46017,621527777846017,621527777846017,8263888889</v>
      </c>
      <c r="Q1189" s="61" t="str">
        <f t="shared" si="64"/>
        <v>DAURDE</v>
      </c>
    </row>
    <row r="1190" spans="1:17" hidden="1">
      <c r="A1190" s="45"/>
      <c r="B1190" s="61" t="s">
        <v>259</v>
      </c>
      <c r="C1190" s="61" t="s">
        <v>254</v>
      </c>
      <c r="D1190" s="62">
        <v>46017.621527777781</v>
      </c>
      <c r="E1190" s="62">
        <v>46017.621527777781</v>
      </c>
      <c r="F1190" s="62">
        <v>46017.826388888891</v>
      </c>
      <c r="G1190" s="63">
        <f>F1190-E1190</f>
        <v>0.20486111110949423</v>
      </c>
      <c r="H1190" s="61" t="s">
        <v>248</v>
      </c>
      <c r="I1190" s="61"/>
      <c r="J1190" s="61" t="s">
        <v>249</v>
      </c>
      <c r="K1190" s="61" t="s">
        <v>349</v>
      </c>
      <c r="L1190" s="61" t="s">
        <v>745</v>
      </c>
      <c r="M1190" s="61" t="s">
        <v>251</v>
      </c>
      <c r="N1190" s="61" t="s">
        <v>330</v>
      </c>
      <c r="O1190" s="61" t="s">
        <v>331</v>
      </c>
      <c r="P1190" s="61" t="str">
        <f t="shared" si="63"/>
        <v>BC Caiaponia2.3215KTL-H3(MBUS-13)46017,621527777846017,621527777846017,8263888889</v>
      </c>
      <c r="Q1190" s="61" t="str">
        <f t="shared" si="64"/>
        <v>DAURDE</v>
      </c>
    </row>
    <row r="1191" spans="1:17" hidden="1">
      <c r="A1191" s="45"/>
      <c r="B1191" s="61" t="s">
        <v>259</v>
      </c>
      <c r="C1191" s="61" t="s">
        <v>255</v>
      </c>
      <c r="D1191" s="62">
        <v>46017.621527777781</v>
      </c>
      <c r="E1191" s="62">
        <v>46017.621527777781</v>
      </c>
      <c r="F1191" s="62">
        <v>46017.826388888891</v>
      </c>
      <c r="G1191" s="63">
        <f>F1191-E1191</f>
        <v>0.20486111110949423</v>
      </c>
      <c r="H1191" s="61" t="s">
        <v>248</v>
      </c>
      <c r="I1191" s="61"/>
      <c r="J1191" s="61" t="s">
        <v>249</v>
      </c>
      <c r="K1191" s="61" t="s">
        <v>349</v>
      </c>
      <c r="L1191" s="61" t="s">
        <v>745</v>
      </c>
      <c r="M1191" s="61" t="s">
        <v>251</v>
      </c>
      <c r="N1191" s="61" t="s">
        <v>330</v>
      </c>
      <c r="O1191" s="61" t="s">
        <v>331</v>
      </c>
      <c r="P1191" s="61" t="str">
        <f t="shared" si="63"/>
        <v>BC Caiaponia2.3215KTL-H3(MBUS-14)46017,621527777846017,621527777846017,8263888889</v>
      </c>
      <c r="Q1191" s="61" t="str">
        <f t="shared" si="64"/>
        <v>DAURDE</v>
      </c>
    </row>
    <row r="1192" spans="1:17" hidden="1">
      <c r="A1192" s="45"/>
      <c r="B1192" s="61" t="s">
        <v>259</v>
      </c>
      <c r="C1192" s="61" t="s">
        <v>256</v>
      </c>
      <c r="D1192" s="62">
        <v>46017.621527777781</v>
      </c>
      <c r="E1192" s="62">
        <v>46017.621527777781</v>
      </c>
      <c r="F1192" s="62">
        <v>46017.826388888891</v>
      </c>
      <c r="G1192" s="63">
        <f>F1192-E1192</f>
        <v>0.20486111110949423</v>
      </c>
      <c r="H1192" s="61" t="s">
        <v>248</v>
      </c>
      <c r="I1192" s="61"/>
      <c r="J1192" s="61" t="s">
        <v>249</v>
      </c>
      <c r="K1192" s="61" t="s">
        <v>349</v>
      </c>
      <c r="L1192" s="61" t="s">
        <v>745</v>
      </c>
      <c r="M1192" s="61" t="s">
        <v>251</v>
      </c>
      <c r="N1192" s="61" t="s">
        <v>330</v>
      </c>
      <c r="O1192" s="61" t="s">
        <v>331</v>
      </c>
      <c r="P1192" s="61" t="str">
        <f t="shared" si="63"/>
        <v>BC Caiaponia2.3215KTL-H3(MBUS-15)46017,621527777846017,621527777846017,8263888889</v>
      </c>
      <c r="Q1192" s="61" t="str">
        <f t="shared" si="64"/>
        <v>DAURDE</v>
      </c>
    </row>
    <row r="1193" spans="1:17" hidden="1">
      <c r="A1193" s="45"/>
      <c r="B1193" s="61" t="s">
        <v>259</v>
      </c>
      <c r="C1193" s="61" t="s">
        <v>257</v>
      </c>
      <c r="D1193" s="62">
        <v>46017.621527777781</v>
      </c>
      <c r="E1193" s="62">
        <v>46017.621527777781</v>
      </c>
      <c r="F1193" s="62">
        <v>46017.826388888891</v>
      </c>
      <c r="G1193" s="63">
        <f>F1193-E1193</f>
        <v>0.20486111110949423</v>
      </c>
      <c r="H1193" s="61" t="s">
        <v>248</v>
      </c>
      <c r="I1193" s="61"/>
      <c r="J1193" s="61" t="s">
        <v>249</v>
      </c>
      <c r="K1193" s="61" t="s">
        <v>349</v>
      </c>
      <c r="L1193" s="61" t="s">
        <v>745</v>
      </c>
      <c r="M1193" s="61" t="s">
        <v>251</v>
      </c>
      <c r="N1193" s="61" t="s">
        <v>330</v>
      </c>
      <c r="O1193" s="61" t="s">
        <v>331</v>
      </c>
      <c r="P1193" s="61" t="str">
        <f t="shared" si="63"/>
        <v>BC Caiaponia2.3215KTL-H3(MBUS-16)46017,621527777846017,621527777846017,8263888889</v>
      </c>
      <c r="Q1193" s="61" t="str">
        <f t="shared" si="64"/>
        <v>DAURDE</v>
      </c>
    </row>
    <row r="1194" spans="1:17" hidden="1">
      <c r="B1194" s="1" t="s">
        <v>382</v>
      </c>
      <c r="C1194" s="1" t="s">
        <v>328</v>
      </c>
      <c r="D1194" s="52">
        <v>46009.024305555555</v>
      </c>
      <c r="E1194" s="52">
        <v>46009.024305555555</v>
      </c>
      <c r="F1194" s="52">
        <v>46009.458333333336</v>
      </c>
      <c r="G1194" s="63">
        <f>F1194-E1194</f>
        <v>0.43402777778101154</v>
      </c>
      <c r="H1194" s="1" t="s">
        <v>248</v>
      </c>
      <c r="J1194" s="1" t="s">
        <v>249</v>
      </c>
      <c r="K1194" s="1" t="str">
        <f>_xlfn.XLOOKUP(J1194,REF!$D$2:$D$12,REF!$E$2:$E$12)</f>
        <v>Rede</v>
      </c>
      <c r="L1194" s="1" t="s">
        <v>883</v>
      </c>
      <c r="M1194" s="1" t="s">
        <v>251</v>
      </c>
      <c r="N1194" s="1" t="s">
        <v>252</v>
      </c>
      <c r="O1194" s="1" t="s">
        <v>331</v>
      </c>
      <c r="P1194" s="1" t="str">
        <f t="shared" si="63"/>
        <v>BC Camarao1.1Inverter(MBUS-1)46009,024305555646009,024305555646009,4583333333</v>
      </c>
      <c r="Q1194" s="1" t="str">
        <f t="shared" si="64"/>
        <v>DAURDE</v>
      </c>
    </row>
    <row r="1195" spans="1:17" hidden="1">
      <c r="B1195" s="1" t="s">
        <v>382</v>
      </c>
      <c r="C1195" s="1" t="s">
        <v>247</v>
      </c>
      <c r="D1195" s="52">
        <v>46009.024305555555</v>
      </c>
      <c r="E1195" s="52">
        <v>46009.024305555555</v>
      </c>
      <c r="F1195" s="52">
        <v>46009.458333333336</v>
      </c>
      <c r="G1195" s="63">
        <f>F1195-E1195</f>
        <v>0.43402777778101154</v>
      </c>
      <c r="H1195" s="1" t="s">
        <v>248</v>
      </c>
      <c r="J1195" s="1" t="s">
        <v>249</v>
      </c>
      <c r="K1195" s="1" t="str">
        <f>_xlfn.XLOOKUP(J1195,REF!$D$2:$D$12,REF!$E$2:$E$12)</f>
        <v>Rede</v>
      </c>
      <c r="L1195" s="1" t="s">
        <v>883</v>
      </c>
      <c r="M1195" s="1" t="s">
        <v>251</v>
      </c>
      <c r="N1195" s="1" t="s">
        <v>252</v>
      </c>
      <c r="O1195" s="1" t="s">
        <v>331</v>
      </c>
      <c r="P1195" s="1" t="str">
        <f t="shared" si="63"/>
        <v>BC Camarao1.1215KTL-H3(MBUS-12)46009,024305555646009,024305555646009,4583333333</v>
      </c>
      <c r="Q1195" s="1" t="str">
        <f t="shared" si="64"/>
        <v>DAURDE</v>
      </c>
    </row>
    <row r="1196" spans="1:17" hidden="1">
      <c r="B1196" s="1" t="s">
        <v>382</v>
      </c>
      <c r="C1196" s="1" t="s">
        <v>254</v>
      </c>
      <c r="D1196" s="52">
        <v>46009.024305555555</v>
      </c>
      <c r="E1196" s="52">
        <v>46009.024305555555</v>
      </c>
      <c r="F1196" s="52">
        <v>46009.458333333336</v>
      </c>
      <c r="G1196" s="63">
        <f>F1196-E1196</f>
        <v>0.43402777778101154</v>
      </c>
      <c r="H1196" s="1" t="s">
        <v>248</v>
      </c>
      <c r="J1196" s="1" t="s">
        <v>249</v>
      </c>
      <c r="K1196" s="1" t="str">
        <f>_xlfn.XLOOKUP(J1196,REF!$D$2:$D$12,REF!$E$2:$E$12)</f>
        <v>Rede</v>
      </c>
      <c r="L1196" s="1" t="s">
        <v>883</v>
      </c>
      <c r="M1196" s="1" t="s">
        <v>251</v>
      </c>
      <c r="N1196" s="1" t="s">
        <v>252</v>
      </c>
      <c r="O1196" s="1" t="s">
        <v>331</v>
      </c>
      <c r="P1196" s="1" t="str">
        <f t="shared" si="63"/>
        <v>BC Camarao1.1215KTL-H3(MBUS-13)46009,024305555646009,024305555646009,4583333333</v>
      </c>
      <c r="Q1196" s="1" t="str">
        <f t="shared" si="64"/>
        <v>DAURDE</v>
      </c>
    </row>
    <row r="1197" spans="1:17" hidden="1">
      <c r="B1197" s="1" t="s">
        <v>382</v>
      </c>
      <c r="C1197" s="1" t="s">
        <v>257</v>
      </c>
      <c r="D1197" s="52">
        <v>46009.024305555555</v>
      </c>
      <c r="E1197" s="52">
        <v>46009.024305555555</v>
      </c>
      <c r="F1197" s="52">
        <v>46009.458333333336</v>
      </c>
      <c r="G1197" s="63">
        <f>F1197-E1197</f>
        <v>0.43402777778101154</v>
      </c>
      <c r="H1197" s="1" t="s">
        <v>248</v>
      </c>
      <c r="J1197" s="1" t="s">
        <v>249</v>
      </c>
      <c r="K1197" s="1" t="str">
        <f>_xlfn.XLOOKUP(J1197,REF!$D$2:$D$12,REF!$E$2:$E$12)</f>
        <v>Rede</v>
      </c>
      <c r="L1197" s="1" t="s">
        <v>883</v>
      </c>
      <c r="M1197" s="1" t="s">
        <v>251</v>
      </c>
      <c r="N1197" s="1" t="s">
        <v>252</v>
      </c>
      <c r="O1197" s="1" t="s">
        <v>331</v>
      </c>
      <c r="P1197" s="1" t="str">
        <f t="shared" si="63"/>
        <v>BC Camarao1.1215KTL-H3(MBUS-16)46009,024305555646009,024305555646009,4583333333</v>
      </c>
      <c r="Q1197" s="1" t="str">
        <f t="shared" si="64"/>
        <v>DAURDE</v>
      </c>
    </row>
    <row r="1198" spans="1:17" hidden="1">
      <c r="B1198" s="1" t="s">
        <v>382</v>
      </c>
      <c r="C1198" s="1" t="s">
        <v>256</v>
      </c>
      <c r="D1198" s="52">
        <v>46009.024305555555</v>
      </c>
      <c r="E1198" s="52">
        <v>46009.024305555555</v>
      </c>
      <c r="F1198" s="52">
        <v>46009.458333333336</v>
      </c>
      <c r="G1198" s="63">
        <f>F1198-E1198</f>
        <v>0.43402777778101154</v>
      </c>
      <c r="H1198" s="1" t="s">
        <v>248</v>
      </c>
      <c r="J1198" s="1" t="s">
        <v>249</v>
      </c>
      <c r="K1198" s="1" t="str">
        <f>_xlfn.XLOOKUP(J1198,REF!$D$2:$D$12,REF!$E$2:$E$12)</f>
        <v>Rede</v>
      </c>
      <c r="L1198" s="1" t="s">
        <v>883</v>
      </c>
      <c r="M1198" s="1" t="s">
        <v>251</v>
      </c>
      <c r="N1198" s="1" t="s">
        <v>252</v>
      </c>
      <c r="O1198" s="1" t="s">
        <v>331</v>
      </c>
      <c r="P1198" s="1" t="str">
        <f t="shared" si="63"/>
        <v>BC Camarao1.1215KTL-H3(MBUS-15)46009,024305555646009,024305555646009,4583333333</v>
      </c>
      <c r="Q1198" s="1" t="str">
        <f t="shared" si="64"/>
        <v>DAURDE</v>
      </c>
    </row>
    <row r="1199" spans="1:17" hidden="1">
      <c r="A1199" s="45"/>
      <c r="B1199" s="61" t="s">
        <v>382</v>
      </c>
      <c r="C1199" s="61" t="s">
        <v>328</v>
      </c>
      <c r="D1199" s="62">
        <v>46018.236111111109</v>
      </c>
      <c r="E1199" s="62">
        <v>46018.236111111109</v>
      </c>
      <c r="F1199" s="62">
        <v>46018.315972222219</v>
      </c>
      <c r="G1199" s="63">
        <f>F1199-E1199</f>
        <v>7.9861111109494232E-2</v>
      </c>
      <c r="H1199" s="61" t="s">
        <v>248</v>
      </c>
      <c r="I1199" s="61"/>
      <c r="J1199" s="61" t="s">
        <v>230</v>
      </c>
      <c r="K1199" s="61" t="s">
        <v>230</v>
      </c>
      <c r="L1199" s="61" t="s">
        <v>884</v>
      </c>
      <c r="M1199" s="61" t="s">
        <v>732</v>
      </c>
      <c r="N1199" s="61" t="s">
        <v>266</v>
      </c>
      <c r="O1199" s="61" t="s">
        <v>885</v>
      </c>
      <c r="P1199" s="61" t="str">
        <f t="shared" si="63"/>
        <v>BC Camarao1.1Inverter(MBUS-1)46018,236111111146018,236111111146018,3159722222</v>
      </c>
      <c r="Q1199" s="61" t="str">
        <f t="shared" si="64"/>
        <v>DAUUFV</v>
      </c>
    </row>
    <row r="1200" spans="1:17" hidden="1">
      <c r="A1200" s="45"/>
      <c r="B1200" s="61" t="s">
        <v>382</v>
      </c>
      <c r="C1200" s="61" t="s">
        <v>247</v>
      </c>
      <c r="D1200" s="62">
        <v>46018.236111111109</v>
      </c>
      <c r="E1200" s="62">
        <v>46018.236111111109</v>
      </c>
      <c r="F1200" s="62">
        <v>46018.315972222219</v>
      </c>
      <c r="G1200" s="63">
        <f>F1200-E1200</f>
        <v>7.9861111109494232E-2</v>
      </c>
      <c r="H1200" s="61" t="s">
        <v>248</v>
      </c>
      <c r="I1200" s="61"/>
      <c r="J1200" s="61" t="s">
        <v>230</v>
      </c>
      <c r="K1200" s="61" t="s">
        <v>230</v>
      </c>
      <c r="L1200" s="61" t="s">
        <v>884</v>
      </c>
      <c r="M1200" s="61" t="s">
        <v>732</v>
      </c>
      <c r="N1200" s="61" t="s">
        <v>266</v>
      </c>
      <c r="O1200" s="61" t="s">
        <v>885</v>
      </c>
      <c r="P1200" s="61" t="str">
        <f t="shared" si="63"/>
        <v>BC Camarao1.1215KTL-H3(MBUS-12)46018,236111111146018,236111111146018,3159722222</v>
      </c>
      <c r="Q1200" s="61" t="str">
        <f t="shared" si="64"/>
        <v>DAUUFV</v>
      </c>
    </row>
    <row r="1201" spans="1:17" hidden="1">
      <c r="A1201" s="45"/>
      <c r="B1201" s="61" t="s">
        <v>382</v>
      </c>
      <c r="C1201" s="61" t="s">
        <v>254</v>
      </c>
      <c r="D1201" s="62">
        <v>46018.236111111109</v>
      </c>
      <c r="E1201" s="62">
        <v>46018.236111111109</v>
      </c>
      <c r="F1201" s="62">
        <v>46018.315972222219</v>
      </c>
      <c r="G1201" s="63">
        <f>F1201-E1201</f>
        <v>7.9861111109494232E-2</v>
      </c>
      <c r="H1201" s="61" t="s">
        <v>248</v>
      </c>
      <c r="I1201" s="61"/>
      <c r="J1201" s="61" t="s">
        <v>230</v>
      </c>
      <c r="K1201" s="61" t="s">
        <v>230</v>
      </c>
      <c r="L1201" s="61" t="s">
        <v>884</v>
      </c>
      <c r="M1201" s="61" t="s">
        <v>732</v>
      </c>
      <c r="N1201" s="61" t="s">
        <v>266</v>
      </c>
      <c r="O1201" s="61" t="s">
        <v>885</v>
      </c>
      <c r="P1201" s="61" t="str">
        <f t="shared" si="63"/>
        <v>BC Camarao1.1215KTL-H3(MBUS-13)46018,236111111146018,236111111146018,3159722222</v>
      </c>
      <c r="Q1201" s="61" t="str">
        <f t="shared" si="64"/>
        <v>DAUUFV</v>
      </c>
    </row>
    <row r="1202" spans="1:17" hidden="1">
      <c r="A1202" s="45"/>
      <c r="B1202" s="61" t="s">
        <v>382</v>
      </c>
      <c r="C1202" s="61" t="s">
        <v>257</v>
      </c>
      <c r="D1202" s="62">
        <v>46018.236111111109</v>
      </c>
      <c r="E1202" s="62">
        <v>46018.236111111109</v>
      </c>
      <c r="F1202" s="62">
        <v>46018.315972222219</v>
      </c>
      <c r="G1202" s="63">
        <f>F1202-E1202</f>
        <v>7.9861111109494232E-2</v>
      </c>
      <c r="H1202" s="61" t="s">
        <v>248</v>
      </c>
      <c r="I1202" s="61"/>
      <c r="J1202" s="61" t="s">
        <v>230</v>
      </c>
      <c r="K1202" s="61" t="s">
        <v>230</v>
      </c>
      <c r="L1202" s="61" t="s">
        <v>884</v>
      </c>
      <c r="M1202" s="61" t="s">
        <v>732</v>
      </c>
      <c r="N1202" s="61" t="s">
        <v>266</v>
      </c>
      <c r="O1202" s="61" t="s">
        <v>885</v>
      </c>
      <c r="P1202" s="61" t="str">
        <f t="shared" si="63"/>
        <v>BC Camarao1.1215KTL-H3(MBUS-16)46018,236111111146018,236111111146018,3159722222</v>
      </c>
      <c r="Q1202" s="61" t="str">
        <f t="shared" si="64"/>
        <v>DAUUFV</v>
      </c>
    </row>
    <row r="1203" spans="1:17" hidden="1">
      <c r="A1203" s="45"/>
      <c r="B1203" s="61" t="s">
        <v>382</v>
      </c>
      <c r="C1203" s="61" t="s">
        <v>256</v>
      </c>
      <c r="D1203" s="62">
        <v>46018.236111111109</v>
      </c>
      <c r="E1203" s="62">
        <v>46018.236111111109</v>
      </c>
      <c r="F1203" s="62">
        <v>46018.315972222219</v>
      </c>
      <c r="G1203" s="63">
        <f>F1203-E1203</f>
        <v>7.9861111109494232E-2</v>
      </c>
      <c r="H1203" s="61" t="s">
        <v>248</v>
      </c>
      <c r="I1203" s="61"/>
      <c r="J1203" s="61" t="s">
        <v>230</v>
      </c>
      <c r="K1203" s="61" t="s">
        <v>230</v>
      </c>
      <c r="L1203" s="61" t="s">
        <v>884</v>
      </c>
      <c r="M1203" s="61" t="s">
        <v>732</v>
      </c>
      <c r="N1203" s="61" t="s">
        <v>266</v>
      </c>
      <c r="O1203" s="61" t="s">
        <v>885</v>
      </c>
      <c r="P1203" s="61" t="str">
        <f t="shared" si="63"/>
        <v>BC Camarao1.1215KTL-H3(MBUS-15)46018,236111111146018,236111111146018,3159722222</v>
      </c>
      <c r="Q1203" s="61" t="str">
        <f t="shared" si="64"/>
        <v>DAUUFV</v>
      </c>
    </row>
    <row r="1204" spans="1:17" hidden="1">
      <c r="B1204" s="1" t="s">
        <v>780</v>
      </c>
      <c r="C1204" s="1" t="s">
        <v>269</v>
      </c>
      <c r="D1204" s="52">
        <v>46019.364583333336</v>
      </c>
      <c r="E1204" s="52">
        <v>46019.364583333336</v>
      </c>
      <c r="F1204" s="52">
        <v>46019.527777777781</v>
      </c>
      <c r="G1204" s="64">
        <f>+F1204-E1204</f>
        <v>0.16319444444525288</v>
      </c>
      <c r="H1204" s="1" t="s">
        <v>248</v>
      </c>
      <c r="J1204" s="1" t="s">
        <v>249</v>
      </c>
      <c r="K1204" s="1" t="s">
        <v>349</v>
      </c>
      <c r="L1204" s="1" t="s">
        <v>745</v>
      </c>
      <c r="M1204" s="1" t="s">
        <v>251</v>
      </c>
      <c r="N1204" s="1" t="s">
        <v>330</v>
      </c>
      <c r="O1204" s="1" t="s">
        <v>331</v>
      </c>
      <c r="P1204" s="1" t="str">
        <f t="shared" si="63"/>
        <v>Caiaponia ISG60KTL(COM1-001)_001_00746019,364583333346019,364583333346019,5277777778</v>
      </c>
      <c r="Q1204" s="1" t="str">
        <f t="shared" si="64"/>
        <v>DAURDE</v>
      </c>
    </row>
    <row r="1205" spans="1:17" hidden="1">
      <c r="B1205" s="1" t="s">
        <v>780</v>
      </c>
      <c r="C1205" s="1" t="s">
        <v>270</v>
      </c>
      <c r="D1205" s="52">
        <v>46019.364583333336</v>
      </c>
      <c r="E1205" s="52">
        <v>46019.364583333336</v>
      </c>
      <c r="F1205" s="52">
        <v>46019.527777777781</v>
      </c>
      <c r="G1205" s="64">
        <f>F1205-E1205</f>
        <v>0.16319444444525288</v>
      </c>
      <c r="H1205" s="1" t="s">
        <v>248</v>
      </c>
      <c r="J1205" s="1" t="s">
        <v>249</v>
      </c>
      <c r="K1205" s="1" t="s">
        <v>349</v>
      </c>
      <c r="L1205" s="1" t="s">
        <v>745</v>
      </c>
      <c r="M1205" s="1" t="s">
        <v>251</v>
      </c>
      <c r="N1205" s="1" t="s">
        <v>330</v>
      </c>
      <c r="O1205" s="1" t="s">
        <v>331</v>
      </c>
      <c r="P1205" s="1" t="str">
        <f t="shared" si="63"/>
        <v>Caiaponia ISG60KTL(COM1-002)_001_01046019,364583333346019,364583333346019,5277777778</v>
      </c>
      <c r="Q1205" s="1" t="str">
        <f t="shared" si="64"/>
        <v>DAURDE</v>
      </c>
    </row>
    <row r="1206" spans="1:17" hidden="1">
      <c r="B1206" s="1" t="s">
        <v>780</v>
      </c>
      <c r="C1206" s="1" t="s">
        <v>271</v>
      </c>
      <c r="D1206" s="52">
        <v>46019.364583333336</v>
      </c>
      <c r="E1206" s="52">
        <v>46019.364583333336</v>
      </c>
      <c r="F1206" s="52">
        <v>46019.527777777781</v>
      </c>
      <c r="G1206" s="64">
        <f>F1206-E1206</f>
        <v>0.16319444444525288</v>
      </c>
      <c r="H1206" s="1" t="s">
        <v>248</v>
      </c>
      <c r="J1206" s="1" t="s">
        <v>249</v>
      </c>
      <c r="K1206" s="1" t="s">
        <v>349</v>
      </c>
      <c r="L1206" s="1" t="s">
        <v>745</v>
      </c>
      <c r="M1206" s="1" t="s">
        <v>251</v>
      </c>
      <c r="N1206" s="1" t="s">
        <v>330</v>
      </c>
      <c r="O1206" s="1" t="s">
        <v>331</v>
      </c>
      <c r="P1206" s="1" t="str">
        <f t="shared" si="63"/>
        <v>Caiaponia ISG60KTL(COM1-003)_001_01146019,364583333346019,364583333346019,5277777778</v>
      </c>
      <c r="Q1206" s="1" t="str">
        <f t="shared" si="64"/>
        <v>DAURDE</v>
      </c>
    </row>
    <row r="1207" spans="1:17" hidden="1">
      <c r="B1207" s="1" t="s">
        <v>780</v>
      </c>
      <c r="C1207" s="1" t="s">
        <v>272</v>
      </c>
      <c r="D1207" s="52">
        <v>46019.364583333336</v>
      </c>
      <c r="E1207" s="52">
        <v>46019.364583333336</v>
      </c>
      <c r="F1207" s="52">
        <v>46019.527777777781</v>
      </c>
      <c r="G1207" s="64">
        <f>F1207-E1207</f>
        <v>0.16319444444525288</v>
      </c>
      <c r="H1207" s="1" t="s">
        <v>248</v>
      </c>
      <c r="J1207" s="1" t="s">
        <v>249</v>
      </c>
      <c r="K1207" s="1" t="s">
        <v>349</v>
      </c>
      <c r="L1207" s="1" t="s">
        <v>745</v>
      </c>
      <c r="M1207" s="1" t="s">
        <v>251</v>
      </c>
      <c r="N1207" s="1" t="s">
        <v>330</v>
      </c>
      <c r="O1207" s="1" t="s">
        <v>331</v>
      </c>
      <c r="P1207" s="1" t="str">
        <f t="shared" si="63"/>
        <v>Caiaponia ISG60KTL(COM1-004)_001_01446019,364583333346019,364583333346019,5277777778</v>
      </c>
      <c r="Q1207" s="1" t="str">
        <f t="shared" si="64"/>
        <v>DAURDE</v>
      </c>
    </row>
    <row r="1208" spans="1:17" hidden="1">
      <c r="B1208" s="1" t="s">
        <v>780</v>
      </c>
      <c r="C1208" s="1" t="s">
        <v>273</v>
      </c>
      <c r="D1208" s="52">
        <v>46019.364583333336</v>
      </c>
      <c r="E1208" s="52">
        <v>46019.364583333336</v>
      </c>
      <c r="F1208" s="52">
        <v>46019.527777777781</v>
      </c>
      <c r="G1208" s="64">
        <f>F1208-E1208</f>
        <v>0.16319444444525288</v>
      </c>
      <c r="H1208" s="1" t="s">
        <v>248</v>
      </c>
      <c r="J1208" s="1" t="s">
        <v>249</v>
      </c>
      <c r="K1208" s="1" t="s">
        <v>349</v>
      </c>
      <c r="L1208" s="1" t="s">
        <v>745</v>
      </c>
      <c r="M1208" s="1" t="s">
        <v>251</v>
      </c>
      <c r="N1208" s="1" t="s">
        <v>330</v>
      </c>
      <c r="O1208" s="1" t="s">
        <v>331</v>
      </c>
      <c r="P1208" s="1" t="str">
        <f t="shared" si="63"/>
        <v>Caiaponia ISG60KTL(COM1-005)_001_01746019,364583333346019,364583333346019,5277777778</v>
      </c>
      <c r="Q1208" s="1" t="str">
        <f t="shared" si="64"/>
        <v>DAURDE</v>
      </c>
    </row>
    <row r="1209" spans="1:17" hidden="1">
      <c r="B1209" s="1" t="s">
        <v>780</v>
      </c>
      <c r="C1209" s="1" t="s">
        <v>274</v>
      </c>
      <c r="D1209" s="52">
        <v>46019.364583333336</v>
      </c>
      <c r="E1209" s="52">
        <v>46019.364583333336</v>
      </c>
      <c r="F1209" s="52">
        <v>46019.527777777781</v>
      </c>
      <c r="G1209" s="64">
        <f>F1209-E1209</f>
        <v>0.16319444444525288</v>
      </c>
      <c r="H1209" s="1" t="s">
        <v>248</v>
      </c>
      <c r="J1209" s="1" t="s">
        <v>249</v>
      </c>
      <c r="K1209" s="1" t="s">
        <v>349</v>
      </c>
      <c r="L1209" s="1" t="s">
        <v>745</v>
      </c>
      <c r="M1209" s="1" t="s">
        <v>251</v>
      </c>
      <c r="N1209" s="1" t="s">
        <v>330</v>
      </c>
      <c r="O1209" s="1" t="s">
        <v>331</v>
      </c>
      <c r="P1209" s="1" t="str">
        <f t="shared" si="63"/>
        <v>Caiaponia ISG60KTL(COM1-006)_001_01646019,364583333346019,364583333346019,5277777778</v>
      </c>
      <c r="Q1209" s="1" t="str">
        <f t="shared" si="64"/>
        <v>DAURDE</v>
      </c>
    </row>
    <row r="1210" spans="1:17" hidden="1">
      <c r="B1210" s="1" t="s">
        <v>780</v>
      </c>
      <c r="C1210" s="1" t="s">
        <v>275</v>
      </c>
      <c r="D1210" s="52">
        <v>46019.364583333336</v>
      </c>
      <c r="E1210" s="52">
        <v>46019.364583333336</v>
      </c>
      <c r="F1210" s="52">
        <v>46019.527777777781</v>
      </c>
      <c r="G1210" s="64">
        <f>F1210-E1210</f>
        <v>0.16319444444525288</v>
      </c>
      <c r="H1210" s="1" t="s">
        <v>248</v>
      </c>
      <c r="J1210" s="1" t="s">
        <v>249</v>
      </c>
      <c r="K1210" s="1" t="s">
        <v>349</v>
      </c>
      <c r="L1210" s="1" t="s">
        <v>745</v>
      </c>
      <c r="M1210" s="1" t="s">
        <v>251</v>
      </c>
      <c r="N1210" s="1" t="s">
        <v>330</v>
      </c>
      <c r="O1210" s="1" t="s">
        <v>331</v>
      </c>
      <c r="P1210" s="1" t="str">
        <f t="shared" si="63"/>
        <v>Caiaponia ISG60KTL(COM1-007)_001_01346019,364583333346019,364583333346019,5277777778</v>
      </c>
      <c r="Q1210" s="1" t="str">
        <f t="shared" si="64"/>
        <v>DAURDE</v>
      </c>
    </row>
    <row r="1211" spans="1:17" hidden="1">
      <c r="B1211" s="1" t="s">
        <v>780</v>
      </c>
      <c r="C1211" s="1" t="s">
        <v>276</v>
      </c>
      <c r="D1211" s="52">
        <v>46019.364583333336</v>
      </c>
      <c r="E1211" s="52">
        <v>46019.364583333336</v>
      </c>
      <c r="F1211" s="52">
        <v>46019.527777777781</v>
      </c>
      <c r="G1211" s="64">
        <f>F1211-E1211</f>
        <v>0.16319444444525288</v>
      </c>
      <c r="H1211" s="1" t="s">
        <v>248</v>
      </c>
      <c r="J1211" s="1" t="s">
        <v>249</v>
      </c>
      <c r="K1211" s="1" t="s">
        <v>349</v>
      </c>
      <c r="L1211" s="1" t="s">
        <v>745</v>
      </c>
      <c r="M1211" s="1" t="s">
        <v>251</v>
      </c>
      <c r="N1211" s="1" t="s">
        <v>330</v>
      </c>
      <c r="O1211" s="1" t="s">
        <v>331</v>
      </c>
      <c r="P1211" s="1" t="str">
        <f t="shared" si="63"/>
        <v>Caiaponia ISG60KTL(COM1-008)_001_00146019,364583333346019,364583333346019,5277777778</v>
      </c>
      <c r="Q1211" s="1" t="str">
        <f t="shared" si="64"/>
        <v>DAURDE</v>
      </c>
    </row>
    <row r="1212" spans="1:17" hidden="1">
      <c r="B1212" s="1" t="s">
        <v>781</v>
      </c>
      <c r="C1212" s="1" t="s">
        <v>277</v>
      </c>
      <c r="D1212" s="52">
        <v>46019.364583333336</v>
      </c>
      <c r="E1212" s="52">
        <v>46019.364583333336</v>
      </c>
      <c r="F1212" s="52">
        <v>46019.527777777781</v>
      </c>
      <c r="G1212" s="64">
        <f>F1212-E1212</f>
        <v>0.16319444444525288</v>
      </c>
      <c r="H1212" s="1" t="s">
        <v>248</v>
      </c>
      <c r="J1212" s="1" t="s">
        <v>249</v>
      </c>
      <c r="K1212" s="1" t="s">
        <v>349</v>
      </c>
      <c r="L1212" s="1" t="s">
        <v>745</v>
      </c>
      <c r="M1212" s="1" t="s">
        <v>251</v>
      </c>
      <c r="N1212" s="1" t="s">
        <v>330</v>
      </c>
      <c r="O1212" s="1" t="s">
        <v>331</v>
      </c>
      <c r="P1212" s="1" t="str">
        <f t="shared" si="63"/>
        <v>Caiaponia IISG60KTL(COM1-009)46019,364583333346019,364583333346019,5277777778</v>
      </c>
      <c r="Q1212" s="1" t="str">
        <f t="shared" si="64"/>
        <v>DAURDE</v>
      </c>
    </row>
    <row r="1213" spans="1:17" hidden="1">
      <c r="B1213" s="1" t="s">
        <v>781</v>
      </c>
      <c r="C1213" s="1" t="s">
        <v>278</v>
      </c>
      <c r="D1213" s="52">
        <v>46019.364583333336</v>
      </c>
      <c r="E1213" s="52">
        <v>46019.364583333336</v>
      </c>
      <c r="F1213" s="52">
        <v>46019.527777777781</v>
      </c>
      <c r="G1213" s="64">
        <f>F1213-E1213</f>
        <v>0.16319444444525288</v>
      </c>
      <c r="H1213" s="1" t="s">
        <v>248</v>
      </c>
      <c r="J1213" s="1" t="s">
        <v>249</v>
      </c>
      <c r="K1213" s="1" t="s">
        <v>349</v>
      </c>
      <c r="L1213" s="1" t="s">
        <v>745</v>
      </c>
      <c r="M1213" s="1" t="s">
        <v>251</v>
      </c>
      <c r="N1213" s="1" t="s">
        <v>330</v>
      </c>
      <c r="O1213" s="1" t="s">
        <v>331</v>
      </c>
      <c r="P1213" s="1" t="str">
        <f t="shared" si="63"/>
        <v>Caiaponia IISG60KTL(COM1-010)46019,364583333346019,364583333346019,5277777778</v>
      </c>
      <c r="Q1213" s="1" t="str">
        <f t="shared" si="64"/>
        <v>DAURDE</v>
      </c>
    </row>
    <row r="1214" spans="1:17" hidden="1">
      <c r="B1214" s="1" t="s">
        <v>781</v>
      </c>
      <c r="C1214" s="1" t="s">
        <v>279</v>
      </c>
      <c r="D1214" s="52">
        <v>46019.364583333336</v>
      </c>
      <c r="E1214" s="52">
        <v>46019.364583333336</v>
      </c>
      <c r="F1214" s="52">
        <v>46019.527777777781</v>
      </c>
      <c r="G1214" s="64">
        <f>F1214-E1214</f>
        <v>0.16319444444525288</v>
      </c>
      <c r="H1214" s="1" t="s">
        <v>248</v>
      </c>
      <c r="J1214" s="1" t="s">
        <v>249</v>
      </c>
      <c r="K1214" s="1" t="s">
        <v>349</v>
      </c>
      <c r="L1214" s="1" t="s">
        <v>745</v>
      </c>
      <c r="M1214" s="1" t="s">
        <v>251</v>
      </c>
      <c r="N1214" s="1" t="s">
        <v>330</v>
      </c>
      <c r="O1214" s="1" t="s">
        <v>331</v>
      </c>
      <c r="P1214" s="1" t="str">
        <f t="shared" si="63"/>
        <v>Caiaponia IISG60KTL(COM1-011)46019,364583333346019,364583333346019,5277777778</v>
      </c>
      <c r="Q1214" s="1" t="str">
        <f t="shared" si="64"/>
        <v>DAURDE</v>
      </c>
    </row>
    <row r="1215" spans="1:17" hidden="1">
      <c r="B1215" s="1" t="s">
        <v>781</v>
      </c>
      <c r="C1215" s="1" t="s">
        <v>280</v>
      </c>
      <c r="D1215" s="52">
        <v>46019.364583333336</v>
      </c>
      <c r="E1215" s="52">
        <v>46019.364583333336</v>
      </c>
      <c r="F1215" s="52">
        <v>46019.527777777781</v>
      </c>
      <c r="G1215" s="64">
        <f>F1215-E1215</f>
        <v>0.16319444444525288</v>
      </c>
      <c r="H1215" s="1" t="s">
        <v>248</v>
      </c>
      <c r="J1215" s="1" t="s">
        <v>249</v>
      </c>
      <c r="K1215" s="1" t="s">
        <v>349</v>
      </c>
      <c r="L1215" s="1" t="s">
        <v>745</v>
      </c>
      <c r="M1215" s="1" t="s">
        <v>251</v>
      </c>
      <c r="N1215" s="1" t="s">
        <v>330</v>
      </c>
      <c r="O1215" s="1" t="s">
        <v>331</v>
      </c>
      <c r="P1215" s="1" t="str">
        <f t="shared" si="63"/>
        <v>Caiaponia IISG60KTL(COM1-012)46019,364583333346019,364583333346019,5277777778</v>
      </c>
      <c r="Q1215" s="1" t="str">
        <f t="shared" si="64"/>
        <v>DAURDE</v>
      </c>
    </row>
    <row r="1216" spans="1:17" hidden="1">
      <c r="B1216" s="1" t="s">
        <v>781</v>
      </c>
      <c r="C1216" s="1" t="s">
        <v>281</v>
      </c>
      <c r="D1216" s="52">
        <v>46019.364583333336</v>
      </c>
      <c r="E1216" s="52">
        <v>46019.364583333336</v>
      </c>
      <c r="F1216" s="52">
        <v>46019.527777777781</v>
      </c>
      <c r="G1216" s="64">
        <f>F1216-E1216</f>
        <v>0.16319444444525288</v>
      </c>
      <c r="H1216" s="1" t="s">
        <v>248</v>
      </c>
      <c r="J1216" s="1" t="s">
        <v>249</v>
      </c>
      <c r="K1216" s="1" t="s">
        <v>349</v>
      </c>
      <c r="L1216" s="1" t="s">
        <v>745</v>
      </c>
      <c r="M1216" s="1" t="s">
        <v>251</v>
      </c>
      <c r="N1216" s="1" t="s">
        <v>330</v>
      </c>
      <c r="O1216" s="1" t="s">
        <v>331</v>
      </c>
      <c r="P1216" s="1" t="str">
        <f t="shared" si="63"/>
        <v>Caiaponia IISG60KTL(COM1-013)46019,364583333346019,364583333346019,5277777778</v>
      </c>
      <c r="Q1216" s="1" t="str">
        <f t="shared" si="64"/>
        <v>DAURDE</v>
      </c>
    </row>
    <row r="1217" spans="2:17" hidden="1">
      <c r="B1217" s="1" t="s">
        <v>781</v>
      </c>
      <c r="C1217" s="1" t="s">
        <v>282</v>
      </c>
      <c r="D1217" s="52">
        <v>46019.364583333336</v>
      </c>
      <c r="E1217" s="52">
        <v>46019.364583333336</v>
      </c>
      <c r="F1217" s="52">
        <v>46019.527777777781</v>
      </c>
      <c r="G1217" s="64">
        <f>F1217-E1217</f>
        <v>0.16319444444525288</v>
      </c>
      <c r="H1217" s="1" t="s">
        <v>248</v>
      </c>
      <c r="J1217" s="1" t="s">
        <v>249</v>
      </c>
      <c r="K1217" s="1" t="s">
        <v>349</v>
      </c>
      <c r="L1217" s="1" t="s">
        <v>745</v>
      </c>
      <c r="M1217" s="1" t="s">
        <v>251</v>
      </c>
      <c r="N1217" s="1" t="s">
        <v>330</v>
      </c>
      <c r="O1217" s="1" t="s">
        <v>331</v>
      </c>
      <c r="P1217" s="1" t="str">
        <f t="shared" si="63"/>
        <v>Caiaponia IISG60KTL(COM1-014)46019,364583333346019,364583333346019,5277777778</v>
      </c>
      <c r="Q1217" s="1" t="str">
        <f t="shared" si="64"/>
        <v>DAURDE</v>
      </c>
    </row>
    <row r="1218" spans="2:17" hidden="1">
      <c r="B1218" s="1" t="s">
        <v>781</v>
      </c>
      <c r="C1218" s="1" t="s">
        <v>283</v>
      </c>
      <c r="D1218" s="52">
        <v>46019.364583333336</v>
      </c>
      <c r="E1218" s="52">
        <v>46019.364583333336</v>
      </c>
      <c r="F1218" s="52">
        <v>46019.527777777781</v>
      </c>
      <c r="G1218" s="64">
        <f>F1218-E1218</f>
        <v>0.16319444444525288</v>
      </c>
      <c r="H1218" s="1" t="s">
        <v>248</v>
      </c>
      <c r="J1218" s="1" t="s">
        <v>249</v>
      </c>
      <c r="K1218" s="1" t="s">
        <v>349</v>
      </c>
      <c r="L1218" s="1" t="s">
        <v>745</v>
      </c>
      <c r="M1218" s="1" t="s">
        <v>251</v>
      </c>
      <c r="N1218" s="1" t="s">
        <v>330</v>
      </c>
      <c r="O1218" s="1" t="s">
        <v>331</v>
      </c>
      <c r="P1218" s="1" t="str">
        <f t="shared" si="63"/>
        <v>Caiaponia IISG60KTL(COM1-015)46019,364583333346019,364583333346019,5277777778</v>
      </c>
      <c r="Q1218" s="1" t="str">
        <f t="shared" si="64"/>
        <v>DAURDE</v>
      </c>
    </row>
    <row r="1219" spans="2:17" hidden="1">
      <c r="B1219" s="1" t="s">
        <v>794</v>
      </c>
      <c r="C1219" s="1" t="s">
        <v>284</v>
      </c>
      <c r="D1219" s="52">
        <v>46019.364583333336</v>
      </c>
      <c r="E1219" s="52">
        <v>46019.364583333336</v>
      </c>
      <c r="F1219" s="52">
        <v>46019.527777777781</v>
      </c>
      <c r="G1219" s="64">
        <f>F1219-E1219</f>
        <v>0.16319444444525288</v>
      </c>
      <c r="H1219" s="1" t="s">
        <v>248</v>
      </c>
      <c r="J1219" s="1" t="s">
        <v>249</v>
      </c>
      <c r="K1219" s="1" t="s">
        <v>349</v>
      </c>
      <c r="L1219" s="1" t="s">
        <v>745</v>
      </c>
      <c r="M1219" s="1" t="s">
        <v>251</v>
      </c>
      <c r="N1219" s="1" t="s">
        <v>330</v>
      </c>
      <c r="O1219" s="1" t="s">
        <v>331</v>
      </c>
      <c r="P1219" s="1" t="str">
        <f t="shared" si="63"/>
        <v>Caiaponia IIISG60KTL(COM3-016)_001_00946019,364583333346019,364583333346019,5277777778</v>
      </c>
      <c r="Q1219" s="1" t="str">
        <f t="shared" si="64"/>
        <v>DAURDE</v>
      </c>
    </row>
    <row r="1220" spans="2:17" hidden="1">
      <c r="B1220" s="1" t="s">
        <v>794</v>
      </c>
      <c r="C1220" s="1" t="s">
        <v>285</v>
      </c>
      <c r="D1220" s="52">
        <v>46019.364583333336</v>
      </c>
      <c r="E1220" s="52">
        <v>46019.364583333336</v>
      </c>
      <c r="F1220" s="52">
        <v>46019.527777777781</v>
      </c>
      <c r="G1220" s="64">
        <f>F1220-E1220</f>
        <v>0.16319444444525288</v>
      </c>
      <c r="H1220" s="1" t="s">
        <v>248</v>
      </c>
      <c r="J1220" s="1" t="s">
        <v>249</v>
      </c>
      <c r="K1220" s="1" t="s">
        <v>349</v>
      </c>
      <c r="L1220" s="1" t="s">
        <v>745</v>
      </c>
      <c r="M1220" s="1" t="s">
        <v>251</v>
      </c>
      <c r="N1220" s="1" t="s">
        <v>330</v>
      </c>
      <c r="O1220" s="1" t="s">
        <v>331</v>
      </c>
      <c r="P1220" s="1" t="str">
        <f t="shared" si="63"/>
        <v>Caiaponia IIISG60KTL(COM3-017)_001_01246019,364583333346019,364583333346019,5277777778</v>
      </c>
      <c r="Q1220" s="1" t="str">
        <f t="shared" si="64"/>
        <v>DAURDE</v>
      </c>
    </row>
    <row r="1221" spans="2:17" hidden="1">
      <c r="B1221" s="1" t="s">
        <v>794</v>
      </c>
      <c r="C1221" s="1" t="s">
        <v>286</v>
      </c>
      <c r="D1221" s="52">
        <v>46019.364583333336</v>
      </c>
      <c r="E1221" s="52">
        <v>46019.364583333336</v>
      </c>
      <c r="F1221" s="52">
        <v>46019.527777777781</v>
      </c>
      <c r="G1221" s="64">
        <f>F1221-E1221</f>
        <v>0.16319444444525288</v>
      </c>
      <c r="H1221" s="1" t="s">
        <v>248</v>
      </c>
      <c r="J1221" s="1" t="s">
        <v>249</v>
      </c>
      <c r="K1221" s="1" t="s">
        <v>349</v>
      </c>
      <c r="L1221" s="1" t="s">
        <v>745</v>
      </c>
      <c r="M1221" s="1" t="s">
        <v>251</v>
      </c>
      <c r="N1221" s="1" t="s">
        <v>330</v>
      </c>
      <c r="O1221" s="1" t="s">
        <v>331</v>
      </c>
      <c r="P1221" s="1" t="str">
        <f t="shared" si="63"/>
        <v>Caiaponia IIISG60KTL(COM3-018)_001_00846019,364583333346019,364583333346019,5277777778</v>
      </c>
      <c r="Q1221" s="1" t="str">
        <f t="shared" si="64"/>
        <v>DAURDE</v>
      </c>
    </row>
    <row r="1222" spans="2:17" hidden="1">
      <c r="B1222" s="1" t="s">
        <v>794</v>
      </c>
      <c r="C1222" s="1" t="s">
        <v>287</v>
      </c>
      <c r="D1222" s="52">
        <v>46019.364583333336</v>
      </c>
      <c r="E1222" s="52">
        <v>46019.364583333336</v>
      </c>
      <c r="F1222" s="52">
        <v>46019.527777777781</v>
      </c>
      <c r="G1222" s="64">
        <f>F1222-E1222</f>
        <v>0.16319444444525288</v>
      </c>
      <c r="H1222" s="1" t="s">
        <v>248</v>
      </c>
      <c r="J1222" s="1" t="s">
        <v>249</v>
      </c>
      <c r="K1222" s="1" t="s">
        <v>349</v>
      </c>
      <c r="L1222" s="1" t="s">
        <v>745</v>
      </c>
      <c r="M1222" s="1" t="s">
        <v>251</v>
      </c>
      <c r="N1222" s="1" t="s">
        <v>330</v>
      </c>
      <c r="O1222" s="1" t="s">
        <v>331</v>
      </c>
      <c r="P1222" s="1" t="str">
        <f t="shared" si="63"/>
        <v>Caiaponia IIISG60KTL(COM3-019)_001_01946019,364583333346019,364583333346019,5277777778</v>
      </c>
      <c r="Q1222" s="1" t="str">
        <f t="shared" si="64"/>
        <v>DAURDE</v>
      </c>
    </row>
    <row r="1223" spans="2:17" hidden="1">
      <c r="B1223" s="1" t="s">
        <v>794</v>
      </c>
      <c r="C1223" s="1" t="s">
        <v>288</v>
      </c>
      <c r="D1223" s="52">
        <v>46019.364583333336</v>
      </c>
      <c r="E1223" s="52">
        <v>46019.364583333336</v>
      </c>
      <c r="F1223" s="52">
        <v>46019.527777777781</v>
      </c>
      <c r="G1223" s="64">
        <f>F1223-E1223</f>
        <v>0.16319444444525288</v>
      </c>
      <c r="H1223" s="1" t="s">
        <v>248</v>
      </c>
      <c r="J1223" s="1" t="s">
        <v>249</v>
      </c>
      <c r="K1223" s="1" t="s">
        <v>349</v>
      </c>
      <c r="L1223" s="1" t="s">
        <v>745</v>
      </c>
      <c r="M1223" s="1" t="s">
        <v>251</v>
      </c>
      <c r="N1223" s="1" t="s">
        <v>330</v>
      </c>
      <c r="O1223" s="1" t="s">
        <v>331</v>
      </c>
      <c r="P1223" s="1" t="str">
        <f t="shared" si="63"/>
        <v>Caiaponia IIISG60KTL(COM3-020)_001_02046019,364583333346019,364583333346019,5277777778</v>
      </c>
      <c r="Q1223" s="1" t="str">
        <f t="shared" si="64"/>
        <v>DAURDE</v>
      </c>
    </row>
    <row r="1224" spans="2:17" hidden="1">
      <c r="B1224" s="1" t="s">
        <v>795</v>
      </c>
      <c r="C1224" s="1" t="s">
        <v>289</v>
      </c>
      <c r="D1224" s="52">
        <v>46019.364583333336</v>
      </c>
      <c r="E1224" s="52">
        <v>46019.364583333336</v>
      </c>
      <c r="F1224" s="52">
        <v>46019.527777777781</v>
      </c>
      <c r="G1224" s="64">
        <f>F1224-E1224</f>
        <v>0.16319444444525288</v>
      </c>
      <c r="H1224" s="1" t="s">
        <v>248</v>
      </c>
      <c r="J1224" s="1" t="s">
        <v>249</v>
      </c>
      <c r="K1224" s="1" t="s">
        <v>349</v>
      </c>
      <c r="L1224" s="1" t="s">
        <v>745</v>
      </c>
      <c r="M1224" s="1" t="s">
        <v>251</v>
      </c>
      <c r="N1224" s="1" t="s">
        <v>330</v>
      </c>
      <c r="O1224" s="1" t="s">
        <v>331</v>
      </c>
      <c r="P1224" s="1" t="str">
        <f t="shared" si="63"/>
        <v>Caiaponia IVSG60KTL(COM2-026)46019,364583333346019,364583333346019,5277777778</v>
      </c>
      <c r="Q1224" s="1" t="str">
        <f t="shared" si="64"/>
        <v>DAURDE</v>
      </c>
    </row>
    <row r="1225" spans="2:17" hidden="1">
      <c r="B1225" s="1" t="s">
        <v>795</v>
      </c>
      <c r="C1225" s="1" t="s">
        <v>290</v>
      </c>
      <c r="D1225" s="52">
        <v>46019.364583333336</v>
      </c>
      <c r="E1225" s="52">
        <v>46019.364583333336</v>
      </c>
      <c r="F1225" s="52">
        <v>46019.527777777781</v>
      </c>
      <c r="G1225" s="64">
        <f>F1225-E1225</f>
        <v>0.16319444444525288</v>
      </c>
      <c r="H1225" s="1" t="s">
        <v>248</v>
      </c>
      <c r="J1225" s="1" t="s">
        <v>249</v>
      </c>
      <c r="K1225" s="1" t="s">
        <v>349</v>
      </c>
      <c r="L1225" s="1" t="s">
        <v>745</v>
      </c>
      <c r="M1225" s="1" t="s">
        <v>251</v>
      </c>
      <c r="N1225" s="1" t="s">
        <v>330</v>
      </c>
      <c r="O1225" s="1" t="s">
        <v>331</v>
      </c>
      <c r="P1225" s="1" t="str">
        <f t="shared" si="63"/>
        <v>Caiaponia IVSG60KTL(COM2-027)46019,364583333346019,364583333346019,5277777778</v>
      </c>
      <c r="Q1225" s="1" t="str">
        <f t="shared" si="64"/>
        <v>DAURDE</v>
      </c>
    </row>
    <row r="1226" spans="2:17" hidden="1">
      <c r="B1226" s="1" t="s">
        <v>795</v>
      </c>
      <c r="C1226" s="1" t="s">
        <v>291</v>
      </c>
      <c r="D1226" s="52">
        <v>46019.364583333336</v>
      </c>
      <c r="E1226" s="52">
        <v>46019.364583333336</v>
      </c>
      <c r="F1226" s="52">
        <v>46019.527777777781</v>
      </c>
      <c r="G1226" s="64">
        <f>F1226-E1226</f>
        <v>0.16319444444525288</v>
      </c>
      <c r="H1226" s="1" t="s">
        <v>248</v>
      </c>
      <c r="J1226" s="1" t="s">
        <v>249</v>
      </c>
      <c r="K1226" s="1" t="s">
        <v>349</v>
      </c>
      <c r="L1226" s="1" t="s">
        <v>745</v>
      </c>
      <c r="M1226" s="1" t="s">
        <v>251</v>
      </c>
      <c r="N1226" s="1" t="s">
        <v>330</v>
      </c>
      <c r="O1226" s="1" t="s">
        <v>331</v>
      </c>
      <c r="P1226" s="1" t="str">
        <f t="shared" si="63"/>
        <v>Caiaponia IVSG60KTL(COM2-028)46019,364583333346019,364583333346019,5277777778</v>
      </c>
      <c r="Q1226" s="1" t="str">
        <f t="shared" si="64"/>
        <v>DAURDE</v>
      </c>
    </row>
    <row r="1227" spans="2:17" hidden="1">
      <c r="B1227" s="1" t="s">
        <v>795</v>
      </c>
      <c r="C1227" s="1" t="s">
        <v>292</v>
      </c>
      <c r="D1227" s="52">
        <v>46019.364583333336</v>
      </c>
      <c r="E1227" s="52">
        <v>46019.364583333336</v>
      </c>
      <c r="F1227" s="52">
        <v>46019.527777777781</v>
      </c>
      <c r="G1227" s="64">
        <f>F1227-E1227</f>
        <v>0.16319444444525288</v>
      </c>
      <c r="H1227" s="1" t="s">
        <v>248</v>
      </c>
      <c r="J1227" s="1" t="s">
        <v>249</v>
      </c>
      <c r="K1227" s="1" t="s">
        <v>349</v>
      </c>
      <c r="L1227" s="1" t="s">
        <v>745</v>
      </c>
      <c r="M1227" s="1" t="s">
        <v>251</v>
      </c>
      <c r="N1227" s="1" t="s">
        <v>330</v>
      </c>
      <c r="O1227" s="1" t="s">
        <v>331</v>
      </c>
      <c r="P1227" s="1" t="str">
        <f t="shared" si="63"/>
        <v>Caiaponia IVSG60KTL(COM2-029)46019,364583333346019,364583333346019,5277777778</v>
      </c>
      <c r="Q1227" s="1" t="str">
        <f t="shared" si="64"/>
        <v>DAURDE</v>
      </c>
    </row>
    <row r="1228" spans="2:17" hidden="1">
      <c r="B1228" s="1" t="s">
        <v>796</v>
      </c>
      <c r="C1228" s="1" t="s">
        <v>293</v>
      </c>
      <c r="D1228" s="52">
        <v>46019.364583333336</v>
      </c>
      <c r="E1228" s="52">
        <v>46019.364583333336</v>
      </c>
      <c r="F1228" s="52">
        <v>46019.527777777781</v>
      </c>
      <c r="G1228" s="64">
        <f>F1228-E1228</f>
        <v>0.16319444444525288</v>
      </c>
      <c r="H1228" s="1" t="s">
        <v>248</v>
      </c>
      <c r="J1228" s="1" t="s">
        <v>249</v>
      </c>
      <c r="K1228" s="1" t="s">
        <v>349</v>
      </c>
      <c r="L1228" s="1" t="s">
        <v>745</v>
      </c>
      <c r="M1228" s="1" t="s">
        <v>251</v>
      </c>
      <c r="N1228" s="1" t="s">
        <v>330</v>
      </c>
      <c r="O1228" s="1" t="s">
        <v>331</v>
      </c>
      <c r="P1228" s="1" t="str">
        <f t="shared" si="63"/>
        <v>Caiaponia VSG50CX(COM1-021)46019,364583333346019,364583333346019,5277777778</v>
      </c>
      <c r="Q1228" s="1" t="str">
        <f t="shared" si="64"/>
        <v>DAURDE</v>
      </c>
    </row>
    <row r="1229" spans="2:17" hidden="1">
      <c r="B1229" s="1" t="s">
        <v>796</v>
      </c>
      <c r="C1229" s="1" t="s">
        <v>294</v>
      </c>
      <c r="D1229" s="52">
        <v>46019.364583333336</v>
      </c>
      <c r="E1229" s="52">
        <v>46019.364583333336</v>
      </c>
      <c r="F1229" s="52">
        <v>46019.527777777781</v>
      </c>
      <c r="G1229" s="64">
        <f>F1229-E1229</f>
        <v>0.16319444444525288</v>
      </c>
      <c r="H1229" s="1" t="s">
        <v>248</v>
      </c>
      <c r="J1229" s="1" t="s">
        <v>249</v>
      </c>
      <c r="K1229" s="1" t="s">
        <v>349</v>
      </c>
      <c r="L1229" s="1" t="s">
        <v>745</v>
      </c>
      <c r="M1229" s="1" t="s">
        <v>251</v>
      </c>
      <c r="N1229" s="1" t="s">
        <v>330</v>
      </c>
      <c r="O1229" s="1" t="s">
        <v>331</v>
      </c>
      <c r="P1229" s="1" t="str">
        <f t="shared" si="63"/>
        <v>Caiaponia VSG50CX(COM1-022)46019,364583333346019,364583333346019,5277777778</v>
      </c>
      <c r="Q1229" s="1" t="str">
        <f t="shared" si="64"/>
        <v>DAURDE</v>
      </c>
    </row>
    <row r="1230" spans="2:17" hidden="1">
      <c r="B1230" s="1" t="s">
        <v>796</v>
      </c>
      <c r="C1230" s="1" t="s">
        <v>295</v>
      </c>
      <c r="D1230" s="52">
        <v>46019.364583333336</v>
      </c>
      <c r="E1230" s="52">
        <v>46019.364583333336</v>
      </c>
      <c r="F1230" s="52">
        <v>46019.527777777781</v>
      </c>
      <c r="G1230" s="64">
        <f>F1230-E1230</f>
        <v>0.16319444444525288</v>
      </c>
      <c r="H1230" s="1" t="s">
        <v>248</v>
      </c>
      <c r="J1230" s="1" t="s">
        <v>249</v>
      </c>
      <c r="K1230" s="1" t="s">
        <v>349</v>
      </c>
      <c r="L1230" s="1" t="s">
        <v>745</v>
      </c>
      <c r="M1230" s="1" t="s">
        <v>251</v>
      </c>
      <c r="N1230" s="1" t="s">
        <v>330</v>
      </c>
      <c r="O1230" s="1" t="s">
        <v>331</v>
      </c>
      <c r="P1230" s="1" t="str">
        <f t="shared" si="63"/>
        <v>Caiaponia VSG50CX(COM1-023)46019,364583333346019,364583333346019,5277777778</v>
      </c>
      <c r="Q1230" s="1" t="str">
        <f t="shared" si="64"/>
        <v>DAURDE</v>
      </c>
    </row>
    <row r="1231" spans="2:17" hidden="1">
      <c r="B1231" s="1" t="s">
        <v>796</v>
      </c>
      <c r="C1231" s="1" t="s">
        <v>296</v>
      </c>
      <c r="D1231" s="52">
        <v>46019.364583333336</v>
      </c>
      <c r="E1231" s="52">
        <v>46019.364583333336</v>
      </c>
      <c r="F1231" s="52">
        <v>46019.527777777781</v>
      </c>
      <c r="G1231" s="64">
        <f>F1231-E1231</f>
        <v>0.16319444444525288</v>
      </c>
      <c r="H1231" s="1" t="s">
        <v>248</v>
      </c>
      <c r="J1231" s="1" t="s">
        <v>249</v>
      </c>
      <c r="K1231" s="1" t="s">
        <v>349</v>
      </c>
      <c r="L1231" s="1" t="s">
        <v>745</v>
      </c>
      <c r="M1231" s="1" t="s">
        <v>251</v>
      </c>
      <c r="N1231" s="1" t="s">
        <v>330</v>
      </c>
      <c r="O1231" s="1" t="s">
        <v>331</v>
      </c>
      <c r="P1231" s="1" t="str">
        <f t="shared" si="63"/>
        <v>Caiaponia VSG50CX(COM1-024)46019,364583333346019,364583333346019,5277777778</v>
      </c>
      <c r="Q1231" s="1" t="str">
        <f t="shared" si="64"/>
        <v>DAURDE</v>
      </c>
    </row>
    <row r="1232" spans="2:17" hidden="1">
      <c r="B1232" s="1" t="s">
        <v>796</v>
      </c>
      <c r="C1232" s="1" t="s">
        <v>297</v>
      </c>
      <c r="D1232" s="52">
        <v>46019.364583333336</v>
      </c>
      <c r="E1232" s="52">
        <v>46019.364583333336</v>
      </c>
      <c r="F1232" s="52">
        <v>46019.527777777781</v>
      </c>
      <c r="G1232" s="64">
        <f>F1232-E1232</f>
        <v>0.16319444444525288</v>
      </c>
      <c r="H1232" s="1" t="s">
        <v>248</v>
      </c>
      <c r="J1232" s="1" t="s">
        <v>249</v>
      </c>
      <c r="K1232" s="1" t="s">
        <v>349</v>
      </c>
      <c r="L1232" s="1" t="s">
        <v>745</v>
      </c>
      <c r="M1232" s="1" t="s">
        <v>251</v>
      </c>
      <c r="N1232" s="1" t="s">
        <v>330</v>
      </c>
      <c r="O1232" s="1" t="s">
        <v>331</v>
      </c>
      <c r="P1232" s="1" t="str">
        <f t="shared" si="63"/>
        <v>Caiaponia VSG50CX(COM1-025)46019,364583333346019,364583333346019,5277777778</v>
      </c>
      <c r="Q1232" s="1" t="str">
        <f t="shared" si="64"/>
        <v>DAURDE</v>
      </c>
    </row>
    <row r="1233" spans="1:17" hidden="1">
      <c r="B1233" s="1" t="s">
        <v>797</v>
      </c>
      <c r="C1233" s="1" t="s">
        <v>255</v>
      </c>
      <c r="D1233" s="52">
        <v>46019.364583333336</v>
      </c>
      <c r="E1233" s="52">
        <v>46019.364583333336</v>
      </c>
      <c r="F1233" s="52">
        <v>46019.527777777781</v>
      </c>
      <c r="G1233" s="64">
        <f>F1233-E1233</f>
        <v>0.16319444444525288</v>
      </c>
      <c r="H1233" s="1" t="s">
        <v>248</v>
      </c>
      <c r="J1233" s="1" t="s">
        <v>249</v>
      </c>
      <c r="K1233" s="1" t="s">
        <v>349</v>
      </c>
      <c r="L1233" s="1" t="s">
        <v>745</v>
      </c>
      <c r="M1233" s="1" t="s">
        <v>251</v>
      </c>
      <c r="N1233" s="1" t="s">
        <v>330</v>
      </c>
      <c r="O1233" s="1" t="s">
        <v>331</v>
      </c>
      <c r="P1233" s="1" t="str">
        <f t="shared" si="63"/>
        <v>UFV CAIAPONIA II - UC 1215KTL-H3(MBUS-14)46019,364583333346019,364583333346019,5277777778</v>
      </c>
      <c r="Q1233" s="1" t="str">
        <f t="shared" si="64"/>
        <v>DAURDE</v>
      </c>
    </row>
    <row r="1234" spans="1:17" hidden="1">
      <c r="B1234" s="1" t="s">
        <v>797</v>
      </c>
      <c r="C1234" s="1" t="s">
        <v>254</v>
      </c>
      <c r="D1234" s="52">
        <v>46019.364583333336</v>
      </c>
      <c r="E1234" s="52">
        <v>46019.364583333336</v>
      </c>
      <c r="F1234" s="52">
        <v>46019.527777777781</v>
      </c>
      <c r="G1234" s="64">
        <f>F1234-E1234</f>
        <v>0.16319444444525288</v>
      </c>
      <c r="H1234" s="1" t="s">
        <v>248</v>
      </c>
      <c r="J1234" s="1" t="s">
        <v>249</v>
      </c>
      <c r="K1234" s="1" t="s">
        <v>349</v>
      </c>
      <c r="L1234" s="1" t="s">
        <v>745</v>
      </c>
      <c r="M1234" s="1" t="s">
        <v>251</v>
      </c>
      <c r="N1234" s="1" t="s">
        <v>330</v>
      </c>
      <c r="O1234" s="1" t="s">
        <v>331</v>
      </c>
      <c r="P1234" s="1" t="str">
        <f t="shared" si="63"/>
        <v>UFV CAIAPONIA II - UC 1215KTL-H3(MBUS-13)46019,364583333346019,364583333346019,5277777778</v>
      </c>
      <c r="Q1234" s="1" t="str">
        <f t="shared" si="64"/>
        <v>DAURDE</v>
      </c>
    </row>
    <row r="1235" spans="1:17" hidden="1">
      <c r="B1235" s="1" t="s">
        <v>797</v>
      </c>
      <c r="C1235" s="1" t="s">
        <v>247</v>
      </c>
      <c r="D1235" s="52">
        <v>46019.364583333336</v>
      </c>
      <c r="E1235" s="52">
        <v>46019.364583333336</v>
      </c>
      <c r="F1235" s="52">
        <v>46019.527777777781</v>
      </c>
      <c r="G1235" s="64">
        <f>F1235-E1235</f>
        <v>0.16319444444525288</v>
      </c>
      <c r="H1235" s="1" t="s">
        <v>248</v>
      </c>
      <c r="J1235" s="1" t="s">
        <v>249</v>
      </c>
      <c r="K1235" s="1" t="s">
        <v>349</v>
      </c>
      <c r="L1235" s="1" t="s">
        <v>745</v>
      </c>
      <c r="M1235" s="1" t="s">
        <v>251</v>
      </c>
      <c r="N1235" s="1" t="s">
        <v>330</v>
      </c>
      <c r="O1235" s="1" t="s">
        <v>331</v>
      </c>
      <c r="P1235" s="1" t="str">
        <f t="shared" si="63"/>
        <v>UFV CAIAPONIA II - UC 1215KTL-H3(MBUS-12)46019,364583333346019,364583333346019,5277777778</v>
      </c>
      <c r="Q1235" s="1" t="str">
        <f t="shared" si="64"/>
        <v>DAURDE</v>
      </c>
    </row>
    <row r="1236" spans="1:17" hidden="1">
      <c r="B1236" s="1" t="s">
        <v>797</v>
      </c>
      <c r="C1236" s="1" t="s">
        <v>256</v>
      </c>
      <c r="D1236" s="52">
        <v>46019.364583333336</v>
      </c>
      <c r="E1236" s="52">
        <v>46019.364583333336</v>
      </c>
      <c r="F1236" s="52">
        <v>46019.527777777781</v>
      </c>
      <c r="G1236" s="64">
        <f>F1236-E1236</f>
        <v>0.16319444444525288</v>
      </c>
      <c r="H1236" s="1" t="s">
        <v>248</v>
      </c>
      <c r="J1236" s="1" t="s">
        <v>249</v>
      </c>
      <c r="K1236" s="1" t="s">
        <v>349</v>
      </c>
      <c r="L1236" s="1" t="s">
        <v>745</v>
      </c>
      <c r="M1236" s="1" t="s">
        <v>251</v>
      </c>
      <c r="N1236" s="1" t="s">
        <v>330</v>
      </c>
      <c r="O1236" s="1" t="s">
        <v>331</v>
      </c>
      <c r="P1236" s="1" t="str">
        <f t="shared" si="63"/>
        <v>UFV CAIAPONIA II - UC 1215KTL-H3(MBUS-15)46019,364583333346019,364583333346019,5277777778</v>
      </c>
      <c r="Q1236" s="1" t="str">
        <f t="shared" si="64"/>
        <v>DAURDE</v>
      </c>
    </row>
    <row r="1237" spans="1:17" hidden="1">
      <c r="B1237" s="1" t="s">
        <v>797</v>
      </c>
      <c r="C1237" s="1" t="s">
        <v>257</v>
      </c>
      <c r="D1237" s="52">
        <v>46019.364583333336</v>
      </c>
      <c r="E1237" s="52">
        <v>46019.364583333336</v>
      </c>
      <c r="F1237" s="52">
        <v>46019.527777777781</v>
      </c>
      <c r="G1237" s="64">
        <f>F1237-E1237</f>
        <v>0.16319444444525288</v>
      </c>
      <c r="H1237" s="1" t="s">
        <v>248</v>
      </c>
      <c r="J1237" s="1" t="s">
        <v>249</v>
      </c>
      <c r="K1237" s="1" t="s">
        <v>349</v>
      </c>
      <c r="L1237" s="1" t="s">
        <v>745</v>
      </c>
      <c r="M1237" s="1" t="s">
        <v>251</v>
      </c>
      <c r="N1237" s="1" t="s">
        <v>330</v>
      </c>
      <c r="O1237" s="1" t="s">
        <v>331</v>
      </c>
      <c r="P1237" s="1" t="str">
        <f t="shared" si="63"/>
        <v>UFV CAIAPONIA II - UC 1215KTL-H3(MBUS-16)46019,364583333346019,364583333346019,5277777778</v>
      </c>
      <c r="Q1237" s="1" t="str">
        <f t="shared" si="64"/>
        <v>DAURDE</v>
      </c>
    </row>
    <row r="1238" spans="1:17" hidden="1">
      <c r="B1238" s="1" t="s">
        <v>798</v>
      </c>
      <c r="C1238" s="1" t="s">
        <v>255</v>
      </c>
      <c r="D1238" s="52">
        <v>46019.364583333336</v>
      </c>
      <c r="E1238" s="52">
        <v>46019.364583333336</v>
      </c>
      <c r="F1238" s="52">
        <v>46019.527777777781</v>
      </c>
      <c r="G1238" s="64">
        <f>F1238-E1238</f>
        <v>0.16319444444525288</v>
      </c>
      <c r="H1238" s="1" t="s">
        <v>248</v>
      </c>
      <c r="J1238" s="1" t="s">
        <v>249</v>
      </c>
      <c r="K1238" s="1" t="s">
        <v>349</v>
      </c>
      <c r="L1238" s="1" t="s">
        <v>745</v>
      </c>
      <c r="M1238" s="1" t="s">
        <v>251</v>
      </c>
      <c r="N1238" s="1" t="s">
        <v>330</v>
      </c>
      <c r="O1238" s="1" t="s">
        <v>331</v>
      </c>
      <c r="P1238" s="1" t="str">
        <f t="shared" si="63"/>
        <v>UFV CAIAPONIA II - UC 2215KTL-H3(MBUS-14)46019,364583333346019,364583333346019,5277777778</v>
      </c>
      <c r="Q1238" s="1" t="str">
        <f t="shared" si="64"/>
        <v>DAURDE</v>
      </c>
    </row>
    <row r="1239" spans="1:17" hidden="1">
      <c r="B1239" s="1" t="s">
        <v>798</v>
      </c>
      <c r="C1239" s="1" t="s">
        <v>256</v>
      </c>
      <c r="D1239" s="52">
        <v>46019.364583333336</v>
      </c>
      <c r="E1239" s="52">
        <v>46019.364583333336</v>
      </c>
      <c r="F1239" s="52">
        <v>46019.527777777781</v>
      </c>
      <c r="G1239" s="64">
        <f>F1239-E1239</f>
        <v>0.16319444444525288</v>
      </c>
      <c r="H1239" s="1" t="s">
        <v>248</v>
      </c>
      <c r="J1239" s="1" t="s">
        <v>249</v>
      </c>
      <c r="K1239" s="1" t="s">
        <v>349</v>
      </c>
      <c r="L1239" s="1" t="s">
        <v>745</v>
      </c>
      <c r="M1239" s="1" t="s">
        <v>251</v>
      </c>
      <c r="N1239" s="1" t="s">
        <v>330</v>
      </c>
      <c r="O1239" s="1" t="s">
        <v>331</v>
      </c>
      <c r="P1239" s="1" t="str">
        <f t="shared" si="63"/>
        <v>UFV CAIAPONIA II - UC 2215KTL-H3(MBUS-15)46019,364583333346019,364583333346019,5277777778</v>
      </c>
      <c r="Q1239" s="1" t="str">
        <f t="shared" si="64"/>
        <v>DAURDE</v>
      </c>
    </row>
    <row r="1240" spans="1:17" hidden="1">
      <c r="B1240" s="1" t="s">
        <v>798</v>
      </c>
      <c r="C1240" s="1" t="s">
        <v>247</v>
      </c>
      <c r="D1240" s="52">
        <v>46019.364583333336</v>
      </c>
      <c r="E1240" s="52">
        <v>46019.364583333336</v>
      </c>
      <c r="F1240" s="52">
        <v>46019.527777777781</v>
      </c>
      <c r="G1240" s="64">
        <f>F1240-E1240</f>
        <v>0.16319444444525288</v>
      </c>
      <c r="H1240" s="1" t="s">
        <v>248</v>
      </c>
      <c r="J1240" s="1" t="s">
        <v>249</v>
      </c>
      <c r="K1240" s="1" t="s">
        <v>349</v>
      </c>
      <c r="L1240" s="1" t="s">
        <v>745</v>
      </c>
      <c r="M1240" s="1" t="s">
        <v>251</v>
      </c>
      <c r="N1240" s="1" t="s">
        <v>330</v>
      </c>
      <c r="O1240" s="1" t="s">
        <v>331</v>
      </c>
      <c r="P1240" s="1" t="str">
        <f t="shared" si="63"/>
        <v>UFV CAIAPONIA II - UC 2215KTL-H3(MBUS-12)46019,364583333346019,364583333346019,5277777778</v>
      </c>
      <c r="Q1240" s="1" t="str">
        <f t="shared" si="64"/>
        <v>DAURDE</v>
      </c>
    </row>
    <row r="1241" spans="1:17" hidden="1">
      <c r="B1241" s="1" t="s">
        <v>798</v>
      </c>
      <c r="C1241" s="1" t="s">
        <v>254</v>
      </c>
      <c r="D1241" s="52">
        <v>46019.364583333336</v>
      </c>
      <c r="E1241" s="52">
        <v>46019.364583333336</v>
      </c>
      <c r="F1241" s="52">
        <v>46019.527777777781</v>
      </c>
      <c r="G1241" s="64">
        <f>F1241-E1241</f>
        <v>0.16319444444525288</v>
      </c>
      <c r="H1241" s="1" t="s">
        <v>248</v>
      </c>
      <c r="J1241" s="1" t="s">
        <v>249</v>
      </c>
      <c r="K1241" s="1" t="s">
        <v>349</v>
      </c>
      <c r="L1241" s="1" t="s">
        <v>745</v>
      </c>
      <c r="M1241" s="1" t="s">
        <v>251</v>
      </c>
      <c r="N1241" s="1" t="s">
        <v>330</v>
      </c>
      <c r="O1241" s="1" t="s">
        <v>331</v>
      </c>
      <c r="P1241" s="1" t="str">
        <f t="shared" si="63"/>
        <v>UFV CAIAPONIA II - UC 2215KTL-H3(MBUS-13)46019,364583333346019,364583333346019,5277777778</v>
      </c>
      <c r="Q1241" s="1" t="str">
        <f t="shared" si="64"/>
        <v>DAURDE</v>
      </c>
    </row>
    <row r="1242" spans="1:17" hidden="1">
      <c r="B1242" s="1" t="s">
        <v>798</v>
      </c>
      <c r="C1242" s="1" t="s">
        <v>257</v>
      </c>
      <c r="D1242" s="52">
        <v>46019.364583333336</v>
      </c>
      <c r="E1242" s="52">
        <v>46019.364583333336</v>
      </c>
      <c r="F1242" s="52">
        <v>46019.527777777781</v>
      </c>
      <c r="G1242" s="64">
        <f>F1242-E1242</f>
        <v>0.16319444444525288</v>
      </c>
      <c r="H1242" s="1" t="s">
        <v>248</v>
      </c>
      <c r="J1242" s="1" t="s">
        <v>249</v>
      </c>
      <c r="K1242" s="1" t="s">
        <v>349</v>
      </c>
      <c r="L1242" s="1" t="s">
        <v>745</v>
      </c>
      <c r="M1242" s="1" t="s">
        <v>251</v>
      </c>
      <c r="N1242" s="1" t="s">
        <v>330</v>
      </c>
      <c r="O1242" s="1" t="s">
        <v>331</v>
      </c>
      <c r="P1242" s="1" t="str">
        <f t="shared" ref="P1242:P1305" si="65">_xlfn.CONCAT(B1242,C1242,D1242,E1242,F1242)</f>
        <v>UFV CAIAPONIA II - UC 2215KTL-H3(MBUS-16)46019,364583333346019,364583333346019,5277777778</v>
      </c>
      <c r="Q1242" s="1" t="str">
        <f t="shared" ref="Q1242:Q1305" si="66">_xlfn.CONCAT(H1242,I1242,J1242)</f>
        <v>DAURDE</v>
      </c>
    </row>
    <row r="1243" spans="1:17" hidden="1">
      <c r="B1243" s="1" t="s">
        <v>799</v>
      </c>
      <c r="C1243" s="1" t="s">
        <v>255</v>
      </c>
      <c r="D1243" s="52">
        <v>46019.364583333336</v>
      </c>
      <c r="E1243" s="52">
        <v>46019.364583333336</v>
      </c>
      <c r="F1243" s="52">
        <v>46019.527777777781</v>
      </c>
      <c r="G1243" s="64">
        <f>F1243-E1243</f>
        <v>0.16319444444525288</v>
      </c>
      <c r="H1243" s="1" t="s">
        <v>248</v>
      </c>
      <c r="J1243" s="1" t="s">
        <v>249</v>
      </c>
      <c r="K1243" s="1" t="s">
        <v>349</v>
      </c>
      <c r="L1243" s="1" t="s">
        <v>745</v>
      </c>
      <c r="M1243" s="1" t="s">
        <v>251</v>
      </c>
      <c r="N1243" s="1" t="s">
        <v>330</v>
      </c>
      <c r="O1243" s="1" t="s">
        <v>331</v>
      </c>
      <c r="P1243" s="1" t="str">
        <f t="shared" si="65"/>
        <v>UFV CAIAPONIA II - UC 3215KTL-H3(MBUS-14)46019,364583333346019,364583333346019,5277777778</v>
      </c>
      <c r="Q1243" s="1" t="str">
        <f t="shared" si="66"/>
        <v>DAURDE</v>
      </c>
    </row>
    <row r="1244" spans="1:17" hidden="1">
      <c r="B1244" s="1" t="s">
        <v>799</v>
      </c>
      <c r="C1244" s="1" t="s">
        <v>256</v>
      </c>
      <c r="D1244" s="52">
        <v>46019.364583333336</v>
      </c>
      <c r="E1244" s="52">
        <v>46019.364583333336</v>
      </c>
      <c r="F1244" s="52">
        <v>46019.527777777781</v>
      </c>
      <c r="G1244" s="64">
        <f>F1244-E1244</f>
        <v>0.16319444444525288</v>
      </c>
      <c r="H1244" s="1" t="s">
        <v>248</v>
      </c>
      <c r="J1244" s="1" t="s">
        <v>249</v>
      </c>
      <c r="K1244" s="1" t="s">
        <v>349</v>
      </c>
      <c r="L1244" s="1" t="s">
        <v>745</v>
      </c>
      <c r="M1244" s="1" t="s">
        <v>251</v>
      </c>
      <c r="N1244" s="1" t="s">
        <v>330</v>
      </c>
      <c r="O1244" s="1" t="s">
        <v>331</v>
      </c>
      <c r="P1244" s="1" t="str">
        <f t="shared" si="65"/>
        <v>UFV CAIAPONIA II - UC 3215KTL-H3(MBUS-15)46019,364583333346019,364583333346019,5277777778</v>
      </c>
      <c r="Q1244" s="1" t="str">
        <f t="shared" si="66"/>
        <v>DAURDE</v>
      </c>
    </row>
    <row r="1245" spans="1:17" hidden="1">
      <c r="B1245" s="1" t="s">
        <v>799</v>
      </c>
      <c r="C1245" s="1" t="s">
        <v>247</v>
      </c>
      <c r="D1245" s="52">
        <v>46019.364583333336</v>
      </c>
      <c r="E1245" s="52">
        <v>46019.364583333336</v>
      </c>
      <c r="F1245" s="52">
        <v>46019.527777777781</v>
      </c>
      <c r="G1245" s="64">
        <f>F1245-E1245</f>
        <v>0.16319444444525288</v>
      </c>
      <c r="H1245" s="1" t="s">
        <v>248</v>
      </c>
      <c r="J1245" s="1" t="s">
        <v>249</v>
      </c>
      <c r="K1245" s="1" t="s">
        <v>349</v>
      </c>
      <c r="L1245" s="1" t="s">
        <v>745</v>
      </c>
      <c r="M1245" s="1" t="s">
        <v>251</v>
      </c>
      <c r="N1245" s="1" t="s">
        <v>330</v>
      </c>
      <c r="O1245" s="1" t="s">
        <v>331</v>
      </c>
      <c r="P1245" s="1" t="str">
        <f t="shared" si="65"/>
        <v>UFV CAIAPONIA II - UC 3215KTL-H3(MBUS-12)46019,364583333346019,364583333346019,5277777778</v>
      </c>
      <c r="Q1245" s="1" t="str">
        <f t="shared" si="66"/>
        <v>DAURDE</v>
      </c>
    </row>
    <row r="1246" spans="1:17" hidden="1">
      <c r="B1246" s="1" t="s">
        <v>799</v>
      </c>
      <c r="C1246" s="1" t="s">
        <v>254</v>
      </c>
      <c r="D1246" s="52">
        <v>46019.364583333336</v>
      </c>
      <c r="E1246" s="52">
        <v>46019.364583333336</v>
      </c>
      <c r="F1246" s="52">
        <v>46019.527777777781</v>
      </c>
      <c r="G1246" s="64">
        <f>F1246-E1246</f>
        <v>0.16319444444525288</v>
      </c>
      <c r="H1246" s="1" t="s">
        <v>248</v>
      </c>
      <c r="J1246" s="1" t="s">
        <v>249</v>
      </c>
      <c r="K1246" s="1" t="s">
        <v>349</v>
      </c>
      <c r="L1246" s="1" t="s">
        <v>745</v>
      </c>
      <c r="M1246" s="1" t="s">
        <v>251</v>
      </c>
      <c r="N1246" s="1" t="s">
        <v>330</v>
      </c>
      <c r="O1246" s="1" t="s">
        <v>331</v>
      </c>
      <c r="P1246" s="1" t="str">
        <f t="shared" si="65"/>
        <v>UFV CAIAPONIA II - UC 3215KTL-H3(MBUS-13)46019,364583333346019,364583333346019,5277777778</v>
      </c>
      <c r="Q1246" s="1" t="str">
        <f t="shared" si="66"/>
        <v>DAURDE</v>
      </c>
    </row>
    <row r="1247" spans="1:17" hidden="1">
      <c r="B1247" s="1" t="s">
        <v>799</v>
      </c>
      <c r="C1247" s="1" t="s">
        <v>257</v>
      </c>
      <c r="D1247" s="52">
        <v>46019.364583333336</v>
      </c>
      <c r="E1247" s="52">
        <v>46019.364583333336</v>
      </c>
      <c r="F1247" s="52">
        <v>46019.527777777781</v>
      </c>
      <c r="G1247" s="64">
        <f>F1247-E1247</f>
        <v>0.16319444444525288</v>
      </c>
      <c r="H1247" s="1" t="s">
        <v>248</v>
      </c>
      <c r="J1247" s="1" t="s">
        <v>249</v>
      </c>
      <c r="K1247" s="1" t="s">
        <v>349</v>
      </c>
      <c r="L1247" s="1" t="s">
        <v>745</v>
      </c>
      <c r="M1247" s="1" t="s">
        <v>251</v>
      </c>
      <c r="N1247" s="1" t="s">
        <v>330</v>
      </c>
      <c r="O1247" s="1" t="s">
        <v>331</v>
      </c>
      <c r="P1247" s="1" t="str">
        <f t="shared" si="65"/>
        <v>UFV CAIAPONIA II - UC 3215KTL-H3(MBUS-16)46019,364583333346019,364583333346019,5277777778</v>
      </c>
      <c r="Q1247" s="1" t="str">
        <f t="shared" si="66"/>
        <v>DAURDE</v>
      </c>
    </row>
    <row r="1248" spans="1:17">
      <c r="A1248" s="45"/>
      <c r="B1248" s="61" t="s">
        <v>459</v>
      </c>
      <c r="C1248" s="61" t="s">
        <v>460</v>
      </c>
      <c r="D1248" s="62">
        <v>46018.388888888891</v>
      </c>
      <c r="E1248" s="62">
        <v>46018.388888888891</v>
      </c>
      <c r="F1248" s="62">
        <v>46018.430555555555</v>
      </c>
      <c r="G1248" s="63">
        <f>F1248-E1248</f>
        <v>4.1666666664241347E-2</v>
      </c>
      <c r="H1248" s="61" t="s">
        <v>260</v>
      </c>
      <c r="I1248" s="61" t="s">
        <v>261</v>
      </c>
      <c r="J1248" s="61" t="s">
        <v>262</v>
      </c>
      <c r="K1248" s="61" t="s">
        <v>263</v>
      </c>
      <c r="L1248" s="61" t="s">
        <v>886</v>
      </c>
      <c r="M1248" s="61" t="s">
        <v>265</v>
      </c>
      <c r="N1248" s="61" t="s">
        <v>266</v>
      </c>
      <c r="O1248" s="61" t="s">
        <v>887</v>
      </c>
      <c r="P1248" s="61" t="str">
        <f t="shared" si="65"/>
        <v>BC Varjao2.1215KTL-H0(MBUS-12)46018,388888888946018,388888888946018,4305555556</v>
      </c>
      <c r="Q1248" s="61" t="str">
        <f t="shared" si="66"/>
        <v>LIGRFOCOM</v>
      </c>
    </row>
    <row r="1249" spans="1:17">
      <c r="A1249" s="45"/>
      <c r="B1249" s="61" t="s">
        <v>459</v>
      </c>
      <c r="C1249" s="61" t="s">
        <v>463</v>
      </c>
      <c r="D1249" s="62">
        <v>46018.388888888891</v>
      </c>
      <c r="E1249" s="62">
        <v>46018.388888888891</v>
      </c>
      <c r="F1249" s="62">
        <v>46018.430555555555</v>
      </c>
      <c r="G1249" s="63">
        <f>F1249-E1249</f>
        <v>4.1666666664241347E-2</v>
      </c>
      <c r="H1249" s="61" t="s">
        <v>260</v>
      </c>
      <c r="I1249" s="61" t="s">
        <v>261</v>
      </c>
      <c r="J1249" s="61" t="s">
        <v>262</v>
      </c>
      <c r="K1249" s="61" t="s">
        <v>263</v>
      </c>
      <c r="L1249" s="61" t="s">
        <v>886</v>
      </c>
      <c r="M1249" s="61" t="s">
        <v>265</v>
      </c>
      <c r="N1249" s="61" t="s">
        <v>266</v>
      </c>
      <c r="O1249" s="61" t="s">
        <v>887</v>
      </c>
      <c r="P1249" s="61" t="str">
        <f t="shared" si="65"/>
        <v>BC Varjao2.1215KTL-H0(MBUS-13)46018,388888888946018,388888888946018,4305555556</v>
      </c>
      <c r="Q1249" s="61" t="str">
        <f t="shared" si="66"/>
        <v>LIGRFOCOM</v>
      </c>
    </row>
    <row r="1250" spans="1:17">
      <c r="A1250" s="45"/>
      <c r="B1250" s="61" t="s">
        <v>459</v>
      </c>
      <c r="C1250" s="61" t="s">
        <v>464</v>
      </c>
      <c r="D1250" s="62">
        <v>46018.388888888891</v>
      </c>
      <c r="E1250" s="62">
        <v>46018.388888888891</v>
      </c>
      <c r="F1250" s="62">
        <v>46018.430555555555</v>
      </c>
      <c r="G1250" s="63">
        <f>F1250-E1250</f>
        <v>4.1666666664241347E-2</v>
      </c>
      <c r="H1250" s="61" t="s">
        <v>260</v>
      </c>
      <c r="I1250" s="61" t="s">
        <v>261</v>
      </c>
      <c r="J1250" s="61" t="s">
        <v>262</v>
      </c>
      <c r="K1250" s="61" t="s">
        <v>263</v>
      </c>
      <c r="L1250" s="61" t="s">
        <v>886</v>
      </c>
      <c r="M1250" s="61" t="s">
        <v>265</v>
      </c>
      <c r="N1250" s="61" t="s">
        <v>266</v>
      </c>
      <c r="O1250" s="61" t="s">
        <v>887</v>
      </c>
      <c r="P1250" s="61" t="str">
        <f t="shared" si="65"/>
        <v>BC Varjao2.1215KTL-H0(MBUS-14)46018,388888888946018,388888888946018,4305555556</v>
      </c>
      <c r="Q1250" s="61" t="str">
        <f t="shared" si="66"/>
        <v>LIGRFOCOM</v>
      </c>
    </row>
    <row r="1251" spans="1:17">
      <c r="A1251" s="45"/>
      <c r="B1251" s="61" t="s">
        <v>459</v>
      </c>
      <c r="C1251" s="61" t="s">
        <v>465</v>
      </c>
      <c r="D1251" s="62">
        <v>46018.388888888891</v>
      </c>
      <c r="E1251" s="62">
        <v>46018.388888888891</v>
      </c>
      <c r="F1251" s="62">
        <v>46018.430555555555</v>
      </c>
      <c r="G1251" s="63">
        <f>F1251-E1251</f>
        <v>4.1666666664241347E-2</v>
      </c>
      <c r="H1251" s="61" t="s">
        <v>260</v>
      </c>
      <c r="I1251" s="61" t="s">
        <v>261</v>
      </c>
      <c r="J1251" s="61" t="s">
        <v>262</v>
      </c>
      <c r="K1251" s="61" t="s">
        <v>263</v>
      </c>
      <c r="L1251" s="61" t="s">
        <v>886</v>
      </c>
      <c r="M1251" s="61" t="s">
        <v>265</v>
      </c>
      <c r="N1251" s="61" t="s">
        <v>266</v>
      </c>
      <c r="O1251" s="61" t="s">
        <v>887</v>
      </c>
      <c r="P1251" s="61" t="str">
        <f t="shared" si="65"/>
        <v>BC Varjao2.1215KTL-H0(MBUS-15)46018,388888888946018,388888888946018,4305555556</v>
      </c>
      <c r="Q1251" s="61" t="str">
        <f t="shared" si="66"/>
        <v>LIGRFOCOM</v>
      </c>
    </row>
    <row r="1252" spans="1:17">
      <c r="A1252" s="45"/>
      <c r="B1252" s="61" t="s">
        <v>459</v>
      </c>
      <c r="C1252" s="61" t="s">
        <v>466</v>
      </c>
      <c r="D1252" s="62">
        <v>46018.388888888891</v>
      </c>
      <c r="E1252" s="62">
        <v>46018.388888888891</v>
      </c>
      <c r="F1252" s="62">
        <v>46018.430555555555</v>
      </c>
      <c r="G1252" s="63">
        <f>F1252-E1252</f>
        <v>4.1666666664241347E-2</v>
      </c>
      <c r="H1252" s="61" t="s">
        <v>260</v>
      </c>
      <c r="I1252" s="61" t="s">
        <v>261</v>
      </c>
      <c r="J1252" s="61" t="s">
        <v>262</v>
      </c>
      <c r="K1252" s="61" t="s">
        <v>263</v>
      </c>
      <c r="L1252" s="61" t="s">
        <v>886</v>
      </c>
      <c r="M1252" s="61" t="s">
        <v>265</v>
      </c>
      <c r="N1252" s="61" t="s">
        <v>266</v>
      </c>
      <c r="O1252" s="61" t="s">
        <v>887</v>
      </c>
      <c r="P1252" s="61" t="str">
        <f t="shared" si="65"/>
        <v>BC Varjao2.1215KTL-H0(MBUS-16)46018,388888888946018,388888888946018,4305555556</v>
      </c>
      <c r="Q1252" s="61" t="str">
        <f t="shared" si="66"/>
        <v>LIGRFOCOM</v>
      </c>
    </row>
    <row r="1253" spans="1:17">
      <c r="A1253" s="45"/>
      <c r="B1253" s="61" t="s">
        <v>467</v>
      </c>
      <c r="C1253" s="61" t="s">
        <v>463</v>
      </c>
      <c r="D1253" s="62">
        <v>46018.388888888891</v>
      </c>
      <c r="E1253" s="62">
        <v>46018.388888888891</v>
      </c>
      <c r="F1253" s="62">
        <v>46018.430555555555</v>
      </c>
      <c r="G1253" s="63">
        <f>F1253-E1253</f>
        <v>4.1666666664241347E-2</v>
      </c>
      <c r="H1253" s="61" t="s">
        <v>260</v>
      </c>
      <c r="I1253" s="61" t="s">
        <v>261</v>
      </c>
      <c r="J1253" s="61" t="s">
        <v>262</v>
      </c>
      <c r="K1253" s="61" t="s">
        <v>263</v>
      </c>
      <c r="L1253" s="61" t="s">
        <v>886</v>
      </c>
      <c r="M1253" s="61" t="s">
        <v>265</v>
      </c>
      <c r="N1253" s="61" t="s">
        <v>266</v>
      </c>
      <c r="O1253" s="61" t="s">
        <v>887</v>
      </c>
      <c r="P1253" s="61" t="str">
        <f t="shared" si="65"/>
        <v>BC Varjao2.2215KTL-H0(MBUS-13)46018,388888888946018,388888888946018,4305555556</v>
      </c>
      <c r="Q1253" s="61" t="str">
        <f t="shared" si="66"/>
        <v>LIGRFOCOM</v>
      </c>
    </row>
    <row r="1254" spans="1:17">
      <c r="A1254" s="45"/>
      <c r="B1254" s="61" t="s">
        <v>467</v>
      </c>
      <c r="C1254" s="61" t="s">
        <v>464</v>
      </c>
      <c r="D1254" s="62">
        <v>46018.388888888891</v>
      </c>
      <c r="E1254" s="62">
        <v>46018.388888888891</v>
      </c>
      <c r="F1254" s="62">
        <v>46018.430555555555</v>
      </c>
      <c r="G1254" s="63">
        <f>F1254-E1254</f>
        <v>4.1666666664241347E-2</v>
      </c>
      <c r="H1254" s="61" t="s">
        <v>260</v>
      </c>
      <c r="I1254" s="61" t="s">
        <v>261</v>
      </c>
      <c r="J1254" s="61" t="s">
        <v>262</v>
      </c>
      <c r="K1254" s="61" t="s">
        <v>263</v>
      </c>
      <c r="L1254" s="61" t="s">
        <v>886</v>
      </c>
      <c r="M1254" s="61" t="s">
        <v>265</v>
      </c>
      <c r="N1254" s="61" t="s">
        <v>266</v>
      </c>
      <c r="O1254" s="61" t="s">
        <v>887</v>
      </c>
      <c r="P1254" s="61" t="str">
        <f t="shared" si="65"/>
        <v>BC Varjao2.2215KTL-H0(MBUS-14)46018,388888888946018,388888888946018,4305555556</v>
      </c>
      <c r="Q1254" s="61" t="str">
        <f t="shared" si="66"/>
        <v>LIGRFOCOM</v>
      </c>
    </row>
    <row r="1255" spans="1:17">
      <c r="A1255" s="45"/>
      <c r="B1255" s="61" t="s">
        <v>467</v>
      </c>
      <c r="C1255" s="61" t="s">
        <v>465</v>
      </c>
      <c r="D1255" s="62">
        <v>46018.388888888891</v>
      </c>
      <c r="E1255" s="62">
        <v>46018.388888888891</v>
      </c>
      <c r="F1255" s="62">
        <v>46018.430555555555</v>
      </c>
      <c r="G1255" s="63">
        <f>F1255-E1255</f>
        <v>4.1666666664241347E-2</v>
      </c>
      <c r="H1255" s="61" t="s">
        <v>260</v>
      </c>
      <c r="I1255" s="61" t="s">
        <v>261</v>
      </c>
      <c r="J1255" s="61" t="s">
        <v>262</v>
      </c>
      <c r="K1255" s="61" t="s">
        <v>263</v>
      </c>
      <c r="L1255" s="61" t="s">
        <v>886</v>
      </c>
      <c r="M1255" s="61" t="s">
        <v>265</v>
      </c>
      <c r="N1255" s="61" t="s">
        <v>266</v>
      </c>
      <c r="O1255" s="61" t="s">
        <v>887</v>
      </c>
      <c r="P1255" s="61" t="str">
        <f t="shared" si="65"/>
        <v>BC Varjao2.2215KTL-H0(MBUS-15)46018,388888888946018,388888888946018,4305555556</v>
      </c>
      <c r="Q1255" s="61" t="str">
        <f t="shared" si="66"/>
        <v>LIGRFOCOM</v>
      </c>
    </row>
    <row r="1256" spans="1:17">
      <c r="A1256" s="45"/>
      <c r="B1256" s="61" t="s">
        <v>467</v>
      </c>
      <c r="C1256" s="61" t="s">
        <v>466</v>
      </c>
      <c r="D1256" s="62">
        <v>46018.388888888891</v>
      </c>
      <c r="E1256" s="62">
        <v>46018.388888888891</v>
      </c>
      <c r="F1256" s="62">
        <v>46018.430555555555</v>
      </c>
      <c r="G1256" s="63">
        <f>F1256-E1256</f>
        <v>4.1666666664241347E-2</v>
      </c>
      <c r="H1256" s="61" t="s">
        <v>260</v>
      </c>
      <c r="I1256" s="61" t="s">
        <v>261</v>
      </c>
      <c r="J1256" s="61" t="s">
        <v>262</v>
      </c>
      <c r="K1256" s="61" t="s">
        <v>263</v>
      </c>
      <c r="L1256" s="61" t="s">
        <v>886</v>
      </c>
      <c r="M1256" s="61" t="s">
        <v>265</v>
      </c>
      <c r="N1256" s="61" t="s">
        <v>266</v>
      </c>
      <c r="O1256" s="61" t="s">
        <v>887</v>
      </c>
      <c r="P1256" s="61" t="str">
        <f t="shared" si="65"/>
        <v>BC Varjao2.2215KTL-H0(MBUS-16)46018,388888888946018,388888888946018,4305555556</v>
      </c>
      <c r="Q1256" s="61" t="str">
        <f t="shared" si="66"/>
        <v>LIGRFOCOM</v>
      </c>
    </row>
    <row r="1257" spans="1:17">
      <c r="A1257" s="45"/>
      <c r="B1257" s="61" t="s">
        <v>467</v>
      </c>
      <c r="C1257" s="61" t="s">
        <v>460</v>
      </c>
      <c r="D1257" s="62">
        <v>46018.388888888891</v>
      </c>
      <c r="E1257" s="62">
        <v>46018.388888888891</v>
      </c>
      <c r="F1257" s="62">
        <v>46018.430555555555</v>
      </c>
      <c r="G1257" s="63">
        <f>F1257-E1257</f>
        <v>4.1666666664241347E-2</v>
      </c>
      <c r="H1257" s="61" t="s">
        <v>260</v>
      </c>
      <c r="I1257" s="61" t="s">
        <v>261</v>
      </c>
      <c r="J1257" s="61" t="s">
        <v>262</v>
      </c>
      <c r="K1257" s="61" t="s">
        <v>263</v>
      </c>
      <c r="L1257" s="61" t="s">
        <v>886</v>
      </c>
      <c r="M1257" s="61" t="s">
        <v>265</v>
      </c>
      <c r="N1257" s="61" t="s">
        <v>266</v>
      </c>
      <c r="O1257" s="61" t="s">
        <v>887</v>
      </c>
      <c r="P1257" s="61" t="str">
        <f t="shared" si="65"/>
        <v>BC Varjao2.2215KTL-H0(MBUS-12)46018,388888888946018,388888888946018,4305555556</v>
      </c>
      <c r="Q1257" s="61" t="str">
        <f t="shared" si="66"/>
        <v>LIGRFOCOM</v>
      </c>
    </row>
    <row r="1258" spans="1:17">
      <c r="A1258" s="45"/>
      <c r="B1258" s="61" t="s">
        <v>468</v>
      </c>
      <c r="C1258" s="61" t="s">
        <v>469</v>
      </c>
      <c r="D1258" s="62">
        <v>46018.388888888891</v>
      </c>
      <c r="E1258" s="62">
        <v>46018.388888888891</v>
      </c>
      <c r="F1258" s="62">
        <v>46018.430555555555</v>
      </c>
      <c r="G1258" s="63">
        <f>F1258-E1258</f>
        <v>4.1666666664241347E-2</v>
      </c>
      <c r="H1258" s="61" t="s">
        <v>260</v>
      </c>
      <c r="I1258" s="61" t="s">
        <v>261</v>
      </c>
      <c r="J1258" s="61" t="s">
        <v>262</v>
      </c>
      <c r="K1258" s="61" t="s">
        <v>263</v>
      </c>
      <c r="L1258" s="61" t="s">
        <v>886</v>
      </c>
      <c r="M1258" s="61" t="s">
        <v>265</v>
      </c>
      <c r="N1258" s="61" t="s">
        <v>266</v>
      </c>
      <c r="O1258" s="61" t="s">
        <v>887</v>
      </c>
      <c r="P1258" s="61" t="str">
        <f t="shared" si="65"/>
        <v>BC Varjao2.3100KTL-H1(MBUS-1)46018,388888888946018,388888888946018,4305555556</v>
      </c>
      <c r="Q1258" s="61" t="str">
        <f t="shared" si="66"/>
        <v>LIGRFOCOM</v>
      </c>
    </row>
    <row r="1259" spans="1:17">
      <c r="A1259" s="45"/>
      <c r="B1259" s="61" t="s">
        <v>468</v>
      </c>
      <c r="C1259" s="61" t="s">
        <v>463</v>
      </c>
      <c r="D1259" s="62">
        <v>46018.388888888891</v>
      </c>
      <c r="E1259" s="62">
        <v>46018.388888888891</v>
      </c>
      <c r="F1259" s="62">
        <v>46018.430555555555</v>
      </c>
      <c r="G1259" s="63">
        <f>F1259-E1259</f>
        <v>4.1666666664241347E-2</v>
      </c>
      <c r="H1259" s="61" t="s">
        <v>260</v>
      </c>
      <c r="I1259" s="61" t="s">
        <v>261</v>
      </c>
      <c r="J1259" s="61" t="s">
        <v>262</v>
      </c>
      <c r="K1259" s="61" t="s">
        <v>263</v>
      </c>
      <c r="L1259" s="61" t="s">
        <v>886</v>
      </c>
      <c r="M1259" s="61" t="s">
        <v>265</v>
      </c>
      <c r="N1259" s="61" t="s">
        <v>266</v>
      </c>
      <c r="O1259" s="61" t="s">
        <v>887</v>
      </c>
      <c r="P1259" s="61" t="str">
        <f t="shared" si="65"/>
        <v>BC Varjao2.3215KTL-H0(MBUS-13)46018,388888888946018,388888888946018,4305555556</v>
      </c>
      <c r="Q1259" s="61" t="str">
        <f t="shared" si="66"/>
        <v>LIGRFOCOM</v>
      </c>
    </row>
    <row r="1260" spans="1:17">
      <c r="A1260" s="45"/>
      <c r="B1260" s="61" t="s">
        <v>468</v>
      </c>
      <c r="C1260" s="61" t="s">
        <v>460</v>
      </c>
      <c r="D1260" s="62">
        <v>46018.388888888891</v>
      </c>
      <c r="E1260" s="62">
        <v>46018.388888888891</v>
      </c>
      <c r="F1260" s="62">
        <v>46018.430555555555</v>
      </c>
      <c r="G1260" s="63">
        <f>F1260-E1260</f>
        <v>4.1666666664241347E-2</v>
      </c>
      <c r="H1260" s="61" t="s">
        <v>260</v>
      </c>
      <c r="I1260" s="61" t="s">
        <v>261</v>
      </c>
      <c r="J1260" s="61" t="s">
        <v>262</v>
      </c>
      <c r="K1260" s="61" t="s">
        <v>263</v>
      </c>
      <c r="L1260" s="61" t="s">
        <v>886</v>
      </c>
      <c r="M1260" s="61" t="s">
        <v>265</v>
      </c>
      <c r="N1260" s="61" t="s">
        <v>266</v>
      </c>
      <c r="O1260" s="61" t="s">
        <v>887</v>
      </c>
      <c r="P1260" s="61" t="str">
        <f t="shared" si="65"/>
        <v>BC Varjao2.3215KTL-H0(MBUS-12)46018,388888888946018,388888888946018,4305555556</v>
      </c>
      <c r="Q1260" s="61" t="str">
        <f t="shared" si="66"/>
        <v>LIGRFOCOM</v>
      </c>
    </row>
    <row r="1261" spans="1:17" hidden="1">
      <c r="A1261" s="45"/>
      <c r="B1261" s="61" t="s">
        <v>448</v>
      </c>
      <c r="C1261" s="61" t="s">
        <v>449</v>
      </c>
      <c r="D1261" s="62">
        <v>46019.548611111109</v>
      </c>
      <c r="E1261" s="62">
        <v>46019.548611111109</v>
      </c>
      <c r="F1261" s="62">
        <v>46019.645833333336</v>
      </c>
      <c r="G1261" s="63">
        <f>F1261-E1261</f>
        <v>9.7222222226264421E-2</v>
      </c>
      <c r="H1261" s="61" t="s">
        <v>248</v>
      </c>
      <c r="I1261" s="61"/>
      <c r="J1261" s="61" t="s">
        <v>300</v>
      </c>
      <c r="K1261" s="61" t="s">
        <v>350</v>
      </c>
      <c r="L1261" s="61" t="s">
        <v>861</v>
      </c>
      <c r="M1261" s="61" t="s">
        <v>375</v>
      </c>
      <c r="N1261" s="61" t="s">
        <v>266</v>
      </c>
      <c r="O1261" s="61" t="s">
        <v>862</v>
      </c>
      <c r="P1261" s="61" t="str">
        <f t="shared" si="65"/>
        <v>BC Vazante1.3Inversor 146019,548611111146019,548611111146019,6458333333</v>
      </c>
      <c r="Q1261" s="61" t="str">
        <f t="shared" si="66"/>
        <v>DAUINV</v>
      </c>
    </row>
    <row r="1262" spans="1:17" hidden="1">
      <c r="A1262" s="45"/>
      <c r="B1262" s="61" t="s">
        <v>448</v>
      </c>
      <c r="C1262" s="61" t="s">
        <v>451</v>
      </c>
      <c r="D1262" s="62">
        <v>46019.548611111109</v>
      </c>
      <c r="E1262" s="62">
        <v>46019.548611111109</v>
      </c>
      <c r="F1262" s="62">
        <v>46019.645833333336</v>
      </c>
      <c r="G1262" s="63">
        <f>F1262-E1262</f>
        <v>9.7222222226264421E-2</v>
      </c>
      <c r="H1262" s="61" t="s">
        <v>248</v>
      </c>
      <c r="I1262" s="61"/>
      <c r="J1262" s="61" t="s">
        <v>300</v>
      </c>
      <c r="K1262" s="61" t="s">
        <v>350</v>
      </c>
      <c r="L1262" s="61" t="s">
        <v>861</v>
      </c>
      <c r="M1262" s="61" t="s">
        <v>375</v>
      </c>
      <c r="N1262" s="61" t="s">
        <v>266</v>
      </c>
      <c r="O1262" s="61" t="s">
        <v>862</v>
      </c>
      <c r="P1262" s="61" t="str">
        <f t="shared" si="65"/>
        <v>BC Vazante1.3Inversor 246019,548611111146019,548611111146019,6458333333</v>
      </c>
      <c r="Q1262" s="61" t="str">
        <f t="shared" si="66"/>
        <v>DAUINV</v>
      </c>
    </row>
    <row r="1263" spans="1:17" hidden="1">
      <c r="A1263" s="45"/>
      <c r="B1263" s="61" t="s">
        <v>448</v>
      </c>
      <c r="C1263" s="61" t="s">
        <v>452</v>
      </c>
      <c r="D1263" s="62">
        <v>46019.548611111109</v>
      </c>
      <c r="E1263" s="62">
        <v>46019.548611111109</v>
      </c>
      <c r="F1263" s="62">
        <v>46019.645833333336</v>
      </c>
      <c r="G1263" s="63">
        <f>F1263-E1263</f>
        <v>9.7222222226264421E-2</v>
      </c>
      <c r="H1263" s="61" t="s">
        <v>248</v>
      </c>
      <c r="I1263" s="61"/>
      <c r="J1263" s="61" t="s">
        <v>300</v>
      </c>
      <c r="K1263" s="61" t="s">
        <v>350</v>
      </c>
      <c r="L1263" s="61" t="s">
        <v>861</v>
      </c>
      <c r="M1263" s="61" t="s">
        <v>375</v>
      </c>
      <c r="N1263" s="61" t="s">
        <v>266</v>
      </c>
      <c r="O1263" s="61" t="s">
        <v>862</v>
      </c>
      <c r="P1263" s="61" t="str">
        <f t="shared" si="65"/>
        <v>BC Vazante1.3Inversor 346019,548611111146019,548611111146019,6458333333</v>
      </c>
      <c r="Q1263" s="61" t="str">
        <f t="shared" si="66"/>
        <v>DAUINV</v>
      </c>
    </row>
    <row r="1264" spans="1:17" hidden="1">
      <c r="A1264" s="45"/>
      <c r="B1264" s="61" t="s">
        <v>448</v>
      </c>
      <c r="C1264" s="61" t="s">
        <v>453</v>
      </c>
      <c r="D1264" s="62">
        <v>46019.548611111109</v>
      </c>
      <c r="E1264" s="62">
        <v>46019.548611111109</v>
      </c>
      <c r="F1264" s="62">
        <v>46019.645833333336</v>
      </c>
      <c r="G1264" s="63">
        <f>F1264-E1264</f>
        <v>9.7222222226264421E-2</v>
      </c>
      <c r="H1264" s="61" t="s">
        <v>248</v>
      </c>
      <c r="I1264" s="61"/>
      <c r="J1264" s="61" t="s">
        <v>300</v>
      </c>
      <c r="K1264" s="61" t="s">
        <v>350</v>
      </c>
      <c r="L1264" s="61" t="s">
        <v>861</v>
      </c>
      <c r="M1264" s="61" t="s">
        <v>375</v>
      </c>
      <c r="N1264" s="61" t="s">
        <v>266</v>
      </c>
      <c r="O1264" s="61" t="s">
        <v>862</v>
      </c>
      <c r="P1264" s="61" t="str">
        <f t="shared" si="65"/>
        <v>BC Vazante1.3Inversor 446019,548611111146019,548611111146019,6458333333</v>
      </c>
      <c r="Q1264" s="61" t="str">
        <f t="shared" si="66"/>
        <v>DAUINV</v>
      </c>
    </row>
    <row r="1265" spans="1:17" hidden="1">
      <c r="A1265" s="45"/>
      <c r="B1265" s="61" t="s">
        <v>448</v>
      </c>
      <c r="C1265" s="61" t="s">
        <v>454</v>
      </c>
      <c r="D1265" s="62">
        <v>46019.548611111109</v>
      </c>
      <c r="E1265" s="62">
        <v>46019.548611111109</v>
      </c>
      <c r="F1265" s="62">
        <v>46019.645833333336</v>
      </c>
      <c r="G1265" s="63">
        <f>F1265-E1265</f>
        <v>9.7222222226264421E-2</v>
      </c>
      <c r="H1265" s="61" t="s">
        <v>248</v>
      </c>
      <c r="I1265" s="61"/>
      <c r="J1265" s="61" t="s">
        <v>300</v>
      </c>
      <c r="K1265" s="61" t="s">
        <v>350</v>
      </c>
      <c r="L1265" s="61" t="s">
        <v>861</v>
      </c>
      <c r="M1265" s="61" t="s">
        <v>375</v>
      </c>
      <c r="N1265" s="61" t="s">
        <v>266</v>
      </c>
      <c r="O1265" s="61" t="s">
        <v>862</v>
      </c>
      <c r="P1265" s="61" t="str">
        <f t="shared" si="65"/>
        <v>BC Vazante1.3Inversor 546019,548611111146019,548611111146019,6458333333</v>
      </c>
      <c r="Q1265" s="61" t="str">
        <f t="shared" si="66"/>
        <v>DAUINV</v>
      </c>
    </row>
    <row r="1266" spans="1:17" hidden="1">
      <c r="A1266" s="45"/>
      <c r="B1266" s="61" t="s">
        <v>448</v>
      </c>
      <c r="C1266" s="61" t="s">
        <v>455</v>
      </c>
      <c r="D1266" s="62">
        <v>46019.548611111109</v>
      </c>
      <c r="E1266" s="62">
        <v>46019.548611111109</v>
      </c>
      <c r="F1266" s="62">
        <v>46019.645833333336</v>
      </c>
      <c r="G1266" s="63">
        <f>F1266-E1266</f>
        <v>9.7222222226264421E-2</v>
      </c>
      <c r="H1266" s="61" t="s">
        <v>248</v>
      </c>
      <c r="I1266" s="61"/>
      <c r="J1266" s="61" t="s">
        <v>300</v>
      </c>
      <c r="K1266" s="61" t="s">
        <v>350</v>
      </c>
      <c r="L1266" s="61" t="s">
        <v>861</v>
      </c>
      <c r="M1266" s="61" t="s">
        <v>375</v>
      </c>
      <c r="N1266" s="61" t="s">
        <v>266</v>
      </c>
      <c r="O1266" s="61" t="s">
        <v>862</v>
      </c>
      <c r="P1266" s="61" t="str">
        <f t="shared" si="65"/>
        <v>BC Vazante1.3Inversor 646019,548611111146019,548611111146019,6458333333</v>
      </c>
      <c r="Q1266" s="61" t="str">
        <f t="shared" si="66"/>
        <v>DAUINV</v>
      </c>
    </row>
    <row r="1267" spans="1:17" hidden="1">
      <c r="A1267" s="45"/>
      <c r="B1267" s="61" t="s">
        <v>448</v>
      </c>
      <c r="C1267" s="61" t="s">
        <v>456</v>
      </c>
      <c r="D1267" s="62">
        <v>46019.548611111109</v>
      </c>
      <c r="E1267" s="62">
        <v>46019.548611111109</v>
      </c>
      <c r="F1267" s="62">
        <v>46019.645833333336</v>
      </c>
      <c r="G1267" s="63">
        <f>F1267-E1267</f>
        <v>9.7222222226264421E-2</v>
      </c>
      <c r="H1267" s="61" t="s">
        <v>248</v>
      </c>
      <c r="I1267" s="61"/>
      <c r="J1267" s="61" t="s">
        <v>300</v>
      </c>
      <c r="K1267" s="61" t="s">
        <v>350</v>
      </c>
      <c r="L1267" s="61" t="s">
        <v>861</v>
      </c>
      <c r="M1267" s="61" t="s">
        <v>375</v>
      </c>
      <c r="N1267" s="61" t="s">
        <v>266</v>
      </c>
      <c r="O1267" s="61" t="s">
        <v>862</v>
      </c>
      <c r="P1267" s="61" t="str">
        <f t="shared" si="65"/>
        <v>BC Vazante1.3Inversor 746019,548611111146019,548611111146019,6458333333</v>
      </c>
      <c r="Q1267" s="61" t="str">
        <f t="shared" si="66"/>
        <v>DAUINV</v>
      </c>
    </row>
    <row r="1268" spans="1:17" hidden="1">
      <c r="A1268" s="45"/>
      <c r="B1268" s="61" t="s">
        <v>448</v>
      </c>
      <c r="C1268" s="61" t="s">
        <v>457</v>
      </c>
      <c r="D1268" s="62">
        <v>46019.548611111109</v>
      </c>
      <c r="E1268" s="62">
        <v>46019.548611111109</v>
      </c>
      <c r="F1268" s="62">
        <v>46019.645833333336</v>
      </c>
      <c r="G1268" s="63">
        <f>F1268-E1268</f>
        <v>9.7222222226264421E-2</v>
      </c>
      <c r="H1268" s="61" t="s">
        <v>248</v>
      </c>
      <c r="I1268" s="61"/>
      <c r="J1268" s="61" t="s">
        <v>300</v>
      </c>
      <c r="K1268" s="61" t="s">
        <v>350</v>
      </c>
      <c r="L1268" s="61" t="s">
        <v>861</v>
      </c>
      <c r="M1268" s="61" t="s">
        <v>375</v>
      </c>
      <c r="N1268" s="61" t="s">
        <v>266</v>
      </c>
      <c r="O1268" s="61" t="s">
        <v>862</v>
      </c>
      <c r="P1268" s="61" t="str">
        <f t="shared" si="65"/>
        <v>BC Vazante1.3Inversor 846019,548611111146019,548611111146019,6458333333</v>
      </c>
      <c r="Q1268" s="61" t="str">
        <f t="shared" si="66"/>
        <v>DAUINV</v>
      </c>
    </row>
    <row r="1269" spans="1:17" hidden="1">
      <c r="A1269" s="45"/>
      <c r="B1269" s="61" t="s">
        <v>448</v>
      </c>
      <c r="C1269" s="61" t="s">
        <v>458</v>
      </c>
      <c r="D1269" s="62">
        <v>46019.548611111109</v>
      </c>
      <c r="E1269" s="62">
        <v>46019.548611111109</v>
      </c>
      <c r="F1269" s="62">
        <v>46019.645833333336</v>
      </c>
      <c r="G1269" s="63">
        <f>F1269-E1269</f>
        <v>9.7222222226264421E-2</v>
      </c>
      <c r="H1269" s="61" t="s">
        <v>248</v>
      </c>
      <c r="I1269" s="61"/>
      <c r="J1269" s="61" t="s">
        <v>300</v>
      </c>
      <c r="K1269" s="61" t="s">
        <v>350</v>
      </c>
      <c r="L1269" s="61" t="s">
        <v>861</v>
      </c>
      <c r="M1269" s="61" t="s">
        <v>375</v>
      </c>
      <c r="N1269" s="61" t="s">
        <v>266</v>
      </c>
      <c r="O1269" s="61" t="s">
        <v>862</v>
      </c>
      <c r="P1269" s="61" t="str">
        <f t="shared" si="65"/>
        <v>BC Vazante1.3Inversor 946019,548611111146019,548611111146019,6458333333</v>
      </c>
      <c r="Q1269" s="61" t="str">
        <f t="shared" si="66"/>
        <v>DAUINV</v>
      </c>
    </row>
    <row r="1270" spans="1:17" hidden="1">
      <c r="B1270" s="1" t="s">
        <v>888</v>
      </c>
      <c r="C1270" s="1" t="s">
        <v>567</v>
      </c>
      <c r="D1270" s="52">
        <v>46022.118055555555</v>
      </c>
      <c r="E1270" s="52">
        <v>46022.118055555555</v>
      </c>
      <c r="F1270" s="52">
        <v>46022.319444444445</v>
      </c>
      <c r="G1270" s="63">
        <f>F1270-E1270</f>
        <v>0.20138888889050577</v>
      </c>
      <c r="H1270" s="1" t="s">
        <v>248</v>
      </c>
      <c r="J1270" s="1" t="s">
        <v>249</v>
      </c>
      <c r="K1270" s="1" t="str">
        <f>_xlfn.XLOOKUP(J1270,REF!$D$2:$D$12,REF!$E$2:$E$12)</f>
        <v>Rede</v>
      </c>
      <c r="L1270" s="1" t="s">
        <v>329</v>
      </c>
      <c r="M1270" s="1" t="s">
        <v>251</v>
      </c>
      <c r="N1270" s="1" t="s">
        <v>330</v>
      </c>
      <c r="O1270" s="1" t="s">
        <v>331</v>
      </c>
      <c r="P1270" s="1" t="str">
        <f t="shared" si="65"/>
        <v>Araçu VIIISG75CX(COM1-018)_001_01846022,118055555646022,118055555646022,3194444444</v>
      </c>
      <c r="Q1270" s="1" t="str">
        <f t="shared" si="66"/>
        <v>DAURDE</v>
      </c>
    </row>
    <row r="1271" spans="1:17" hidden="1">
      <c r="B1271" s="1" t="s">
        <v>888</v>
      </c>
      <c r="C1271" s="1" t="s">
        <v>568</v>
      </c>
      <c r="D1271" s="52">
        <v>46022.118055555555</v>
      </c>
      <c r="E1271" s="52">
        <v>46022.118055555555</v>
      </c>
      <c r="F1271" s="52">
        <v>46022.319444444445</v>
      </c>
      <c r="G1271" s="63">
        <f>F1271-E1271</f>
        <v>0.20138888889050577</v>
      </c>
      <c r="H1271" s="1" t="s">
        <v>248</v>
      </c>
      <c r="J1271" s="1" t="s">
        <v>249</v>
      </c>
      <c r="K1271" s="1" t="str">
        <f>_xlfn.XLOOKUP(J1271,REF!$D$2:$D$12,REF!$E$2:$E$12)</f>
        <v>Rede</v>
      </c>
      <c r="L1271" s="1" t="s">
        <v>329</v>
      </c>
      <c r="M1271" s="1" t="s">
        <v>251</v>
      </c>
      <c r="N1271" s="1" t="s">
        <v>330</v>
      </c>
      <c r="O1271" s="1" t="s">
        <v>331</v>
      </c>
      <c r="P1271" s="1" t="str">
        <f t="shared" si="65"/>
        <v>Araçu VIIISG75CX(COM1-019)_001_01946022,118055555646022,118055555646022,3194444444</v>
      </c>
      <c r="Q1271" s="1" t="str">
        <f t="shared" si="66"/>
        <v>DAURDE</v>
      </c>
    </row>
    <row r="1272" spans="1:17" hidden="1">
      <c r="B1272" s="1" t="s">
        <v>888</v>
      </c>
      <c r="C1272" s="1" t="s">
        <v>569</v>
      </c>
      <c r="D1272" s="52">
        <v>46022.118055555555</v>
      </c>
      <c r="E1272" s="52">
        <v>46022.118055555555</v>
      </c>
      <c r="F1272" s="52">
        <v>46022.319444444445</v>
      </c>
      <c r="G1272" s="63">
        <f>F1272-E1272</f>
        <v>0.20138888889050577</v>
      </c>
      <c r="H1272" s="1" t="s">
        <v>248</v>
      </c>
      <c r="J1272" s="1" t="s">
        <v>249</v>
      </c>
      <c r="K1272" s="1" t="str">
        <f>_xlfn.XLOOKUP(J1272,REF!$D$2:$D$12,REF!$E$2:$E$12)</f>
        <v>Rede</v>
      </c>
      <c r="L1272" s="1" t="s">
        <v>329</v>
      </c>
      <c r="M1272" s="1" t="s">
        <v>251</v>
      </c>
      <c r="N1272" s="1" t="s">
        <v>330</v>
      </c>
      <c r="O1272" s="1" t="s">
        <v>331</v>
      </c>
      <c r="P1272" s="1" t="str">
        <f t="shared" si="65"/>
        <v>Araçu VIIISG75CX(COM1-020)_001_02046022,118055555646022,118055555646022,3194444444</v>
      </c>
      <c r="Q1272" s="1" t="str">
        <f t="shared" si="66"/>
        <v>DAURDE</v>
      </c>
    </row>
    <row r="1273" spans="1:17" hidden="1">
      <c r="B1273" s="1" t="s">
        <v>888</v>
      </c>
      <c r="C1273" s="1" t="s">
        <v>570</v>
      </c>
      <c r="D1273" s="52">
        <v>46022.118055555555</v>
      </c>
      <c r="E1273" s="52">
        <v>46022.118055555555</v>
      </c>
      <c r="F1273" s="52">
        <v>46022.319444444445</v>
      </c>
      <c r="G1273" s="63">
        <f>F1273-E1273</f>
        <v>0.20138888889050577</v>
      </c>
      <c r="H1273" s="1" t="s">
        <v>248</v>
      </c>
      <c r="J1273" s="1" t="s">
        <v>249</v>
      </c>
      <c r="K1273" s="1" t="str">
        <f>_xlfn.XLOOKUP(J1273,REF!$D$2:$D$12,REF!$E$2:$E$12)</f>
        <v>Rede</v>
      </c>
      <c r="L1273" s="1" t="s">
        <v>329</v>
      </c>
      <c r="M1273" s="1" t="s">
        <v>251</v>
      </c>
      <c r="N1273" s="1" t="s">
        <v>330</v>
      </c>
      <c r="O1273" s="1" t="s">
        <v>331</v>
      </c>
      <c r="P1273" s="1" t="str">
        <f t="shared" si="65"/>
        <v>Araçu VIIISG75CX(COM1-021)_001_02146022,118055555646022,118055555646022,3194444444</v>
      </c>
      <c r="Q1273" s="1" t="str">
        <f t="shared" si="66"/>
        <v>DAURDE</v>
      </c>
    </row>
    <row r="1274" spans="1:17" hidden="1">
      <c r="B1274" s="1" t="s">
        <v>327</v>
      </c>
      <c r="C1274" s="1" t="s">
        <v>328</v>
      </c>
      <c r="D1274" s="52">
        <v>46022.118055555555</v>
      </c>
      <c r="E1274" s="52">
        <v>46022.118055555555</v>
      </c>
      <c r="F1274" s="52">
        <v>46022.319444444445</v>
      </c>
      <c r="G1274" s="63">
        <f>F1274-E1274</f>
        <v>0.20138888889050577</v>
      </c>
      <c r="H1274" s="1" t="s">
        <v>248</v>
      </c>
      <c r="J1274" s="1" t="s">
        <v>249</v>
      </c>
      <c r="K1274" s="1" t="str">
        <f>_xlfn.XLOOKUP(J1274,REF!$D$2:$D$12,REF!$E$2:$E$12)</f>
        <v>Rede</v>
      </c>
      <c r="L1274" s="1" t="s">
        <v>329</v>
      </c>
      <c r="M1274" s="1" t="s">
        <v>251</v>
      </c>
      <c r="N1274" s="1" t="s">
        <v>330</v>
      </c>
      <c r="O1274" s="1" t="s">
        <v>331</v>
      </c>
      <c r="P1274" s="1" t="str">
        <f t="shared" si="65"/>
        <v>BC Aracu5.1Inverter(MBUS-1)46022,118055555646022,118055555646022,3194444444</v>
      </c>
      <c r="Q1274" s="1" t="str">
        <f t="shared" si="66"/>
        <v>DAURDE</v>
      </c>
    </row>
    <row r="1275" spans="1:17" hidden="1">
      <c r="B1275" s="1" t="s">
        <v>332</v>
      </c>
      <c r="C1275" s="1" t="s">
        <v>328</v>
      </c>
      <c r="D1275" s="52">
        <v>46022.118055555555</v>
      </c>
      <c r="E1275" s="52">
        <v>46022.118055555555</v>
      </c>
      <c r="F1275" s="52">
        <v>46022.319444444445</v>
      </c>
      <c r="G1275" s="63">
        <f>F1275-E1275</f>
        <v>0.20138888889050577</v>
      </c>
      <c r="H1275" s="1" t="s">
        <v>248</v>
      </c>
      <c r="J1275" s="1" t="s">
        <v>249</v>
      </c>
      <c r="K1275" s="1" t="str">
        <f>_xlfn.XLOOKUP(J1275,REF!$D$2:$D$12,REF!$E$2:$E$12)</f>
        <v>Rede</v>
      </c>
      <c r="L1275" s="1" t="s">
        <v>329</v>
      </c>
      <c r="M1275" s="1" t="s">
        <v>251</v>
      </c>
      <c r="N1275" s="1" t="s">
        <v>330</v>
      </c>
      <c r="O1275" s="1" t="s">
        <v>331</v>
      </c>
      <c r="P1275" s="1" t="str">
        <f t="shared" si="65"/>
        <v>BC Aracu5.2Inverter(MBUS-1)46022,118055555646022,118055555646022,3194444444</v>
      </c>
      <c r="Q1275" s="1" t="str">
        <f t="shared" si="66"/>
        <v>DAURDE</v>
      </c>
    </row>
    <row r="1276" spans="1:17" hidden="1">
      <c r="B1276" s="1" t="s">
        <v>333</v>
      </c>
      <c r="C1276" s="1" t="s">
        <v>328</v>
      </c>
      <c r="D1276" s="52">
        <v>46022.118055555555</v>
      </c>
      <c r="E1276" s="52">
        <v>46022.118055555555</v>
      </c>
      <c r="F1276" s="52">
        <v>46022.319444444445</v>
      </c>
      <c r="G1276" s="63">
        <f>F1276-E1276</f>
        <v>0.20138888889050577</v>
      </c>
      <c r="H1276" s="1" t="s">
        <v>248</v>
      </c>
      <c r="J1276" s="1" t="s">
        <v>249</v>
      </c>
      <c r="K1276" s="1" t="str">
        <f>_xlfn.XLOOKUP(J1276,REF!$D$2:$D$12,REF!$E$2:$E$12)</f>
        <v>Rede</v>
      </c>
      <c r="L1276" s="1" t="s">
        <v>329</v>
      </c>
      <c r="M1276" s="1" t="s">
        <v>251</v>
      </c>
      <c r="N1276" s="1" t="s">
        <v>330</v>
      </c>
      <c r="O1276" s="1" t="s">
        <v>331</v>
      </c>
      <c r="P1276" s="1" t="str">
        <f t="shared" si="65"/>
        <v>BC Aracu5.3Inverter(MBUS-1)46022,118055555646022,118055555646022,3194444444</v>
      </c>
      <c r="Q1276" s="1" t="str">
        <f t="shared" si="66"/>
        <v>DAURDE</v>
      </c>
    </row>
    <row r="1277" spans="1:17" hidden="1">
      <c r="B1277" s="1" t="s">
        <v>334</v>
      </c>
      <c r="C1277" s="1" t="s">
        <v>328</v>
      </c>
      <c r="D1277" s="52">
        <v>46022.118055555555</v>
      </c>
      <c r="E1277" s="52">
        <v>46022.118055555555</v>
      </c>
      <c r="F1277" s="52">
        <v>46022.319444444445</v>
      </c>
      <c r="G1277" s="63">
        <f>F1277-E1277</f>
        <v>0.20138888889050577</v>
      </c>
      <c r="H1277" s="1" t="s">
        <v>248</v>
      </c>
      <c r="J1277" s="1" t="s">
        <v>249</v>
      </c>
      <c r="K1277" s="1" t="str">
        <f>_xlfn.XLOOKUP(J1277,REF!$D$2:$D$12,REF!$E$2:$E$12)</f>
        <v>Rede</v>
      </c>
      <c r="L1277" s="1" t="s">
        <v>329</v>
      </c>
      <c r="M1277" s="1" t="s">
        <v>251</v>
      </c>
      <c r="N1277" s="1" t="s">
        <v>330</v>
      </c>
      <c r="O1277" s="1" t="s">
        <v>331</v>
      </c>
      <c r="P1277" s="1" t="str">
        <f t="shared" si="65"/>
        <v>BC Aracu5.4Inverter(MBUS-1)46022,118055555646022,118055555646022,3194444444</v>
      </c>
      <c r="Q1277" s="1" t="str">
        <f t="shared" si="66"/>
        <v>DAURDE</v>
      </c>
    </row>
    <row r="1278" spans="1:17" hidden="1">
      <c r="B1278" s="1" t="s">
        <v>335</v>
      </c>
      <c r="C1278" s="1" t="s">
        <v>328</v>
      </c>
      <c r="D1278" s="52">
        <v>46022.118055555555</v>
      </c>
      <c r="E1278" s="52">
        <v>46022.118055555555</v>
      </c>
      <c r="F1278" s="52">
        <v>46022.319444444445</v>
      </c>
      <c r="G1278" s="63">
        <f>F1278-E1278</f>
        <v>0.20138888889050577</v>
      </c>
      <c r="H1278" s="1" t="s">
        <v>248</v>
      </c>
      <c r="J1278" s="1" t="s">
        <v>249</v>
      </c>
      <c r="K1278" s="1" t="str">
        <f>_xlfn.XLOOKUP(J1278,REF!$D$2:$D$12,REF!$E$2:$E$12)</f>
        <v>Rede</v>
      </c>
      <c r="L1278" s="1" t="s">
        <v>329</v>
      </c>
      <c r="M1278" s="1" t="s">
        <v>251</v>
      </c>
      <c r="N1278" s="1" t="s">
        <v>330</v>
      </c>
      <c r="O1278" s="1" t="s">
        <v>331</v>
      </c>
      <c r="P1278" s="1" t="str">
        <f t="shared" si="65"/>
        <v>BC Aracu5.5Inverter(MBUS-1)46022,118055555646022,118055555646022,3194444444</v>
      </c>
      <c r="Q1278" s="1" t="str">
        <f t="shared" si="66"/>
        <v>DAURDE</v>
      </c>
    </row>
    <row r="1279" spans="1:17" hidden="1">
      <c r="A1279" s="45"/>
      <c r="B1279" s="61" t="s">
        <v>481</v>
      </c>
      <c r="C1279" s="61" t="s">
        <v>354</v>
      </c>
      <c r="D1279" s="62">
        <v>46019.569444444445</v>
      </c>
      <c r="E1279" s="62">
        <v>46019.569444444445</v>
      </c>
      <c r="F1279" s="62">
        <v>46019.569444444445</v>
      </c>
      <c r="G1279" s="63">
        <f>F1279-E1279</f>
        <v>0</v>
      </c>
      <c r="H1279" s="61" t="s">
        <v>248</v>
      </c>
      <c r="I1279" s="61"/>
      <c r="J1279" s="61" t="s">
        <v>249</v>
      </c>
      <c r="K1279" s="1" t="str">
        <f>_xlfn.XLOOKUP(J1279,REF!$D$2:$D$12,REF!$E$2:$E$12)</f>
        <v>Rede</v>
      </c>
      <c r="L1279" s="61" t="s">
        <v>889</v>
      </c>
      <c r="M1279" s="61" t="s">
        <v>736</v>
      </c>
      <c r="N1279" s="61" t="s">
        <v>330</v>
      </c>
      <c r="O1279" s="61" t="s">
        <v>739</v>
      </c>
      <c r="P1279" s="61" t="str">
        <f t="shared" si="65"/>
        <v>BC Turvania1.1Inverter(MBUS-12)46019,569444444446019,569444444446019,5694444444</v>
      </c>
      <c r="Q1279" s="61" t="str">
        <f t="shared" si="66"/>
        <v>DAURDE</v>
      </c>
    </row>
    <row r="1280" spans="1:17" hidden="1">
      <c r="A1280" s="45"/>
      <c r="B1280" s="61" t="s">
        <v>481</v>
      </c>
      <c r="C1280" s="61" t="s">
        <v>357</v>
      </c>
      <c r="D1280" s="62">
        <v>46019.569444444445</v>
      </c>
      <c r="E1280" s="62">
        <v>46019.569444444445</v>
      </c>
      <c r="F1280" s="62">
        <v>46019.609027777777</v>
      </c>
      <c r="G1280" s="63">
        <f>F1280-E1280</f>
        <v>3.9583333331393078E-2</v>
      </c>
      <c r="H1280" s="61" t="s">
        <v>248</v>
      </c>
      <c r="I1280" s="61"/>
      <c r="J1280" s="61" t="s">
        <v>249</v>
      </c>
      <c r="K1280" s="1" t="str">
        <f>_xlfn.XLOOKUP(J1280,REF!$D$2:$D$12,REF!$E$2:$E$12)</f>
        <v>Rede</v>
      </c>
      <c r="L1280" s="61" t="s">
        <v>889</v>
      </c>
      <c r="M1280" s="61" t="s">
        <v>736</v>
      </c>
      <c r="N1280" s="61" t="s">
        <v>330</v>
      </c>
      <c r="O1280" s="61" t="s">
        <v>739</v>
      </c>
      <c r="P1280" s="61" t="str">
        <f t="shared" si="65"/>
        <v>BC Turvania1.1Inverter(MBUS-13)46019,569444444446019,569444444446019,6090277778</v>
      </c>
      <c r="Q1280" s="61" t="str">
        <f t="shared" si="66"/>
        <v>DAURDE</v>
      </c>
    </row>
    <row r="1281" spans="1:17" hidden="1">
      <c r="A1281" s="45"/>
      <c r="B1281" s="61" t="s">
        <v>481</v>
      </c>
      <c r="C1281" s="61" t="s">
        <v>358</v>
      </c>
      <c r="D1281" s="62">
        <v>46019.569444444445</v>
      </c>
      <c r="E1281" s="62">
        <v>46019.569444444445</v>
      </c>
      <c r="F1281" s="62">
        <v>46019.609027777777</v>
      </c>
      <c r="G1281" s="63">
        <f>F1281-E1281</f>
        <v>3.9583333331393078E-2</v>
      </c>
      <c r="H1281" s="61" t="s">
        <v>248</v>
      </c>
      <c r="I1281" s="61"/>
      <c r="J1281" s="61" t="s">
        <v>249</v>
      </c>
      <c r="K1281" s="1" t="str">
        <f>_xlfn.XLOOKUP(J1281,REF!$D$2:$D$12,REF!$E$2:$E$12)</f>
        <v>Rede</v>
      </c>
      <c r="L1281" s="61" t="s">
        <v>889</v>
      </c>
      <c r="M1281" s="61" t="s">
        <v>736</v>
      </c>
      <c r="N1281" s="61" t="s">
        <v>330</v>
      </c>
      <c r="O1281" s="61" t="s">
        <v>739</v>
      </c>
      <c r="P1281" s="61" t="str">
        <f t="shared" si="65"/>
        <v>BC Turvania1.1Inverter(MBUS-14)46019,569444444446019,569444444446019,6090277778</v>
      </c>
      <c r="Q1281" s="61" t="str">
        <f t="shared" si="66"/>
        <v>DAURDE</v>
      </c>
    </row>
    <row r="1282" spans="1:17" hidden="1">
      <c r="A1282" s="45"/>
      <c r="B1282" s="61" t="s">
        <v>481</v>
      </c>
      <c r="C1282" s="61" t="s">
        <v>359</v>
      </c>
      <c r="D1282" s="62">
        <v>46019.569444444445</v>
      </c>
      <c r="E1282" s="62">
        <v>46019.569444444445</v>
      </c>
      <c r="F1282" s="62">
        <v>46019.609027777777</v>
      </c>
      <c r="G1282" s="63">
        <f>F1282-E1282</f>
        <v>3.9583333331393078E-2</v>
      </c>
      <c r="H1282" s="61" t="s">
        <v>248</v>
      </c>
      <c r="I1282" s="61"/>
      <c r="J1282" s="61" t="s">
        <v>249</v>
      </c>
      <c r="K1282" s="1" t="str">
        <f>_xlfn.XLOOKUP(J1282,REF!$D$2:$D$12,REF!$E$2:$E$12)</f>
        <v>Rede</v>
      </c>
      <c r="L1282" s="61" t="s">
        <v>889</v>
      </c>
      <c r="M1282" s="61" t="s">
        <v>736</v>
      </c>
      <c r="N1282" s="61" t="s">
        <v>330</v>
      </c>
      <c r="O1282" s="61" t="s">
        <v>739</v>
      </c>
      <c r="P1282" s="61" t="str">
        <f t="shared" si="65"/>
        <v>BC Turvania1.1Inverter(MBUS-15)46019,569444444446019,569444444446019,6090277778</v>
      </c>
      <c r="Q1282" s="61" t="str">
        <f t="shared" si="66"/>
        <v>DAURDE</v>
      </c>
    </row>
    <row r="1283" spans="1:17" hidden="1">
      <c r="A1283" s="45"/>
      <c r="B1283" s="61" t="s">
        <v>482</v>
      </c>
      <c r="C1283" s="61" t="s">
        <v>354</v>
      </c>
      <c r="D1283" s="62">
        <v>46019.569444444445</v>
      </c>
      <c r="E1283" s="62">
        <v>46019.569444444445</v>
      </c>
      <c r="F1283" s="62">
        <v>46019.609027777777</v>
      </c>
      <c r="G1283" s="63">
        <f>F1283-E1283</f>
        <v>3.9583333331393078E-2</v>
      </c>
      <c r="H1283" s="61" t="s">
        <v>248</v>
      </c>
      <c r="I1283" s="61"/>
      <c r="J1283" s="61" t="s">
        <v>249</v>
      </c>
      <c r="K1283" s="1" t="str">
        <f>_xlfn.XLOOKUP(J1283,REF!$D$2:$D$12,REF!$E$2:$E$12)</f>
        <v>Rede</v>
      </c>
      <c r="L1283" s="61" t="s">
        <v>889</v>
      </c>
      <c r="M1283" s="61" t="s">
        <v>736</v>
      </c>
      <c r="N1283" s="61" t="s">
        <v>330</v>
      </c>
      <c r="O1283" s="61" t="s">
        <v>739</v>
      </c>
      <c r="P1283" s="61" t="str">
        <f t="shared" si="65"/>
        <v>BC Turvania1.2Inverter(MBUS-12)46019,569444444446019,569444444446019,6090277778</v>
      </c>
      <c r="Q1283" s="61" t="str">
        <f t="shared" si="66"/>
        <v>DAURDE</v>
      </c>
    </row>
    <row r="1284" spans="1:17" hidden="1">
      <c r="A1284" s="45"/>
      <c r="B1284" s="61" t="s">
        <v>482</v>
      </c>
      <c r="C1284" s="61" t="s">
        <v>357</v>
      </c>
      <c r="D1284" s="62">
        <v>46019.569444444445</v>
      </c>
      <c r="E1284" s="62">
        <v>46019.569444444445</v>
      </c>
      <c r="F1284" s="62">
        <v>46019.609027777777</v>
      </c>
      <c r="G1284" s="63">
        <f>F1284-E1284</f>
        <v>3.9583333331393078E-2</v>
      </c>
      <c r="H1284" s="61" t="s">
        <v>248</v>
      </c>
      <c r="I1284" s="61"/>
      <c r="J1284" s="61" t="s">
        <v>249</v>
      </c>
      <c r="K1284" s="1" t="str">
        <f>_xlfn.XLOOKUP(J1284,REF!$D$2:$D$12,REF!$E$2:$E$12)</f>
        <v>Rede</v>
      </c>
      <c r="L1284" s="61" t="s">
        <v>889</v>
      </c>
      <c r="M1284" s="61" t="s">
        <v>736</v>
      </c>
      <c r="N1284" s="61" t="s">
        <v>330</v>
      </c>
      <c r="O1284" s="61" t="s">
        <v>739</v>
      </c>
      <c r="P1284" s="61" t="str">
        <f t="shared" si="65"/>
        <v>BC Turvania1.2Inverter(MBUS-13)46019,569444444446019,569444444446019,6090277778</v>
      </c>
      <c r="Q1284" s="61" t="str">
        <f t="shared" si="66"/>
        <v>DAURDE</v>
      </c>
    </row>
    <row r="1285" spans="1:17" hidden="1">
      <c r="A1285" s="45"/>
      <c r="B1285" s="61" t="s">
        <v>482</v>
      </c>
      <c r="C1285" s="61" t="s">
        <v>358</v>
      </c>
      <c r="D1285" s="62">
        <v>46019.569444444445</v>
      </c>
      <c r="E1285" s="62">
        <v>46019.569444444445</v>
      </c>
      <c r="F1285" s="62">
        <v>46019.609027777777</v>
      </c>
      <c r="G1285" s="63">
        <f>F1285-E1285</f>
        <v>3.9583333331393078E-2</v>
      </c>
      <c r="H1285" s="61" t="s">
        <v>248</v>
      </c>
      <c r="I1285" s="61"/>
      <c r="J1285" s="61" t="s">
        <v>249</v>
      </c>
      <c r="K1285" s="1" t="str">
        <f>_xlfn.XLOOKUP(J1285,REF!$D$2:$D$12,REF!$E$2:$E$12)</f>
        <v>Rede</v>
      </c>
      <c r="L1285" s="61" t="s">
        <v>889</v>
      </c>
      <c r="M1285" s="61" t="s">
        <v>736</v>
      </c>
      <c r="N1285" s="61" t="s">
        <v>330</v>
      </c>
      <c r="O1285" s="61" t="s">
        <v>739</v>
      </c>
      <c r="P1285" s="61" t="str">
        <f t="shared" si="65"/>
        <v>BC Turvania1.2Inverter(MBUS-14)46019,569444444446019,569444444446019,6090277778</v>
      </c>
      <c r="Q1285" s="61" t="str">
        <f t="shared" si="66"/>
        <v>DAURDE</v>
      </c>
    </row>
    <row r="1286" spans="1:17" hidden="1">
      <c r="A1286" s="45"/>
      <c r="B1286" s="61" t="s">
        <v>482</v>
      </c>
      <c r="C1286" s="61" t="s">
        <v>359</v>
      </c>
      <c r="D1286" s="62">
        <v>46019.569444444445</v>
      </c>
      <c r="E1286" s="62">
        <v>46019.569444444445</v>
      </c>
      <c r="F1286" s="62">
        <v>46019.609027777777</v>
      </c>
      <c r="G1286" s="63">
        <f>F1286-E1286</f>
        <v>3.9583333331393078E-2</v>
      </c>
      <c r="H1286" s="61" t="s">
        <v>248</v>
      </c>
      <c r="I1286" s="61"/>
      <c r="J1286" s="61" t="s">
        <v>249</v>
      </c>
      <c r="K1286" s="1" t="str">
        <f>_xlfn.XLOOKUP(J1286,REF!$D$2:$D$12,REF!$E$2:$E$12)</f>
        <v>Rede</v>
      </c>
      <c r="L1286" s="61" t="s">
        <v>889</v>
      </c>
      <c r="M1286" s="61" t="s">
        <v>736</v>
      </c>
      <c r="N1286" s="61" t="s">
        <v>330</v>
      </c>
      <c r="O1286" s="61" t="s">
        <v>739</v>
      </c>
      <c r="P1286" s="61" t="str">
        <f t="shared" si="65"/>
        <v>BC Turvania1.2Inverter(MBUS-15)46019,569444444446019,569444444446019,6090277778</v>
      </c>
      <c r="Q1286" s="61" t="str">
        <f t="shared" si="66"/>
        <v>DAURDE</v>
      </c>
    </row>
    <row r="1287" spans="1:17" hidden="1">
      <c r="A1287" s="45"/>
      <c r="B1287" s="61" t="s">
        <v>483</v>
      </c>
      <c r="C1287" s="61" t="s">
        <v>328</v>
      </c>
      <c r="D1287" s="62">
        <v>46019.569444444445</v>
      </c>
      <c r="E1287" s="62">
        <v>46019.569444444445</v>
      </c>
      <c r="F1287" s="62">
        <v>46019.609027777777</v>
      </c>
      <c r="G1287" s="63">
        <f>F1287-E1287</f>
        <v>3.9583333331393078E-2</v>
      </c>
      <c r="H1287" s="61" t="s">
        <v>248</v>
      </c>
      <c r="I1287" s="61"/>
      <c r="J1287" s="61" t="s">
        <v>249</v>
      </c>
      <c r="K1287" s="1" t="str">
        <f>_xlfn.XLOOKUP(J1287,REF!$D$2:$D$12,REF!$E$2:$E$12)</f>
        <v>Rede</v>
      </c>
      <c r="L1287" s="61" t="s">
        <v>889</v>
      </c>
      <c r="M1287" s="61" t="s">
        <v>736</v>
      </c>
      <c r="N1287" s="61" t="s">
        <v>330</v>
      </c>
      <c r="O1287" s="61" t="s">
        <v>739</v>
      </c>
      <c r="P1287" s="61" t="str">
        <f t="shared" si="65"/>
        <v>BC Turvania1.3Inverter(MBUS-1)46019,569444444446019,569444444446019,6090277778</v>
      </c>
      <c r="Q1287" s="61" t="str">
        <f t="shared" si="66"/>
        <v>DAURDE</v>
      </c>
    </row>
    <row r="1288" spans="1:17" hidden="1">
      <c r="A1288" s="45"/>
      <c r="B1288" s="61" t="s">
        <v>483</v>
      </c>
      <c r="C1288" s="61" t="s">
        <v>357</v>
      </c>
      <c r="D1288" s="62">
        <v>46019.569444444445</v>
      </c>
      <c r="E1288" s="62">
        <v>46019.569444444445</v>
      </c>
      <c r="F1288" s="62">
        <v>46019.609027777777</v>
      </c>
      <c r="G1288" s="63">
        <f>F1288-E1288</f>
        <v>3.9583333331393078E-2</v>
      </c>
      <c r="H1288" s="61" t="s">
        <v>248</v>
      </c>
      <c r="I1288" s="61"/>
      <c r="J1288" s="61" t="s">
        <v>249</v>
      </c>
      <c r="K1288" s="1" t="str">
        <f>_xlfn.XLOOKUP(J1288,REF!$D$2:$D$12,REF!$E$2:$E$12)</f>
        <v>Rede</v>
      </c>
      <c r="L1288" s="61" t="s">
        <v>889</v>
      </c>
      <c r="M1288" s="61" t="s">
        <v>736</v>
      </c>
      <c r="N1288" s="61" t="s">
        <v>330</v>
      </c>
      <c r="O1288" s="61" t="s">
        <v>739</v>
      </c>
      <c r="P1288" s="61" t="str">
        <f t="shared" si="65"/>
        <v>BC Turvania1.3Inverter(MBUS-13)46019,569444444446019,569444444446019,6090277778</v>
      </c>
      <c r="Q1288" s="61" t="str">
        <f t="shared" si="66"/>
        <v>DAURDE</v>
      </c>
    </row>
    <row r="1289" spans="1:17" hidden="1">
      <c r="A1289" s="45"/>
      <c r="B1289" s="61" t="s">
        <v>483</v>
      </c>
      <c r="C1289" s="61" t="s">
        <v>358</v>
      </c>
      <c r="D1289" s="62">
        <v>46019.569444444445</v>
      </c>
      <c r="E1289" s="62">
        <v>46019.569444444445</v>
      </c>
      <c r="F1289" s="62">
        <v>46019.609027777777</v>
      </c>
      <c r="G1289" s="63">
        <f>F1289-E1289</f>
        <v>3.9583333331393078E-2</v>
      </c>
      <c r="H1289" s="61" t="s">
        <v>248</v>
      </c>
      <c r="I1289" s="61"/>
      <c r="J1289" s="61" t="s">
        <v>249</v>
      </c>
      <c r="K1289" s="1" t="str">
        <f>_xlfn.XLOOKUP(J1289,REF!$D$2:$D$12,REF!$E$2:$E$12)</f>
        <v>Rede</v>
      </c>
      <c r="L1289" s="61" t="s">
        <v>889</v>
      </c>
      <c r="M1289" s="61" t="s">
        <v>736</v>
      </c>
      <c r="N1289" s="61" t="s">
        <v>330</v>
      </c>
      <c r="O1289" s="61" t="s">
        <v>739</v>
      </c>
      <c r="P1289" s="61" t="str">
        <f t="shared" si="65"/>
        <v>BC Turvania1.3Inverter(MBUS-14)46019,569444444446019,569444444446019,6090277778</v>
      </c>
      <c r="Q1289" s="61" t="str">
        <f t="shared" si="66"/>
        <v>DAURDE</v>
      </c>
    </row>
    <row r="1290" spans="1:17" hidden="1">
      <c r="A1290" s="45"/>
      <c r="B1290" s="61" t="s">
        <v>483</v>
      </c>
      <c r="C1290" s="61" t="s">
        <v>359</v>
      </c>
      <c r="D1290" s="62">
        <v>46019.569444444445</v>
      </c>
      <c r="E1290" s="62">
        <v>46019.569444444445</v>
      </c>
      <c r="F1290" s="62">
        <v>46019.609027777777</v>
      </c>
      <c r="G1290" s="63">
        <f>F1290-E1290</f>
        <v>3.9583333331393078E-2</v>
      </c>
      <c r="H1290" s="61" t="s">
        <v>248</v>
      </c>
      <c r="I1290" s="61"/>
      <c r="J1290" s="61" t="s">
        <v>249</v>
      </c>
      <c r="K1290" s="1" t="str">
        <f>_xlfn.XLOOKUP(J1290,REF!$D$2:$D$12,REF!$E$2:$E$12)</f>
        <v>Rede</v>
      </c>
      <c r="L1290" s="61" t="s">
        <v>889</v>
      </c>
      <c r="M1290" s="61" t="s">
        <v>736</v>
      </c>
      <c r="N1290" s="61" t="s">
        <v>330</v>
      </c>
      <c r="O1290" s="61" t="s">
        <v>739</v>
      </c>
      <c r="P1290" s="61" t="str">
        <f t="shared" si="65"/>
        <v>BC Turvania1.3Inverter(MBUS-15)46019,569444444446019,569444444446019,6090277778</v>
      </c>
      <c r="Q1290" s="61" t="str">
        <f t="shared" si="66"/>
        <v>DAURDE</v>
      </c>
    </row>
    <row r="1291" spans="1:17" hidden="1">
      <c r="A1291" s="45"/>
      <c r="B1291" s="61" t="s">
        <v>484</v>
      </c>
      <c r="C1291" s="61" t="s">
        <v>354</v>
      </c>
      <c r="D1291" s="62">
        <v>46019.569444444445</v>
      </c>
      <c r="E1291" s="62">
        <v>46019.569444444445</v>
      </c>
      <c r="F1291" s="62">
        <v>46019.609027777777</v>
      </c>
      <c r="G1291" s="63">
        <f>F1291-E1291</f>
        <v>3.9583333331393078E-2</v>
      </c>
      <c r="H1291" s="61" t="s">
        <v>248</v>
      </c>
      <c r="I1291" s="61"/>
      <c r="J1291" s="61" t="s">
        <v>249</v>
      </c>
      <c r="K1291" s="1" t="str">
        <f>_xlfn.XLOOKUP(J1291,REF!$D$2:$D$12,REF!$E$2:$E$12)</f>
        <v>Rede</v>
      </c>
      <c r="L1291" s="61" t="s">
        <v>889</v>
      </c>
      <c r="M1291" s="61" t="s">
        <v>736</v>
      </c>
      <c r="N1291" s="61" t="s">
        <v>330</v>
      </c>
      <c r="O1291" s="61" t="s">
        <v>739</v>
      </c>
      <c r="P1291" s="61" t="str">
        <f t="shared" si="65"/>
        <v>BC Turvania1.4Inverter(MBUS-12)46019,569444444446019,569444444446019,6090277778</v>
      </c>
      <c r="Q1291" s="61" t="str">
        <f t="shared" si="66"/>
        <v>DAURDE</v>
      </c>
    </row>
    <row r="1292" spans="1:17" hidden="1">
      <c r="A1292" s="45"/>
      <c r="B1292" s="61" t="s">
        <v>484</v>
      </c>
      <c r="C1292" s="61" t="s">
        <v>357</v>
      </c>
      <c r="D1292" s="62">
        <v>46019.569444444445</v>
      </c>
      <c r="E1292" s="62">
        <v>46019.569444444445</v>
      </c>
      <c r="F1292" s="62">
        <v>46019.609027777777</v>
      </c>
      <c r="G1292" s="63">
        <f>F1292-E1292</f>
        <v>3.9583333331393078E-2</v>
      </c>
      <c r="H1292" s="61" t="s">
        <v>248</v>
      </c>
      <c r="I1292" s="61"/>
      <c r="J1292" s="61" t="s">
        <v>249</v>
      </c>
      <c r="K1292" s="1" t="str">
        <f>_xlfn.XLOOKUP(J1292,REF!$D$2:$D$12,REF!$E$2:$E$12)</f>
        <v>Rede</v>
      </c>
      <c r="L1292" s="61" t="s">
        <v>889</v>
      </c>
      <c r="M1292" s="61" t="s">
        <v>736</v>
      </c>
      <c r="N1292" s="61" t="s">
        <v>330</v>
      </c>
      <c r="O1292" s="61" t="s">
        <v>739</v>
      </c>
      <c r="P1292" s="61" t="str">
        <f t="shared" si="65"/>
        <v>BC Turvania1.4Inverter(MBUS-13)46019,569444444446019,569444444446019,6090277778</v>
      </c>
      <c r="Q1292" s="61" t="str">
        <f t="shared" si="66"/>
        <v>DAURDE</v>
      </c>
    </row>
    <row r="1293" spans="1:17" hidden="1">
      <c r="A1293" s="45"/>
      <c r="B1293" s="61" t="s">
        <v>484</v>
      </c>
      <c r="C1293" s="61" t="s">
        <v>358</v>
      </c>
      <c r="D1293" s="62">
        <v>46019.569444444445</v>
      </c>
      <c r="E1293" s="62">
        <v>46019.569444444445</v>
      </c>
      <c r="F1293" s="62">
        <v>46019.609027777777</v>
      </c>
      <c r="G1293" s="63">
        <f>F1293-E1293</f>
        <v>3.9583333331393078E-2</v>
      </c>
      <c r="H1293" s="61" t="s">
        <v>248</v>
      </c>
      <c r="I1293" s="61"/>
      <c r="J1293" s="61" t="s">
        <v>249</v>
      </c>
      <c r="K1293" s="1" t="str">
        <f>_xlfn.XLOOKUP(J1293,REF!$D$2:$D$12,REF!$E$2:$E$12)</f>
        <v>Rede</v>
      </c>
      <c r="L1293" s="61" t="s">
        <v>889</v>
      </c>
      <c r="M1293" s="61" t="s">
        <v>736</v>
      </c>
      <c r="N1293" s="61" t="s">
        <v>330</v>
      </c>
      <c r="O1293" s="61" t="s">
        <v>739</v>
      </c>
      <c r="P1293" s="61" t="str">
        <f t="shared" si="65"/>
        <v>BC Turvania1.4Inverter(MBUS-14)46019,569444444446019,569444444446019,6090277778</v>
      </c>
      <c r="Q1293" s="61" t="str">
        <f t="shared" si="66"/>
        <v>DAURDE</v>
      </c>
    </row>
    <row r="1294" spans="1:17" hidden="1">
      <c r="A1294" s="45"/>
      <c r="B1294" s="61" t="s">
        <v>484</v>
      </c>
      <c r="C1294" s="61" t="s">
        <v>359</v>
      </c>
      <c r="D1294" s="62">
        <v>46019.569444444445</v>
      </c>
      <c r="E1294" s="62">
        <v>46019.569444444445</v>
      </c>
      <c r="F1294" s="62">
        <v>46019.609027777777</v>
      </c>
      <c r="G1294" s="63">
        <f>F1294-E1294</f>
        <v>3.9583333331393078E-2</v>
      </c>
      <c r="H1294" s="61" t="s">
        <v>248</v>
      </c>
      <c r="I1294" s="61"/>
      <c r="J1294" s="61" t="s">
        <v>249</v>
      </c>
      <c r="K1294" s="1" t="str">
        <f>_xlfn.XLOOKUP(J1294,REF!$D$2:$D$12,REF!$E$2:$E$12)</f>
        <v>Rede</v>
      </c>
      <c r="L1294" s="61" t="s">
        <v>889</v>
      </c>
      <c r="M1294" s="61" t="s">
        <v>736</v>
      </c>
      <c r="N1294" s="61" t="s">
        <v>330</v>
      </c>
      <c r="O1294" s="61" t="s">
        <v>739</v>
      </c>
      <c r="P1294" s="61" t="str">
        <f t="shared" si="65"/>
        <v>BC Turvania1.4Inverter(MBUS-15)46019,569444444446019,569444444446019,6090277778</v>
      </c>
      <c r="Q1294" s="61" t="str">
        <f t="shared" si="66"/>
        <v>DAURDE</v>
      </c>
    </row>
    <row r="1295" spans="1:17" hidden="1">
      <c r="A1295" s="45"/>
      <c r="B1295" s="61" t="s">
        <v>485</v>
      </c>
      <c r="C1295" s="61" t="s">
        <v>354</v>
      </c>
      <c r="D1295" s="62">
        <v>46019.569444444445</v>
      </c>
      <c r="E1295" s="62">
        <v>46019.569444444445</v>
      </c>
      <c r="F1295" s="62">
        <v>46019.609027777777</v>
      </c>
      <c r="G1295" s="63">
        <f>F1295-E1295</f>
        <v>3.9583333331393078E-2</v>
      </c>
      <c r="H1295" s="61" t="s">
        <v>248</v>
      </c>
      <c r="I1295" s="61"/>
      <c r="J1295" s="61" t="s">
        <v>249</v>
      </c>
      <c r="K1295" s="1" t="str">
        <f>_xlfn.XLOOKUP(J1295,REF!$D$2:$D$12,REF!$E$2:$E$12)</f>
        <v>Rede</v>
      </c>
      <c r="L1295" s="61" t="s">
        <v>889</v>
      </c>
      <c r="M1295" s="61" t="s">
        <v>736</v>
      </c>
      <c r="N1295" s="61" t="s">
        <v>330</v>
      </c>
      <c r="O1295" s="61" t="s">
        <v>739</v>
      </c>
      <c r="P1295" s="61" t="str">
        <f t="shared" si="65"/>
        <v>BC Turvania1.5Inverter(MBUS-12)46019,569444444446019,569444444446019,6090277778</v>
      </c>
      <c r="Q1295" s="61" t="str">
        <f t="shared" si="66"/>
        <v>DAURDE</v>
      </c>
    </row>
    <row r="1296" spans="1:17" hidden="1">
      <c r="A1296" s="45"/>
      <c r="B1296" s="61" t="s">
        <v>485</v>
      </c>
      <c r="C1296" s="61" t="s">
        <v>357</v>
      </c>
      <c r="D1296" s="62">
        <v>46019.569444444445</v>
      </c>
      <c r="E1296" s="62">
        <v>46019.569444444445</v>
      </c>
      <c r="F1296" s="62">
        <v>46019.609027777777</v>
      </c>
      <c r="G1296" s="63">
        <f>F1296-E1296</f>
        <v>3.9583333331393078E-2</v>
      </c>
      <c r="H1296" s="61" t="s">
        <v>248</v>
      </c>
      <c r="I1296" s="61"/>
      <c r="J1296" s="61" t="s">
        <v>249</v>
      </c>
      <c r="K1296" s="1" t="str">
        <f>_xlfn.XLOOKUP(J1296,REF!$D$2:$D$12,REF!$E$2:$E$12)</f>
        <v>Rede</v>
      </c>
      <c r="L1296" s="61" t="s">
        <v>889</v>
      </c>
      <c r="M1296" s="61" t="s">
        <v>736</v>
      </c>
      <c r="N1296" s="61" t="s">
        <v>330</v>
      </c>
      <c r="O1296" s="61" t="s">
        <v>739</v>
      </c>
      <c r="P1296" s="61" t="str">
        <f t="shared" si="65"/>
        <v>BC Turvania1.5Inverter(MBUS-13)46019,569444444446019,569444444446019,6090277778</v>
      </c>
      <c r="Q1296" s="61" t="str">
        <f t="shared" si="66"/>
        <v>DAURDE</v>
      </c>
    </row>
    <row r="1297" spans="1:17" hidden="1">
      <c r="A1297" s="45"/>
      <c r="B1297" s="61" t="s">
        <v>485</v>
      </c>
      <c r="C1297" s="61" t="s">
        <v>358</v>
      </c>
      <c r="D1297" s="62">
        <v>46019.569444444445</v>
      </c>
      <c r="E1297" s="62">
        <v>46019.569444444445</v>
      </c>
      <c r="F1297" s="62">
        <v>46019.609027777777</v>
      </c>
      <c r="G1297" s="63">
        <f>F1297-E1297</f>
        <v>3.9583333331393078E-2</v>
      </c>
      <c r="H1297" s="61" t="s">
        <v>248</v>
      </c>
      <c r="I1297" s="61"/>
      <c r="J1297" s="61" t="s">
        <v>249</v>
      </c>
      <c r="K1297" s="1" t="str">
        <f>_xlfn.XLOOKUP(J1297,REF!$D$2:$D$12,REF!$E$2:$E$12)</f>
        <v>Rede</v>
      </c>
      <c r="L1297" s="61" t="s">
        <v>889</v>
      </c>
      <c r="M1297" s="61" t="s">
        <v>736</v>
      </c>
      <c r="N1297" s="61" t="s">
        <v>330</v>
      </c>
      <c r="O1297" s="61" t="s">
        <v>739</v>
      </c>
      <c r="P1297" s="61" t="str">
        <f t="shared" si="65"/>
        <v>BC Turvania1.5Inverter(MBUS-14)46019,569444444446019,569444444446019,6090277778</v>
      </c>
      <c r="Q1297" s="61" t="str">
        <f t="shared" si="66"/>
        <v>DAURDE</v>
      </c>
    </row>
    <row r="1298" spans="1:17" hidden="1">
      <c r="A1298" s="45"/>
      <c r="B1298" s="61" t="s">
        <v>485</v>
      </c>
      <c r="C1298" s="61" t="s">
        <v>328</v>
      </c>
      <c r="D1298" s="62">
        <v>46019.569444444445</v>
      </c>
      <c r="E1298" s="62">
        <v>46019.569444444445</v>
      </c>
      <c r="F1298" s="62">
        <v>46019.609027777777</v>
      </c>
      <c r="G1298" s="63">
        <f>F1298-E1298</f>
        <v>3.9583333331393078E-2</v>
      </c>
      <c r="H1298" s="61" t="s">
        <v>248</v>
      </c>
      <c r="I1298" s="61"/>
      <c r="J1298" s="61" t="s">
        <v>249</v>
      </c>
      <c r="K1298" s="1" t="str">
        <f>_xlfn.XLOOKUP(J1298,REF!$D$2:$D$12,REF!$E$2:$E$12)</f>
        <v>Rede</v>
      </c>
      <c r="L1298" s="61" t="s">
        <v>889</v>
      </c>
      <c r="M1298" s="61" t="s">
        <v>736</v>
      </c>
      <c r="N1298" s="61" t="s">
        <v>330</v>
      </c>
      <c r="O1298" s="61" t="s">
        <v>739</v>
      </c>
      <c r="P1298" s="61" t="str">
        <f t="shared" si="65"/>
        <v>BC Turvania1.5Inverter(MBUS-1)46019,569444444446019,569444444446019,6090277778</v>
      </c>
      <c r="Q1298" s="61" t="str">
        <f t="shared" si="66"/>
        <v>DAURDE</v>
      </c>
    </row>
    <row r="1299" spans="1:17" hidden="1">
      <c r="B1299" s="1" t="s">
        <v>429</v>
      </c>
      <c r="C1299" s="1" t="s">
        <v>357</v>
      </c>
      <c r="D1299" s="52">
        <v>46021.927083333336</v>
      </c>
      <c r="E1299" s="52">
        <v>46021.927083333336</v>
      </c>
      <c r="F1299" s="52">
        <v>46022.395833333336</v>
      </c>
      <c r="G1299" s="63">
        <f>F1299-E1299</f>
        <v>0.46875</v>
      </c>
      <c r="H1299" s="1" t="s">
        <v>248</v>
      </c>
      <c r="J1299" s="1" t="s">
        <v>249</v>
      </c>
      <c r="K1299" s="1" t="str">
        <f>_xlfn.XLOOKUP(J1299,REF!$D$2:$D$12,REF!$E$2:$E$12)</f>
        <v>Rede</v>
      </c>
      <c r="L1299" s="1" t="s">
        <v>770</v>
      </c>
      <c r="M1299" s="1" t="s">
        <v>251</v>
      </c>
      <c r="N1299" s="1" t="s">
        <v>330</v>
      </c>
      <c r="O1299" s="1" t="s">
        <v>331</v>
      </c>
      <c r="P1299" s="1" t="str">
        <f t="shared" si="65"/>
        <v>BC Formoso1.1Inverter(MBUS-13)46021,927083333346021,927083333346022,3958333333</v>
      </c>
      <c r="Q1299" s="1" t="str">
        <f t="shared" si="66"/>
        <v>DAURDE</v>
      </c>
    </row>
    <row r="1300" spans="1:17" hidden="1">
      <c r="B1300" s="1" t="s">
        <v>429</v>
      </c>
      <c r="C1300" s="1" t="s">
        <v>354</v>
      </c>
      <c r="D1300" s="52">
        <v>46021.927083333336</v>
      </c>
      <c r="E1300" s="52">
        <v>46021.927083333336</v>
      </c>
      <c r="F1300" s="52">
        <v>46022.395833333336</v>
      </c>
      <c r="G1300" s="63">
        <f>F1300-E1300</f>
        <v>0.46875</v>
      </c>
      <c r="H1300" s="1" t="s">
        <v>248</v>
      </c>
      <c r="J1300" s="1" t="s">
        <v>249</v>
      </c>
      <c r="K1300" s="1" t="str">
        <f>_xlfn.XLOOKUP(J1300,REF!$D$2:$D$12,REF!$E$2:$E$12)</f>
        <v>Rede</v>
      </c>
      <c r="L1300" s="1" t="s">
        <v>770</v>
      </c>
      <c r="M1300" s="1" t="s">
        <v>251</v>
      </c>
      <c r="N1300" s="1" t="s">
        <v>330</v>
      </c>
      <c r="O1300" s="1" t="s">
        <v>331</v>
      </c>
      <c r="P1300" s="1" t="str">
        <f t="shared" si="65"/>
        <v>BC Formoso1.1Inverter(MBUS-12)46021,927083333346021,927083333346022,3958333333</v>
      </c>
      <c r="Q1300" s="1" t="str">
        <f t="shared" si="66"/>
        <v>DAURDE</v>
      </c>
    </row>
    <row r="1301" spans="1:17" hidden="1">
      <c r="B1301" s="1" t="s">
        <v>429</v>
      </c>
      <c r="C1301" s="1" t="s">
        <v>359</v>
      </c>
      <c r="D1301" s="52">
        <v>46021.927083333336</v>
      </c>
      <c r="E1301" s="52">
        <v>46021.927083333336</v>
      </c>
      <c r="F1301" s="52">
        <v>46022.395833333336</v>
      </c>
      <c r="G1301" s="63">
        <f>F1301-E1301</f>
        <v>0.46875</v>
      </c>
      <c r="H1301" s="1" t="s">
        <v>248</v>
      </c>
      <c r="J1301" s="1" t="s">
        <v>249</v>
      </c>
      <c r="K1301" s="1" t="str">
        <f>_xlfn.XLOOKUP(J1301,REF!$D$2:$D$12,REF!$E$2:$E$12)</f>
        <v>Rede</v>
      </c>
      <c r="L1301" s="1" t="s">
        <v>770</v>
      </c>
      <c r="M1301" s="1" t="s">
        <v>251</v>
      </c>
      <c r="N1301" s="1" t="s">
        <v>330</v>
      </c>
      <c r="O1301" s="1" t="s">
        <v>331</v>
      </c>
      <c r="P1301" s="1" t="str">
        <f t="shared" si="65"/>
        <v>BC Formoso1.1Inverter(MBUS-15)46021,927083333346021,927083333346022,3958333333</v>
      </c>
      <c r="Q1301" s="1" t="str">
        <f t="shared" si="66"/>
        <v>DAURDE</v>
      </c>
    </row>
    <row r="1302" spans="1:17" hidden="1">
      <c r="B1302" s="1" t="s">
        <v>429</v>
      </c>
      <c r="C1302" s="1" t="s">
        <v>358</v>
      </c>
      <c r="D1302" s="52">
        <v>46021.927083333336</v>
      </c>
      <c r="E1302" s="52">
        <v>46021.927083333336</v>
      </c>
      <c r="F1302" s="52">
        <v>46022.395833333336</v>
      </c>
      <c r="G1302" s="63">
        <f>F1302-E1302</f>
        <v>0.46875</v>
      </c>
      <c r="H1302" s="1" t="s">
        <v>248</v>
      </c>
      <c r="J1302" s="1" t="s">
        <v>249</v>
      </c>
      <c r="K1302" s="1" t="str">
        <f>_xlfn.XLOOKUP(J1302,REF!$D$2:$D$12,REF!$E$2:$E$12)</f>
        <v>Rede</v>
      </c>
      <c r="L1302" s="1" t="s">
        <v>770</v>
      </c>
      <c r="M1302" s="1" t="s">
        <v>251</v>
      </c>
      <c r="N1302" s="1" t="s">
        <v>330</v>
      </c>
      <c r="O1302" s="1" t="s">
        <v>331</v>
      </c>
      <c r="P1302" s="1" t="str">
        <f t="shared" si="65"/>
        <v>BC Formoso1.1Inverter(MBUS-14)46021,927083333346021,927083333346022,3958333333</v>
      </c>
      <c r="Q1302" s="1" t="str">
        <f t="shared" si="66"/>
        <v>DAURDE</v>
      </c>
    </row>
    <row r="1303" spans="1:17" hidden="1">
      <c r="B1303" s="1" t="s">
        <v>424</v>
      </c>
      <c r="C1303" s="1" t="s">
        <v>358</v>
      </c>
      <c r="D1303" s="52">
        <v>46021.927083333336</v>
      </c>
      <c r="E1303" s="52">
        <v>46021.927083333336</v>
      </c>
      <c r="F1303" s="52">
        <v>46022.395833333336</v>
      </c>
      <c r="G1303" s="63">
        <f>F1303-E1303</f>
        <v>0.46875</v>
      </c>
      <c r="H1303" s="1" t="s">
        <v>248</v>
      </c>
      <c r="J1303" s="1" t="s">
        <v>249</v>
      </c>
      <c r="K1303" s="1" t="str">
        <f>_xlfn.XLOOKUP(J1303,REF!$D$2:$D$12,REF!$E$2:$E$12)</f>
        <v>Rede</v>
      </c>
      <c r="L1303" s="1" t="s">
        <v>770</v>
      </c>
      <c r="M1303" s="1" t="s">
        <v>251</v>
      </c>
      <c r="N1303" s="1" t="s">
        <v>330</v>
      </c>
      <c r="O1303" s="1" t="s">
        <v>331</v>
      </c>
      <c r="P1303" s="1" t="str">
        <f t="shared" si="65"/>
        <v>BC Formoso2.2Inverter(MBUS-14)46021,927083333346021,927083333346022,3958333333</v>
      </c>
      <c r="Q1303" s="1" t="str">
        <f t="shared" si="66"/>
        <v>DAURDE</v>
      </c>
    </row>
    <row r="1304" spans="1:17" hidden="1">
      <c r="B1304" s="1" t="s">
        <v>424</v>
      </c>
      <c r="C1304" s="1" t="s">
        <v>357</v>
      </c>
      <c r="D1304" s="52">
        <v>46021.927083333336</v>
      </c>
      <c r="E1304" s="52">
        <v>46021.927083333336</v>
      </c>
      <c r="F1304" s="52">
        <v>46022.395833333336</v>
      </c>
      <c r="G1304" s="63">
        <f>F1304-E1304</f>
        <v>0.46875</v>
      </c>
      <c r="H1304" s="1" t="s">
        <v>248</v>
      </c>
      <c r="J1304" s="1" t="s">
        <v>249</v>
      </c>
      <c r="K1304" s="1" t="str">
        <f>_xlfn.XLOOKUP(J1304,REF!$D$2:$D$12,REF!$E$2:$E$12)</f>
        <v>Rede</v>
      </c>
      <c r="L1304" s="1" t="s">
        <v>770</v>
      </c>
      <c r="M1304" s="1" t="s">
        <v>251</v>
      </c>
      <c r="N1304" s="1" t="s">
        <v>330</v>
      </c>
      <c r="O1304" s="1" t="s">
        <v>331</v>
      </c>
      <c r="P1304" s="1" t="str">
        <f t="shared" si="65"/>
        <v>BC Formoso2.2Inverter(MBUS-13)46021,927083333346021,927083333346022,3958333333</v>
      </c>
      <c r="Q1304" s="1" t="str">
        <f t="shared" si="66"/>
        <v>DAURDE</v>
      </c>
    </row>
    <row r="1305" spans="1:17" hidden="1">
      <c r="B1305" s="1" t="s">
        <v>424</v>
      </c>
      <c r="C1305" s="1" t="s">
        <v>354</v>
      </c>
      <c r="D1305" s="52">
        <v>46021.927083333336</v>
      </c>
      <c r="E1305" s="52">
        <v>46021.927083333336</v>
      </c>
      <c r="F1305" s="52">
        <v>46022.395833333336</v>
      </c>
      <c r="G1305" s="63">
        <f>F1305-E1305</f>
        <v>0.46875</v>
      </c>
      <c r="H1305" s="1" t="s">
        <v>248</v>
      </c>
      <c r="J1305" s="1" t="s">
        <v>249</v>
      </c>
      <c r="K1305" s="1" t="str">
        <f>_xlfn.XLOOKUP(J1305,REF!$D$2:$D$12,REF!$E$2:$E$12)</f>
        <v>Rede</v>
      </c>
      <c r="L1305" s="1" t="s">
        <v>770</v>
      </c>
      <c r="M1305" s="1" t="s">
        <v>251</v>
      </c>
      <c r="N1305" s="1" t="s">
        <v>330</v>
      </c>
      <c r="O1305" s="1" t="s">
        <v>331</v>
      </c>
      <c r="P1305" s="1" t="str">
        <f t="shared" si="65"/>
        <v>BC Formoso2.2Inverter(MBUS-12)46021,927083333346021,927083333346022,3958333333</v>
      </c>
      <c r="Q1305" s="1" t="str">
        <f t="shared" si="66"/>
        <v>DAURDE</v>
      </c>
    </row>
    <row r="1306" spans="1:17" hidden="1">
      <c r="B1306" s="1" t="s">
        <v>424</v>
      </c>
      <c r="C1306" s="1" t="s">
        <v>328</v>
      </c>
      <c r="D1306" s="52">
        <v>46021.927083333336</v>
      </c>
      <c r="E1306" s="52">
        <v>46021.927083333336</v>
      </c>
      <c r="F1306" s="52">
        <v>46022.395833333336</v>
      </c>
      <c r="G1306" s="63">
        <f>F1306-E1306</f>
        <v>0.46875</v>
      </c>
      <c r="H1306" s="1" t="s">
        <v>248</v>
      </c>
      <c r="J1306" s="1" t="s">
        <v>249</v>
      </c>
      <c r="K1306" s="1" t="str">
        <f>_xlfn.XLOOKUP(J1306,REF!$D$2:$D$12,REF!$E$2:$E$12)</f>
        <v>Rede</v>
      </c>
      <c r="L1306" s="1" t="s">
        <v>770</v>
      </c>
      <c r="M1306" s="1" t="s">
        <v>251</v>
      </c>
      <c r="N1306" s="1" t="s">
        <v>330</v>
      </c>
      <c r="O1306" s="1" t="s">
        <v>331</v>
      </c>
      <c r="P1306" s="1" t="str">
        <f t="shared" ref="P1306:P1369" si="67">_xlfn.CONCAT(B1306,C1306,D1306,E1306,F1306)</f>
        <v>BC Formoso2.2Inverter(MBUS-1)46021,927083333346021,927083333346022,3958333333</v>
      </c>
      <c r="Q1306" s="1" t="str">
        <f t="shared" ref="Q1306:Q1369" si="68">_xlfn.CONCAT(H1306,I1306,J1306)</f>
        <v>DAURDE</v>
      </c>
    </row>
    <row r="1307" spans="1:17" hidden="1">
      <c r="A1307" s="45"/>
      <c r="B1307" s="61" t="s">
        <v>678</v>
      </c>
      <c r="C1307" s="61" t="s">
        <v>557</v>
      </c>
      <c r="D1307" s="62">
        <v>46020.538194444445</v>
      </c>
      <c r="E1307" s="62">
        <v>46020.538194444445</v>
      </c>
      <c r="F1307" s="62">
        <v>46020.583333333336</v>
      </c>
      <c r="G1307" s="63">
        <f>F1307-E1307</f>
        <v>4.5138888890505768E-2</v>
      </c>
      <c r="H1307" s="61" t="s">
        <v>248</v>
      </c>
      <c r="I1307" s="61"/>
      <c r="J1307" s="61" t="s">
        <v>300</v>
      </c>
      <c r="K1307" s="1" t="str">
        <f>_xlfn.XLOOKUP(J1307,REF!$D$2:$D$12,REF!$E$2:$E$12)</f>
        <v>Inversor</v>
      </c>
      <c r="L1307" s="61" t="s">
        <v>881</v>
      </c>
      <c r="M1307" s="61" t="s">
        <v>375</v>
      </c>
      <c r="N1307" s="61" t="s">
        <v>266</v>
      </c>
      <c r="O1307" s="61" t="s">
        <v>882</v>
      </c>
      <c r="P1307" s="61"/>
      <c r="Q1307" s="61"/>
    </row>
    <row r="1308" spans="1:17" hidden="1">
      <c r="A1308" s="45"/>
      <c r="B1308" s="61" t="s">
        <v>678</v>
      </c>
      <c r="C1308" s="61" t="s">
        <v>557</v>
      </c>
      <c r="D1308" s="62">
        <v>46021.513888888891</v>
      </c>
      <c r="E1308" s="62">
        <v>46020.538194444445</v>
      </c>
      <c r="F1308" s="62">
        <v>46021.291666666664</v>
      </c>
      <c r="G1308" s="63">
        <f>F1308-E1308</f>
        <v>0.75347222221898846</v>
      </c>
      <c r="H1308" s="61" t="s">
        <v>248</v>
      </c>
      <c r="I1308" s="61"/>
      <c r="J1308" s="61" t="s">
        <v>300</v>
      </c>
      <c r="K1308" s="1" t="str">
        <f>_xlfn.XLOOKUP(J1308,REF!$D$2:$D$12,REF!$E$2:$E$12)</f>
        <v>Inversor</v>
      </c>
      <c r="L1308" s="61" t="s">
        <v>881</v>
      </c>
      <c r="M1308" s="61" t="s">
        <v>375</v>
      </c>
      <c r="N1308" s="61" t="s">
        <v>266</v>
      </c>
      <c r="O1308" s="61" t="s">
        <v>882</v>
      </c>
      <c r="P1308" s="61"/>
      <c r="Q1308" s="61"/>
    </row>
    <row r="1309" spans="1:17" hidden="1">
      <c r="B1309" s="1" t="s">
        <v>353</v>
      </c>
      <c r="C1309" s="1" t="s">
        <v>354</v>
      </c>
      <c r="D1309" s="52">
        <v>46003.222222222219</v>
      </c>
      <c r="E1309" s="52">
        <v>46003.222222222219</v>
      </c>
      <c r="F1309" s="52">
        <v>46003.34652777778</v>
      </c>
      <c r="G1309" s="63">
        <f>F1309-E1309</f>
        <v>0.12430555556056788</v>
      </c>
      <c r="H1309" s="1" t="s">
        <v>248</v>
      </c>
      <c r="J1309" s="1" t="s">
        <v>249</v>
      </c>
      <c r="K1309" s="1" t="str">
        <f>_xlfn.XLOOKUP(J1309,REF!$D$2:$D$12,REF!$E$2:$E$12)</f>
        <v>Rede</v>
      </c>
      <c r="L1309" s="1" t="s">
        <v>890</v>
      </c>
      <c r="M1309" s="1" t="s">
        <v>251</v>
      </c>
      <c r="N1309" s="1" t="s">
        <v>330</v>
      </c>
      <c r="O1309" s="1" t="s">
        <v>331</v>
      </c>
      <c r="P1309" s="1" t="str">
        <f t="shared" si="67"/>
        <v>ARAGUATINS 1.1Inverter(MBUS-12)46003,222222222246003,222222222246003,3465277778</v>
      </c>
      <c r="Q1309" s="1" t="str">
        <f t="shared" si="68"/>
        <v>DAURDE</v>
      </c>
    </row>
    <row r="1310" spans="1:17" hidden="1">
      <c r="B1310" s="1" t="s">
        <v>353</v>
      </c>
      <c r="C1310" s="1" t="s">
        <v>357</v>
      </c>
      <c r="D1310" s="52">
        <v>46003.222222222219</v>
      </c>
      <c r="E1310" s="52">
        <v>46003.222222222219</v>
      </c>
      <c r="F1310" s="52">
        <v>46003.34652777778</v>
      </c>
      <c r="G1310" s="63">
        <f>F1310-E1310</f>
        <v>0.12430555556056788</v>
      </c>
      <c r="H1310" s="1" t="s">
        <v>248</v>
      </c>
      <c r="J1310" s="1" t="s">
        <v>249</v>
      </c>
      <c r="K1310" s="1" t="str">
        <f>_xlfn.XLOOKUP(J1310,REF!$D$2:$D$12,REF!$E$2:$E$12)</f>
        <v>Rede</v>
      </c>
      <c r="L1310" s="1" t="s">
        <v>890</v>
      </c>
      <c r="M1310" s="1" t="s">
        <v>251</v>
      </c>
      <c r="N1310" s="1" t="s">
        <v>330</v>
      </c>
      <c r="O1310" s="1" t="s">
        <v>331</v>
      </c>
      <c r="P1310" s="1" t="str">
        <f t="shared" si="67"/>
        <v>ARAGUATINS 1.1Inverter(MBUS-13)46003,222222222246003,222222222246003,3465277778</v>
      </c>
      <c r="Q1310" s="1" t="str">
        <f t="shared" si="68"/>
        <v>DAURDE</v>
      </c>
    </row>
    <row r="1311" spans="1:17" hidden="1">
      <c r="B1311" s="1" t="s">
        <v>353</v>
      </c>
      <c r="C1311" s="1" t="s">
        <v>358</v>
      </c>
      <c r="D1311" s="52">
        <v>46003.222222222219</v>
      </c>
      <c r="E1311" s="52">
        <v>46003.222222222219</v>
      </c>
      <c r="F1311" s="52">
        <v>46003.34652777778</v>
      </c>
      <c r="G1311" s="63">
        <f>F1311-E1311</f>
        <v>0.12430555556056788</v>
      </c>
      <c r="H1311" s="1" t="s">
        <v>248</v>
      </c>
      <c r="J1311" s="1" t="s">
        <v>249</v>
      </c>
      <c r="K1311" s="1" t="str">
        <f>_xlfn.XLOOKUP(J1311,REF!$D$2:$D$12,REF!$E$2:$E$12)</f>
        <v>Rede</v>
      </c>
      <c r="L1311" s="1" t="s">
        <v>890</v>
      </c>
      <c r="M1311" s="1" t="s">
        <v>251</v>
      </c>
      <c r="N1311" s="1" t="s">
        <v>330</v>
      </c>
      <c r="O1311" s="1" t="s">
        <v>331</v>
      </c>
      <c r="P1311" s="1" t="str">
        <f t="shared" si="67"/>
        <v>ARAGUATINS 1.1Inverter(MBUS-14)46003,222222222246003,222222222246003,3465277778</v>
      </c>
      <c r="Q1311" s="1" t="str">
        <f t="shared" si="68"/>
        <v>DAURDE</v>
      </c>
    </row>
    <row r="1312" spans="1:17" hidden="1">
      <c r="B1312" s="1" t="s">
        <v>353</v>
      </c>
      <c r="C1312" s="1" t="s">
        <v>359</v>
      </c>
      <c r="D1312" s="52">
        <v>46003.222222222219</v>
      </c>
      <c r="E1312" s="52">
        <v>46003.222222222219</v>
      </c>
      <c r="F1312" s="52">
        <v>46003.34652777778</v>
      </c>
      <c r="G1312" s="63">
        <f>F1312-E1312</f>
        <v>0.12430555556056788</v>
      </c>
      <c r="H1312" s="1" t="s">
        <v>248</v>
      </c>
      <c r="J1312" s="1" t="s">
        <v>249</v>
      </c>
      <c r="K1312" s="1" t="str">
        <f>_xlfn.XLOOKUP(J1312,REF!$D$2:$D$12,REF!$E$2:$E$12)</f>
        <v>Rede</v>
      </c>
      <c r="L1312" s="1" t="s">
        <v>890</v>
      </c>
      <c r="M1312" s="1" t="s">
        <v>251</v>
      </c>
      <c r="N1312" s="1" t="s">
        <v>330</v>
      </c>
      <c r="O1312" s="1" t="s">
        <v>331</v>
      </c>
      <c r="P1312" s="1" t="str">
        <f t="shared" si="67"/>
        <v>ARAGUATINS 1.1Inverter(MBUS-15)46003,222222222246003,222222222246003,3465277778</v>
      </c>
      <c r="Q1312" s="1" t="str">
        <f t="shared" si="68"/>
        <v>DAURDE</v>
      </c>
    </row>
    <row r="1313" spans="2:17" hidden="1">
      <c r="B1313" s="1" t="s">
        <v>360</v>
      </c>
      <c r="C1313" s="1" t="s">
        <v>354</v>
      </c>
      <c r="D1313" s="52">
        <v>46003.222222222219</v>
      </c>
      <c r="E1313" s="52">
        <v>46003.222222222219</v>
      </c>
      <c r="F1313" s="52">
        <v>46003.34652777778</v>
      </c>
      <c r="G1313" s="63">
        <f>F1313-E1313</f>
        <v>0.12430555556056788</v>
      </c>
      <c r="H1313" s="1" t="s">
        <v>248</v>
      </c>
      <c r="J1313" s="1" t="s">
        <v>249</v>
      </c>
      <c r="K1313" s="1" t="str">
        <f>_xlfn.XLOOKUP(J1313,REF!$D$2:$D$12,REF!$E$2:$E$12)</f>
        <v>Rede</v>
      </c>
      <c r="L1313" s="1" t="s">
        <v>890</v>
      </c>
      <c r="M1313" s="1" t="s">
        <v>251</v>
      </c>
      <c r="N1313" s="1" t="s">
        <v>330</v>
      </c>
      <c r="O1313" s="1" t="s">
        <v>331</v>
      </c>
      <c r="P1313" s="1" t="str">
        <f t="shared" si="67"/>
        <v>ARAGUATINS 1.2Inverter(MBUS-12)46003,222222222246003,222222222246003,3465277778</v>
      </c>
      <c r="Q1313" s="1" t="str">
        <f t="shared" si="68"/>
        <v>DAURDE</v>
      </c>
    </row>
    <row r="1314" spans="2:17" hidden="1">
      <c r="B1314" s="1" t="s">
        <v>360</v>
      </c>
      <c r="C1314" s="1" t="s">
        <v>357</v>
      </c>
      <c r="D1314" s="52">
        <v>46003.222222222219</v>
      </c>
      <c r="E1314" s="52">
        <v>46003.222222222219</v>
      </c>
      <c r="F1314" s="52">
        <v>46003.34652777778</v>
      </c>
      <c r="G1314" s="63">
        <f>F1314-E1314</f>
        <v>0.12430555556056788</v>
      </c>
      <c r="H1314" s="1" t="s">
        <v>248</v>
      </c>
      <c r="J1314" s="1" t="s">
        <v>249</v>
      </c>
      <c r="K1314" s="1" t="str">
        <f>_xlfn.XLOOKUP(J1314,REF!$D$2:$D$12,REF!$E$2:$E$12)</f>
        <v>Rede</v>
      </c>
      <c r="L1314" s="1" t="s">
        <v>890</v>
      </c>
      <c r="M1314" s="1" t="s">
        <v>251</v>
      </c>
      <c r="N1314" s="1" t="s">
        <v>330</v>
      </c>
      <c r="O1314" s="1" t="s">
        <v>331</v>
      </c>
      <c r="P1314" s="1" t="str">
        <f t="shared" si="67"/>
        <v>ARAGUATINS 1.2Inverter(MBUS-13)46003,222222222246003,222222222246003,3465277778</v>
      </c>
      <c r="Q1314" s="1" t="str">
        <f t="shared" si="68"/>
        <v>DAURDE</v>
      </c>
    </row>
    <row r="1315" spans="2:17" hidden="1">
      <c r="B1315" s="1" t="s">
        <v>360</v>
      </c>
      <c r="C1315" s="1" t="s">
        <v>358</v>
      </c>
      <c r="D1315" s="52">
        <v>46003.222222222219</v>
      </c>
      <c r="E1315" s="52">
        <v>46003.222222222219</v>
      </c>
      <c r="F1315" s="52">
        <v>46003.34652777778</v>
      </c>
      <c r="G1315" s="63">
        <f>F1315-E1315</f>
        <v>0.12430555556056788</v>
      </c>
      <c r="H1315" s="1" t="s">
        <v>248</v>
      </c>
      <c r="J1315" s="1" t="s">
        <v>249</v>
      </c>
      <c r="K1315" s="1" t="str">
        <f>_xlfn.XLOOKUP(J1315,REF!$D$2:$D$12,REF!$E$2:$E$12)</f>
        <v>Rede</v>
      </c>
      <c r="L1315" s="1" t="s">
        <v>890</v>
      </c>
      <c r="M1315" s="1" t="s">
        <v>251</v>
      </c>
      <c r="N1315" s="1" t="s">
        <v>330</v>
      </c>
      <c r="O1315" s="1" t="s">
        <v>331</v>
      </c>
      <c r="P1315" s="1" t="str">
        <f t="shared" si="67"/>
        <v>ARAGUATINS 1.2Inverter(MBUS-14)46003,222222222246003,222222222246003,3465277778</v>
      </c>
      <c r="Q1315" s="1" t="str">
        <f t="shared" si="68"/>
        <v>DAURDE</v>
      </c>
    </row>
    <row r="1316" spans="2:17" hidden="1">
      <c r="B1316" s="1" t="s">
        <v>360</v>
      </c>
      <c r="C1316" s="1" t="s">
        <v>359</v>
      </c>
      <c r="D1316" s="52">
        <v>46003.222222222219</v>
      </c>
      <c r="E1316" s="52">
        <v>46003.222222222219</v>
      </c>
      <c r="F1316" s="52">
        <v>46003.34652777778</v>
      </c>
      <c r="G1316" s="63">
        <f>F1316-E1316</f>
        <v>0.12430555556056788</v>
      </c>
      <c r="H1316" s="1" t="s">
        <v>248</v>
      </c>
      <c r="J1316" s="1" t="s">
        <v>249</v>
      </c>
      <c r="K1316" s="1" t="str">
        <f>_xlfn.XLOOKUP(J1316,REF!$D$2:$D$12,REF!$E$2:$E$12)</f>
        <v>Rede</v>
      </c>
      <c r="L1316" s="1" t="s">
        <v>890</v>
      </c>
      <c r="M1316" s="1" t="s">
        <v>251</v>
      </c>
      <c r="N1316" s="1" t="s">
        <v>330</v>
      </c>
      <c r="O1316" s="1" t="s">
        <v>331</v>
      </c>
      <c r="P1316" s="1" t="str">
        <f t="shared" si="67"/>
        <v>ARAGUATINS 1.2Inverter(MBUS-15)46003,222222222246003,222222222246003,3465277778</v>
      </c>
      <c r="Q1316" s="1" t="str">
        <f t="shared" si="68"/>
        <v>DAURDE</v>
      </c>
    </row>
    <row r="1317" spans="2:17" hidden="1">
      <c r="B1317" s="1" t="s">
        <v>361</v>
      </c>
      <c r="C1317" s="1" t="s">
        <v>362</v>
      </c>
      <c r="D1317" s="52">
        <v>46003.222222222219</v>
      </c>
      <c r="E1317" s="52">
        <v>46003.222222222219</v>
      </c>
      <c r="F1317" s="52">
        <v>46003.34652777778</v>
      </c>
      <c r="G1317" s="63">
        <f>F1317-E1317</f>
        <v>0.12430555556056788</v>
      </c>
      <c r="H1317" s="1" t="s">
        <v>248</v>
      </c>
      <c r="J1317" s="1" t="s">
        <v>249</v>
      </c>
      <c r="K1317" s="1" t="str">
        <f>_xlfn.XLOOKUP(J1317,REF!$D$2:$D$12,REF!$E$2:$E$12)</f>
        <v>Rede</v>
      </c>
      <c r="L1317" s="1" t="s">
        <v>890</v>
      </c>
      <c r="M1317" s="1" t="s">
        <v>251</v>
      </c>
      <c r="N1317" s="1" t="s">
        <v>330</v>
      </c>
      <c r="O1317" s="1" t="s">
        <v>331</v>
      </c>
      <c r="P1317" s="1" t="str">
        <f t="shared" si="67"/>
        <v>ARAGUATINS 1.3Inverter(MBUS-20)46003,222222222246003,222222222246003,3465277778</v>
      </c>
      <c r="Q1317" s="1" t="str">
        <f t="shared" si="68"/>
        <v>DAURDE</v>
      </c>
    </row>
    <row r="1318" spans="2:17" hidden="1">
      <c r="B1318" s="1" t="s">
        <v>361</v>
      </c>
      <c r="C1318" s="1" t="s">
        <v>328</v>
      </c>
      <c r="D1318" s="52">
        <v>46003.222222222219</v>
      </c>
      <c r="E1318" s="52">
        <v>46003.222222222219</v>
      </c>
      <c r="F1318" s="52">
        <v>46003.34652777778</v>
      </c>
      <c r="G1318" s="63">
        <f>F1318-E1318</f>
        <v>0.12430555556056788</v>
      </c>
      <c r="H1318" s="1" t="s">
        <v>248</v>
      </c>
      <c r="J1318" s="1" t="s">
        <v>249</v>
      </c>
      <c r="K1318" s="1" t="str">
        <f>_xlfn.XLOOKUP(J1318,REF!$D$2:$D$12,REF!$E$2:$E$12)</f>
        <v>Rede</v>
      </c>
      <c r="L1318" s="1" t="s">
        <v>890</v>
      </c>
      <c r="M1318" s="1" t="s">
        <v>251</v>
      </c>
      <c r="N1318" s="1" t="s">
        <v>330</v>
      </c>
      <c r="O1318" s="1" t="s">
        <v>331</v>
      </c>
      <c r="P1318" s="1" t="str">
        <f t="shared" si="67"/>
        <v>ARAGUATINS 1.3Inverter(MBUS-1)46003,222222222246003,222222222246003,3465277778</v>
      </c>
      <c r="Q1318" s="1" t="str">
        <f t="shared" si="68"/>
        <v>DAURDE</v>
      </c>
    </row>
    <row r="1319" spans="2:17" hidden="1">
      <c r="B1319" s="1" t="s">
        <v>363</v>
      </c>
      <c r="C1319" s="1" t="s">
        <v>354</v>
      </c>
      <c r="D1319" s="52">
        <v>46003.222222222219</v>
      </c>
      <c r="E1319" s="52">
        <v>46003.222222222219</v>
      </c>
      <c r="F1319" s="52">
        <v>46003.34652777778</v>
      </c>
      <c r="G1319" s="63">
        <f>F1319-E1319</f>
        <v>0.12430555556056788</v>
      </c>
      <c r="H1319" s="1" t="s">
        <v>248</v>
      </c>
      <c r="J1319" s="1" t="s">
        <v>249</v>
      </c>
      <c r="K1319" s="1" t="str">
        <f>_xlfn.XLOOKUP(J1319,REF!$D$2:$D$12,REF!$E$2:$E$12)</f>
        <v>Rede</v>
      </c>
      <c r="L1319" s="1" t="s">
        <v>890</v>
      </c>
      <c r="M1319" s="1" t="s">
        <v>251</v>
      </c>
      <c r="N1319" s="1" t="s">
        <v>330</v>
      </c>
      <c r="O1319" s="1" t="s">
        <v>331</v>
      </c>
      <c r="P1319" s="1" t="str">
        <f t="shared" si="67"/>
        <v>ARAGUATINS 2.1Inverter(MBUS-12)46003,222222222246003,222222222246003,3465277778</v>
      </c>
      <c r="Q1319" s="1" t="str">
        <f t="shared" si="68"/>
        <v>DAURDE</v>
      </c>
    </row>
    <row r="1320" spans="2:17" hidden="1">
      <c r="B1320" s="1" t="s">
        <v>363</v>
      </c>
      <c r="C1320" s="1" t="s">
        <v>359</v>
      </c>
      <c r="D1320" s="52">
        <v>46003.222222222219</v>
      </c>
      <c r="E1320" s="52">
        <v>46003.222222222219</v>
      </c>
      <c r="F1320" s="52">
        <v>46003.34652777778</v>
      </c>
      <c r="G1320" s="63">
        <f>F1320-E1320</f>
        <v>0.12430555556056788</v>
      </c>
      <c r="H1320" s="1" t="s">
        <v>248</v>
      </c>
      <c r="J1320" s="1" t="s">
        <v>249</v>
      </c>
      <c r="K1320" s="1" t="str">
        <f>_xlfn.XLOOKUP(J1320,REF!$D$2:$D$12,REF!$E$2:$E$12)</f>
        <v>Rede</v>
      </c>
      <c r="L1320" s="1" t="s">
        <v>890</v>
      </c>
      <c r="M1320" s="1" t="s">
        <v>251</v>
      </c>
      <c r="N1320" s="1" t="s">
        <v>330</v>
      </c>
      <c r="O1320" s="1" t="s">
        <v>331</v>
      </c>
      <c r="P1320" s="1" t="str">
        <f t="shared" si="67"/>
        <v>ARAGUATINS 2.1Inverter(MBUS-15)46003,222222222246003,222222222246003,3465277778</v>
      </c>
      <c r="Q1320" s="1" t="str">
        <f t="shared" si="68"/>
        <v>DAURDE</v>
      </c>
    </row>
    <row r="1321" spans="2:17" hidden="1">
      <c r="B1321" s="1" t="s">
        <v>363</v>
      </c>
      <c r="C1321" s="1" t="s">
        <v>358</v>
      </c>
      <c r="D1321" s="52">
        <v>46003.222222222219</v>
      </c>
      <c r="E1321" s="52">
        <v>46003.222222222219</v>
      </c>
      <c r="F1321" s="52">
        <v>46003.34652777778</v>
      </c>
      <c r="G1321" s="63">
        <f>F1321-E1321</f>
        <v>0.12430555556056788</v>
      </c>
      <c r="H1321" s="1" t="s">
        <v>248</v>
      </c>
      <c r="J1321" s="1" t="s">
        <v>249</v>
      </c>
      <c r="K1321" s="1" t="str">
        <f>_xlfn.XLOOKUP(J1321,REF!$D$2:$D$12,REF!$E$2:$E$12)</f>
        <v>Rede</v>
      </c>
      <c r="L1321" s="1" t="s">
        <v>890</v>
      </c>
      <c r="M1321" s="1" t="s">
        <v>251</v>
      </c>
      <c r="N1321" s="1" t="s">
        <v>330</v>
      </c>
      <c r="O1321" s="1" t="s">
        <v>331</v>
      </c>
      <c r="P1321" s="1" t="str">
        <f t="shared" si="67"/>
        <v>ARAGUATINS 2.1Inverter(MBUS-14)46003,222222222246003,222222222246003,3465277778</v>
      </c>
      <c r="Q1321" s="1" t="str">
        <f t="shared" si="68"/>
        <v>DAURDE</v>
      </c>
    </row>
    <row r="1322" spans="2:17" hidden="1">
      <c r="B1322" s="1" t="s">
        <v>363</v>
      </c>
      <c r="C1322" s="1" t="s">
        <v>328</v>
      </c>
      <c r="D1322" s="52">
        <v>46003.222222222219</v>
      </c>
      <c r="E1322" s="52">
        <v>46003.222222222219</v>
      </c>
      <c r="F1322" s="52">
        <v>46003.34652777778</v>
      </c>
      <c r="G1322" s="63">
        <f>F1322-E1322</f>
        <v>0.12430555556056788</v>
      </c>
      <c r="H1322" s="1" t="s">
        <v>248</v>
      </c>
      <c r="J1322" s="1" t="s">
        <v>249</v>
      </c>
      <c r="K1322" s="1" t="str">
        <f>_xlfn.XLOOKUP(J1322,REF!$D$2:$D$12,REF!$E$2:$E$12)</f>
        <v>Rede</v>
      </c>
      <c r="L1322" s="1" t="s">
        <v>890</v>
      </c>
      <c r="M1322" s="1" t="s">
        <v>251</v>
      </c>
      <c r="N1322" s="1" t="s">
        <v>330</v>
      </c>
      <c r="O1322" s="1" t="s">
        <v>331</v>
      </c>
      <c r="P1322" s="1" t="str">
        <f t="shared" si="67"/>
        <v>ARAGUATINS 2.1Inverter(MBUS-1)46003,222222222246003,222222222246003,3465277778</v>
      </c>
      <c r="Q1322" s="1" t="str">
        <f t="shared" si="68"/>
        <v>DAURDE</v>
      </c>
    </row>
    <row r="1323" spans="2:17" hidden="1">
      <c r="B1323" s="1" t="s">
        <v>369</v>
      </c>
      <c r="C1323" s="1" t="s">
        <v>359</v>
      </c>
      <c r="D1323" s="52">
        <v>46003.222222222219</v>
      </c>
      <c r="E1323" s="52">
        <v>46003.222222222219</v>
      </c>
      <c r="F1323" s="52">
        <v>46003.34652777778</v>
      </c>
      <c r="G1323" s="63">
        <f>F1323-E1323</f>
        <v>0.12430555556056788</v>
      </c>
      <c r="H1323" s="1" t="s">
        <v>248</v>
      </c>
      <c r="J1323" s="1" t="s">
        <v>249</v>
      </c>
      <c r="K1323" s="1" t="str">
        <f>_xlfn.XLOOKUP(J1323,REF!$D$2:$D$12,REF!$E$2:$E$12)</f>
        <v>Rede</v>
      </c>
      <c r="L1323" s="1" t="s">
        <v>890</v>
      </c>
      <c r="M1323" s="1" t="s">
        <v>251</v>
      </c>
      <c r="N1323" s="1" t="s">
        <v>330</v>
      </c>
      <c r="O1323" s="1" t="s">
        <v>331</v>
      </c>
      <c r="P1323" s="1" t="str">
        <f t="shared" si="67"/>
        <v>ARAGUATINS 2.2Inverter(MBUS-15)46003,222222222246003,222222222246003,3465277778</v>
      </c>
      <c r="Q1323" s="1" t="str">
        <f t="shared" si="68"/>
        <v>DAURDE</v>
      </c>
    </row>
    <row r="1324" spans="2:17" hidden="1">
      <c r="B1324" s="1" t="s">
        <v>369</v>
      </c>
      <c r="C1324" s="1" t="s">
        <v>357</v>
      </c>
      <c r="D1324" s="52">
        <v>46003.222222222219</v>
      </c>
      <c r="E1324" s="52">
        <v>46003.222222222219</v>
      </c>
      <c r="F1324" s="52">
        <v>46003.34652777778</v>
      </c>
      <c r="G1324" s="63">
        <f>F1324-E1324</f>
        <v>0.12430555556056788</v>
      </c>
      <c r="H1324" s="1" t="s">
        <v>248</v>
      </c>
      <c r="J1324" s="1" t="s">
        <v>249</v>
      </c>
      <c r="K1324" s="1" t="str">
        <f>_xlfn.XLOOKUP(J1324,REF!$D$2:$D$12,REF!$E$2:$E$12)</f>
        <v>Rede</v>
      </c>
      <c r="L1324" s="1" t="s">
        <v>890</v>
      </c>
      <c r="M1324" s="1" t="s">
        <v>251</v>
      </c>
      <c r="N1324" s="1" t="s">
        <v>330</v>
      </c>
      <c r="O1324" s="1" t="s">
        <v>331</v>
      </c>
      <c r="P1324" s="1" t="str">
        <f t="shared" si="67"/>
        <v>ARAGUATINS 2.2Inverter(MBUS-13)46003,222222222246003,222222222246003,3465277778</v>
      </c>
      <c r="Q1324" s="1" t="str">
        <f t="shared" si="68"/>
        <v>DAURDE</v>
      </c>
    </row>
    <row r="1325" spans="2:17" hidden="1">
      <c r="B1325" s="1" t="s">
        <v>369</v>
      </c>
      <c r="C1325" s="1" t="s">
        <v>358</v>
      </c>
      <c r="D1325" s="52">
        <v>46003.222222222219</v>
      </c>
      <c r="E1325" s="52">
        <v>46003.222222222219</v>
      </c>
      <c r="F1325" s="52">
        <v>46003.34652777778</v>
      </c>
      <c r="G1325" s="63">
        <f>F1325-E1325</f>
        <v>0.12430555556056788</v>
      </c>
      <c r="H1325" s="1" t="s">
        <v>248</v>
      </c>
      <c r="J1325" s="1" t="s">
        <v>249</v>
      </c>
      <c r="K1325" s="1" t="str">
        <f>_xlfn.XLOOKUP(J1325,REF!$D$2:$D$12,REF!$E$2:$E$12)</f>
        <v>Rede</v>
      </c>
      <c r="L1325" s="1" t="s">
        <v>890</v>
      </c>
      <c r="M1325" s="1" t="s">
        <v>251</v>
      </c>
      <c r="N1325" s="1" t="s">
        <v>330</v>
      </c>
      <c r="O1325" s="1" t="s">
        <v>331</v>
      </c>
      <c r="P1325" s="1" t="str">
        <f t="shared" si="67"/>
        <v>ARAGUATINS 2.2Inverter(MBUS-14)46003,222222222246003,222222222246003,3465277778</v>
      </c>
      <c r="Q1325" s="1" t="str">
        <f t="shared" si="68"/>
        <v>DAURDE</v>
      </c>
    </row>
    <row r="1326" spans="2:17" hidden="1">
      <c r="B1326" s="1" t="s">
        <v>369</v>
      </c>
      <c r="C1326" s="1" t="s">
        <v>354</v>
      </c>
      <c r="D1326" s="52">
        <v>46003.222222222219</v>
      </c>
      <c r="E1326" s="52">
        <v>46003.222222222219</v>
      </c>
      <c r="F1326" s="52">
        <v>46003.34652777778</v>
      </c>
      <c r="G1326" s="63">
        <f>F1326-E1326</f>
        <v>0.12430555556056788</v>
      </c>
      <c r="H1326" s="1" t="s">
        <v>248</v>
      </c>
      <c r="J1326" s="1" t="s">
        <v>249</v>
      </c>
      <c r="K1326" s="1" t="str">
        <f>_xlfn.XLOOKUP(J1326,REF!$D$2:$D$12,REF!$E$2:$E$12)</f>
        <v>Rede</v>
      </c>
      <c r="L1326" s="1" t="s">
        <v>890</v>
      </c>
      <c r="M1326" s="1" t="s">
        <v>251</v>
      </c>
      <c r="N1326" s="1" t="s">
        <v>330</v>
      </c>
      <c r="O1326" s="1" t="s">
        <v>331</v>
      </c>
      <c r="P1326" s="1" t="str">
        <f t="shared" si="67"/>
        <v>ARAGUATINS 2.2Inverter(MBUS-12)46003,222222222246003,222222222246003,3465277778</v>
      </c>
      <c r="Q1326" s="1" t="str">
        <f t="shared" si="68"/>
        <v>DAURDE</v>
      </c>
    </row>
    <row r="1327" spans="2:17" hidden="1">
      <c r="B1327" s="1" t="s">
        <v>370</v>
      </c>
      <c r="C1327" s="1" t="s">
        <v>354</v>
      </c>
      <c r="D1327" s="52">
        <v>46003.222222222219</v>
      </c>
      <c r="E1327" s="52">
        <v>46003.222222222219</v>
      </c>
      <c r="F1327" s="52">
        <v>46003.34652777778</v>
      </c>
      <c r="G1327" s="63">
        <f>F1327-E1327</f>
        <v>0.12430555556056788</v>
      </c>
      <c r="H1327" s="1" t="s">
        <v>248</v>
      </c>
      <c r="J1327" s="1" t="s">
        <v>249</v>
      </c>
      <c r="K1327" s="1" t="str">
        <f>_xlfn.XLOOKUP(J1327,REF!$D$2:$D$12,REF!$E$2:$E$12)</f>
        <v>Rede</v>
      </c>
      <c r="L1327" s="1" t="s">
        <v>890</v>
      </c>
      <c r="M1327" s="1" t="s">
        <v>251</v>
      </c>
      <c r="N1327" s="1" t="s">
        <v>330</v>
      </c>
      <c r="O1327" s="1" t="s">
        <v>331</v>
      </c>
      <c r="P1327" s="1" t="str">
        <f t="shared" si="67"/>
        <v>ARAGUATINS 2.3Inverter(MBUS-12)46003,222222222246003,222222222246003,3465277778</v>
      </c>
      <c r="Q1327" s="1" t="str">
        <f t="shared" si="68"/>
        <v>DAURDE</v>
      </c>
    </row>
    <row r="1328" spans="2:17" hidden="1">
      <c r="B1328" s="1" t="s">
        <v>370</v>
      </c>
      <c r="C1328" s="1" t="s">
        <v>357</v>
      </c>
      <c r="D1328" s="52">
        <v>46003.222222222219</v>
      </c>
      <c r="E1328" s="52">
        <v>46003.222222222219</v>
      </c>
      <c r="F1328" s="52">
        <v>46003.34652777778</v>
      </c>
      <c r="G1328" s="63">
        <f>F1328-E1328</f>
        <v>0.12430555556056788</v>
      </c>
      <c r="H1328" s="1" t="s">
        <v>248</v>
      </c>
      <c r="J1328" s="1" t="s">
        <v>249</v>
      </c>
      <c r="K1328" s="1" t="str">
        <f>_xlfn.XLOOKUP(J1328,REF!$D$2:$D$12,REF!$E$2:$E$12)</f>
        <v>Rede</v>
      </c>
      <c r="L1328" s="1" t="s">
        <v>890</v>
      </c>
      <c r="M1328" s="1" t="s">
        <v>251</v>
      </c>
      <c r="N1328" s="1" t="s">
        <v>330</v>
      </c>
      <c r="O1328" s="1" t="s">
        <v>331</v>
      </c>
      <c r="P1328" s="1" t="str">
        <f t="shared" si="67"/>
        <v>ARAGUATINS 2.3Inverter(MBUS-13)46003,222222222246003,222222222246003,3465277778</v>
      </c>
      <c r="Q1328" s="1" t="str">
        <f t="shared" si="68"/>
        <v>DAURDE</v>
      </c>
    </row>
    <row r="1329" spans="2:17" hidden="1">
      <c r="B1329" s="1" t="s">
        <v>771</v>
      </c>
      <c r="C1329" s="1" t="s">
        <v>772</v>
      </c>
      <c r="D1329" s="52">
        <v>46002.340277777781</v>
      </c>
      <c r="E1329" s="52">
        <v>46002.340277777781</v>
      </c>
      <c r="F1329" s="52">
        <v>46002.465277777781</v>
      </c>
      <c r="G1329" s="63">
        <f>F1329-E1329</f>
        <v>0.125</v>
      </c>
      <c r="H1329" s="1" t="s">
        <v>343</v>
      </c>
      <c r="J1329" s="1" t="s">
        <v>230</v>
      </c>
      <c r="K1329" s="1" t="str">
        <f>_xlfn.XLOOKUP(J1329,REF!$D$2:$D$12,REF!$E$2:$E$12)</f>
        <v>UFV</v>
      </c>
      <c r="L1329" s="1" t="s">
        <v>859</v>
      </c>
      <c r="M1329" s="1" t="s">
        <v>302</v>
      </c>
      <c r="N1329" s="1" t="s">
        <v>345</v>
      </c>
      <c r="O1329" s="1" t="s">
        <v>860</v>
      </c>
      <c r="P1329" s="1" t="str">
        <f t="shared" si="67"/>
        <v>Rio Monte ISG75CX(COM2-001)_001_01846002,340277777846002,340277777846002,4652777778</v>
      </c>
      <c r="Q1329" s="1" t="str">
        <f t="shared" si="68"/>
        <v>DPRUFV</v>
      </c>
    </row>
    <row r="1330" spans="2:17" hidden="1">
      <c r="B1330" s="1" t="s">
        <v>773</v>
      </c>
      <c r="C1330" s="1" t="s">
        <v>774</v>
      </c>
      <c r="D1330" s="52">
        <v>46002.340277777781</v>
      </c>
      <c r="E1330" s="52">
        <v>46002.340277777781</v>
      </c>
      <c r="F1330" s="52">
        <v>46002.465277777781</v>
      </c>
      <c r="G1330" s="63">
        <f>F1330-E1330</f>
        <v>0.125</v>
      </c>
      <c r="H1330" s="1" t="s">
        <v>343</v>
      </c>
      <c r="J1330" s="1" t="s">
        <v>230</v>
      </c>
      <c r="K1330" s="1" t="str">
        <f>_xlfn.XLOOKUP(J1330,REF!$D$2:$D$12,REF!$E$2:$E$12)</f>
        <v>UFV</v>
      </c>
      <c r="L1330" s="1" t="s">
        <v>859</v>
      </c>
      <c r="M1330" s="1" t="s">
        <v>302</v>
      </c>
      <c r="N1330" s="1" t="s">
        <v>345</v>
      </c>
      <c r="O1330" s="1" t="s">
        <v>860</v>
      </c>
      <c r="P1330" s="1" t="str">
        <f t="shared" si="67"/>
        <v>Rio Monte IISG40CX(COM2-007)_001_01746002,340277777846002,340277777846002,4652777778</v>
      </c>
      <c r="Q1330" s="1" t="str">
        <f t="shared" si="68"/>
        <v>DPRUFV</v>
      </c>
    </row>
    <row r="1331" spans="2:17" hidden="1">
      <c r="B1331" s="1" t="s">
        <v>773</v>
      </c>
      <c r="C1331" s="1" t="s">
        <v>775</v>
      </c>
      <c r="D1331" s="52">
        <v>46002.340277777781</v>
      </c>
      <c r="E1331" s="52">
        <v>46002.340277777781</v>
      </c>
      <c r="F1331" s="52">
        <v>46002.465277777781</v>
      </c>
      <c r="G1331" s="63">
        <f>F1331-E1331</f>
        <v>0.125</v>
      </c>
      <c r="H1331" s="1" t="s">
        <v>343</v>
      </c>
      <c r="J1331" s="1" t="s">
        <v>230</v>
      </c>
      <c r="K1331" s="1" t="str">
        <f>_xlfn.XLOOKUP(J1331,REF!$D$2:$D$12,REF!$E$2:$E$12)</f>
        <v>UFV</v>
      </c>
      <c r="L1331" s="1" t="s">
        <v>859</v>
      </c>
      <c r="M1331" s="1" t="s">
        <v>302</v>
      </c>
      <c r="N1331" s="1" t="s">
        <v>345</v>
      </c>
      <c r="O1331" s="1" t="s">
        <v>860</v>
      </c>
      <c r="P1331" s="1" t="str">
        <f t="shared" si="67"/>
        <v>Rio Monte IISG60KTL(COM1-002)_001_00546002,340277777846002,340277777846002,4652777778</v>
      </c>
      <c r="Q1331" s="1" t="str">
        <f t="shared" si="68"/>
        <v>DPRUFV</v>
      </c>
    </row>
    <row r="1332" spans="2:17" hidden="1">
      <c r="B1332" s="1" t="s">
        <v>773</v>
      </c>
      <c r="C1332" s="1" t="s">
        <v>776</v>
      </c>
      <c r="D1332" s="52">
        <v>46002.340277777781</v>
      </c>
      <c r="E1332" s="52">
        <v>46002.340277777781</v>
      </c>
      <c r="F1332" s="52">
        <v>46002.465277777781</v>
      </c>
      <c r="G1332" s="63">
        <f>F1332-E1332</f>
        <v>0.125</v>
      </c>
      <c r="H1332" s="1" t="s">
        <v>343</v>
      </c>
      <c r="J1332" s="1" t="s">
        <v>230</v>
      </c>
      <c r="K1332" s="1" t="str">
        <f>_xlfn.XLOOKUP(J1332,REF!$D$2:$D$12,REF!$E$2:$E$12)</f>
        <v>UFV</v>
      </c>
      <c r="L1332" s="1" t="s">
        <v>859</v>
      </c>
      <c r="M1332" s="1" t="s">
        <v>302</v>
      </c>
      <c r="N1332" s="1" t="s">
        <v>345</v>
      </c>
      <c r="O1332" s="1" t="s">
        <v>860</v>
      </c>
      <c r="P1332" s="1" t="str">
        <f t="shared" si="67"/>
        <v>Rio Monte IISG60KTL(COM1-003)_001__01146002,340277777846002,340277777846002,4652777778</v>
      </c>
      <c r="Q1332" s="1" t="str">
        <f t="shared" si="68"/>
        <v>DPRUFV</v>
      </c>
    </row>
    <row r="1333" spans="2:17" hidden="1">
      <c r="B1333" s="1" t="s">
        <v>773</v>
      </c>
      <c r="C1333" s="1" t="s">
        <v>777</v>
      </c>
      <c r="D1333" s="52">
        <v>46002.340277777781</v>
      </c>
      <c r="E1333" s="52">
        <v>46002.340277777781</v>
      </c>
      <c r="F1333" s="52">
        <v>46002.465277777781</v>
      </c>
      <c r="G1333" s="63">
        <f>F1333-E1333</f>
        <v>0.125</v>
      </c>
      <c r="H1333" s="1" t="s">
        <v>343</v>
      </c>
      <c r="J1333" s="1" t="s">
        <v>230</v>
      </c>
      <c r="K1333" s="1" t="str">
        <f>_xlfn.XLOOKUP(J1333,REF!$D$2:$D$12,REF!$E$2:$E$12)</f>
        <v>UFV</v>
      </c>
      <c r="L1333" s="1" t="s">
        <v>859</v>
      </c>
      <c r="M1333" s="1" t="s">
        <v>302</v>
      </c>
      <c r="N1333" s="1" t="s">
        <v>345</v>
      </c>
      <c r="O1333" s="1" t="s">
        <v>860</v>
      </c>
      <c r="P1333" s="1" t="str">
        <f t="shared" si="67"/>
        <v>Rio Monte IISG60KTL(COM1-004)_001_00746002,340277777846002,340277777846002,4652777778</v>
      </c>
      <c r="Q1333" s="1" t="str">
        <f t="shared" si="68"/>
        <v>DPRUFV</v>
      </c>
    </row>
    <row r="1334" spans="2:17" hidden="1">
      <c r="B1334" s="1" t="s">
        <v>773</v>
      </c>
      <c r="C1334" s="1" t="s">
        <v>778</v>
      </c>
      <c r="D1334" s="52">
        <v>46002.340277777781</v>
      </c>
      <c r="E1334" s="52">
        <v>46002.340277777781</v>
      </c>
      <c r="F1334" s="52">
        <v>46002.465277777781</v>
      </c>
      <c r="G1334" s="63">
        <f>F1334-E1334</f>
        <v>0.125</v>
      </c>
      <c r="H1334" s="1" t="s">
        <v>343</v>
      </c>
      <c r="J1334" s="1" t="s">
        <v>230</v>
      </c>
      <c r="K1334" s="1" t="str">
        <f>_xlfn.XLOOKUP(J1334,REF!$D$2:$D$12,REF!$E$2:$E$12)</f>
        <v>UFV</v>
      </c>
      <c r="L1334" s="1" t="s">
        <v>859</v>
      </c>
      <c r="M1334" s="1" t="s">
        <v>302</v>
      </c>
      <c r="N1334" s="1" t="s">
        <v>345</v>
      </c>
      <c r="O1334" s="1" t="s">
        <v>860</v>
      </c>
      <c r="P1334" s="1" t="str">
        <f t="shared" si="67"/>
        <v>Rio Monte IISG60KTL(COM1-005)_001_00946002,340277777846002,340277777846002,4652777778</v>
      </c>
      <c r="Q1334" s="1" t="str">
        <f t="shared" si="68"/>
        <v>DPRUFV</v>
      </c>
    </row>
    <row r="1335" spans="2:17" hidden="1">
      <c r="B1335" s="1" t="s">
        <v>773</v>
      </c>
      <c r="C1335" s="1" t="s">
        <v>779</v>
      </c>
      <c r="D1335" s="52">
        <v>46002.340277777781</v>
      </c>
      <c r="E1335" s="52">
        <v>46002.340277777781</v>
      </c>
      <c r="F1335" s="52">
        <v>46002.465277777781</v>
      </c>
      <c r="G1335" s="63">
        <f>F1335-E1335</f>
        <v>0.125</v>
      </c>
      <c r="H1335" s="1" t="s">
        <v>343</v>
      </c>
      <c r="J1335" s="1" t="s">
        <v>230</v>
      </c>
      <c r="K1335" s="1" t="str">
        <f>_xlfn.XLOOKUP(J1335,REF!$D$2:$D$12,REF!$E$2:$E$12)</f>
        <v>UFV</v>
      </c>
      <c r="L1335" s="1" t="s">
        <v>859</v>
      </c>
      <c r="M1335" s="1" t="s">
        <v>302</v>
      </c>
      <c r="N1335" s="1" t="s">
        <v>345</v>
      </c>
      <c r="O1335" s="1" t="s">
        <v>860</v>
      </c>
      <c r="P1335" s="1" t="str">
        <f t="shared" si="67"/>
        <v>Rio Monte IISG60KTL(COM1-006)_001_00646002,340277777846002,340277777846002,4652777778</v>
      </c>
      <c r="Q1335" s="1" t="str">
        <f t="shared" si="68"/>
        <v>DPRUFV</v>
      </c>
    </row>
    <row r="1336" spans="2:17" hidden="1">
      <c r="B1336" s="1" t="s">
        <v>782</v>
      </c>
      <c r="C1336" s="1" t="s">
        <v>783</v>
      </c>
      <c r="D1336" s="52">
        <v>46002.340277777781</v>
      </c>
      <c r="E1336" s="52">
        <v>46002.340277777781</v>
      </c>
      <c r="F1336" s="52">
        <v>46002.465277777781</v>
      </c>
      <c r="G1336" s="63">
        <f>F1336-E1336</f>
        <v>0.125</v>
      </c>
      <c r="H1336" s="1" t="s">
        <v>343</v>
      </c>
      <c r="J1336" s="1" t="s">
        <v>230</v>
      </c>
      <c r="K1336" s="1" t="str">
        <f>_xlfn.XLOOKUP(J1336,REF!$D$2:$D$12,REF!$E$2:$E$12)</f>
        <v>UFV</v>
      </c>
      <c r="L1336" s="1" t="s">
        <v>859</v>
      </c>
      <c r="M1336" s="1" t="s">
        <v>302</v>
      </c>
      <c r="N1336" s="1" t="s">
        <v>345</v>
      </c>
      <c r="O1336" s="1" t="s">
        <v>860</v>
      </c>
      <c r="P1336" s="1" t="str">
        <f t="shared" si="67"/>
        <v>Rio Monte IIISG60KTL(COM1-008)_001_01646002,340277777846002,340277777846002,4652777778</v>
      </c>
      <c r="Q1336" s="1" t="str">
        <f t="shared" si="68"/>
        <v>DPRUFV</v>
      </c>
    </row>
    <row r="1337" spans="2:17" hidden="1">
      <c r="B1337" s="1" t="s">
        <v>782</v>
      </c>
      <c r="C1337" s="1" t="s">
        <v>784</v>
      </c>
      <c r="D1337" s="52">
        <v>46002.340277777781</v>
      </c>
      <c r="E1337" s="52">
        <v>46002.340277777781</v>
      </c>
      <c r="F1337" s="52">
        <v>46002.465277777781</v>
      </c>
      <c r="G1337" s="63">
        <f>F1337-E1337</f>
        <v>0.125</v>
      </c>
      <c r="H1337" s="1" t="s">
        <v>343</v>
      </c>
      <c r="J1337" s="1" t="s">
        <v>230</v>
      </c>
      <c r="K1337" s="1" t="str">
        <f>_xlfn.XLOOKUP(J1337,REF!$D$2:$D$12,REF!$E$2:$E$12)</f>
        <v>UFV</v>
      </c>
      <c r="L1337" s="1" t="s">
        <v>859</v>
      </c>
      <c r="M1337" s="1" t="s">
        <v>302</v>
      </c>
      <c r="N1337" s="1" t="s">
        <v>345</v>
      </c>
      <c r="O1337" s="1" t="s">
        <v>860</v>
      </c>
      <c r="P1337" s="1" t="str">
        <f t="shared" si="67"/>
        <v>Rio Monte IIISG60KTL(COM1-009)_001_01046002,340277777846002,340277777846002,4652777778</v>
      </c>
      <c r="Q1337" s="1" t="str">
        <f t="shared" si="68"/>
        <v>DPRUFV</v>
      </c>
    </row>
    <row r="1338" spans="2:17" hidden="1">
      <c r="B1338" s="1" t="s">
        <v>782</v>
      </c>
      <c r="C1338" s="1" t="s">
        <v>785</v>
      </c>
      <c r="D1338" s="52">
        <v>46002.340277777781</v>
      </c>
      <c r="E1338" s="52">
        <v>46002.340277777781</v>
      </c>
      <c r="F1338" s="52">
        <v>46002.465277777781</v>
      </c>
      <c r="G1338" s="63">
        <f>F1338-E1338</f>
        <v>0.125</v>
      </c>
      <c r="H1338" s="1" t="s">
        <v>343</v>
      </c>
      <c r="J1338" s="1" t="s">
        <v>230</v>
      </c>
      <c r="K1338" s="1" t="str">
        <f>_xlfn.XLOOKUP(J1338,REF!$D$2:$D$12,REF!$E$2:$E$12)</f>
        <v>UFV</v>
      </c>
      <c r="L1338" s="1" t="s">
        <v>859</v>
      </c>
      <c r="M1338" s="1" t="s">
        <v>302</v>
      </c>
      <c r="N1338" s="1" t="s">
        <v>345</v>
      </c>
      <c r="O1338" s="1" t="s">
        <v>860</v>
      </c>
      <c r="P1338" s="1" t="str">
        <f t="shared" si="67"/>
        <v>Rio Monte IIISG60KTL(COM1-010)_001_01246002,340277777846002,340277777846002,4652777778</v>
      </c>
      <c r="Q1338" s="1" t="str">
        <f t="shared" si="68"/>
        <v>DPRUFV</v>
      </c>
    </row>
    <row r="1339" spans="2:17" hidden="1">
      <c r="B1339" s="1" t="s">
        <v>782</v>
      </c>
      <c r="C1339" s="1" t="s">
        <v>786</v>
      </c>
      <c r="D1339" s="52">
        <v>46002.340277777781</v>
      </c>
      <c r="E1339" s="52">
        <v>46002.340277777781</v>
      </c>
      <c r="F1339" s="52">
        <v>46002.465277777781</v>
      </c>
      <c r="G1339" s="63">
        <f>F1339-E1339</f>
        <v>0.125</v>
      </c>
      <c r="H1339" s="1" t="s">
        <v>343</v>
      </c>
      <c r="J1339" s="1" t="s">
        <v>230</v>
      </c>
      <c r="K1339" s="1" t="str">
        <f>_xlfn.XLOOKUP(J1339,REF!$D$2:$D$12,REF!$E$2:$E$12)</f>
        <v>UFV</v>
      </c>
      <c r="L1339" s="1" t="s">
        <v>859</v>
      </c>
      <c r="M1339" s="1" t="s">
        <v>302</v>
      </c>
      <c r="N1339" s="1" t="s">
        <v>345</v>
      </c>
      <c r="O1339" s="1" t="s">
        <v>860</v>
      </c>
      <c r="P1339" s="1" t="str">
        <f t="shared" si="67"/>
        <v>Rio Monte IIISG60KTL(COM1-011)_001_00246002,340277777846002,340277777846002,4652777778</v>
      </c>
      <c r="Q1339" s="1" t="str">
        <f t="shared" si="68"/>
        <v>DPRUFV</v>
      </c>
    </row>
    <row r="1340" spans="2:17" hidden="1">
      <c r="B1340" s="1" t="s">
        <v>782</v>
      </c>
      <c r="C1340" s="1" t="s">
        <v>787</v>
      </c>
      <c r="D1340" s="52">
        <v>46002.340277777781</v>
      </c>
      <c r="E1340" s="52">
        <v>46002.340277777781</v>
      </c>
      <c r="F1340" s="52">
        <v>46002.465277777781</v>
      </c>
      <c r="G1340" s="63">
        <f>F1340-E1340</f>
        <v>0.125</v>
      </c>
      <c r="H1340" s="1" t="s">
        <v>343</v>
      </c>
      <c r="J1340" s="1" t="s">
        <v>230</v>
      </c>
      <c r="K1340" s="1" t="str">
        <f>_xlfn.XLOOKUP(J1340,REF!$D$2:$D$12,REF!$E$2:$E$12)</f>
        <v>UFV</v>
      </c>
      <c r="L1340" s="1" t="s">
        <v>859</v>
      </c>
      <c r="M1340" s="1" t="s">
        <v>302</v>
      </c>
      <c r="N1340" s="1" t="s">
        <v>345</v>
      </c>
      <c r="O1340" s="1" t="s">
        <v>860</v>
      </c>
      <c r="P1340" s="1" t="str">
        <f t="shared" si="67"/>
        <v>Rio Monte IIISG60KTL(COM1-012)_001_01546002,340277777846002,340277777846002,4652777778</v>
      </c>
      <c r="Q1340" s="1" t="str">
        <f t="shared" si="68"/>
        <v>DPRUFV</v>
      </c>
    </row>
    <row r="1341" spans="2:17" hidden="1">
      <c r="B1341" s="1" t="s">
        <v>782</v>
      </c>
      <c r="C1341" s="1" t="s">
        <v>788</v>
      </c>
      <c r="D1341" s="52">
        <v>46002.340277777781</v>
      </c>
      <c r="E1341" s="52">
        <v>46002.340277777781</v>
      </c>
      <c r="F1341" s="52">
        <v>46002.465277777781</v>
      </c>
      <c r="G1341" s="63">
        <f>F1341-E1341</f>
        <v>0.125</v>
      </c>
      <c r="H1341" s="1" t="s">
        <v>343</v>
      </c>
      <c r="J1341" s="1" t="s">
        <v>230</v>
      </c>
      <c r="K1341" s="1" t="str">
        <f>_xlfn.XLOOKUP(J1341,REF!$D$2:$D$12,REF!$E$2:$E$12)</f>
        <v>UFV</v>
      </c>
      <c r="L1341" s="1" t="s">
        <v>859</v>
      </c>
      <c r="M1341" s="1" t="s">
        <v>302</v>
      </c>
      <c r="N1341" s="1" t="s">
        <v>345</v>
      </c>
      <c r="O1341" s="1" t="s">
        <v>860</v>
      </c>
      <c r="P1341" s="1" t="str">
        <f t="shared" si="67"/>
        <v>Rio Monte IIISG60KTL(COM1-013)_001_00346002,340277777846002,340277777846002,4652777778</v>
      </c>
      <c r="Q1341" s="1" t="str">
        <f t="shared" si="68"/>
        <v>DPRUFV</v>
      </c>
    </row>
    <row r="1342" spans="2:17" hidden="1">
      <c r="B1342" s="1" t="s">
        <v>782</v>
      </c>
      <c r="C1342" s="1" t="s">
        <v>789</v>
      </c>
      <c r="D1342" s="52">
        <v>46002.340277777781</v>
      </c>
      <c r="E1342" s="52">
        <v>46002.340277777781</v>
      </c>
      <c r="F1342" s="52">
        <v>46002.465277777781</v>
      </c>
      <c r="G1342" s="63">
        <f>F1342-E1342</f>
        <v>0.125</v>
      </c>
      <c r="H1342" s="1" t="s">
        <v>343</v>
      </c>
      <c r="J1342" s="1" t="s">
        <v>230</v>
      </c>
      <c r="K1342" s="1" t="str">
        <f>_xlfn.XLOOKUP(J1342,REF!$D$2:$D$12,REF!$E$2:$E$12)</f>
        <v>UFV</v>
      </c>
      <c r="L1342" s="1" t="s">
        <v>859</v>
      </c>
      <c r="M1342" s="1" t="s">
        <v>302</v>
      </c>
      <c r="N1342" s="1" t="s">
        <v>345</v>
      </c>
      <c r="O1342" s="1" t="s">
        <v>860</v>
      </c>
      <c r="P1342" s="1" t="str">
        <f t="shared" si="67"/>
        <v>Rio Monte IIISG60KTL(COM1-014)_001_00446002,340277777846002,340277777846002,4652777778</v>
      </c>
      <c r="Q1342" s="1" t="str">
        <f t="shared" si="68"/>
        <v>DPRUFV</v>
      </c>
    </row>
    <row r="1343" spans="2:17" hidden="1">
      <c r="B1343" s="1" t="s">
        <v>782</v>
      </c>
      <c r="C1343" s="1" t="s">
        <v>790</v>
      </c>
      <c r="D1343" s="52">
        <v>46002.340277777781</v>
      </c>
      <c r="E1343" s="52">
        <v>46002.340277777781</v>
      </c>
      <c r="F1343" s="52">
        <v>46002.465277777781</v>
      </c>
      <c r="G1343" s="63">
        <f>F1343-E1343</f>
        <v>0.125</v>
      </c>
      <c r="H1343" s="1" t="s">
        <v>343</v>
      </c>
      <c r="J1343" s="1" t="s">
        <v>230</v>
      </c>
      <c r="K1343" s="1" t="str">
        <f>_xlfn.XLOOKUP(J1343,REF!$D$2:$D$12,REF!$E$2:$E$12)</f>
        <v>UFV</v>
      </c>
      <c r="L1343" s="1" t="s">
        <v>859</v>
      </c>
      <c r="M1343" s="1" t="s">
        <v>302</v>
      </c>
      <c r="N1343" s="1" t="s">
        <v>345</v>
      </c>
      <c r="O1343" s="1" t="s">
        <v>860</v>
      </c>
      <c r="P1343" s="1" t="str">
        <f t="shared" si="67"/>
        <v>Rio Monte IIISG60KTL(COM1-015)_001_01346002,340277777846002,340277777846002,4652777778</v>
      </c>
      <c r="Q1343" s="1" t="str">
        <f t="shared" si="68"/>
        <v>DPRUFV</v>
      </c>
    </row>
    <row r="1344" spans="2:17" hidden="1">
      <c r="B1344" s="1" t="s">
        <v>782</v>
      </c>
      <c r="C1344" s="1" t="s">
        <v>791</v>
      </c>
      <c r="D1344" s="52">
        <v>46002.340277777781</v>
      </c>
      <c r="E1344" s="52">
        <v>46002.340277777781</v>
      </c>
      <c r="F1344" s="52">
        <v>46002.465277777781</v>
      </c>
      <c r="G1344" s="63">
        <f>F1344-E1344</f>
        <v>0.125</v>
      </c>
      <c r="H1344" s="1" t="s">
        <v>343</v>
      </c>
      <c r="J1344" s="1" t="s">
        <v>230</v>
      </c>
      <c r="K1344" s="1" t="str">
        <f>_xlfn.XLOOKUP(J1344,REF!$D$2:$D$12,REF!$E$2:$E$12)</f>
        <v>UFV</v>
      </c>
      <c r="L1344" s="1" t="s">
        <v>859</v>
      </c>
      <c r="M1344" s="1" t="s">
        <v>302</v>
      </c>
      <c r="N1344" s="1" t="s">
        <v>345</v>
      </c>
      <c r="O1344" s="1" t="s">
        <v>860</v>
      </c>
      <c r="P1344" s="1" t="str">
        <f t="shared" si="67"/>
        <v>Rio Monte IIISG60KTL(COM1-016)_001_01446002,340277777846002,340277777846002,4652777778</v>
      </c>
      <c r="Q1344" s="1" t="str">
        <f t="shared" si="68"/>
        <v>DPRUFV</v>
      </c>
    </row>
    <row r="1345" spans="1:17" hidden="1">
      <c r="B1345" s="1" t="s">
        <v>782</v>
      </c>
      <c r="C1345" s="1" t="s">
        <v>792</v>
      </c>
      <c r="D1345" s="52">
        <v>46002.340277777781</v>
      </c>
      <c r="E1345" s="52">
        <v>46002.340277777781</v>
      </c>
      <c r="F1345" s="52">
        <v>46002.465277777781</v>
      </c>
      <c r="G1345" s="63">
        <f>F1345-E1345</f>
        <v>0.125</v>
      </c>
      <c r="H1345" s="1" t="s">
        <v>343</v>
      </c>
      <c r="J1345" s="1" t="s">
        <v>230</v>
      </c>
      <c r="K1345" s="1" t="str">
        <f>_xlfn.XLOOKUP(J1345,REF!$D$2:$D$12,REF!$E$2:$E$12)</f>
        <v>UFV</v>
      </c>
      <c r="L1345" s="1" t="s">
        <v>859</v>
      </c>
      <c r="M1345" s="1" t="s">
        <v>302</v>
      </c>
      <c r="N1345" s="1" t="s">
        <v>345</v>
      </c>
      <c r="O1345" s="1" t="s">
        <v>860</v>
      </c>
      <c r="P1345" s="1" t="str">
        <f t="shared" si="67"/>
        <v>Rio Monte IIISG60KTL(COM1-017)_001_00846002,340277777846002,340277777846002,4652777778</v>
      </c>
      <c r="Q1345" s="1" t="str">
        <f t="shared" si="68"/>
        <v>DPRUFV</v>
      </c>
    </row>
    <row r="1346" spans="1:17">
      <c r="A1346" s="45"/>
      <c r="B1346" s="61" t="s">
        <v>424</v>
      </c>
      <c r="C1346" s="61" t="s">
        <v>358</v>
      </c>
      <c r="D1346" s="62">
        <v>46021.510416666664</v>
      </c>
      <c r="E1346" s="62">
        <v>46021.510416666664</v>
      </c>
      <c r="F1346" s="62">
        <v>46021.694444444445</v>
      </c>
      <c r="G1346" s="63">
        <f>F1346-E1346</f>
        <v>0.18402777778101154</v>
      </c>
      <c r="H1346" s="61" t="s">
        <v>260</v>
      </c>
      <c r="I1346" s="61" t="s">
        <v>261</v>
      </c>
      <c r="J1346" s="61" t="s">
        <v>262</v>
      </c>
      <c r="K1346" s="1" t="str">
        <f>_xlfn.XLOOKUP(J1346,REF!$D$2:$D$12,REF!$E$2:$E$12)</f>
        <v>Comunicação</v>
      </c>
      <c r="L1346" s="61" t="s">
        <v>886</v>
      </c>
      <c r="M1346" s="61" t="s">
        <v>265</v>
      </c>
      <c r="N1346" s="61" t="s">
        <v>266</v>
      </c>
      <c r="O1346" s="61" t="s">
        <v>891</v>
      </c>
      <c r="P1346" s="61" t="str">
        <f t="shared" si="67"/>
        <v>BC Formoso2.2Inverter(MBUS-14)46021,510416666746021,510416666746021,6944444444</v>
      </c>
      <c r="Q1346" s="61" t="str">
        <f t="shared" si="68"/>
        <v>LIGRFOCOM</v>
      </c>
    </row>
    <row r="1347" spans="1:17">
      <c r="A1347" s="45"/>
      <c r="B1347" s="61" t="s">
        <v>424</v>
      </c>
      <c r="C1347" s="61" t="s">
        <v>357</v>
      </c>
      <c r="D1347" s="62">
        <v>46021.510416666664</v>
      </c>
      <c r="E1347" s="62">
        <v>46021.510416666664</v>
      </c>
      <c r="F1347" s="62">
        <v>46021.694444444445</v>
      </c>
      <c r="G1347" s="63">
        <f>F1347-E1347</f>
        <v>0.18402777778101154</v>
      </c>
      <c r="H1347" s="61" t="s">
        <v>260</v>
      </c>
      <c r="I1347" s="61" t="s">
        <v>261</v>
      </c>
      <c r="J1347" s="61" t="s">
        <v>262</v>
      </c>
      <c r="K1347" s="1" t="str">
        <f>_xlfn.XLOOKUP(J1347,REF!$D$2:$D$12,REF!$E$2:$E$12)</f>
        <v>Comunicação</v>
      </c>
      <c r="L1347" s="61" t="s">
        <v>886</v>
      </c>
      <c r="M1347" s="61" t="s">
        <v>265</v>
      </c>
      <c r="N1347" s="61" t="s">
        <v>266</v>
      </c>
      <c r="O1347" s="61" t="s">
        <v>891</v>
      </c>
      <c r="P1347" s="61" t="str">
        <f t="shared" si="67"/>
        <v>BC Formoso2.2Inverter(MBUS-13)46021,510416666746021,510416666746021,6944444444</v>
      </c>
      <c r="Q1347" s="61" t="str">
        <f t="shared" si="68"/>
        <v>LIGRFOCOM</v>
      </c>
    </row>
    <row r="1348" spans="1:17">
      <c r="A1348" s="45"/>
      <c r="B1348" s="61" t="s">
        <v>424</v>
      </c>
      <c r="C1348" s="61" t="s">
        <v>354</v>
      </c>
      <c r="D1348" s="62">
        <v>46021.510416666664</v>
      </c>
      <c r="E1348" s="62">
        <v>46021.510416666664</v>
      </c>
      <c r="F1348" s="62">
        <v>46021.694444444445</v>
      </c>
      <c r="G1348" s="63">
        <f>F1348-E1348</f>
        <v>0.18402777778101154</v>
      </c>
      <c r="H1348" s="61" t="s">
        <v>260</v>
      </c>
      <c r="I1348" s="61" t="s">
        <v>261</v>
      </c>
      <c r="J1348" s="61" t="s">
        <v>262</v>
      </c>
      <c r="K1348" s="1" t="str">
        <f>_xlfn.XLOOKUP(J1348,REF!$D$2:$D$12,REF!$E$2:$E$12)</f>
        <v>Comunicação</v>
      </c>
      <c r="L1348" s="61" t="s">
        <v>886</v>
      </c>
      <c r="M1348" s="61" t="s">
        <v>265</v>
      </c>
      <c r="N1348" s="61" t="s">
        <v>266</v>
      </c>
      <c r="O1348" s="61" t="s">
        <v>891</v>
      </c>
      <c r="P1348" s="61" t="str">
        <f t="shared" si="67"/>
        <v>BC Formoso2.2Inverter(MBUS-12)46021,510416666746021,510416666746021,6944444444</v>
      </c>
      <c r="Q1348" s="61" t="str">
        <f t="shared" si="68"/>
        <v>LIGRFOCOM</v>
      </c>
    </row>
    <row r="1349" spans="1:17">
      <c r="A1349" s="45"/>
      <c r="B1349" s="61" t="s">
        <v>424</v>
      </c>
      <c r="C1349" s="61" t="s">
        <v>328</v>
      </c>
      <c r="D1349" s="62">
        <v>46021.510416666664</v>
      </c>
      <c r="E1349" s="62">
        <v>46021.510416666664</v>
      </c>
      <c r="F1349" s="62">
        <v>46021.694444444445</v>
      </c>
      <c r="G1349" s="63">
        <f>F1349-E1349</f>
        <v>0.18402777778101154</v>
      </c>
      <c r="H1349" s="61" t="s">
        <v>260</v>
      </c>
      <c r="I1349" s="61" t="s">
        <v>261</v>
      </c>
      <c r="J1349" s="61" t="s">
        <v>262</v>
      </c>
      <c r="K1349" s="1" t="str">
        <f>_xlfn.XLOOKUP(J1349,REF!$D$2:$D$12,REF!$E$2:$E$12)</f>
        <v>Comunicação</v>
      </c>
      <c r="L1349" s="61" t="s">
        <v>886</v>
      </c>
      <c r="M1349" s="61" t="s">
        <v>265</v>
      </c>
      <c r="N1349" s="61" t="s">
        <v>266</v>
      </c>
      <c r="O1349" s="61" t="s">
        <v>891</v>
      </c>
      <c r="P1349" s="61" t="str">
        <f t="shared" si="67"/>
        <v>BC Formoso2.2Inverter(MBUS-1)46021,510416666746021,510416666746021,6944444444</v>
      </c>
      <c r="Q1349" s="61" t="str">
        <f t="shared" si="68"/>
        <v>LIGRFOCOM</v>
      </c>
    </row>
    <row r="1350" spans="1:17" hidden="1">
      <c r="A1350" s="45"/>
      <c r="B1350" s="61" t="s">
        <v>854</v>
      </c>
      <c r="C1350" s="61" t="s">
        <v>857</v>
      </c>
      <c r="D1350" s="62">
        <v>46021.569444444445</v>
      </c>
      <c r="E1350" s="62">
        <v>46021.569444444445</v>
      </c>
      <c r="F1350" s="62">
        <v>46021.722222222219</v>
      </c>
      <c r="G1350" s="63">
        <f>F1350-E1350</f>
        <v>0.15277777777373558</v>
      </c>
      <c r="H1350" s="61" t="s">
        <v>248</v>
      </c>
      <c r="I1350" s="61"/>
      <c r="J1350" s="61" t="s">
        <v>249</v>
      </c>
      <c r="K1350" s="1" t="str">
        <f>_xlfn.XLOOKUP(J1350,REF!$D$2:$D$12,REF!$E$2:$E$12)</f>
        <v>Rede</v>
      </c>
      <c r="L1350" s="61" t="s">
        <v>892</v>
      </c>
      <c r="M1350" s="61" t="s">
        <v>251</v>
      </c>
      <c r="N1350" s="61" t="s">
        <v>330</v>
      </c>
      <c r="O1350" s="61" t="s">
        <v>893</v>
      </c>
      <c r="P1350" s="61" t="str">
        <f t="shared" si="67"/>
        <v>BC Panama1.2ART_00446021,569444444446021,569444444446021,7222222222</v>
      </c>
      <c r="Q1350" s="61" t="str">
        <f t="shared" si="68"/>
        <v>DAURDE</v>
      </c>
    </row>
    <row r="1351" spans="1:17" s="44" customFormat="1" hidden="1">
      <c r="A1351" s="43"/>
      <c r="B1351" s="58" t="s">
        <v>894</v>
      </c>
      <c r="C1351" s="58" t="s">
        <v>895</v>
      </c>
      <c r="D1351" s="59" t="s">
        <v>896</v>
      </c>
      <c r="E1351" s="59" t="s">
        <v>896</v>
      </c>
      <c r="F1351" s="59"/>
      <c r="G1351" s="60" t="e">
        <f>F1351-E1351</f>
        <v>#VALUE!</v>
      </c>
      <c r="H1351" s="1" t="s">
        <v>248</v>
      </c>
      <c r="I1351" s="1"/>
      <c r="J1351" s="1" t="s">
        <v>300</v>
      </c>
      <c r="K1351" s="1" t="str">
        <f>_xlfn.XLOOKUP(J1351,REF!$D$2:$D$12,REF!$E$2:$E$12)</f>
        <v>Inversor</v>
      </c>
      <c r="L1351" s="1" t="s">
        <v>897</v>
      </c>
      <c r="M1351" s="1" t="s">
        <v>302</v>
      </c>
      <c r="N1351" s="1" t="s">
        <v>303</v>
      </c>
      <c r="O1351" s="1" t="s">
        <v>898</v>
      </c>
      <c r="P1351" s="58" t="str">
        <f t="shared" si="67"/>
        <v>VAZANTE II - UFV 2Inverter-ES218005834908/12/20205 10:4108/12/20205 10:41</v>
      </c>
      <c r="Q1351" s="58" t="str">
        <f t="shared" si="68"/>
        <v>DAUINV</v>
      </c>
    </row>
    <row r="1352" spans="1:17" s="44" customFormat="1" hidden="1">
      <c r="A1352" s="43"/>
      <c r="B1352" s="58" t="s">
        <v>894</v>
      </c>
      <c r="C1352" s="58" t="s">
        <v>899</v>
      </c>
      <c r="D1352" s="59" t="s">
        <v>896</v>
      </c>
      <c r="E1352" s="59" t="s">
        <v>896</v>
      </c>
      <c r="F1352" s="59"/>
      <c r="G1352" s="60" t="e">
        <f>F1352-E1352</f>
        <v>#VALUE!</v>
      </c>
      <c r="H1352" s="1" t="s">
        <v>248</v>
      </c>
      <c r="I1352" s="1"/>
      <c r="J1352" s="1" t="s">
        <v>300</v>
      </c>
      <c r="K1352" s="1" t="str">
        <f>_xlfn.XLOOKUP(J1352,REF!$D$2:$D$12,REF!$E$2:$E$12)</f>
        <v>Inversor</v>
      </c>
      <c r="L1352" s="1" t="s">
        <v>897</v>
      </c>
      <c r="M1352" s="1" t="s">
        <v>302</v>
      </c>
      <c r="N1352" s="1" t="s">
        <v>303</v>
      </c>
      <c r="O1352" s="1" t="s">
        <v>898</v>
      </c>
      <c r="P1352" s="58" t="str">
        <f t="shared" si="67"/>
        <v>VAZANTE II - UFV 2Inverter-ES217002732608/12/20205 10:4108/12/20205 10:41</v>
      </c>
      <c r="Q1352" s="58" t="str">
        <f t="shared" si="68"/>
        <v>DAUINV</v>
      </c>
    </row>
    <row r="1353" spans="1:17" hidden="1">
      <c r="A1353" s="43"/>
      <c r="B1353" s="1" t="s">
        <v>894</v>
      </c>
      <c r="C1353" s="1" t="s">
        <v>719</v>
      </c>
      <c r="D1353" s="52">
        <v>45998.253472222219</v>
      </c>
      <c r="E1353" s="52">
        <v>45998.253472222219</v>
      </c>
      <c r="F1353" s="52">
        <v>46013.364583333336</v>
      </c>
      <c r="G1353" s="53">
        <f>F1353-E1353</f>
        <v>15.11111111111677</v>
      </c>
      <c r="H1353" s="1" t="s">
        <v>248</v>
      </c>
      <c r="J1353" s="1" t="s">
        <v>300</v>
      </c>
      <c r="K1353" s="1" t="str">
        <f>_xlfn.XLOOKUP(J1353,REF!$D$2:$D$12,REF!$E$2:$E$12)</f>
        <v>Inversor</v>
      </c>
      <c r="L1353" s="1" t="s">
        <v>897</v>
      </c>
      <c r="M1353" s="1" t="s">
        <v>302</v>
      </c>
      <c r="N1353" s="1" t="s">
        <v>303</v>
      </c>
      <c r="O1353" s="1" t="s">
        <v>900</v>
      </c>
      <c r="P1353" s="1" t="str">
        <f t="shared" si="67"/>
        <v>VAZANTE II - UFV 2Inverter(MBUS-8)45998,253472222245998,253472222246013,3645833333</v>
      </c>
      <c r="Q1353" s="1" t="str">
        <f t="shared" si="68"/>
        <v>DAUINV</v>
      </c>
    </row>
    <row r="1354" spans="1:17" s="44" customFormat="1" hidden="1">
      <c r="A1354" s="43"/>
      <c r="B1354" s="58" t="s">
        <v>894</v>
      </c>
      <c r="C1354" s="58" t="s">
        <v>901</v>
      </c>
      <c r="D1354" s="59" t="s">
        <v>896</v>
      </c>
      <c r="E1354" s="59" t="s">
        <v>896</v>
      </c>
      <c r="F1354" s="59"/>
      <c r="G1354" s="60" t="e">
        <f>F1354-E1354</f>
        <v>#VALUE!</v>
      </c>
      <c r="H1354" s="1" t="s">
        <v>248</v>
      </c>
      <c r="I1354" s="1"/>
      <c r="J1354" s="1" t="s">
        <v>300</v>
      </c>
      <c r="K1354" s="1" t="str">
        <f>_xlfn.XLOOKUP(J1354,REF!$D$2:$D$12,REF!$E$2:$E$12)</f>
        <v>Inversor</v>
      </c>
      <c r="L1354" s="1" t="s">
        <v>897</v>
      </c>
      <c r="M1354" s="1" t="s">
        <v>302</v>
      </c>
      <c r="N1354" s="1" t="s">
        <v>303</v>
      </c>
      <c r="O1354" s="1" t="s">
        <v>898</v>
      </c>
      <c r="P1354" s="58" t="str">
        <f t="shared" si="67"/>
        <v>VAZANTE II - UFV 2Inverter-ES218005897708/12/20205 10:4108/12/20205 10:41</v>
      </c>
      <c r="Q1354" s="58" t="str">
        <f t="shared" si="68"/>
        <v>DAUINV</v>
      </c>
    </row>
    <row r="1355" spans="1:17" s="44" customFormat="1" hidden="1">
      <c r="A1355" s="43"/>
      <c r="B1355" s="58" t="s">
        <v>894</v>
      </c>
      <c r="C1355" s="58" t="s">
        <v>902</v>
      </c>
      <c r="D1355" s="59" t="s">
        <v>896</v>
      </c>
      <c r="E1355" s="59" t="s">
        <v>896</v>
      </c>
      <c r="F1355" s="59"/>
      <c r="G1355" s="60" t="e">
        <f>F1355-E1355</f>
        <v>#VALUE!</v>
      </c>
      <c r="H1355" s="1" t="s">
        <v>248</v>
      </c>
      <c r="I1355" s="1"/>
      <c r="J1355" s="1" t="s">
        <v>300</v>
      </c>
      <c r="K1355" s="1" t="str">
        <f>_xlfn.XLOOKUP(J1355,REF!$D$2:$D$12,REF!$E$2:$E$12)</f>
        <v>Inversor</v>
      </c>
      <c r="L1355" s="1" t="s">
        <v>897</v>
      </c>
      <c r="M1355" s="1" t="s">
        <v>302</v>
      </c>
      <c r="N1355" s="1" t="s">
        <v>303</v>
      </c>
      <c r="O1355" s="1" t="s">
        <v>898</v>
      </c>
      <c r="P1355" s="58" t="str">
        <f t="shared" si="67"/>
        <v>VAZANTE II - UFV 2Inverter-ES217002814108/12/20205 10:4108/12/20205 10:41</v>
      </c>
      <c r="Q1355" s="58" t="str">
        <f t="shared" si="68"/>
        <v>DAUINV</v>
      </c>
    </row>
    <row r="1356" spans="1:17" hidden="1">
      <c r="A1356" s="45"/>
      <c r="B1356" s="61" t="s">
        <v>702</v>
      </c>
      <c r="C1356" s="61" t="s">
        <v>358</v>
      </c>
      <c r="D1356" s="62">
        <v>45992.391006944446</v>
      </c>
      <c r="E1356" s="62">
        <v>45992.391006944446</v>
      </c>
      <c r="F1356" s="62">
        <v>45992.418622685182</v>
      </c>
      <c r="G1356" s="63">
        <v>2.7615740740740739E-2</v>
      </c>
      <c r="H1356" s="61" t="s">
        <v>248</v>
      </c>
      <c r="I1356" s="61"/>
      <c r="J1356" s="61" t="s">
        <v>249</v>
      </c>
      <c r="K1356" s="1" t="str">
        <f>_xlfn.XLOOKUP(J1356,REF!$D$2:$D$12,REF!$E$2:$E$12)</f>
        <v>Rede</v>
      </c>
      <c r="L1356" s="61" t="s">
        <v>868</v>
      </c>
      <c r="M1356" s="61" t="s">
        <v>251</v>
      </c>
      <c r="N1356" s="61" t="s">
        <v>252</v>
      </c>
      <c r="O1356" s="61" t="s">
        <v>712</v>
      </c>
      <c r="P1356" s="61" t="str">
        <f t="shared" si="67"/>
        <v>BC Clareira1.1Inverter(MBUS-14)45992,391006944445992,391006944445992,4186226852</v>
      </c>
      <c r="Q1356" s="61" t="str">
        <f t="shared" si="68"/>
        <v>DAURDE</v>
      </c>
    </row>
    <row r="1357" spans="1:17" hidden="1">
      <c r="A1357" s="45"/>
      <c r="B1357" s="61" t="s">
        <v>702</v>
      </c>
      <c r="C1357" s="61" t="s">
        <v>359</v>
      </c>
      <c r="D1357" s="62">
        <v>45992.391006944446</v>
      </c>
      <c r="E1357" s="62">
        <v>45992.391006944446</v>
      </c>
      <c r="F1357" s="62">
        <v>45992.418622685182</v>
      </c>
      <c r="G1357" s="63">
        <v>2.7615740740740739E-2</v>
      </c>
      <c r="H1357" s="61" t="s">
        <v>248</v>
      </c>
      <c r="I1357" s="61"/>
      <c r="J1357" s="61" t="s">
        <v>249</v>
      </c>
      <c r="K1357" s="1" t="str">
        <f>_xlfn.XLOOKUP(J1357,REF!$D$2:$D$12,REF!$E$2:$E$12)</f>
        <v>Rede</v>
      </c>
      <c r="L1357" s="61" t="s">
        <v>868</v>
      </c>
      <c r="M1357" s="61" t="s">
        <v>251</v>
      </c>
      <c r="N1357" s="61" t="s">
        <v>252</v>
      </c>
      <c r="O1357" s="61" t="s">
        <v>712</v>
      </c>
      <c r="P1357" s="61" t="str">
        <f t="shared" si="67"/>
        <v>BC Clareira1.1Inverter(MBUS-15)45992,391006944445992,391006944445992,4186226852</v>
      </c>
      <c r="Q1357" s="61" t="str">
        <f t="shared" si="68"/>
        <v>DAURDE</v>
      </c>
    </row>
    <row r="1358" spans="1:17" hidden="1">
      <c r="A1358" s="45"/>
      <c r="B1358" s="61" t="s">
        <v>702</v>
      </c>
      <c r="C1358" s="61" t="s">
        <v>386</v>
      </c>
      <c r="D1358" s="62">
        <v>45992.391006944446</v>
      </c>
      <c r="E1358" s="62">
        <v>45992.391006944446</v>
      </c>
      <c r="F1358" s="62">
        <v>45992.418622685182</v>
      </c>
      <c r="G1358" s="63">
        <v>2.7615740740740739E-2</v>
      </c>
      <c r="H1358" s="61" t="s">
        <v>248</v>
      </c>
      <c r="I1358" s="61"/>
      <c r="J1358" s="61" t="s">
        <v>249</v>
      </c>
      <c r="K1358" s="1" t="str">
        <f>_xlfn.XLOOKUP(J1358,REF!$D$2:$D$12,REF!$E$2:$E$12)</f>
        <v>Rede</v>
      </c>
      <c r="L1358" s="61" t="s">
        <v>868</v>
      </c>
      <c r="M1358" s="61" t="s">
        <v>251</v>
      </c>
      <c r="N1358" s="61" t="s">
        <v>252</v>
      </c>
      <c r="O1358" s="61" t="s">
        <v>712</v>
      </c>
      <c r="P1358" s="61" t="str">
        <f t="shared" si="67"/>
        <v>BC Clareira1.1Inverter(MBUS-16)45992,391006944445992,391006944445992,4186226852</v>
      </c>
      <c r="Q1358" s="61" t="str">
        <f t="shared" si="68"/>
        <v>DAURDE</v>
      </c>
    </row>
    <row r="1359" spans="1:17" hidden="1">
      <c r="A1359" s="45"/>
      <c r="B1359" s="61" t="s">
        <v>702</v>
      </c>
      <c r="C1359" s="61" t="s">
        <v>354</v>
      </c>
      <c r="D1359" s="62">
        <v>45992.391006944446</v>
      </c>
      <c r="E1359" s="62">
        <v>45992.391006944446</v>
      </c>
      <c r="F1359" s="62">
        <v>45992.418622685182</v>
      </c>
      <c r="G1359" s="63">
        <v>2.7615740740740739E-2</v>
      </c>
      <c r="H1359" s="61" t="s">
        <v>248</v>
      </c>
      <c r="I1359" s="61"/>
      <c r="J1359" s="61" t="s">
        <v>249</v>
      </c>
      <c r="K1359" s="1" t="str">
        <f>_xlfn.XLOOKUP(J1359,REF!$D$2:$D$12,REF!$E$2:$E$12)</f>
        <v>Rede</v>
      </c>
      <c r="L1359" s="61" t="s">
        <v>868</v>
      </c>
      <c r="M1359" s="61" t="s">
        <v>251</v>
      </c>
      <c r="N1359" s="61" t="s">
        <v>252</v>
      </c>
      <c r="O1359" s="61" t="s">
        <v>712</v>
      </c>
      <c r="P1359" s="61" t="str">
        <f t="shared" si="67"/>
        <v>BC Clareira1.1Inverter(MBUS-12)45992,391006944445992,391006944445992,4186226852</v>
      </c>
      <c r="Q1359" s="61" t="str">
        <f t="shared" si="68"/>
        <v>DAURDE</v>
      </c>
    </row>
    <row r="1360" spans="1:17" hidden="1">
      <c r="A1360" s="45"/>
      <c r="B1360" s="61" t="s">
        <v>702</v>
      </c>
      <c r="C1360" s="61" t="s">
        <v>357</v>
      </c>
      <c r="D1360" s="62">
        <v>45992.391006944446</v>
      </c>
      <c r="E1360" s="62">
        <v>45992.391006944446</v>
      </c>
      <c r="F1360" s="62">
        <v>45992.418622685182</v>
      </c>
      <c r="G1360" s="63">
        <v>2.7615740740740739E-2</v>
      </c>
      <c r="H1360" s="61" t="s">
        <v>248</v>
      </c>
      <c r="I1360" s="61"/>
      <c r="J1360" s="61" t="s">
        <v>249</v>
      </c>
      <c r="K1360" s="1" t="str">
        <f>_xlfn.XLOOKUP(J1360,REF!$D$2:$D$12,REF!$E$2:$E$12)</f>
        <v>Rede</v>
      </c>
      <c r="L1360" s="61" t="s">
        <v>868</v>
      </c>
      <c r="M1360" s="61" t="s">
        <v>251</v>
      </c>
      <c r="N1360" s="61" t="s">
        <v>252</v>
      </c>
      <c r="O1360" s="61" t="s">
        <v>712</v>
      </c>
      <c r="P1360" s="61" t="str">
        <f t="shared" si="67"/>
        <v>BC Clareira1.1Inverter(MBUS-13)45992,391006944445992,391006944445992,4186226852</v>
      </c>
      <c r="Q1360" s="61" t="str">
        <f t="shared" si="68"/>
        <v>DAURDE</v>
      </c>
    </row>
    <row r="1361" spans="1:17" hidden="1">
      <c r="A1361" s="45"/>
      <c r="B1361" s="61" t="s">
        <v>707</v>
      </c>
      <c r="C1361" s="61" t="s">
        <v>247</v>
      </c>
      <c r="D1361" s="62">
        <v>45992.39135416667</v>
      </c>
      <c r="E1361" s="62">
        <v>45992.39135416667</v>
      </c>
      <c r="F1361" s="62">
        <v>45992.418425925927</v>
      </c>
      <c r="G1361" s="63">
        <v>2.7071759259259261E-2</v>
      </c>
      <c r="H1361" s="61" t="s">
        <v>248</v>
      </c>
      <c r="I1361" s="61"/>
      <c r="J1361" s="61" t="s">
        <v>249</v>
      </c>
      <c r="K1361" s="1" t="str">
        <f>_xlfn.XLOOKUP(J1361,REF!$D$2:$D$12,REF!$E$2:$E$12)</f>
        <v>Rede</v>
      </c>
      <c r="L1361" s="61" t="s">
        <v>868</v>
      </c>
      <c r="M1361" s="61" t="s">
        <v>251</v>
      </c>
      <c r="N1361" s="61" t="s">
        <v>252</v>
      </c>
      <c r="O1361" s="61" t="s">
        <v>712</v>
      </c>
      <c r="P1361" s="61" t="str">
        <f t="shared" si="67"/>
        <v>BC Clareira1.2215KTL-H3(MBUS-12)45992,391354166745992,391354166745992,4184259259</v>
      </c>
      <c r="Q1361" s="61" t="str">
        <f t="shared" si="68"/>
        <v>DAURDE</v>
      </c>
    </row>
    <row r="1362" spans="1:17" hidden="1">
      <c r="A1362" s="45"/>
      <c r="B1362" s="61" t="s">
        <v>707</v>
      </c>
      <c r="C1362" s="61" t="s">
        <v>710</v>
      </c>
      <c r="D1362" s="62">
        <v>45992.39135416667</v>
      </c>
      <c r="E1362" s="62">
        <v>45992.39135416667</v>
      </c>
      <c r="F1362" s="62">
        <v>45992.418425925927</v>
      </c>
      <c r="G1362" s="63">
        <v>2.7071759259259261E-2</v>
      </c>
      <c r="H1362" s="61" t="s">
        <v>248</v>
      </c>
      <c r="I1362" s="61"/>
      <c r="J1362" s="61" t="s">
        <v>249</v>
      </c>
      <c r="K1362" s="1" t="str">
        <f>_xlfn.XLOOKUP(J1362,REF!$D$2:$D$12,REF!$E$2:$E$12)</f>
        <v>Rede</v>
      </c>
      <c r="L1362" s="61" t="s">
        <v>868</v>
      </c>
      <c r="M1362" s="61" t="s">
        <v>251</v>
      </c>
      <c r="N1362" s="61" t="s">
        <v>252</v>
      </c>
      <c r="O1362" s="61" t="s">
        <v>712</v>
      </c>
      <c r="P1362" s="61" t="str">
        <f t="shared" si="67"/>
        <v>BC Clareira1.2100KTL-H1(MBUS-14)45992,391354166745992,391354166745992,4184259259</v>
      </c>
      <c r="Q1362" s="61" t="str">
        <f t="shared" si="68"/>
        <v>DAURDE</v>
      </c>
    </row>
    <row r="1363" spans="1:17" hidden="1">
      <c r="A1363" s="45"/>
      <c r="B1363" s="61" t="s">
        <v>707</v>
      </c>
      <c r="C1363" s="61" t="s">
        <v>254</v>
      </c>
      <c r="D1363" s="62">
        <v>45992.39135416667</v>
      </c>
      <c r="E1363" s="62">
        <v>45992.39135416667</v>
      </c>
      <c r="F1363" s="62">
        <v>45992.418425925927</v>
      </c>
      <c r="G1363" s="63">
        <v>2.7071759259259261E-2</v>
      </c>
      <c r="H1363" s="61" t="s">
        <v>248</v>
      </c>
      <c r="I1363" s="61"/>
      <c r="J1363" s="61" t="s">
        <v>249</v>
      </c>
      <c r="K1363" s="1" t="str">
        <f>_xlfn.XLOOKUP(J1363,REF!$D$2:$D$12,REF!$E$2:$E$12)</f>
        <v>Rede</v>
      </c>
      <c r="L1363" s="61" t="s">
        <v>868</v>
      </c>
      <c r="M1363" s="61" t="s">
        <v>251</v>
      </c>
      <c r="N1363" s="61" t="s">
        <v>252</v>
      </c>
      <c r="O1363" s="61" t="s">
        <v>712</v>
      </c>
      <c r="P1363" s="61" t="str">
        <f t="shared" si="67"/>
        <v>BC Clareira1.2215KTL-H3(MBUS-13)45992,391354166745992,391354166745992,4184259259</v>
      </c>
      <c r="Q1363" s="61" t="str">
        <f t="shared" si="68"/>
        <v>DAURDE</v>
      </c>
    </row>
    <row r="1364" spans="1:17" hidden="1">
      <c r="B1364" s="1" t="s">
        <v>382</v>
      </c>
      <c r="C1364" s="1" t="s">
        <v>328</v>
      </c>
      <c r="D1364" s="52">
        <v>46011.166666666664</v>
      </c>
      <c r="E1364" s="52">
        <v>46011.166666666664</v>
      </c>
      <c r="F1364" s="52">
        <v>46011.350694444445</v>
      </c>
      <c r="G1364" s="63">
        <f>F1364-E1364</f>
        <v>0.18402777778101154</v>
      </c>
      <c r="H1364" s="1" t="s">
        <v>248</v>
      </c>
      <c r="J1364" s="1" t="s">
        <v>230</v>
      </c>
      <c r="K1364" s="1" t="str">
        <f>_xlfn.XLOOKUP(J1364,REF!$D$2:$D$12,REF!$E$2:$E$12)</f>
        <v>UFV</v>
      </c>
      <c r="L1364" s="65" t="s">
        <v>868</v>
      </c>
      <c r="M1364" s="1" t="s">
        <v>732</v>
      </c>
      <c r="N1364" s="1" t="s">
        <v>266</v>
      </c>
      <c r="O1364" s="1" t="s">
        <v>885</v>
      </c>
      <c r="P1364" s="1" t="str">
        <f t="shared" si="67"/>
        <v>BC Camarao1.1Inverter(MBUS-1)46011,166666666746011,166666666746011,3506944444</v>
      </c>
      <c r="Q1364" s="1" t="str">
        <f t="shared" si="68"/>
        <v>DAUUFV</v>
      </c>
    </row>
    <row r="1365" spans="1:17" hidden="1">
      <c r="B1365" s="1" t="s">
        <v>382</v>
      </c>
      <c r="C1365" s="1" t="s">
        <v>247</v>
      </c>
      <c r="D1365" s="52">
        <v>46011.166666666664</v>
      </c>
      <c r="E1365" s="52">
        <v>46011.166666666664</v>
      </c>
      <c r="F1365" s="52">
        <v>46011.350694444445</v>
      </c>
      <c r="G1365" s="63">
        <f>F1365-E1365</f>
        <v>0.18402777778101154</v>
      </c>
      <c r="H1365" s="1" t="s">
        <v>248</v>
      </c>
      <c r="J1365" s="1" t="s">
        <v>230</v>
      </c>
      <c r="K1365" s="1" t="str">
        <f>_xlfn.XLOOKUP(J1365,REF!$D$2:$D$12,REF!$E$2:$E$12)</f>
        <v>UFV</v>
      </c>
      <c r="L1365" s="65" t="s">
        <v>868</v>
      </c>
      <c r="M1365" s="1" t="s">
        <v>732</v>
      </c>
      <c r="N1365" s="1" t="s">
        <v>266</v>
      </c>
      <c r="O1365" s="1" t="s">
        <v>885</v>
      </c>
      <c r="P1365" s="1" t="str">
        <f t="shared" si="67"/>
        <v>BC Camarao1.1215KTL-H3(MBUS-12)46011,166666666746011,166666666746011,3506944444</v>
      </c>
      <c r="Q1365" s="1" t="str">
        <f t="shared" si="68"/>
        <v>DAUUFV</v>
      </c>
    </row>
    <row r="1366" spans="1:17" hidden="1">
      <c r="B1366" s="1" t="s">
        <v>382</v>
      </c>
      <c r="C1366" s="1" t="s">
        <v>254</v>
      </c>
      <c r="D1366" s="52">
        <v>46011.166666666664</v>
      </c>
      <c r="E1366" s="52">
        <v>46011.166666666664</v>
      </c>
      <c r="F1366" s="52">
        <v>46011.350694444445</v>
      </c>
      <c r="G1366" s="63">
        <f>F1366-E1366</f>
        <v>0.18402777778101154</v>
      </c>
      <c r="H1366" s="1" t="s">
        <v>248</v>
      </c>
      <c r="J1366" s="1" t="s">
        <v>230</v>
      </c>
      <c r="K1366" s="1" t="str">
        <f>_xlfn.XLOOKUP(J1366,REF!$D$2:$D$12,REF!$E$2:$E$12)</f>
        <v>UFV</v>
      </c>
      <c r="L1366" s="65" t="s">
        <v>868</v>
      </c>
      <c r="M1366" s="1" t="s">
        <v>732</v>
      </c>
      <c r="N1366" s="1" t="s">
        <v>266</v>
      </c>
      <c r="O1366" s="1" t="s">
        <v>885</v>
      </c>
      <c r="P1366" s="1" t="str">
        <f t="shared" si="67"/>
        <v>BC Camarao1.1215KTL-H3(MBUS-13)46011,166666666746011,166666666746011,3506944444</v>
      </c>
      <c r="Q1366" s="1" t="str">
        <f t="shared" si="68"/>
        <v>DAUUFV</v>
      </c>
    </row>
    <row r="1367" spans="1:17" hidden="1">
      <c r="B1367" s="1" t="s">
        <v>382</v>
      </c>
      <c r="C1367" s="1" t="s">
        <v>257</v>
      </c>
      <c r="D1367" s="52">
        <v>46011.166666666664</v>
      </c>
      <c r="E1367" s="52">
        <v>46011.166666666664</v>
      </c>
      <c r="F1367" s="52">
        <v>46011.350694444445</v>
      </c>
      <c r="G1367" s="63">
        <f>F1367-E1367</f>
        <v>0.18402777778101154</v>
      </c>
      <c r="H1367" s="1" t="s">
        <v>248</v>
      </c>
      <c r="J1367" s="1" t="s">
        <v>230</v>
      </c>
      <c r="K1367" s="1" t="str">
        <f>_xlfn.XLOOKUP(J1367,REF!$D$2:$D$12,REF!$E$2:$E$12)</f>
        <v>UFV</v>
      </c>
      <c r="L1367" s="65" t="s">
        <v>868</v>
      </c>
      <c r="M1367" s="1" t="s">
        <v>732</v>
      </c>
      <c r="N1367" s="1" t="s">
        <v>266</v>
      </c>
      <c r="O1367" s="1" t="s">
        <v>885</v>
      </c>
      <c r="P1367" s="1" t="str">
        <f t="shared" si="67"/>
        <v>BC Camarao1.1215KTL-H3(MBUS-16)46011,166666666746011,166666666746011,3506944444</v>
      </c>
      <c r="Q1367" s="1" t="str">
        <f t="shared" si="68"/>
        <v>DAUUFV</v>
      </c>
    </row>
    <row r="1368" spans="1:17" hidden="1">
      <c r="B1368" s="1" t="s">
        <v>382</v>
      </c>
      <c r="C1368" s="1" t="s">
        <v>256</v>
      </c>
      <c r="D1368" s="52">
        <v>46011.166666666664</v>
      </c>
      <c r="E1368" s="52">
        <v>46011.166666666664</v>
      </c>
      <c r="F1368" s="52">
        <v>46011.350694444445</v>
      </c>
      <c r="G1368" s="63">
        <f>F1368-E1368</f>
        <v>0.18402777778101154</v>
      </c>
      <c r="H1368" s="1" t="s">
        <v>248</v>
      </c>
      <c r="J1368" s="1" t="s">
        <v>230</v>
      </c>
      <c r="K1368" s="1" t="str">
        <f>_xlfn.XLOOKUP(J1368,REF!$D$2:$D$12,REF!$E$2:$E$12)</f>
        <v>UFV</v>
      </c>
      <c r="L1368" s="65" t="s">
        <v>868</v>
      </c>
      <c r="M1368" s="1" t="s">
        <v>732</v>
      </c>
      <c r="N1368" s="1" t="s">
        <v>266</v>
      </c>
      <c r="O1368" s="1" t="s">
        <v>885</v>
      </c>
      <c r="P1368" s="1" t="str">
        <f t="shared" si="67"/>
        <v>BC Camarao1.1215KTL-H3(MBUS-15)46011,166666666746011,166666666746011,3506944444</v>
      </c>
      <c r="Q1368" s="1" t="str">
        <f t="shared" si="68"/>
        <v>DAUUFV</v>
      </c>
    </row>
    <row r="1369" spans="1:17" hidden="1">
      <c r="B1369" s="1" t="s">
        <v>764</v>
      </c>
      <c r="C1369" s="1" t="s">
        <v>395</v>
      </c>
      <c r="D1369" s="52">
        <v>46010.563194444447</v>
      </c>
      <c r="E1369" s="52">
        <v>46010.563194444447</v>
      </c>
      <c r="F1369" s="52">
        <v>46010.645833333336</v>
      </c>
      <c r="G1369" s="63">
        <f>F1369-E1369</f>
        <v>8.2638888889050577E-2</v>
      </c>
      <c r="H1369" s="1" t="s">
        <v>343</v>
      </c>
      <c r="J1369" s="1" t="s">
        <v>230</v>
      </c>
      <c r="K1369" s="1" t="str">
        <f>_xlfn.XLOOKUP(J1369,REF!$D$2:$D$12,REF!$E$2:$E$12)</f>
        <v>UFV</v>
      </c>
      <c r="L1369" s="1" t="s">
        <v>903</v>
      </c>
      <c r="M1369" s="1" t="s">
        <v>302</v>
      </c>
      <c r="N1369" s="1" t="s">
        <v>345</v>
      </c>
      <c r="O1369" s="1" t="s">
        <v>904</v>
      </c>
      <c r="P1369" s="1" t="str">
        <f t="shared" si="67"/>
        <v>CORUMBÁ I - UFV 1U01.I0146010,563194444446010,563194444446010,6458333333</v>
      </c>
      <c r="Q1369" s="1" t="str">
        <f t="shared" si="68"/>
        <v>DPRUFV</v>
      </c>
    </row>
    <row r="1370" spans="1:17" hidden="1">
      <c r="B1370" s="1" t="s">
        <v>764</v>
      </c>
      <c r="C1370" s="1" t="s">
        <v>400</v>
      </c>
      <c r="D1370" s="52">
        <v>46010.563194444447</v>
      </c>
      <c r="E1370" s="52">
        <v>46010.563194444447</v>
      </c>
      <c r="F1370" s="52">
        <v>46010.645833333336</v>
      </c>
      <c r="G1370" s="63">
        <f>F1370-E1370</f>
        <v>8.2638888889050577E-2</v>
      </c>
      <c r="H1370" s="1" t="s">
        <v>343</v>
      </c>
      <c r="J1370" s="1" t="s">
        <v>230</v>
      </c>
      <c r="K1370" s="1" t="str">
        <f>_xlfn.XLOOKUP(J1370,REF!$D$2:$D$12,REF!$E$2:$E$12)</f>
        <v>UFV</v>
      </c>
      <c r="L1370" s="1" t="s">
        <v>903</v>
      </c>
      <c r="M1370" s="1" t="s">
        <v>302</v>
      </c>
      <c r="N1370" s="1" t="s">
        <v>345</v>
      </c>
      <c r="O1370" s="1" t="s">
        <v>904</v>
      </c>
      <c r="P1370" s="1" t="str">
        <f t="shared" ref="P1370:P1399" si="69">_xlfn.CONCAT(B1370,C1370,D1370,E1370,F1370)</f>
        <v>CORUMBÁ I - UFV 1U01.I0246010,563194444446010,563194444446010,6458333333</v>
      </c>
      <c r="Q1370" s="1" t="str">
        <f t="shared" ref="Q1370:Q1433" si="70">_xlfn.CONCAT(H1370,I1370,J1370)</f>
        <v>DPRUFV</v>
      </c>
    </row>
    <row r="1371" spans="1:17" hidden="1">
      <c r="B1371" s="1" t="s">
        <v>764</v>
      </c>
      <c r="C1371" s="1" t="s">
        <v>401</v>
      </c>
      <c r="D1371" s="52">
        <v>46010.563194444447</v>
      </c>
      <c r="E1371" s="52">
        <v>46010.563194444447</v>
      </c>
      <c r="F1371" s="52">
        <v>46010.645833333336</v>
      </c>
      <c r="G1371" s="63">
        <f>F1371-E1371</f>
        <v>8.2638888889050577E-2</v>
      </c>
      <c r="H1371" s="1" t="s">
        <v>343</v>
      </c>
      <c r="J1371" s="1" t="s">
        <v>230</v>
      </c>
      <c r="K1371" s="1" t="str">
        <f>_xlfn.XLOOKUP(J1371,REF!$D$2:$D$12,REF!$E$2:$E$12)</f>
        <v>UFV</v>
      </c>
      <c r="L1371" s="1" t="s">
        <v>903</v>
      </c>
      <c r="M1371" s="1" t="s">
        <v>302</v>
      </c>
      <c r="N1371" s="1" t="s">
        <v>345</v>
      </c>
      <c r="O1371" s="1" t="s">
        <v>904</v>
      </c>
      <c r="P1371" s="1" t="str">
        <f t="shared" si="69"/>
        <v>CORUMBÁ I - UFV 1U01.I0346010,563194444446010,563194444446010,6458333333</v>
      </c>
      <c r="Q1371" s="1" t="str">
        <f t="shared" si="70"/>
        <v>DPRUFV</v>
      </c>
    </row>
    <row r="1372" spans="1:17" hidden="1">
      <c r="B1372" s="1" t="s">
        <v>764</v>
      </c>
      <c r="C1372" s="1" t="s">
        <v>402</v>
      </c>
      <c r="D1372" s="52">
        <v>46010.563194444447</v>
      </c>
      <c r="E1372" s="52">
        <v>46010.563194444447</v>
      </c>
      <c r="F1372" s="52">
        <v>46010.645833333336</v>
      </c>
      <c r="G1372" s="63">
        <f>F1372-E1372</f>
        <v>8.2638888889050577E-2</v>
      </c>
      <c r="H1372" s="1" t="s">
        <v>343</v>
      </c>
      <c r="J1372" s="1" t="s">
        <v>230</v>
      </c>
      <c r="K1372" s="1" t="str">
        <f>_xlfn.XLOOKUP(J1372,REF!$D$2:$D$12,REF!$E$2:$E$12)</f>
        <v>UFV</v>
      </c>
      <c r="L1372" s="1" t="s">
        <v>903</v>
      </c>
      <c r="M1372" s="1" t="s">
        <v>302</v>
      </c>
      <c r="N1372" s="1" t="s">
        <v>345</v>
      </c>
      <c r="O1372" s="1" t="s">
        <v>904</v>
      </c>
      <c r="P1372" s="1" t="str">
        <f t="shared" si="69"/>
        <v>CORUMBÁ I - UFV 1U01.I0446010,563194444446010,563194444446010,6458333333</v>
      </c>
      <c r="Q1372" s="1" t="str">
        <f t="shared" si="70"/>
        <v>DPRUFV</v>
      </c>
    </row>
    <row r="1373" spans="1:17" hidden="1">
      <c r="B1373" s="1" t="s">
        <v>764</v>
      </c>
      <c r="C1373" s="1" t="s">
        <v>403</v>
      </c>
      <c r="D1373" s="52">
        <v>46010.563194444447</v>
      </c>
      <c r="E1373" s="52">
        <v>46010.563194444447</v>
      </c>
      <c r="F1373" s="52">
        <v>46010.645833333336</v>
      </c>
      <c r="G1373" s="63">
        <f>F1373-E1373</f>
        <v>8.2638888889050577E-2</v>
      </c>
      <c r="H1373" s="1" t="s">
        <v>343</v>
      </c>
      <c r="J1373" s="1" t="s">
        <v>230</v>
      </c>
      <c r="K1373" s="1" t="str">
        <f>_xlfn.XLOOKUP(J1373,REF!$D$2:$D$12,REF!$E$2:$E$12)</f>
        <v>UFV</v>
      </c>
      <c r="L1373" s="1" t="s">
        <v>903</v>
      </c>
      <c r="M1373" s="1" t="s">
        <v>302</v>
      </c>
      <c r="N1373" s="1" t="s">
        <v>345</v>
      </c>
      <c r="O1373" s="1" t="s">
        <v>904</v>
      </c>
      <c r="P1373" s="1" t="str">
        <f t="shared" si="69"/>
        <v>CORUMBÁ I - UFV 1U01.I0546010,563194444446010,563194444446010,6458333333</v>
      </c>
      <c r="Q1373" s="1" t="str">
        <f t="shared" si="70"/>
        <v>DPRUFV</v>
      </c>
    </row>
    <row r="1374" spans="1:17">
      <c r="A1374" s="45"/>
      <c r="B1374" s="61" t="s">
        <v>430</v>
      </c>
      <c r="C1374" s="61" t="s">
        <v>357</v>
      </c>
      <c r="D1374" s="62">
        <v>45995.700694444444</v>
      </c>
      <c r="E1374" s="62">
        <v>45995.700694444444</v>
      </c>
      <c r="F1374" s="62">
        <v>46022.999988425923</v>
      </c>
      <c r="G1374" s="63">
        <v>27.299293981481483</v>
      </c>
      <c r="H1374" s="61" t="s">
        <v>260</v>
      </c>
      <c r="I1374" s="61" t="s">
        <v>261</v>
      </c>
      <c r="J1374" s="61" t="s">
        <v>262</v>
      </c>
      <c r="K1374" s="1" t="str">
        <f>_xlfn.XLOOKUP(J1374,REF!$D$2:$D$12,REF!$E$2:$E$12)</f>
        <v>Comunicação</v>
      </c>
      <c r="L1374" s="61" t="s">
        <v>905</v>
      </c>
      <c r="M1374" s="61" t="s">
        <v>265</v>
      </c>
      <c r="N1374" s="61" t="s">
        <v>266</v>
      </c>
      <c r="O1374" s="61" t="s">
        <v>906</v>
      </c>
      <c r="P1374" s="1" t="str">
        <f>_xlfn.CONCAT(B1374,C1374,D1374,E1374,F1374)</f>
        <v>BC Formoso1.3Inverter(MBUS-13)45995,700694444445995,700694444446022,9999884259</v>
      </c>
      <c r="Q1374" s="61" t="str">
        <f t="shared" si="70"/>
        <v>LIGRFOCOM</v>
      </c>
    </row>
    <row r="1375" spans="1:17">
      <c r="A1375" s="45"/>
      <c r="B1375" s="61" t="s">
        <v>430</v>
      </c>
      <c r="C1375" s="61" t="s">
        <v>354</v>
      </c>
      <c r="D1375" s="62">
        <v>45995.700694444444</v>
      </c>
      <c r="E1375" s="62">
        <v>45995.700694444444</v>
      </c>
      <c r="F1375" s="62">
        <v>46022.999988425923</v>
      </c>
      <c r="G1375" s="63">
        <v>27.299293981481483</v>
      </c>
      <c r="H1375" s="61" t="s">
        <v>260</v>
      </c>
      <c r="I1375" s="61" t="s">
        <v>261</v>
      </c>
      <c r="J1375" s="61" t="s">
        <v>262</v>
      </c>
      <c r="K1375" s="1" t="str">
        <f>_xlfn.XLOOKUP(J1375,REF!$D$2:$D$12,REF!$E$2:$E$12)</f>
        <v>Comunicação</v>
      </c>
      <c r="L1375" s="61" t="s">
        <v>905</v>
      </c>
      <c r="M1375" s="61" t="s">
        <v>265</v>
      </c>
      <c r="N1375" s="61" t="s">
        <v>266</v>
      </c>
      <c r="O1375" s="61" t="s">
        <v>906</v>
      </c>
      <c r="P1375" s="1" t="str">
        <f>_xlfn.CONCAT(B1375,C1375,D1375,E1375,F1375)</f>
        <v>BC Formoso1.3Inverter(MBUS-12)45995,700694444445995,700694444446022,9999884259</v>
      </c>
      <c r="Q1375" s="61" t="str">
        <f t="shared" si="70"/>
        <v>LIGRFOCOM</v>
      </c>
    </row>
    <row r="1376" spans="1:17" hidden="1">
      <c r="B1376" s="1" t="s">
        <v>382</v>
      </c>
      <c r="C1376" s="1" t="s">
        <v>328</v>
      </c>
      <c r="D1376" s="52">
        <v>46009.861111111109</v>
      </c>
      <c r="E1376" s="52">
        <v>46009.861111111109</v>
      </c>
      <c r="F1376" s="52">
        <v>46010.569444444445</v>
      </c>
      <c r="G1376" s="63">
        <f>F1376-E1376</f>
        <v>0.70833333333575865</v>
      </c>
      <c r="H1376" s="1" t="s">
        <v>248</v>
      </c>
      <c r="J1376" s="1" t="s">
        <v>249</v>
      </c>
      <c r="K1376" s="1" t="str">
        <f>_xlfn.XLOOKUP(J1376,REF!$D$2:$D$12,REF!$E$2:$E$12)</f>
        <v>Rede</v>
      </c>
      <c r="L1376" s="1" t="s">
        <v>907</v>
      </c>
      <c r="M1376" s="1" t="s">
        <v>251</v>
      </c>
      <c r="N1376" s="1" t="s">
        <v>330</v>
      </c>
      <c r="O1376" s="1" t="s">
        <v>908</v>
      </c>
      <c r="P1376" s="1" t="str">
        <f>_xlfn.CONCAT(B1376,C1376,D1376,E1376,F1376)</f>
        <v>BC Camarao1.1Inverter(MBUS-1)46009,861111111146009,861111111146010,5694444444</v>
      </c>
      <c r="Q1376" s="1" t="str">
        <f t="shared" si="70"/>
        <v>DAURDE</v>
      </c>
    </row>
    <row r="1377" spans="2:17" hidden="1">
      <c r="B1377" s="1" t="s">
        <v>382</v>
      </c>
      <c r="C1377" s="1" t="s">
        <v>247</v>
      </c>
      <c r="D1377" s="52">
        <v>46009.861111111109</v>
      </c>
      <c r="E1377" s="52">
        <v>46009.861111111109</v>
      </c>
      <c r="F1377" s="52">
        <v>46010.569444444445</v>
      </c>
      <c r="G1377" s="63">
        <f>F1377-E1377</f>
        <v>0.70833333333575865</v>
      </c>
      <c r="H1377" s="1" t="s">
        <v>248</v>
      </c>
      <c r="J1377" s="1" t="s">
        <v>249</v>
      </c>
      <c r="K1377" s="1" t="str">
        <f>_xlfn.XLOOKUP(J1377,REF!$D$2:$D$12,REF!$E$2:$E$12)</f>
        <v>Rede</v>
      </c>
      <c r="L1377" s="1" t="s">
        <v>907</v>
      </c>
      <c r="M1377" s="1" t="s">
        <v>251</v>
      </c>
      <c r="N1377" s="1" t="s">
        <v>330</v>
      </c>
      <c r="O1377" s="1" t="s">
        <v>908</v>
      </c>
      <c r="P1377" s="1" t="str">
        <f>_xlfn.CONCAT(B1377,C1377,D1377,E1377,F1377)</f>
        <v>BC Camarao1.1215KTL-H3(MBUS-12)46009,861111111146009,861111111146010,5694444444</v>
      </c>
      <c r="Q1377" s="1" t="str">
        <f t="shared" si="70"/>
        <v>DAURDE</v>
      </c>
    </row>
    <row r="1378" spans="2:17" hidden="1">
      <c r="B1378" s="1" t="s">
        <v>382</v>
      </c>
      <c r="C1378" s="1" t="s">
        <v>254</v>
      </c>
      <c r="D1378" s="52">
        <v>46009.861111111109</v>
      </c>
      <c r="E1378" s="52">
        <v>46009.861111111109</v>
      </c>
      <c r="F1378" s="52">
        <v>46010.569444444445</v>
      </c>
      <c r="G1378" s="63">
        <f>F1378-E1378</f>
        <v>0.70833333333575865</v>
      </c>
      <c r="H1378" s="1" t="s">
        <v>248</v>
      </c>
      <c r="J1378" s="1" t="s">
        <v>249</v>
      </c>
      <c r="K1378" s="1" t="str">
        <f>_xlfn.XLOOKUP(J1378,REF!$D$2:$D$12,REF!$E$2:$E$12)</f>
        <v>Rede</v>
      </c>
      <c r="L1378" s="1" t="s">
        <v>907</v>
      </c>
      <c r="M1378" s="1" t="s">
        <v>251</v>
      </c>
      <c r="N1378" s="1" t="s">
        <v>330</v>
      </c>
      <c r="O1378" s="1" t="s">
        <v>908</v>
      </c>
      <c r="P1378" s="1" t="str">
        <f>_xlfn.CONCAT(B1378,C1378,D1378,E1378,F1378)</f>
        <v>BC Camarao1.1215KTL-H3(MBUS-13)46009,861111111146009,861111111146010,5694444444</v>
      </c>
      <c r="Q1378" s="1" t="str">
        <f t="shared" si="70"/>
        <v>DAURDE</v>
      </c>
    </row>
    <row r="1379" spans="2:17" hidden="1">
      <c r="B1379" s="1" t="s">
        <v>382</v>
      </c>
      <c r="C1379" s="1" t="s">
        <v>257</v>
      </c>
      <c r="D1379" s="52">
        <v>46009.861111111109</v>
      </c>
      <c r="E1379" s="52">
        <v>46009.861111111109</v>
      </c>
      <c r="F1379" s="52">
        <v>46010.569444444445</v>
      </c>
      <c r="G1379" s="63">
        <f>F1379-E1379</f>
        <v>0.70833333333575865</v>
      </c>
      <c r="H1379" s="1" t="s">
        <v>248</v>
      </c>
      <c r="J1379" s="1" t="s">
        <v>249</v>
      </c>
      <c r="K1379" s="1" t="str">
        <f>_xlfn.XLOOKUP(J1379,REF!$D$2:$D$12,REF!$E$2:$E$12)</f>
        <v>Rede</v>
      </c>
      <c r="L1379" s="1" t="s">
        <v>907</v>
      </c>
      <c r="M1379" s="1" t="s">
        <v>251</v>
      </c>
      <c r="N1379" s="1" t="s">
        <v>330</v>
      </c>
      <c r="O1379" s="1" t="s">
        <v>908</v>
      </c>
      <c r="P1379" s="1" t="str">
        <f>_xlfn.CONCAT(B1379,C1379,D1379,E1379,F1379)</f>
        <v>BC Camarao1.1215KTL-H3(MBUS-16)46009,861111111146009,861111111146010,5694444444</v>
      </c>
      <c r="Q1379" s="1" t="str">
        <f t="shared" si="70"/>
        <v>DAURDE</v>
      </c>
    </row>
    <row r="1380" spans="2:17" hidden="1">
      <c r="B1380" s="1" t="s">
        <v>382</v>
      </c>
      <c r="C1380" s="1" t="s">
        <v>256</v>
      </c>
      <c r="D1380" s="52">
        <v>46009.861111111109</v>
      </c>
      <c r="E1380" s="52">
        <v>46009.861111111109</v>
      </c>
      <c r="F1380" s="52">
        <v>46010.569444444445</v>
      </c>
      <c r="G1380" s="63">
        <f>F1380-E1380</f>
        <v>0.70833333333575865</v>
      </c>
      <c r="H1380" s="1" t="s">
        <v>248</v>
      </c>
      <c r="J1380" s="1" t="s">
        <v>249</v>
      </c>
      <c r="K1380" s="1" t="str">
        <f>_xlfn.XLOOKUP(J1380,REF!$D$2:$D$12,REF!$E$2:$E$12)</f>
        <v>Rede</v>
      </c>
      <c r="L1380" s="1" t="s">
        <v>907</v>
      </c>
      <c r="M1380" s="1" t="s">
        <v>251</v>
      </c>
      <c r="N1380" s="1" t="s">
        <v>330</v>
      </c>
      <c r="O1380" s="1" t="s">
        <v>908</v>
      </c>
      <c r="P1380" s="1" t="str">
        <f>_xlfn.CONCAT(B1380,C1380,D1380,E1380,F1380)</f>
        <v>BC Camarao1.1215KTL-H3(MBUS-15)46009,861111111146009,861111111146010,5694444444</v>
      </c>
      <c r="Q1380" s="1" t="str">
        <f t="shared" si="70"/>
        <v>DAURDE</v>
      </c>
    </row>
    <row r="1381" spans="2:17" hidden="1">
      <c r="B1381" s="1" t="s">
        <v>383</v>
      </c>
      <c r="C1381" s="1" t="s">
        <v>385</v>
      </c>
      <c r="D1381" s="52">
        <v>46009.861111111109</v>
      </c>
      <c r="E1381" s="52">
        <v>46009.861111111109</v>
      </c>
      <c r="F1381" s="52">
        <v>46010.569444444445</v>
      </c>
      <c r="G1381" s="63">
        <f>F1381-E1381</f>
        <v>0.70833333333575865</v>
      </c>
      <c r="H1381" s="1" t="s">
        <v>248</v>
      </c>
      <c r="J1381" s="1" t="s">
        <v>249</v>
      </c>
      <c r="K1381" s="1" t="str">
        <f>_xlfn.XLOOKUP(J1381,REF!$D$2:$D$12,REF!$E$2:$E$12)</f>
        <v>Rede</v>
      </c>
      <c r="L1381" s="1" t="s">
        <v>907</v>
      </c>
      <c r="M1381" s="1" t="s">
        <v>251</v>
      </c>
      <c r="N1381" s="1" t="s">
        <v>330</v>
      </c>
      <c r="O1381" s="1" t="s">
        <v>908</v>
      </c>
      <c r="P1381" s="1" t="str">
        <f>_xlfn.CONCAT(B1381,C1381,D1381,E1381,F1381)</f>
        <v>BC Camarao1.2Inv. 446009,861111111146009,861111111146010,5694444444</v>
      </c>
      <c r="Q1381" s="1" t="str">
        <f t="shared" si="70"/>
        <v>DAURDE</v>
      </c>
    </row>
    <row r="1382" spans="2:17" hidden="1">
      <c r="B1382" s="1" t="s">
        <v>383</v>
      </c>
      <c r="C1382" s="1" t="s">
        <v>386</v>
      </c>
      <c r="D1382" s="52">
        <v>46009.861111111109</v>
      </c>
      <c r="E1382" s="52">
        <v>46009.861111111109</v>
      </c>
      <c r="F1382" s="52">
        <v>46010.569444444445</v>
      </c>
      <c r="G1382" s="63">
        <f>F1382-E1382</f>
        <v>0.70833333333575865</v>
      </c>
      <c r="H1382" s="1" t="s">
        <v>248</v>
      </c>
      <c r="J1382" s="1" t="s">
        <v>249</v>
      </c>
      <c r="K1382" s="1" t="str">
        <f>_xlfn.XLOOKUP(J1382,REF!$D$2:$D$12,REF!$E$2:$E$12)</f>
        <v>Rede</v>
      </c>
      <c r="L1382" s="1" t="s">
        <v>907</v>
      </c>
      <c r="M1382" s="1" t="s">
        <v>251</v>
      </c>
      <c r="N1382" s="1" t="s">
        <v>330</v>
      </c>
      <c r="O1382" s="1" t="s">
        <v>908</v>
      </c>
      <c r="P1382" s="1" t="str">
        <f>_xlfn.CONCAT(B1382,C1382,D1382,E1382,F1382)</f>
        <v>BC Camarao1.2Inverter(MBUS-16)46009,861111111146009,861111111146010,5694444444</v>
      </c>
      <c r="Q1382" s="1" t="str">
        <f t="shared" si="70"/>
        <v>DAURDE</v>
      </c>
    </row>
    <row r="1383" spans="2:17" hidden="1">
      <c r="B1383" s="1" t="s">
        <v>383</v>
      </c>
      <c r="C1383" s="1" t="s">
        <v>354</v>
      </c>
      <c r="D1383" s="52">
        <v>46009.861111111109</v>
      </c>
      <c r="E1383" s="52">
        <v>46009.861111111109</v>
      </c>
      <c r="F1383" s="52">
        <v>46010.569444444445</v>
      </c>
      <c r="G1383" s="63">
        <f>F1383-E1383</f>
        <v>0.70833333333575865</v>
      </c>
      <c r="H1383" s="1" t="s">
        <v>248</v>
      </c>
      <c r="J1383" s="1" t="s">
        <v>249</v>
      </c>
      <c r="K1383" s="1" t="str">
        <f>_xlfn.XLOOKUP(J1383,REF!$D$2:$D$12,REF!$E$2:$E$12)</f>
        <v>Rede</v>
      </c>
      <c r="L1383" s="1" t="s">
        <v>907</v>
      </c>
      <c r="M1383" s="1" t="s">
        <v>251</v>
      </c>
      <c r="N1383" s="1" t="s">
        <v>330</v>
      </c>
      <c r="O1383" s="1" t="s">
        <v>908</v>
      </c>
      <c r="P1383" s="1" t="str">
        <f>_xlfn.CONCAT(B1383,C1383,D1383,E1383,F1383)</f>
        <v>BC Camarao1.2Inverter(MBUS-12)46009,861111111146009,861111111146010,5694444444</v>
      </c>
      <c r="Q1383" s="1" t="str">
        <f t="shared" si="70"/>
        <v>DAURDE</v>
      </c>
    </row>
    <row r="1384" spans="2:17" hidden="1">
      <c r="B1384" s="1" t="s">
        <v>383</v>
      </c>
      <c r="C1384" s="1" t="s">
        <v>384</v>
      </c>
      <c r="D1384" s="52">
        <v>46009.861111111109</v>
      </c>
      <c r="E1384" s="52">
        <v>46009.861111111109</v>
      </c>
      <c r="F1384" s="52">
        <v>46010.569444444445</v>
      </c>
      <c r="G1384" s="63">
        <f>F1384-E1384</f>
        <v>0.70833333333575865</v>
      </c>
      <c r="H1384" s="1" t="s">
        <v>248</v>
      </c>
      <c r="J1384" s="1" t="s">
        <v>249</v>
      </c>
      <c r="K1384" s="1" t="str">
        <f>_xlfn.XLOOKUP(J1384,REF!$D$2:$D$12,REF!$E$2:$E$12)</f>
        <v>Rede</v>
      </c>
      <c r="L1384" s="1" t="s">
        <v>907</v>
      </c>
      <c r="M1384" s="1" t="s">
        <v>251</v>
      </c>
      <c r="N1384" s="1" t="s">
        <v>330</v>
      </c>
      <c r="O1384" s="1" t="s">
        <v>908</v>
      </c>
      <c r="P1384" s="1" t="str">
        <f>_xlfn.CONCAT(B1384,C1384,D1384,E1384,F1384)</f>
        <v>BC Camarao1.2Inv. 346009,861111111146009,861111111146010,5694444444</v>
      </c>
      <c r="Q1384" s="1" t="str">
        <f t="shared" si="70"/>
        <v>DAURDE</v>
      </c>
    </row>
    <row r="1385" spans="2:17" hidden="1">
      <c r="B1385" s="1" t="s">
        <v>383</v>
      </c>
      <c r="C1385" s="1" t="s">
        <v>328</v>
      </c>
      <c r="D1385" s="52">
        <v>46009.861111111109</v>
      </c>
      <c r="E1385" s="52">
        <v>46009.861111111109</v>
      </c>
      <c r="F1385" s="52">
        <v>46010.569444444445</v>
      </c>
      <c r="G1385" s="63">
        <f>F1385-E1385</f>
        <v>0.70833333333575865</v>
      </c>
      <c r="H1385" s="1" t="s">
        <v>248</v>
      </c>
      <c r="J1385" s="1" t="s">
        <v>249</v>
      </c>
      <c r="K1385" s="1" t="str">
        <f>_xlfn.XLOOKUP(J1385,REF!$D$2:$D$12,REF!$E$2:$E$12)</f>
        <v>Rede</v>
      </c>
      <c r="L1385" s="1" t="s">
        <v>907</v>
      </c>
      <c r="M1385" s="1" t="s">
        <v>251</v>
      </c>
      <c r="N1385" s="1" t="s">
        <v>330</v>
      </c>
      <c r="O1385" s="1" t="s">
        <v>908</v>
      </c>
      <c r="P1385" s="1" t="str">
        <f>_xlfn.CONCAT(B1385,C1385,D1385,E1385,F1385)</f>
        <v>BC Camarao1.2Inverter(MBUS-1)46009,861111111146009,861111111146010,5694444444</v>
      </c>
      <c r="Q1385" s="1" t="str">
        <f t="shared" si="70"/>
        <v>DAURDE</v>
      </c>
    </row>
    <row r="1386" spans="2:17" hidden="1">
      <c r="B1386" s="1" t="s">
        <v>387</v>
      </c>
      <c r="C1386" s="1" t="s">
        <v>257</v>
      </c>
      <c r="D1386" s="52">
        <v>46009.861111111109</v>
      </c>
      <c r="E1386" s="52">
        <v>46009.861111111109</v>
      </c>
      <c r="F1386" s="52">
        <v>46010.569444444445</v>
      </c>
      <c r="G1386" s="63">
        <f>F1386-E1386</f>
        <v>0.70833333333575865</v>
      </c>
      <c r="H1386" s="1" t="s">
        <v>248</v>
      </c>
      <c r="J1386" s="1" t="s">
        <v>249</v>
      </c>
      <c r="K1386" s="1" t="str">
        <f>_xlfn.XLOOKUP(J1386,REF!$D$2:$D$12,REF!$E$2:$E$12)</f>
        <v>Rede</v>
      </c>
      <c r="L1386" s="1" t="s">
        <v>907</v>
      </c>
      <c r="M1386" s="1" t="s">
        <v>251</v>
      </c>
      <c r="N1386" s="1" t="s">
        <v>330</v>
      </c>
      <c r="O1386" s="1" t="s">
        <v>908</v>
      </c>
      <c r="P1386" s="1" t="str">
        <f>_xlfn.CONCAT(B1386,C1386,D1386,E1386,F1386)</f>
        <v>BC Camarao1.3215KTL-H3(MBUS-16)46009,861111111146009,861111111146010,5694444444</v>
      </c>
      <c r="Q1386" s="1" t="str">
        <f t="shared" si="70"/>
        <v>DAURDE</v>
      </c>
    </row>
    <row r="1387" spans="2:17" hidden="1">
      <c r="B1387" s="1" t="s">
        <v>387</v>
      </c>
      <c r="C1387" s="1" t="s">
        <v>255</v>
      </c>
      <c r="D1387" s="52">
        <v>46009.861111111109</v>
      </c>
      <c r="E1387" s="52">
        <v>46009.861111111109</v>
      </c>
      <c r="F1387" s="52">
        <v>46010.569444444445</v>
      </c>
      <c r="G1387" s="63">
        <f>F1387-E1387</f>
        <v>0.70833333333575865</v>
      </c>
      <c r="H1387" s="1" t="s">
        <v>248</v>
      </c>
      <c r="J1387" s="1" t="s">
        <v>249</v>
      </c>
      <c r="K1387" s="1" t="str">
        <f>_xlfn.XLOOKUP(J1387,REF!$D$2:$D$12,REF!$E$2:$E$12)</f>
        <v>Rede</v>
      </c>
      <c r="L1387" s="1" t="s">
        <v>907</v>
      </c>
      <c r="M1387" s="1" t="s">
        <v>251</v>
      </c>
      <c r="N1387" s="1" t="s">
        <v>330</v>
      </c>
      <c r="O1387" s="1" t="s">
        <v>908</v>
      </c>
      <c r="P1387" s="1" t="str">
        <f>_xlfn.CONCAT(B1387,C1387,D1387,E1387,F1387)</f>
        <v>BC Camarao1.3215KTL-H3(MBUS-14)46009,861111111146009,861111111146010,5694444444</v>
      </c>
      <c r="Q1387" s="1" t="str">
        <f t="shared" si="70"/>
        <v>DAURDE</v>
      </c>
    </row>
    <row r="1388" spans="2:17" hidden="1">
      <c r="B1388" s="1" t="s">
        <v>387</v>
      </c>
      <c r="C1388" s="1" t="s">
        <v>256</v>
      </c>
      <c r="D1388" s="52">
        <v>46009.861111111109</v>
      </c>
      <c r="E1388" s="52">
        <v>46009.861111111109</v>
      </c>
      <c r="F1388" s="52">
        <v>46010.569444444445</v>
      </c>
      <c r="G1388" s="63">
        <f>F1388-E1388</f>
        <v>0.70833333333575865</v>
      </c>
      <c r="H1388" s="1" t="s">
        <v>248</v>
      </c>
      <c r="J1388" s="1" t="s">
        <v>249</v>
      </c>
      <c r="K1388" s="1" t="str">
        <f>_xlfn.XLOOKUP(J1388,REF!$D$2:$D$12,REF!$E$2:$E$12)</f>
        <v>Rede</v>
      </c>
      <c r="L1388" s="1" t="s">
        <v>907</v>
      </c>
      <c r="M1388" s="1" t="s">
        <v>251</v>
      </c>
      <c r="N1388" s="1" t="s">
        <v>330</v>
      </c>
      <c r="O1388" s="1" t="s">
        <v>908</v>
      </c>
      <c r="P1388" s="1" t="str">
        <f>_xlfn.CONCAT(B1388,C1388,D1388,E1388,F1388)</f>
        <v>BC Camarao1.3215KTL-H3(MBUS-15)46009,861111111146009,861111111146010,5694444444</v>
      </c>
      <c r="Q1388" s="1" t="str">
        <f t="shared" si="70"/>
        <v>DAURDE</v>
      </c>
    </row>
    <row r="1389" spans="2:17" hidden="1">
      <c r="B1389" s="1" t="s">
        <v>387</v>
      </c>
      <c r="C1389" s="1" t="s">
        <v>247</v>
      </c>
      <c r="D1389" s="52">
        <v>46009.861111111109</v>
      </c>
      <c r="E1389" s="52">
        <v>46009.861111111109</v>
      </c>
      <c r="F1389" s="52">
        <v>46010.569444444445</v>
      </c>
      <c r="G1389" s="63">
        <f>F1389-E1389</f>
        <v>0.70833333333575865</v>
      </c>
      <c r="H1389" s="1" t="s">
        <v>248</v>
      </c>
      <c r="J1389" s="1" t="s">
        <v>249</v>
      </c>
      <c r="K1389" s="1" t="str">
        <f>_xlfn.XLOOKUP(J1389,REF!$D$2:$D$12,REF!$E$2:$E$12)</f>
        <v>Rede</v>
      </c>
      <c r="L1389" s="1" t="s">
        <v>907</v>
      </c>
      <c r="M1389" s="1" t="s">
        <v>251</v>
      </c>
      <c r="N1389" s="1" t="s">
        <v>330</v>
      </c>
      <c r="O1389" s="1" t="s">
        <v>908</v>
      </c>
      <c r="P1389" s="1" t="str">
        <f>_xlfn.CONCAT(B1389,C1389,D1389,E1389,F1389)</f>
        <v>BC Camarao1.3215KTL-H3(MBUS-12)46009,861111111146009,861111111146010,5694444444</v>
      </c>
      <c r="Q1389" s="1" t="str">
        <f t="shared" si="70"/>
        <v>DAURDE</v>
      </c>
    </row>
    <row r="1390" spans="2:17" hidden="1">
      <c r="B1390" s="1" t="s">
        <v>387</v>
      </c>
      <c r="C1390" s="1" t="s">
        <v>254</v>
      </c>
      <c r="D1390" s="52">
        <v>46009.861111111109</v>
      </c>
      <c r="E1390" s="52">
        <v>46009.861111111109</v>
      </c>
      <c r="F1390" s="52">
        <v>46010.569444444445</v>
      </c>
      <c r="G1390" s="63">
        <f>F1390-E1390</f>
        <v>0.70833333333575865</v>
      </c>
      <c r="H1390" s="1" t="s">
        <v>248</v>
      </c>
      <c r="J1390" s="1" t="s">
        <v>249</v>
      </c>
      <c r="K1390" s="1" t="str">
        <f>_xlfn.XLOOKUP(J1390,REF!$D$2:$D$12,REF!$E$2:$E$12)</f>
        <v>Rede</v>
      </c>
      <c r="L1390" s="1" t="s">
        <v>907</v>
      </c>
      <c r="M1390" s="1" t="s">
        <v>251</v>
      </c>
      <c r="N1390" s="1" t="s">
        <v>330</v>
      </c>
      <c r="O1390" s="1" t="s">
        <v>908</v>
      </c>
      <c r="P1390" s="1" t="str">
        <f>_xlfn.CONCAT(B1390,C1390,D1390,E1390,F1390)</f>
        <v>BC Camarao1.3215KTL-H3(MBUS-13)46009,861111111146009,861111111146010,5694444444</v>
      </c>
      <c r="Q1390" s="1" t="str">
        <f t="shared" si="70"/>
        <v>DAURDE</v>
      </c>
    </row>
    <row r="1391" spans="2:17" hidden="1">
      <c r="B1391" s="1" t="s">
        <v>379</v>
      </c>
      <c r="C1391" s="1" t="s">
        <v>674</v>
      </c>
      <c r="D1391" s="52">
        <v>46009.861111111109</v>
      </c>
      <c r="E1391" s="52">
        <v>46009.861111111109</v>
      </c>
      <c r="F1391" s="52">
        <v>46010.569444444445</v>
      </c>
      <c r="G1391" s="63">
        <f>F1391-E1391</f>
        <v>0.70833333333575865</v>
      </c>
      <c r="H1391" s="1" t="s">
        <v>248</v>
      </c>
      <c r="J1391" s="1" t="s">
        <v>249</v>
      </c>
      <c r="K1391" s="1" t="str">
        <f>_xlfn.XLOOKUP(J1391,REF!$D$2:$D$12,REF!$E$2:$E$12)</f>
        <v>Rede</v>
      </c>
      <c r="L1391" s="1" t="s">
        <v>907</v>
      </c>
      <c r="M1391" s="1" t="s">
        <v>251</v>
      </c>
      <c r="N1391" s="1" t="s">
        <v>330</v>
      </c>
      <c r="O1391" s="1" t="s">
        <v>908</v>
      </c>
      <c r="P1391" s="1" t="str">
        <f>_xlfn.CONCAT(B1391,C1391,D1391,E1391,F1391)</f>
        <v>BC Camarao1.4inv. 146009,861111111146009,861111111146010,5694444444</v>
      </c>
      <c r="Q1391" s="1" t="str">
        <f t="shared" si="70"/>
        <v>DAURDE</v>
      </c>
    </row>
    <row r="1392" spans="2:17" hidden="1">
      <c r="B1392" s="1" t="s">
        <v>379</v>
      </c>
      <c r="C1392" s="1" t="s">
        <v>255</v>
      </c>
      <c r="D1392" s="52">
        <v>46009.861111111109</v>
      </c>
      <c r="E1392" s="52">
        <v>46009.861111111109</v>
      </c>
      <c r="F1392" s="52">
        <v>46010.569444444445</v>
      </c>
      <c r="G1392" s="63">
        <f>F1392-E1392</f>
        <v>0.70833333333575865</v>
      </c>
      <c r="H1392" s="1" t="s">
        <v>248</v>
      </c>
      <c r="J1392" s="1" t="s">
        <v>249</v>
      </c>
      <c r="K1392" s="1" t="str">
        <f>_xlfn.XLOOKUP(J1392,REF!$D$2:$D$12,REF!$E$2:$E$12)</f>
        <v>Rede</v>
      </c>
      <c r="L1392" s="1" t="s">
        <v>907</v>
      </c>
      <c r="M1392" s="1" t="s">
        <v>251</v>
      </c>
      <c r="N1392" s="1" t="s">
        <v>330</v>
      </c>
      <c r="O1392" s="1" t="s">
        <v>908</v>
      </c>
      <c r="P1392" s="1" t="str">
        <f>_xlfn.CONCAT(B1392,C1392,D1392,E1392,F1392)</f>
        <v>BC Camarao1.4215KTL-H3(MBUS-14)46009,861111111146009,861111111146010,5694444444</v>
      </c>
      <c r="Q1392" s="1" t="str">
        <f t="shared" si="70"/>
        <v>DAURDE</v>
      </c>
    </row>
    <row r="1393" spans="1:17" hidden="1">
      <c r="B1393" s="1" t="s">
        <v>379</v>
      </c>
      <c r="C1393" s="1" t="s">
        <v>254</v>
      </c>
      <c r="D1393" s="52">
        <v>46009.861111111109</v>
      </c>
      <c r="E1393" s="52">
        <v>46009.861111111109</v>
      </c>
      <c r="F1393" s="52">
        <v>46010.569444444445</v>
      </c>
      <c r="G1393" s="63">
        <f>F1393-E1393</f>
        <v>0.70833333333575865</v>
      </c>
      <c r="H1393" s="1" t="s">
        <v>248</v>
      </c>
      <c r="J1393" s="1" t="s">
        <v>249</v>
      </c>
      <c r="K1393" s="1" t="str">
        <f>_xlfn.XLOOKUP(J1393,REF!$D$2:$D$12,REF!$E$2:$E$12)</f>
        <v>Rede</v>
      </c>
      <c r="L1393" s="1" t="s">
        <v>907</v>
      </c>
      <c r="M1393" s="1" t="s">
        <v>251</v>
      </c>
      <c r="N1393" s="1" t="s">
        <v>330</v>
      </c>
      <c r="O1393" s="1" t="s">
        <v>908</v>
      </c>
      <c r="P1393" s="1" t="str">
        <f>_xlfn.CONCAT(B1393,C1393,D1393,E1393,F1393)</f>
        <v>BC Camarao1.4215KTL-H3(MBUS-13)46009,861111111146009,861111111146010,5694444444</v>
      </c>
      <c r="Q1393" s="1" t="str">
        <f t="shared" si="70"/>
        <v>DAURDE</v>
      </c>
    </row>
    <row r="1394" spans="1:17" hidden="1">
      <c r="B1394" s="1" t="s">
        <v>379</v>
      </c>
      <c r="C1394" s="1" t="s">
        <v>257</v>
      </c>
      <c r="D1394" s="52">
        <v>46009.861111111109</v>
      </c>
      <c r="E1394" s="52">
        <v>46009.861111111109</v>
      </c>
      <c r="F1394" s="52">
        <v>46010.569444444445</v>
      </c>
      <c r="G1394" s="63">
        <f>F1394-E1394</f>
        <v>0.70833333333575865</v>
      </c>
      <c r="H1394" s="1" t="s">
        <v>248</v>
      </c>
      <c r="J1394" s="1" t="s">
        <v>249</v>
      </c>
      <c r="K1394" s="1" t="str">
        <f>_xlfn.XLOOKUP(J1394,REF!$D$2:$D$12,REF!$E$2:$E$12)</f>
        <v>Rede</v>
      </c>
      <c r="L1394" s="1" t="s">
        <v>907</v>
      </c>
      <c r="M1394" s="1" t="s">
        <v>251</v>
      </c>
      <c r="N1394" s="1" t="s">
        <v>330</v>
      </c>
      <c r="O1394" s="1" t="s">
        <v>908</v>
      </c>
      <c r="P1394" s="1" t="str">
        <f>_xlfn.CONCAT(B1394,C1394,D1394,E1394,F1394)</f>
        <v>BC Camarao1.4215KTL-H3(MBUS-16)46009,861111111146009,861111111146010,5694444444</v>
      </c>
      <c r="Q1394" s="1" t="str">
        <f t="shared" si="70"/>
        <v>DAURDE</v>
      </c>
    </row>
    <row r="1395" spans="1:17" hidden="1">
      <c r="B1395" s="1" t="s">
        <v>379</v>
      </c>
      <c r="C1395" s="1" t="s">
        <v>256</v>
      </c>
      <c r="D1395" s="52">
        <v>46009.861111111109</v>
      </c>
      <c r="E1395" s="52">
        <v>46009.861111111109</v>
      </c>
      <c r="F1395" s="52">
        <v>46010.569444444445</v>
      </c>
      <c r="G1395" s="63">
        <f>F1395-E1395</f>
        <v>0.70833333333575865</v>
      </c>
      <c r="H1395" s="1" t="s">
        <v>248</v>
      </c>
      <c r="J1395" s="1" t="s">
        <v>249</v>
      </c>
      <c r="K1395" s="1" t="str">
        <f>_xlfn.XLOOKUP(J1395,REF!$D$2:$D$12,REF!$E$2:$E$12)</f>
        <v>Rede</v>
      </c>
      <c r="L1395" s="1" t="s">
        <v>907</v>
      </c>
      <c r="M1395" s="1" t="s">
        <v>251</v>
      </c>
      <c r="N1395" s="1" t="s">
        <v>330</v>
      </c>
      <c r="O1395" s="1" t="s">
        <v>908</v>
      </c>
      <c r="P1395" s="1" t="str">
        <f>_xlfn.CONCAT(B1395,C1395,D1395,E1395,F1395)</f>
        <v>BC Camarao1.4215KTL-H3(MBUS-15)46009,861111111146009,861111111146010,5694444444</v>
      </c>
      <c r="Q1395" s="1" t="str">
        <f t="shared" si="70"/>
        <v>DAURDE</v>
      </c>
    </row>
    <row r="1396" spans="1:17" hidden="1">
      <c r="B1396" s="1" t="s">
        <v>388</v>
      </c>
      <c r="C1396" s="1" t="s">
        <v>256</v>
      </c>
      <c r="D1396" s="52">
        <v>46009.861111111109</v>
      </c>
      <c r="E1396" s="52">
        <v>46009.861111111109</v>
      </c>
      <c r="F1396" s="52">
        <v>46010.569444444445</v>
      </c>
      <c r="G1396" s="63">
        <f>F1396-E1396</f>
        <v>0.70833333333575865</v>
      </c>
      <c r="H1396" s="1" t="s">
        <v>248</v>
      </c>
      <c r="J1396" s="1" t="s">
        <v>249</v>
      </c>
      <c r="K1396" s="1" t="str">
        <f>_xlfn.XLOOKUP(J1396,REF!$D$2:$D$12,REF!$E$2:$E$12)</f>
        <v>Rede</v>
      </c>
      <c r="L1396" s="1" t="s">
        <v>907</v>
      </c>
      <c r="M1396" s="1" t="s">
        <v>251</v>
      </c>
      <c r="N1396" s="1" t="s">
        <v>330</v>
      </c>
      <c r="O1396" s="1" t="s">
        <v>908</v>
      </c>
      <c r="P1396" s="1" t="str">
        <f>_xlfn.CONCAT(B1396,C1396,D1396,E1396,F1396)</f>
        <v>BC Camarao1.5215KTL-H3(MBUS-15)46009,861111111146009,861111111146010,5694444444</v>
      </c>
      <c r="Q1396" s="1" t="str">
        <f t="shared" si="70"/>
        <v>DAURDE</v>
      </c>
    </row>
    <row r="1397" spans="1:17" hidden="1">
      <c r="B1397" s="1" t="s">
        <v>388</v>
      </c>
      <c r="C1397" s="1" t="s">
        <v>328</v>
      </c>
      <c r="D1397" s="52">
        <v>46009.861111111109</v>
      </c>
      <c r="E1397" s="52">
        <v>46009.861111111109</v>
      </c>
      <c r="F1397" s="52">
        <v>46010.569444444445</v>
      </c>
      <c r="G1397" s="63">
        <f>F1397-E1397</f>
        <v>0.70833333333575865</v>
      </c>
      <c r="H1397" s="1" t="s">
        <v>248</v>
      </c>
      <c r="J1397" s="1" t="s">
        <v>249</v>
      </c>
      <c r="K1397" s="1" t="str">
        <f>_xlfn.XLOOKUP(J1397,REF!$D$2:$D$12,REF!$E$2:$E$12)</f>
        <v>Rede</v>
      </c>
      <c r="L1397" s="1" t="s">
        <v>907</v>
      </c>
      <c r="M1397" s="1" t="s">
        <v>251</v>
      </c>
      <c r="N1397" s="1" t="s">
        <v>330</v>
      </c>
      <c r="O1397" s="1" t="s">
        <v>908</v>
      </c>
      <c r="P1397" s="1" t="str">
        <f>_xlfn.CONCAT(B1397,C1397,D1397,E1397,F1397)</f>
        <v>BC Camarao1.5Inverter(MBUS-1)46009,861111111146009,861111111146010,5694444444</v>
      </c>
      <c r="Q1397" s="1" t="str">
        <f t="shared" si="70"/>
        <v>DAURDE</v>
      </c>
    </row>
    <row r="1398" spans="1:17" hidden="1">
      <c r="B1398" s="1" t="s">
        <v>388</v>
      </c>
      <c r="C1398" s="1" t="s">
        <v>254</v>
      </c>
      <c r="D1398" s="52">
        <v>46009.861111111109</v>
      </c>
      <c r="E1398" s="52">
        <v>46009.861111111109</v>
      </c>
      <c r="F1398" s="52">
        <v>46010.569444444445</v>
      </c>
      <c r="G1398" s="63">
        <f>F1398-E1398</f>
        <v>0.70833333333575865</v>
      </c>
      <c r="H1398" s="1" t="s">
        <v>248</v>
      </c>
      <c r="J1398" s="1" t="s">
        <v>249</v>
      </c>
      <c r="K1398" s="1" t="str">
        <f>_xlfn.XLOOKUP(J1398,REF!$D$2:$D$12,REF!$E$2:$E$12)</f>
        <v>Rede</v>
      </c>
      <c r="L1398" s="1" t="s">
        <v>907</v>
      </c>
      <c r="M1398" s="1" t="s">
        <v>251</v>
      </c>
      <c r="N1398" s="1" t="s">
        <v>330</v>
      </c>
      <c r="O1398" s="1" t="s">
        <v>908</v>
      </c>
      <c r="P1398" s="1" t="str">
        <f>_xlfn.CONCAT(B1398,C1398,D1398,E1398,F1398)</f>
        <v>BC Camarao1.5215KTL-H3(MBUS-13)46009,861111111146009,861111111146010,5694444444</v>
      </c>
      <c r="Q1398" s="1" t="str">
        <f t="shared" si="70"/>
        <v>DAURDE</v>
      </c>
    </row>
    <row r="1399" spans="1:17" hidden="1">
      <c r="B1399" s="1" t="s">
        <v>388</v>
      </c>
      <c r="C1399" s="1" t="s">
        <v>247</v>
      </c>
      <c r="D1399" s="52">
        <v>46009.861111111109</v>
      </c>
      <c r="E1399" s="52">
        <v>46009.861111111109</v>
      </c>
      <c r="F1399" s="52">
        <v>46010.569444444445</v>
      </c>
      <c r="G1399" s="63">
        <f>F1399-E1399</f>
        <v>0.70833333333575865</v>
      </c>
      <c r="H1399" s="1" t="s">
        <v>248</v>
      </c>
      <c r="J1399" s="1" t="s">
        <v>249</v>
      </c>
      <c r="K1399" s="1" t="str">
        <f>_xlfn.XLOOKUP(J1399,REF!$D$2:$D$12,REF!$E$2:$E$12)</f>
        <v>Rede</v>
      </c>
      <c r="L1399" s="1" t="s">
        <v>907</v>
      </c>
      <c r="M1399" s="1" t="s">
        <v>251</v>
      </c>
      <c r="N1399" s="1" t="s">
        <v>330</v>
      </c>
      <c r="O1399" s="1" t="s">
        <v>908</v>
      </c>
      <c r="P1399" s="1" t="str">
        <f>_xlfn.CONCAT(B1399,C1399,D1399,E1399,F1399)</f>
        <v>BC Camarao1.5215KTL-H3(MBUS-12)46009,861111111146009,861111111146010,5694444444</v>
      </c>
      <c r="Q1399" s="1" t="str">
        <f t="shared" si="70"/>
        <v>DAURDE</v>
      </c>
    </row>
    <row r="1400" spans="1:17" hidden="1">
      <c r="B1400" s="1" t="s">
        <v>388</v>
      </c>
      <c r="C1400" s="1" t="s">
        <v>358</v>
      </c>
      <c r="D1400" s="52">
        <v>46009.861111111109</v>
      </c>
      <c r="E1400" s="52">
        <v>46009.861111111109</v>
      </c>
      <c r="F1400" s="52">
        <v>46010.569444444445</v>
      </c>
      <c r="G1400" s="63">
        <f>F1400-E1400</f>
        <v>0.70833333333575865</v>
      </c>
      <c r="H1400" s="1" t="s">
        <v>248</v>
      </c>
      <c r="J1400" s="1" t="s">
        <v>249</v>
      </c>
      <c r="K1400" s="1" t="str">
        <f>_xlfn.XLOOKUP(J1400,REF!$D$2:$D$12,REF!$E$2:$E$12)</f>
        <v>Rede</v>
      </c>
      <c r="L1400" s="1" t="s">
        <v>907</v>
      </c>
      <c r="M1400" s="1" t="s">
        <v>251</v>
      </c>
      <c r="N1400" s="1" t="s">
        <v>330</v>
      </c>
      <c r="O1400" s="1" t="s">
        <v>908</v>
      </c>
      <c r="P1400" s="1" t="str">
        <f>_xlfn.CONCAT(B1400,C1400,D1400,E1400,F1400)</f>
        <v>BC Camarao1.5Inverter(MBUS-14)46009,861111111146009,861111111146010,5694444444</v>
      </c>
      <c r="Q1400" s="1" t="str">
        <f t="shared" si="70"/>
        <v>DAURDE</v>
      </c>
    </row>
    <row r="1401" spans="1:17" s="44" customFormat="1" hidden="1">
      <c r="A1401" s="43"/>
      <c r="B1401" s="58" t="s">
        <v>909</v>
      </c>
      <c r="C1401" s="58" t="s">
        <v>679</v>
      </c>
      <c r="D1401" s="59">
        <v>46004.298611111109</v>
      </c>
      <c r="E1401" s="59">
        <v>46004.298611111109</v>
      </c>
      <c r="F1401" s="59">
        <v>46006.711805555555</v>
      </c>
      <c r="G1401" s="60">
        <f>+F1401-E1401</f>
        <v>2.4131944444452529</v>
      </c>
      <c r="H1401" s="58" t="s">
        <v>248</v>
      </c>
      <c r="I1401" s="58"/>
      <c r="J1401" s="58" t="s">
        <v>249</v>
      </c>
      <c r="K1401" s="1" t="str">
        <f>_xlfn.XLOOKUP(J1401,REF!$D$2:$D$12,REF!$E$2:$E$12)</f>
        <v>Rede</v>
      </c>
      <c r="L1401" s="58" t="s">
        <v>910</v>
      </c>
      <c r="M1401" s="58" t="s">
        <v>251</v>
      </c>
      <c r="N1401" s="58" t="s">
        <v>330</v>
      </c>
      <c r="O1401" s="58" t="s">
        <v>911</v>
      </c>
      <c r="P1401" s="58" t="str">
        <f>_xlfn.CONCAT(B1401,C1401,D1401,E1401,F1401)</f>
        <v>Vazante IInverter0146004,298611111146004,298611111146006,7118055556</v>
      </c>
      <c r="Q1401" s="1" t="str">
        <f t="shared" si="70"/>
        <v>DAURDE</v>
      </c>
    </row>
    <row r="1402" spans="1:17" s="44" customFormat="1" hidden="1">
      <c r="A1402" s="43"/>
      <c r="B1402" s="58" t="s">
        <v>909</v>
      </c>
      <c r="C1402" s="58" t="s">
        <v>682</v>
      </c>
      <c r="D1402" s="59">
        <v>46004.298611111109</v>
      </c>
      <c r="E1402" s="59">
        <v>46004.298611111109</v>
      </c>
      <c r="F1402" s="59">
        <v>46006.711805555555</v>
      </c>
      <c r="G1402" s="60">
        <f>+F1402-E1402</f>
        <v>2.4131944444452529</v>
      </c>
      <c r="H1402" s="58" t="s">
        <v>248</v>
      </c>
      <c r="I1402" s="58"/>
      <c r="J1402" s="58" t="s">
        <v>249</v>
      </c>
      <c r="K1402" s="1" t="str">
        <f>_xlfn.XLOOKUP(J1402,REF!$D$2:$D$12,REF!$E$2:$E$12)</f>
        <v>Rede</v>
      </c>
      <c r="L1402" s="58" t="s">
        <v>910</v>
      </c>
      <c r="M1402" s="58" t="s">
        <v>251</v>
      </c>
      <c r="N1402" s="58" t="s">
        <v>330</v>
      </c>
      <c r="O1402" s="58" t="s">
        <v>911</v>
      </c>
      <c r="P1402" s="58" t="str">
        <f>_xlfn.CONCAT(B1402,C1402,D1402,E1402,F1402)</f>
        <v>Vazante IInverter0246004,298611111146004,298611111146006,7118055556</v>
      </c>
      <c r="Q1402" s="1" t="str">
        <f t="shared" si="70"/>
        <v>DAURDE</v>
      </c>
    </row>
    <row r="1403" spans="1:17" s="44" customFormat="1" hidden="1">
      <c r="A1403" s="43"/>
      <c r="B1403" s="58" t="s">
        <v>909</v>
      </c>
      <c r="C1403" s="58" t="s">
        <v>683</v>
      </c>
      <c r="D1403" s="59">
        <v>46004.298611111109</v>
      </c>
      <c r="E1403" s="59">
        <v>46004.298611111109</v>
      </c>
      <c r="F1403" s="59">
        <v>46006.711805555555</v>
      </c>
      <c r="G1403" s="60">
        <f>+F1403-E1403</f>
        <v>2.4131944444452529</v>
      </c>
      <c r="H1403" s="58" t="s">
        <v>248</v>
      </c>
      <c r="I1403" s="58"/>
      <c r="J1403" s="58" t="s">
        <v>249</v>
      </c>
      <c r="K1403" s="1" t="str">
        <f>_xlfn.XLOOKUP(J1403,REF!$D$2:$D$12,REF!$E$2:$E$12)</f>
        <v>Rede</v>
      </c>
      <c r="L1403" s="58" t="s">
        <v>910</v>
      </c>
      <c r="M1403" s="58" t="s">
        <v>251</v>
      </c>
      <c r="N1403" s="58" t="s">
        <v>330</v>
      </c>
      <c r="O1403" s="58" t="s">
        <v>911</v>
      </c>
      <c r="P1403" s="58" t="str">
        <f>_xlfn.CONCAT(B1403,C1403,D1403,E1403,F1403)</f>
        <v>Vazante IInverter0346004,298611111146004,298611111146006,7118055556</v>
      </c>
      <c r="Q1403" s="1" t="str">
        <f t="shared" si="70"/>
        <v>DAURDE</v>
      </c>
    </row>
    <row r="1404" spans="1:17" s="44" customFormat="1" hidden="1">
      <c r="A1404" s="43"/>
      <c r="B1404" s="58" t="s">
        <v>909</v>
      </c>
      <c r="C1404" s="58" t="s">
        <v>684</v>
      </c>
      <c r="D1404" s="59">
        <v>46004.298611111109</v>
      </c>
      <c r="E1404" s="59">
        <v>46004.298611111109</v>
      </c>
      <c r="F1404" s="59">
        <v>46006.711805555555</v>
      </c>
      <c r="G1404" s="60">
        <f>+F1404-E1404</f>
        <v>2.4131944444452529</v>
      </c>
      <c r="H1404" s="58" t="s">
        <v>248</v>
      </c>
      <c r="I1404" s="58"/>
      <c r="J1404" s="58" t="s">
        <v>249</v>
      </c>
      <c r="K1404" s="1" t="str">
        <f>_xlfn.XLOOKUP(J1404,REF!$D$2:$D$12,REF!$E$2:$E$12)</f>
        <v>Rede</v>
      </c>
      <c r="L1404" s="58" t="s">
        <v>910</v>
      </c>
      <c r="M1404" s="58" t="s">
        <v>251</v>
      </c>
      <c r="N1404" s="58" t="s">
        <v>330</v>
      </c>
      <c r="O1404" s="58" t="s">
        <v>911</v>
      </c>
      <c r="P1404" s="58" t="str">
        <f>_xlfn.CONCAT(B1404,C1404,D1404,E1404,F1404)</f>
        <v>Vazante IInverter0446004,298611111146004,298611111146006,7118055556</v>
      </c>
      <c r="Q1404" s="1" t="str">
        <f t="shared" si="70"/>
        <v>DAURDE</v>
      </c>
    </row>
    <row r="1405" spans="1:17" s="44" customFormat="1" hidden="1">
      <c r="A1405" s="43"/>
      <c r="B1405" s="58" t="s">
        <v>909</v>
      </c>
      <c r="C1405" s="58" t="s">
        <v>685</v>
      </c>
      <c r="D1405" s="59">
        <v>46004.298611111109</v>
      </c>
      <c r="E1405" s="59">
        <v>46004.298611111109</v>
      </c>
      <c r="F1405" s="59">
        <v>46006.711805555555</v>
      </c>
      <c r="G1405" s="60">
        <f>+F1405-E1405</f>
        <v>2.4131944444452529</v>
      </c>
      <c r="H1405" s="58" t="s">
        <v>248</v>
      </c>
      <c r="I1405" s="58"/>
      <c r="J1405" s="58" t="s">
        <v>249</v>
      </c>
      <c r="K1405" s="1" t="str">
        <f>_xlfn.XLOOKUP(J1405,REF!$D$2:$D$12,REF!$E$2:$E$12)</f>
        <v>Rede</v>
      </c>
      <c r="L1405" s="58" t="s">
        <v>910</v>
      </c>
      <c r="M1405" s="58" t="s">
        <v>251</v>
      </c>
      <c r="N1405" s="58" t="s">
        <v>330</v>
      </c>
      <c r="O1405" s="58" t="s">
        <v>911</v>
      </c>
      <c r="P1405" s="58" t="str">
        <f>_xlfn.CONCAT(B1405,C1405,D1405,E1405,F1405)</f>
        <v>Vazante IInverter0546004,298611111146004,298611111146006,7118055556</v>
      </c>
      <c r="Q1405" s="1" t="str">
        <f t="shared" si="70"/>
        <v>DAURDE</v>
      </c>
    </row>
    <row r="1406" spans="1:17" s="44" customFormat="1" hidden="1">
      <c r="A1406" s="43"/>
      <c r="B1406" s="58" t="s">
        <v>909</v>
      </c>
      <c r="C1406" s="58" t="s">
        <v>686</v>
      </c>
      <c r="D1406" s="59">
        <v>46004.298611111109</v>
      </c>
      <c r="E1406" s="59">
        <v>46004.298611111109</v>
      </c>
      <c r="F1406" s="59">
        <v>46006.711805555555</v>
      </c>
      <c r="G1406" s="60">
        <f>+F1406-E1406</f>
        <v>2.4131944444452529</v>
      </c>
      <c r="H1406" s="58" t="s">
        <v>248</v>
      </c>
      <c r="I1406" s="58"/>
      <c r="J1406" s="58" t="s">
        <v>249</v>
      </c>
      <c r="K1406" s="1" t="str">
        <f>_xlfn.XLOOKUP(J1406,REF!$D$2:$D$12,REF!$E$2:$E$12)</f>
        <v>Rede</v>
      </c>
      <c r="L1406" s="58" t="s">
        <v>910</v>
      </c>
      <c r="M1406" s="58" t="s">
        <v>251</v>
      </c>
      <c r="N1406" s="58" t="s">
        <v>330</v>
      </c>
      <c r="O1406" s="58" t="s">
        <v>911</v>
      </c>
      <c r="P1406" s="58" t="str">
        <f>_xlfn.CONCAT(B1406,C1406,D1406,E1406,F1406)</f>
        <v>Vazante IInverter0646004,298611111146004,298611111146006,7118055556</v>
      </c>
      <c r="Q1406" s="1" t="str">
        <f t="shared" si="70"/>
        <v>DAURDE</v>
      </c>
    </row>
    <row r="1407" spans="1:17" s="44" customFormat="1" hidden="1">
      <c r="A1407" s="43"/>
      <c r="B1407" s="58" t="s">
        <v>909</v>
      </c>
      <c r="C1407" s="58" t="s">
        <v>687</v>
      </c>
      <c r="D1407" s="59">
        <v>46004.298611111109</v>
      </c>
      <c r="E1407" s="59">
        <v>46004.298611111109</v>
      </c>
      <c r="F1407" s="59">
        <v>46006.711805555555</v>
      </c>
      <c r="G1407" s="60">
        <f>+F1407-E1407</f>
        <v>2.4131944444452529</v>
      </c>
      <c r="H1407" s="58" t="s">
        <v>248</v>
      </c>
      <c r="I1407" s="58"/>
      <c r="J1407" s="58" t="s">
        <v>249</v>
      </c>
      <c r="K1407" s="1" t="str">
        <f>_xlfn.XLOOKUP(J1407,REF!$D$2:$D$12,REF!$E$2:$E$12)</f>
        <v>Rede</v>
      </c>
      <c r="L1407" s="58" t="s">
        <v>910</v>
      </c>
      <c r="M1407" s="58" t="s">
        <v>251</v>
      </c>
      <c r="N1407" s="58" t="s">
        <v>330</v>
      </c>
      <c r="O1407" s="58" t="s">
        <v>911</v>
      </c>
      <c r="P1407" s="58" t="str">
        <f>_xlfn.CONCAT(B1407,C1407,D1407,E1407,F1407)</f>
        <v>Vazante IInverter0746004,298611111146004,298611111146006,7118055556</v>
      </c>
      <c r="Q1407" s="1" t="str">
        <f t="shared" si="70"/>
        <v>DAURDE</v>
      </c>
    </row>
    <row r="1408" spans="1:17" s="44" customFormat="1" hidden="1">
      <c r="A1408" s="43"/>
      <c r="B1408" s="58" t="s">
        <v>909</v>
      </c>
      <c r="C1408" s="58" t="s">
        <v>688</v>
      </c>
      <c r="D1408" s="59">
        <v>46004.298611111109</v>
      </c>
      <c r="E1408" s="59">
        <v>46004.298611111109</v>
      </c>
      <c r="F1408" s="59">
        <v>46006.711805555555</v>
      </c>
      <c r="G1408" s="60">
        <f>+F1408-E1408</f>
        <v>2.4131944444452529</v>
      </c>
      <c r="H1408" s="58" t="s">
        <v>248</v>
      </c>
      <c r="I1408" s="58"/>
      <c r="J1408" s="58" t="s">
        <v>249</v>
      </c>
      <c r="K1408" s="1" t="str">
        <f>_xlfn.XLOOKUP(J1408,REF!$D$2:$D$12,REF!$E$2:$E$12)</f>
        <v>Rede</v>
      </c>
      <c r="L1408" s="58" t="s">
        <v>910</v>
      </c>
      <c r="M1408" s="58" t="s">
        <v>251</v>
      </c>
      <c r="N1408" s="58" t="s">
        <v>330</v>
      </c>
      <c r="O1408" s="58" t="s">
        <v>911</v>
      </c>
      <c r="P1408" s="58" t="str">
        <f>_xlfn.CONCAT(B1408,C1408,D1408,E1408,F1408)</f>
        <v>Vazante IInverter0846004,298611111146004,298611111146006,7118055556</v>
      </c>
      <c r="Q1408" s="1" t="str">
        <f t="shared" si="70"/>
        <v>DAURDE</v>
      </c>
    </row>
    <row r="1409" spans="1:17" s="44" customFormat="1" hidden="1">
      <c r="A1409" s="43"/>
      <c r="B1409" s="58" t="s">
        <v>909</v>
      </c>
      <c r="C1409" s="58" t="s">
        <v>689</v>
      </c>
      <c r="D1409" s="59">
        <v>46004.298611111109</v>
      </c>
      <c r="E1409" s="59">
        <v>46004.298611111109</v>
      </c>
      <c r="F1409" s="59">
        <v>46006.711805555555</v>
      </c>
      <c r="G1409" s="60">
        <f>+F1409-E1409</f>
        <v>2.4131944444452529</v>
      </c>
      <c r="H1409" s="58" t="s">
        <v>248</v>
      </c>
      <c r="I1409" s="58"/>
      <c r="J1409" s="58" t="s">
        <v>249</v>
      </c>
      <c r="K1409" s="1" t="str">
        <f>_xlfn.XLOOKUP(J1409,REF!$D$2:$D$12,REF!$E$2:$E$12)</f>
        <v>Rede</v>
      </c>
      <c r="L1409" s="58" t="s">
        <v>910</v>
      </c>
      <c r="M1409" s="58" t="s">
        <v>251</v>
      </c>
      <c r="N1409" s="58" t="s">
        <v>330</v>
      </c>
      <c r="O1409" s="58" t="s">
        <v>911</v>
      </c>
      <c r="P1409" s="58" t="str">
        <f>_xlfn.CONCAT(B1409,C1409,D1409,E1409,F1409)</f>
        <v>Vazante IInverter0946004,298611111146004,298611111146006,7118055556</v>
      </c>
      <c r="Q1409" s="1" t="str">
        <f t="shared" si="70"/>
        <v>DAURDE</v>
      </c>
    </row>
    <row r="1410" spans="1:17" s="44" customFormat="1" hidden="1">
      <c r="A1410" s="43"/>
      <c r="B1410" s="58" t="s">
        <v>909</v>
      </c>
      <c r="C1410" s="58" t="s">
        <v>690</v>
      </c>
      <c r="D1410" s="59">
        <v>46004.298611111109</v>
      </c>
      <c r="E1410" s="59">
        <v>46004.298611111109</v>
      </c>
      <c r="F1410" s="59">
        <v>46006.711805555555</v>
      </c>
      <c r="G1410" s="60">
        <f>+F1410-E1410</f>
        <v>2.4131944444452529</v>
      </c>
      <c r="H1410" s="58" t="s">
        <v>248</v>
      </c>
      <c r="I1410" s="58"/>
      <c r="J1410" s="58" t="s">
        <v>249</v>
      </c>
      <c r="K1410" s="1" t="str">
        <f>_xlfn.XLOOKUP(J1410,REF!$D$2:$D$12,REF!$E$2:$E$12)</f>
        <v>Rede</v>
      </c>
      <c r="L1410" s="58" t="s">
        <v>910</v>
      </c>
      <c r="M1410" s="58" t="s">
        <v>251</v>
      </c>
      <c r="N1410" s="58" t="s">
        <v>330</v>
      </c>
      <c r="O1410" s="58" t="s">
        <v>911</v>
      </c>
      <c r="P1410" s="58" t="str">
        <f>_xlfn.CONCAT(B1410,C1410,D1410,E1410,F1410)</f>
        <v>Vazante IInverter1046004,298611111146004,298611111146006,7118055556</v>
      </c>
      <c r="Q1410" s="1" t="str">
        <f t="shared" si="70"/>
        <v>DAURDE</v>
      </c>
    </row>
    <row r="1411" spans="1:17" s="44" customFormat="1" hidden="1">
      <c r="A1411" s="43"/>
      <c r="B1411" s="58" t="s">
        <v>909</v>
      </c>
      <c r="C1411" s="58" t="s">
        <v>691</v>
      </c>
      <c r="D1411" s="59">
        <v>46004.298611111109</v>
      </c>
      <c r="E1411" s="59">
        <v>46004.298611111109</v>
      </c>
      <c r="F1411" s="59">
        <v>46006.711805555555</v>
      </c>
      <c r="G1411" s="60">
        <f>+F1411-E1411</f>
        <v>2.4131944444452529</v>
      </c>
      <c r="H1411" s="58" t="s">
        <v>248</v>
      </c>
      <c r="I1411" s="58"/>
      <c r="J1411" s="58" t="s">
        <v>249</v>
      </c>
      <c r="K1411" s="1" t="str">
        <f>_xlfn.XLOOKUP(J1411,REF!$D$2:$D$12,REF!$E$2:$E$12)</f>
        <v>Rede</v>
      </c>
      <c r="L1411" s="58" t="s">
        <v>910</v>
      </c>
      <c r="M1411" s="58" t="s">
        <v>251</v>
      </c>
      <c r="N1411" s="58" t="s">
        <v>330</v>
      </c>
      <c r="O1411" s="58" t="s">
        <v>911</v>
      </c>
      <c r="P1411" s="58" t="str">
        <f>_xlfn.CONCAT(B1411,C1411,D1411,E1411,F1411)</f>
        <v>Vazante IInverter1146004,298611111146004,298611111146006,7118055556</v>
      </c>
      <c r="Q1411" s="1" t="str">
        <f t="shared" si="70"/>
        <v>DAURDE</v>
      </c>
    </row>
    <row r="1412" spans="1:17" s="44" customFormat="1" hidden="1">
      <c r="A1412" s="43"/>
      <c r="B1412" s="58" t="s">
        <v>909</v>
      </c>
      <c r="C1412" s="58" t="s">
        <v>654</v>
      </c>
      <c r="D1412" s="59">
        <v>46004.298611111109</v>
      </c>
      <c r="E1412" s="59">
        <v>46004.298611111109</v>
      </c>
      <c r="F1412" s="59">
        <v>46006.711805555555</v>
      </c>
      <c r="G1412" s="60">
        <f>+F1412-E1412</f>
        <v>2.4131944444452529</v>
      </c>
      <c r="H1412" s="58" t="s">
        <v>248</v>
      </c>
      <c r="I1412" s="58"/>
      <c r="J1412" s="58" t="s">
        <v>249</v>
      </c>
      <c r="K1412" s="1" t="str">
        <f>_xlfn.XLOOKUP(J1412,REF!$D$2:$D$12,REF!$E$2:$E$12)</f>
        <v>Rede</v>
      </c>
      <c r="L1412" s="58" t="s">
        <v>910</v>
      </c>
      <c r="M1412" s="58" t="s">
        <v>251</v>
      </c>
      <c r="N1412" s="58" t="s">
        <v>330</v>
      </c>
      <c r="O1412" s="58" t="s">
        <v>911</v>
      </c>
      <c r="P1412" s="58" t="str">
        <f>_xlfn.CONCAT(B1412,C1412,D1412,E1412,F1412)</f>
        <v>Vazante IInverter1246004,298611111146004,298611111146006,7118055556</v>
      </c>
      <c r="Q1412" s="1" t="str">
        <f t="shared" si="70"/>
        <v>DAURDE</v>
      </c>
    </row>
    <row r="1413" spans="1:17" s="44" customFormat="1" hidden="1">
      <c r="A1413" s="43"/>
      <c r="B1413" s="58" t="s">
        <v>909</v>
      </c>
      <c r="C1413" s="58" t="s">
        <v>557</v>
      </c>
      <c r="D1413" s="59">
        <v>46004.298611111109</v>
      </c>
      <c r="E1413" s="59">
        <v>46004.298611111109</v>
      </c>
      <c r="F1413" s="59">
        <v>46006.711805555555</v>
      </c>
      <c r="G1413" s="60">
        <f>+F1413-E1413</f>
        <v>2.4131944444452529</v>
      </c>
      <c r="H1413" s="58" t="s">
        <v>248</v>
      </c>
      <c r="I1413" s="58"/>
      <c r="J1413" s="58" t="s">
        <v>249</v>
      </c>
      <c r="K1413" s="1" t="str">
        <f>_xlfn.XLOOKUP(J1413,REF!$D$2:$D$12,REF!$E$2:$E$12)</f>
        <v>Rede</v>
      </c>
      <c r="L1413" s="58" t="s">
        <v>910</v>
      </c>
      <c r="M1413" s="58" t="s">
        <v>251</v>
      </c>
      <c r="N1413" s="58" t="s">
        <v>330</v>
      </c>
      <c r="O1413" s="58" t="s">
        <v>911</v>
      </c>
      <c r="P1413" s="58" t="str">
        <f>_xlfn.CONCAT(B1413,C1413,D1413,E1413,F1413)</f>
        <v>Vazante IInverter1346004,298611111146004,298611111146006,7118055556</v>
      </c>
      <c r="Q1413" s="1" t="str">
        <f t="shared" si="70"/>
        <v>DAURDE</v>
      </c>
    </row>
    <row r="1414" spans="1:17" s="44" customFormat="1" hidden="1">
      <c r="A1414" s="43"/>
      <c r="B1414" s="58" t="s">
        <v>909</v>
      </c>
      <c r="C1414" s="58" t="s">
        <v>692</v>
      </c>
      <c r="D1414" s="59">
        <v>46004.298611111109</v>
      </c>
      <c r="E1414" s="59">
        <v>46004.298611111109</v>
      </c>
      <c r="F1414" s="59">
        <v>46006.711805555555</v>
      </c>
      <c r="G1414" s="60">
        <f>+F1414-E1414</f>
        <v>2.4131944444452529</v>
      </c>
      <c r="H1414" s="58" t="s">
        <v>248</v>
      </c>
      <c r="I1414" s="58"/>
      <c r="J1414" s="58" t="s">
        <v>249</v>
      </c>
      <c r="K1414" s="1" t="str">
        <f>_xlfn.XLOOKUP(J1414,REF!$D$2:$D$12,REF!$E$2:$E$12)</f>
        <v>Rede</v>
      </c>
      <c r="L1414" s="58" t="s">
        <v>910</v>
      </c>
      <c r="M1414" s="58" t="s">
        <v>251</v>
      </c>
      <c r="N1414" s="58" t="s">
        <v>330</v>
      </c>
      <c r="O1414" s="58" t="s">
        <v>911</v>
      </c>
      <c r="P1414" s="58" t="str">
        <f>_xlfn.CONCAT(B1414,C1414,D1414,E1414,F1414)</f>
        <v>Vazante IInverter1446004,298611111146004,298611111146006,7118055556</v>
      </c>
      <c r="Q1414" s="1" t="str">
        <f t="shared" si="70"/>
        <v>DAURDE</v>
      </c>
    </row>
    <row r="1415" spans="1:17" s="44" customFormat="1" hidden="1">
      <c r="A1415" s="43"/>
      <c r="B1415" s="58" t="s">
        <v>909</v>
      </c>
      <c r="C1415" s="58" t="s">
        <v>693</v>
      </c>
      <c r="D1415" s="59">
        <v>46004.298611111109</v>
      </c>
      <c r="E1415" s="59">
        <v>46004.298611111109</v>
      </c>
      <c r="F1415" s="59">
        <v>46006.711805555555</v>
      </c>
      <c r="G1415" s="60">
        <f>+F1415-E1415</f>
        <v>2.4131944444452529</v>
      </c>
      <c r="H1415" s="58" t="s">
        <v>248</v>
      </c>
      <c r="I1415" s="58"/>
      <c r="J1415" s="58" t="s">
        <v>249</v>
      </c>
      <c r="K1415" s="1" t="str">
        <f>_xlfn.XLOOKUP(J1415,REF!$D$2:$D$12,REF!$E$2:$E$12)</f>
        <v>Rede</v>
      </c>
      <c r="L1415" s="58" t="s">
        <v>910</v>
      </c>
      <c r="M1415" s="58" t="s">
        <v>251</v>
      </c>
      <c r="N1415" s="58" t="s">
        <v>330</v>
      </c>
      <c r="O1415" s="58" t="s">
        <v>911</v>
      </c>
      <c r="P1415" s="58" t="str">
        <f>_xlfn.CONCAT(B1415,C1415,D1415,E1415,F1415)</f>
        <v>Vazante IInverter1546004,298611111146004,298611111146006,7118055556</v>
      </c>
      <c r="Q1415" s="1" t="str">
        <f t="shared" si="70"/>
        <v>DAURDE</v>
      </c>
    </row>
    <row r="1416" spans="1:17" s="44" customFormat="1" hidden="1">
      <c r="A1416" s="43"/>
      <c r="B1416" s="58" t="s">
        <v>909</v>
      </c>
      <c r="C1416" s="58" t="s">
        <v>694</v>
      </c>
      <c r="D1416" s="59">
        <v>46004.298611111109</v>
      </c>
      <c r="E1416" s="59">
        <v>46004.298611111109</v>
      </c>
      <c r="F1416" s="59">
        <v>46006.711805555555</v>
      </c>
      <c r="G1416" s="60">
        <f>+F1416-E1416</f>
        <v>2.4131944444452529</v>
      </c>
      <c r="H1416" s="58" t="s">
        <v>248</v>
      </c>
      <c r="I1416" s="58"/>
      <c r="J1416" s="58" t="s">
        <v>249</v>
      </c>
      <c r="K1416" s="1" t="str">
        <f>_xlfn.XLOOKUP(J1416,REF!$D$2:$D$12,REF!$E$2:$E$12)</f>
        <v>Rede</v>
      </c>
      <c r="L1416" s="58" t="s">
        <v>910</v>
      </c>
      <c r="M1416" s="58" t="s">
        <v>251</v>
      </c>
      <c r="N1416" s="58" t="s">
        <v>330</v>
      </c>
      <c r="O1416" s="58" t="s">
        <v>911</v>
      </c>
      <c r="P1416" s="58" t="str">
        <f>_xlfn.CONCAT(B1416,C1416,D1416,E1416,F1416)</f>
        <v>Vazante IInverter1646004,298611111146004,298611111146006,7118055556</v>
      </c>
      <c r="Q1416" s="1" t="str">
        <f t="shared" si="70"/>
        <v>DAURDE</v>
      </c>
    </row>
    <row r="1417" spans="1:17" s="44" customFormat="1" hidden="1">
      <c r="A1417" s="43"/>
      <c r="B1417" s="58" t="s">
        <v>909</v>
      </c>
      <c r="C1417" s="58" t="s">
        <v>695</v>
      </c>
      <c r="D1417" s="59">
        <v>46004.298611111109</v>
      </c>
      <c r="E1417" s="59">
        <v>46004.298611111109</v>
      </c>
      <c r="F1417" s="59">
        <v>46006.711805555555</v>
      </c>
      <c r="G1417" s="60">
        <f>+F1417-E1417</f>
        <v>2.4131944444452529</v>
      </c>
      <c r="H1417" s="58" t="s">
        <v>248</v>
      </c>
      <c r="I1417" s="58"/>
      <c r="J1417" s="58" t="s">
        <v>249</v>
      </c>
      <c r="K1417" s="1" t="str">
        <f>_xlfn.XLOOKUP(J1417,REF!$D$2:$D$12,REF!$E$2:$E$12)</f>
        <v>Rede</v>
      </c>
      <c r="L1417" s="58" t="s">
        <v>910</v>
      </c>
      <c r="M1417" s="58" t="s">
        <v>251</v>
      </c>
      <c r="N1417" s="58" t="s">
        <v>330</v>
      </c>
      <c r="O1417" s="58" t="s">
        <v>911</v>
      </c>
      <c r="P1417" s="58" t="str">
        <f>_xlfn.CONCAT(B1417,C1417,D1417,E1417,F1417)</f>
        <v>Vazante IInverter1746004,298611111146004,298611111146006,7118055556</v>
      </c>
      <c r="Q1417" s="1" t="str">
        <f t="shared" si="70"/>
        <v>DAURDE</v>
      </c>
    </row>
    <row r="1418" spans="1:17" s="44" customFormat="1" hidden="1">
      <c r="A1418" s="43"/>
      <c r="B1418" s="58" t="s">
        <v>912</v>
      </c>
      <c r="C1418" s="58" t="s">
        <v>913</v>
      </c>
      <c r="D1418" s="59">
        <v>46004.298611111109</v>
      </c>
      <c r="E1418" s="59">
        <v>46004.298611111109</v>
      </c>
      <c r="F1418" s="59">
        <v>46006.711805555555</v>
      </c>
      <c r="G1418" s="60">
        <f>+F1418-E1418</f>
        <v>2.4131944444452529</v>
      </c>
      <c r="H1418" s="58" t="s">
        <v>248</v>
      </c>
      <c r="I1418" s="58"/>
      <c r="J1418" s="58" t="s">
        <v>249</v>
      </c>
      <c r="K1418" s="1" t="str">
        <f>_xlfn.XLOOKUP(J1418,REF!$D$2:$D$12,REF!$E$2:$E$12)</f>
        <v>Rede</v>
      </c>
      <c r="L1418" s="58" t="s">
        <v>910</v>
      </c>
      <c r="M1418" s="58" t="s">
        <v>251</v>
      </c>
      <c r="N1418" s="58" t="s">
        <v>330</v>
      </c>
      <c r="O1418" s="58" t="s">
        <v>911</v>
      </c>
      <c r="P1418" s="58" t="str">
        <f>_xlfn.CONCAT(B1418,C1418,D1418,E1418,F1418)</f>
        <v>Vazante IIInverter 146004,298611111146004,298611111146006,7118055556</v>
      </c>
      <c r="Q1418" s="1" t="str">
        <f t="shared" si="70"/>
        <v>DAURDE</v>
      </c>
    </row>
    <row r="1419" spans="1:17" s="44" customFormat="1" hidden="1">
      <c r="A1419" s="43"/>
      <c r="B1419" s="58" t="s">
        <v>912</v>
      </c>
      <c r="C1419" s="58" t="s">
        <v>914</v>
      </c>
      <c r="D1419" s="59">
        <v>46004.298611111109</v>
      </c>
      <c r="E1419" s="59">
        <v>46004.298611111109</v>
      </c>
      <c r="F1419" s="59">
        <v>46006.711805555555</v>
      </c>
      <c r="G1419" s="60">
        <f>+F1419-E1419</f>
        <v>2.4131944444452529</v>
      </c>
      <c r="H1419" s="58" t="s">
        <v>248</v>
      </c>
      <c r="I1419" s="58"/>
      <c r="J1419" s="58" t="s">
        <v>249</v>
      </c>
      <c r="K1419" s="1" t="str">
        <f>_xlfn.XLOOKUP(J1419,REF!$D$2:$D$12,REF!$E$2:$E$12)</f>
        <v>Rede</v>
      </c>
      <c r="L1419" s="58" t="s">
        <v>910</v>
      </c>
      <c r="M1419" s="58" t="s">
        <v>251</v>
      </c>
      <c r="N1419" s="58" t="s">
        <v>330</v>
      </c>
      <c r="O1419" s="58" t="s">
        <v>911</v>
      </c>
      <c r="P1419" s="58" t="str">
        <f>_xlfn.CONCAT(B1419,C1419,D1419,E1419,F1419)</f>
        <v>Vazante IIInverter 246004,298611111146004,298611111146006,7118055556</v>
      </c>
      <c r="Q1419" s="1" t="str">
        <f t="shared" si="70"/>
        <v>DAURDE</v>
      </c>
    </row>
    <row r="1420" spans="1:17" s="44" customFormat="1" hidden="1">
      <c r="A1420" s="43"/>
      <c r="B1420" s="58" t="s">
        <v>912</v>
      </c>
      <c r="C1420" s="58" t="s">
        <v>915</v>
      </c>
      <c r="D1420" s="59">
        <v>46004.298611111109</v>
      </c>
      <c r="E1420" s="59">
        <v>46004.298611111109</v>
      </c>
      <c r="F1420" s="59">
        <v>46006.711805555555</v>
      </c>
      <c r="G1420" s="60">
        <f>+F1420-E1420</f>
        <v>2.4131944444452529</v>
      </c>
      <c r="H1420" s="58" t="s">
        <v>248</v>
      </c>
      <c r="I1420" s="58"/>
      <c r="J1420" s="58" t="s">
        <v>249</v>
      </c>
      <c r="K1420" s="1" t="str">
        <f>_xlfn.XLOOKUP(J1420,REF!$D$2:$D$12,REF!$E$2:$E$12)</f>
        <v>Rede</v>
      </c>
      <c r="L1420" s="58" t="s">
        <v>910</v>
      </c>
      <c r="M1420" s="58" t="s">
        <v>251</v>
      </c>
      <c r="N1420" s="58" t="s">
        <v>330</v>
      </c>
      <c r="O1420" s="58" t="s">
        <v>911</v>
      </c>
      <c r="P1420" s="58" t="str">
        <f>_xlfn.CONCAT(B1420,C1420,D1420,E1420,F1420)</f>
        <v>Vazante IIInverter 346004,298611111146004,298611111146006,7118055556</v>
      </c>
      <c r="Q1420" s="1" t="str">
        <f t="shared" si="70"/>
        <v>DAURDE</v>
      </c>
    </row>
    <row r="1421" spans="1:17" s="44" customFormat="1" hidden="1">
      <c r="A1421" s="43"/>
      <c r="B1421" s="58" t="s">
        <v>912</v>
      </c>
      <c r="C1421" s="58" t="s">
        <v>916</v>
      </c>
      <c r="D1421" s="59">
        <v>46004.298611111109</v>
      </c>
      <c r="E1421" s="59">
        <v>46004.298611111109</v>
      </c>
      <c r="F1421" s="59">
        <v>46006.711805555555</v>
      </c>
      <c r="G1421" s="60">
        <f>+F1421-E1421</f>
        <v>2.4131944444452529</v>
      </c>
      <c r="H1421" s="58" t="s">
        <v>248</v>
      </c>
      <c r="I1421" s="58"/>
      <c r="J1421" s="58" t="s">
        <v>249</v>
      </c>
      <c r="K1421" s="1" t="str">
        <f>_xlfn.XLOOKUP(J1421,REF!$D$2:$D$12,REF!$E$2:$E$12)</f>
        <v>Rede</v>
      </c>
      <c r="L1421" s="58" t="s">
        <v>910</v>
      </c>
      <c r="M1421" s="58" t="s">
        <v>251</v>
      </c>
      <c r="N1421" s="58" t="s">
        <v>330</v>
      </c>
      <c r="O1421" s="58" t="s">
        <v>911</v>
      </c>
      <c r="P1421" s="58" t="str">
        <f>_xlfn.CONCAT(B1421,C1421,D1421,E1421,F1421)</f>
        <v>Vazante IIInverter 446004,298611111146004,298611111146006,7118055556</v>
      </c>
      <c r="Q1421" s="1" t="str">
        <f t="shared" si="70"/>
        <v>DAURDE</v>
      </c>
    </row>
    <row r="1422" spans="1:17" s="44" customFormat="1" hidden="1">
      <c r="A1422" s="43"/>
      <c r="B1422" s="58" t="s">
        <v>912</v>
      </c>
      <c r="C1422" s="58" t="s">
        <v>917</v>
      </c>
      <c r="D1422" s="59">
        <v>46004.298611111109</v>
      </c>
      <c r="E1422" s="59">
        <v>46004.298611111109</v>
      </c>
      <c r="F1422" s="59">
        <v>46006.711805555555</v>
      </c>
      <c r="G1422" s="60">
        <f>+F1422-E1422</f>
        <v>2.4131944444452529</v>
      </c>
      <c r="H1422" s="58" t="s">
        <v>248</v>
      </c>
      <c r="I1422" s="58"/>
      <c r="J1422" s="58" t="s">
        <v>249</v>
      </c>
      <c r="K1422" s="1" t="str">
        <f>_xlfn.XLOOKUP(J1422,REF!$D$2:$D$12,REF!$E$2:$E$12)</f>
        <v>Rede</v>
      </c>
      <c r="L1422" s="58" t="s">
        <v>910</v>
      </c>
      <c r="M1422" s="58" t="s">
        <v>251</v>
      </c>
      <c r="N1422" s="58" t="s">
        <v>330</v>
      </c>
      <c r="O1422" s="58" t="s">
        <v>911</v>
      </c>
      <c r="P1422" s="58" t="str">
        <f>_xlfn.CONCAT(B1422,C1422,D1422,E1422,F1422)</f>
        <v>Vazante IIInverter 546004,298611111146004,298611111146006,7118055556</v>
      </c>
      <c r="Q1422" s="1" t="str">
        <f t="shared" si="70"/>
        <v>DAURDE</v>
      </c>
    </row>
    <row r="1423" spans="1:17" s="44" customFormat="1" hidden="1">
      <c r="A1423" s="43"/>
      <c r="B1423" s="58" t="s">
        <v>912</v>
      </c>
      <c r="C1423" s="58" t="s">
        <v>918</v>
      </c>
      <c r="D1423" s="59">
        <v>46004.298611111109</v>
      </c>
      <c r="E1423" s="59">
        <v>46004.298611111109</v>
      </c>
      <c r="F1423" s="59">
        <v>46006.711805555555</v>
      </c>
      <c r="G1423" s="60">
        <f>+F1423-E1423</f>
        <v>2.4131944444452529</v>
      </c>
      <c r="H1423" s="58" t="s">
        <v>248</v>
      </c>
      <c r="I1423" s="58"/>
      <c r="J1423" s="58" t="s">
        <v>249</v>
      </c>
      <c r="K1423" s="1" t="str">
        <f>_xlfn.XLOOKUP(J1423,REF!$D$2:$D$12,REF!$E$2:$E$12)</f>
        <v>Rede</v>
      </c>
      <c r="L1423" s="58" t="s">
        <v>910</v>
      </c>
      <c r="M1423" s="58" t="s">
        <v>251</v>
      </c>
      <c r="N1423" s="58" t="s">
        <v>330</v>
      </c>
      <c r="O1423" s="58" t="s">
        <v>911</v>
      </c>
      <c r="P1423" s="58" t="str">
        <f>_xlfn.CONCAT(B1423,C1423,D1423,E1423,F1423)</f>
        <v>Vazante IIInverter 646004,298611111146004,298611111146006,7118055556</v>
      </c>
      <c r="Q1423" s="1" t="str">
        <f t="shared" si="70"/>
        <v>DAURDE</v>
      </c>
    </row>
    <row r="1424" spans="1:17" s="44" customFormat="1" hidden="1">
      <c r="A1424" s="43"/>
      <c r="B1424" s="58" t="s">
        <v>912</v>
      </c>
      <c r="C1424" s="58" t="s">
        <v>919</v>
      </c>
      <c r="D1424" s="59">
        <v>46004.298611111109</v>
      </c>
      <c r="E1424" s="59">
        <v>46004.298611111109</v>
      </c>
      <c r="F1424" s="59">
        <v>46006.711805555555</v>
      </c>
      <c r="G1424" s="60">
        <f>+F1424-E1424</f>
        <v>2.4131944444452529</v>
      </c>
      <c r="H1424" s="58" t="s">
        <v>248</v>
      </c>
      <c r="I1424" s="58"/>
      <c r="J1424" s="58" t="s">
        <v>249</v>
      </c>
      <c r="K1424" s="1" t="str">
        <f>_xlfn.XLOOKUP(J1424,REF!$D$2:$D$12,REF!$E$2:$E$12)</f>
        <v>Rede</v>
      </c>
      <c r="L1424" s="58" t="s">
        <v>910</v>
      </c>
      <c r="M1424" s="58" t="s">
        <v>251</v>
      </c>
      <c r="N1424" s="58" t="s">
        <v>330</v>
      </c>
      <c r="O1424" s="58" t="s">
        <v>911</v>
      </c>
      <c r="P1424" s="58" t="str">
        <f>_xlfn.CONCAT(B1424,C1424,D1424,E1424,F1424)</f>
        <v>Vazante IIInverter 746004,298611111146004,298611111146006,7118055556</v>
      </c>
      <c r="Q1424" s="1" t="str">
        <f t="shared" si="70"/>
        <v>DAURDE</v>
      </c>
    </row>
    <row r="1425" spans="1:17" s="44" customFormat="1" hidden="1">
      <c r="A1425" s="43"/>
      <c r="B1425" s="58" t="s">
        <v>912</v>
      </c>
      <c r="C1425" s="58" t="s">
        <v>920</v>
      </c>
      <c r="D1425" s="59">
        <v>46004.298611111109</v>
      </c>
      <c r="E1425" s="59">
        <v>46004.298611111109</v>
      </c>
      <c r="F1425" s="59">
        <v>46006.711805555555</v>
      </c>
      <c r="G1425" s="60">
        <f>+F1425-E1425</f>
        <v>2.4131944444452529</v>
      </c>
      <c r="H1425" s="58" t="s">
        <v>248</v>
      </c>
      <c r="I1425" s="58"/>
      <c r="J1425" s="58" t="s">
        <v>249</v>
      </c>
      <c r="K1425" s="1" t="str">
        <f>_xlfn.XLOOKUP(J1425,REF!$D$2:$D$12,REF!$E$2:$E$12)</f>
        <v>Rede</v>
      </c>
      <c r="L1425" s="58" t="s">
        <v>910</v>
      </c>
      <c r="M1425" s="58" t="s">
        <v>251</v>
      </c>
      <c r="N1425" s="58" t="s">
        <v>330</v>
      </c>
      <c r="O1425" s="58" t="s">
        <v>911</v>
      </c>
      <c r="P1425" s="58" t="str">
        <f>_xlfn.CONCAT(B1425,C1425,D1425,E1425,F1425)</f>
        <v>Vazante IIInverter 846004,298611111146004,298611111146006,7118055556</v>
      </c>
      <c r="Q1425" s="1" t="str">
        <f t="shared" si="70"/>
        <v>DAURDE</v>
      </c>
    </row>
    <row r="1426" spans="1:17" s="44" customFormat="1" hidden="1">
      <c r="A1426" s="43"/>
      <c r="B1426" s="58" t="s">
        <v>912</v>
      </c>
      <c r="C1426" s="58" t="s">
        <v>921</v>
      </c>
      <c r="D1426" s="59">
        <v>46004.298611111109</v>
      </c>
      <c r="E1426" s="59">
        <v>46004.298611111109</v>
      </c>
      <c r="F1426" s="59">
        <v>46006.711805555555</v>
      </c>
      <c r="G1426" s="60">
        <f>+F1426-E1426</f>
        <v>2.4131944444452529</v>
      </c>
      <c r="H1426" s="58" t="s">
        <v>248</v>
      </c>
      <c r="I1426" s="58"/>
      <c r="J1426" s="58" t="s">
        <v>249</v>
      </c>
      <c r="K1426" s="1" t="str">
        <f>_xlfn.XLOOKUP(J1426,REF!$D$2:$D$12,REF!$E$2:$E$12)</f>
        <v>Rede</v>
      </c>
      <c r="L1426" s="58" t="s">
        <v>910</v>
      </c>
      <c r="M1426" s="58" t="s">
        <v>251</v>
      </c>
      <c r="N1426" s="58" t="s">
        <v>330</v>
      </c>
      <c r="O1426" s="58" t="s">
        <v>911</v>
      </c>
      <c r="P1426" s="58" t="str">
        <f>_xlfn.CONCAT(B1426,C1426,D1426,E1426,F1426)</f>
        <v>Vazante IIInverter 946004,298611111146004,298611111146006,7118055556</v>
      </c>
      <c r="Q1426" s="1" t="str">
        <f t="shared" si="70"/>
        <v>DAURDE</v>
      </c>
    </row>
    <row r="1427" spans="1:17" s="44" customFormat="1" hidden="1">
      <c r="A1427" s="43"/>
      <c r="B1427" s="58" t="s">
        <v>912</v>
      </c>
      <c r="C1427" s="58" t="s">
        <v>922</v>
      </c>
      <c r="D1427" s="59">
        <v>46004.298611111109</v>
      </c>
      <c r="E1427" s="59">
        <v>46004.298611111109</v>
      </c>
      <c r="F1427" s="59">
        <v>46006.711805555555</v>
      </c>
      <c r="G1427" s="60">
        <f>+F1427-E1427</f>
        <v>2.4131944444452529</v>
      </c>
      <c r="H1427" s="58" t="s">
        <v>248</v>
      </c>
      <c r="I1427" s="58"/>
      <c r="J1427" s="58" t="s">
        <v>249</v>
      </c>
      <c r="K1427" s="1" t="str">
        <f>_xlfn.XLOOKUP(J1427,REF!$D$2:$D$12,REF!$E$2:$E$12)</f>
        <v>Rede</v>
      </c>
      <c r="L1427" s="58" t="s">
        <v>910</v>
      </c>
      <c r="M1427" s="58" t="s">
        <v>251</v>
      </c>
      <c r="N1427" s="58" t="s">
        <v>330</v>
      </c>
      <c r="O1427" s="58" t="s">
        <v>911</v>
      </c>
      <c r="P1427" s="58" t="str">
        <f>_xlfn.CONCAT(B1427,C1427,D1427,E1427,F1427)</f>
        <v>Vazante IIInverter 1046004,298611111146004,298611111146006,7118055556</v>
      </c>
      <c r="Q1427" s="1" t="str">
        <f t="shared" si="70"/>
        <v>DAURDE</v>
      </c>
    </row>
    <row r="1428" spans="1:17" s="44" customFormat="1" hidden="1">
      <c r="A1428" s="43"/>
      <c r="B1428" s="58" t="s">
        <v>912</v>
      </c>
      <c r="C1428" s="58" t="s">
        <v>923</v>
      </c>
      <c r="D1428" s="59">
        <v>46004.298611111109</v>
      </c>
      <c r="E1428" s="59">
        <v>46004.298611111109</v>
      </c>
      <c r="F1428" s="59">
        <v>46006.711805555555</v>
      </c>
      <c r="G1428" s="60">
        <f>+F1428-E1428</f>
        <v>2.4131944444452529</v>
      </c>
      <c r="H1428" s="58" t="s">
        <v>248</v>
      </c>
      <c r="I1428" s="58"/>
      <c r="J1428" s="58" t="s">
        <v>249</v>
      </c>
      <c r="K1428" s="1" t="str">
        <f>_xlfn.XLOOKUP(J1428,REF!$D$2:$D$12,REF!$E$2:$E$12)</f>
        <v>Rede</v>
      </c>
      <c r="L1428" s="58" t="s">
        <v>910</v>
      </c>
      <c r="M1428" s="58" t="s">
        <v>251</v>
      </c>
      <c r="N1428" s="58" t="s">
        <v>330</v>
      </c>
      <c r="O1428" s="58" t="s">
        <v>911</v>
      </c>
      <c r="P1428" s="58" t="str">
        <f>_xlfn.CONCAT(B1428,C1428,D1428,E1428,F1428)</f>
        <v>Vazante IIInverter 1146004,298611111146004,298611111146006,7118055556</v>
      </c>
      <c r="Q1428" s="1" t="str">
        <f t="shared" si="70"/>
        <v>DAURDE</v>
      </c>
    </row>
    <row r="1429" spans="1:17" s="44" customFormat="1" hidden="1">
      <c r="A1429" s="43"/>
      <c r="B1429" s="58" t="s">
        <v>912</v>
      </c>
      <c r="C1429" s="58" t="s">
        <v>924</v>
      </c>
      <c r="D1429" s="59">
        <v>46004.298611111109</v>
      </c>
      <c r="E1429" s="59">
        <v>46004.298611111109</v>
      </c>
      <c r="F1429" s="59">
        <v>46006.711805555555</v>
      </c>
      <c r="G1429" s="60">
        <f>+F1429-E1429</f>
        <v>2.4131944444452529</v>
      </c>
      <c r="H1429" s="58" t="s">
        <v>248</v>
      </c>
      <c r="I1429" s="58"/>
      <c r="J1429" s="58" t="s">
        <v>249</v>
      </c>
      <c r="K1429" s="1" t="str">
        <f>_xlfn.XLOOKUP(J1429,REF!$D$2:$D$12,REF!$E$2:$E$12)</f>
        <v>Rede</v>
      </c>
      <c r="L1429" s="58" t="s">
        <v>910</v>
      </c>
      <c r="M1429" s="58" t="s">
        <v>251</v>
      </c>
      <c r="N1429" s="58" t="s">
        <v>330</v>
      </c>
      <c r="O1429" s="58" t="s">
        <v>911</v>
      </c>
      <c r="P1429" s="58" t="str">
        <f>_xlfn.CONCAT(B1429,C1429,D1429,E1429,F1429)</f>
        <v>Vazante IIInverter 1246004,298611111146004,298611111146006,7118055556</v>
      </c>
      <c r="Q1429" s="1" t="str">
        <f t="shared" si="70"/>
        <v>DAURDE</v>
      </c>
    </row>
    <row r="1430" spans="1:17" s="44" customFormat="1" hidden="1">
      <c r="A1430" s="43"/>
      <c r="B1430" s="58" t="s">
        <v>912</v>
      </c>
      <c r="C1430" s="58" t="s">
        <v>925</v>
      </c>
      <c r="D1430" s="59">
        <v>46004.298611111109</v>
      </c>
      <c r="E1430" s="59">
        <v>46004.298611111109</v>
      </c>
      <c r="F1430" s="59">
        <v>46006.711805555555</v>
      </c>
      <c r="G1430" s="60">
        <f>+F1430-E1430</f>
        <v>2.4131944444452529</v>
      </c>
      <c r="H1430" s="58" t="s">
        <v>248</v>
      </c>
      <c r="I1430" s="58"/>
      <c r="J1430" s="58" t="s">
        <v>249</v>
      </c>
      <c r="K1430" s="1" t="str">
        <f>_xlfn.XLOOKUP(J1430,REF!$D$2:$D$12,REF!$E$2:$E$12)</f>
        <v>Rede</v>
      </c>
      <c r="L1430" s="58" t="s">
        <v>910</v>
      </c>
      <c r="M1430" s="58" t="s">
        <v>251</v>
      </c>
      <c r="N1430" s="58" t="s">
        <v>330</v>
      </c>
      <c r="O1430" s="58" t="s">
        <v>911</v>
      </c>
      <c r="P1430" s="58" t="str">
        <f>_xlfn.CONCAT(B1430,C1430,D1430,E1430,F1430)</f>
        <v>Vazante IIInverter 1346004,298611111146004,298611111146006,7118055556</v>
      </c>
      <c r="Q1430" s="1" t="str">
        <f t="shared" si="70"/>
        <v>DAURDE</v>
      </c>
    </row>
    <row r="1431" spans="1:17" s="44" customFormat="1" hidden="1">
      <c r="A1431" s="43"/>
      <c r="B1431" s="58" t="s">
        <v>912</v>
      </c>
      <c r="C1431" s="58" t="s">
        <v>926</v>
      </c>
      <c r="D1431" s="59">
        <v>46004.298611111109</v>
      </c>
      <c r="E1431" s="59">
        <v>46004.298611111109</v>
      </c>
      <c r="F1431" s="59">
        <v>46006.711805555555</v>
      </c>
      <c r="G1431" s="60">
        <f>+F1431-E1431</f>
        <v>2.4131944444452529</v>
      </c>
      <c r="H1431" s="58" t="s">
        <v>248</v>
      </c>
      <c r="I1431" s="58"/>
      <c r="J1431" s="58" t="s">
        <v>249</v>
      </c>
      <c r="K1431" s="1" t="str">
        <f>_xlfn.XLOOKUP(J1431,REF!$D$2:$D$12,REF!$E$2:$E$12)</f>
        <v>Rede</v>
      </c>
      <c r="L1431" s="58" t="s">
        <v>910</v>
      </c>
      <c r="M1431" s="58" t="s">
        <v>251</v>
      </c>
      <c r="N1431" s="58" t="s">
        <v>330</v>
      </c>
      <c r="O1431" s="58" t="s">
        <v>911</v>
      </c>
      <c r="P1431" s="58" t="str">
        <f>_xlfn.CONCAT(B1431,C1431,D1431,E1431,F1431)</f>
        <v>Vazante IIInverter 1446004,298611111146004,298611111146006,7118055556</v>
      </c>
      <c r="Q1431" s="1" t="str">
        <f t="shared" si="70"/>
        <v>DAURDE</v>
      </c>
    </row>
    <row r="1432" spans="1:17" s="44" customFormat="1" hidden="1">
      <c r="A1432" s="43"/>
      <c r="B1432" s="58" t="s">
        <v>912</v>
      </c>
      <c r="C1432" s="58" t="s">
        <v>927</v>
      </c>
      <c r="D1432" s="59">
        <v>46004.298611111109</v>
      </c>
      <c r="E1432" s="59">
        <v>46004.298611111109</v>
      </c>
      <c r="F1432" s="59">
        <v>46006.711805555555</v>
      </c>
      <c r="G1432" s="60">
        <f>+F1432-E1432</f>
        <v>2.4131944444452529</v>
      </c>
      <c r="H1432" s="58" t="s">
        <v>248</v>
      </c>
      <c r="I1432" s="58"/>
      <c r="J1432" s="58" t="s">
        <v>249</v>
      </c>
      <c r="K1432" s="1" t="str">
        <f>_xlfn.XLOOKUP(J1432,REF!$D$2:$D$12,REF!$E$2:$E$12)</f>
        <v>Rede</v>
      </c>
      <c r="L1432" s="58" t="s">
        <v>910</v>
      </c>
      <c r="M1432" s="58" t="s">
        <v>251</v>
      </c>
      <c r="N1432" s="58" t="s">
        <v>330</v>
      </c>
      <c r="O1432" s="58" t="s">
        <v>911</v>
      </c>
      <c r="P1432" s="58" t="str">
        <f>_xlfn.CONCAT(B1432,C1432,D1432,E1432,F1432)</f>
        <v>Vazante IIInverter 1546004,298611111146004,298611111146006,7118055556</v>
      </c>
      <c r="Q1432" s="1" t="str">
        <f t="shared" si="70"/>
        <v>DAURDE</v>
      </c>
    </row>
    <row r="1433" spans="1:17" s="44" customFormat="1" hidden="1">
      <c r="A1433" s="43"/>
      <c r="B1433" s="58" t="s">
        <v>912</v>
      </c>
      <c r="C1433" s="58" t="s">
        <v>928</v>
      </c>
      <c r="D1433" s="59">
        <v>46004.298611111109</v>
      </c>
      <c r="E1433" s="59">
        <v>46004.298611111109</v>
      </c>
      <c r="F1433" s="59">
        <v>46006.711805555555</v>
      </c>
      <c r="G1433" s="60">
        <f>+F1433-E1433</f>
        <v>2.4131944444452529</v>
      </c>
      <c r="H1433" s="58" t="s">
        <v>248</v>
      </c>
      <c r="I1433" s="58"/>
      <c r="J1433" s="58" t="s">
        <v>249</v>
      </c>
      <c r="K1433" s="1" t="str">
        <f>_xlfn.XLOOKUP(J1433,REF!$D$2:$D$12,REF!$E$2:$E$12)</f>
        <v>Rede</v>
      </c>
      <c r="L1433" s="58" t="s">
        <v>910</v>
      </c>
      <c r="M1433" s="58" t="s">
        <v>251</v>
      </c>
      <c r="N1433" s="58" t="s">
        <v>330</v>
      </c>
      <c r="O1433" s="58" t="s">
        <v>911</v>
      </c>
      <c r="P1433" s="58" t="str">
        <f>_xlfn.CONCAT(B1433,C1433,D1433,E1433,F1433)</f>
        <v>Vazante IIInverter 1646004,298611111146004,298611111146006,7118055556</v>
      </c>
      <c r="Q1433" s="1" t="str">
        <f t="shared" si="70"/>
        <v>DAURDE</v>
      </c>
    </row>
    <row r="1434" spans="1:17" s="44" customFormat="1" hidden="1">
      <c r="A1434" s="43"/>
      <c r="B1434" s="58" t="s">
        <v>912</v>
      </c>
      <c r="C1434" s="58" t="s">
        <v>929</v>
      </c>
      <c r="D1434" s="59">
        <v>46004.298611111109</v>
      </c>
      <c r="E1434" s="59">
        <v>46004.298611111109</v>
      </c>
      <c r="F1434" s="59">
        <v>46006.711805555555</v>
      </c>
      <c r="G1434" s="60">
        <f>+F1434-E1434</f>
        <v>2.4131944444452529</v>
      </c>
      <c r="H1434" s="58" t="s">
        <v>248</v>
      </c>
      <c r="I1434" s="58"/>
      <c r="J1434" s="58" t="s">
        <v>249</v>
      </c>
      <c r="K1434" s="1" t="str">
        <f>_xlfn.XLOOKUP(J1434,REF!$D$2:$D$12,REF!$E$2:$E$12)</f>
        <v>Rede</v>
      </c>
      <c r="L1434" s="58" t="s">
        <v>910</v>
      </c>
      <c r="M1434" s="58" t="s">
        <v>251</v>
      </c>
      <c r="N1434" s="58" t="s">
        <v>330</v>
      </c>
      <c r="O1434" s="58" t="s">
        <v>911</v>
      </c>
      <c r="P1434" s="58" t="str">
        <f>_xlfn.CONCAT(B1434,C1434,D1434,E1434,F1434)</f>
        <v>Vazante IIInverter 1746004,298611111146004,298611111146006,7118055556</v>
      </c>
      <c r="Q1434" s="1" t="str">
        <f t="shared" ref="Q1434:Q1497" si="71">_xlfn.CONCAT(H1434,I1434,J1434)</f>
        <v>DAURDE</v>
      </c>
    </row>
    <row r="1435" spans="1:17" s="44" customFormat="1" hidden="1">
      <c r="A1435" s="43"/>
      <c r="B1435" s="58" t="s">
        <v>930</v>
      </c>
      <c r="C1435" s="58" t="s">
        <v>449</v>
      </c>
      <c r="D1435" s="59">
        <v>46004.298611111109</v>
      </c>
      <c r="E1435" s="59">
        <v>46004.298611111109</v>
      </c>
      <c r="F1435" s="59">
        <v>46006.711805555555</v>
      </c>
      <c r="G1435" s="60">
        <f>+F1435-E1435</f>
        <v>2.4131944444452529</v>
      </c>
      <c r="H1435" s="58" t="s">
        <v>248</v>
      </c>
      <c r="I1435" s="58"/>
      <c r="J1435" s="58" t="s">
        <v>249</v>
      </c>
      <c r="K1435" s="1" t="str">
        <f>_xlfn.XLOOKUP(J1435,REF!$D$2:$D$12,REF!$E$2:$E$12)</f>
        <v>Rede</v>
      </c>
      <c r="L1435" s="58" t="s">
        <v>910</v>
      </c>
      <c r="M1435" s="58" t="s">
        <v>251</v>
      </c>
      <c r="N1435" s="58" t="s">
        <v>330</v>
      </c>
      <c r="O1435" s="58" t="s">
        <v>911</v>
      </c>
      <c r="P1435" s="58" t="str">
        <f>_xlfn.CONCAT(B1435,C1435,D1435,E1435,F1435)</f>
        <v>Vazante IIIInversor 146004,298611111146004,298611111146006,7118055556</v>
      </c>
      <c r="Q1435" s="1" t="str">
        <f t="shared" si="71"/>
        <v>DAURDE</v>
      </c>
    </row>
    <row r="1436" spans="1:17" s="44" customFormat="1" hidden="1">
      <c r="A1436" s="43"/>
      <c r="B1436" s="58" t="s">
        <v>930</v>
      </c>
      <c r="C1436" s="58" t="s">
        <v>451</v>
      </c>
      <c r="D1436" s="59">
        <v>46004.298611111109</v>
      </c>
      <c r="E1436" s="59">
        <v>46004.298611111109</v>
      </c>
      <c r="F1436" s="59">
        <v>46006.711805555555</v>
      </c>
      <c r="G1436" s="60">
        <f>+F1436-E1436</f>
        <v>2.4131944444452529</v>
      </c>
      <c r="H1436" s="58" t="s">
        <v>248</v>
      </c>
      <c r="I1436" s="58"/>
      <c r="J1436" s="58" t="s">
        <v>249</v>
      </c>
      <c r="K1436" s="1" t="str">
        <f>_xlfn.XLOOKUP(J1436,REF!$D$2:$D$12,REF!$E$2:$E$12)</f>
        <v>Rede</v>
      </c>
      <c r="L1436" s="58" t="s">
        <v>910</v>
      </c>
      <c r="M1436" s="58" t="s">
        <v>251</v>
      </c>
      <c r="N1436" s="58" t="s">
        <v>330</v>
      </c>
      <c r="O1436" s="58" t="s">
        <v>911</v>
      </c>
      <c r="P1436" s="58" t="str">
        <f>_xlfn.CONCAT(B1436,C1436,D1436,E1436,F1436)</f>
        <v>Vazante IIIInversor 246004,298611111146004,298611111146006,7118055556</v>
      </c>
      <c r="Q1436" s="1" t="str">
        <f t="shared" si="71"/>
        <v>DAURDE</v>
      </c>
    </row>
    <row r="1437" spans="1:17" s="44" customFormat="1" hidden="1">
      <c r="A1437" s="43"/>
      <c r="B1437" s="58" t="s">
        <v>930</v>
      </c>
      <c r="C1437" s="58" t="s">
        <v>452</v>
      </c>
      <c r="D1437" s="59">
        <v>46004.298611111109</v>
      </c>
      <c r="E1437" s="59">
        <v>46004.298611111109</v>
      </c>
      <c r="F1437" s="59">
        <v>46006.711805555555</v>
      </c>
      <c r="G1437" s="60">
        <f>+F1437-E1437</f>
        <v>2.4131944444452529</v>
      </c>
      <c r="H1437" s="58" t="s">
        <v>248</v>
      </c>
      <c r="I1437" s="58"/>
      <c r="J1437" s="58" t="s">
        <v>249</v>
      </c>
      <c r="K1437" s="1" t="str">
        <f>_xlfn.XLOOKUP(J1437,REF!$D$2:$D$12,REF!$E$2:$E$12)</f>
        <v>Rede</v>
      </c>
      <c r="L1437" s="58" t="s">
        <v>910</v>
      </c>
      <c r="M1437" s="58" t="s">
        <v>251</v>
      </c>
      <c r="N1437" s="58" t="s">
        <v>330</v>
      </c>
      <c r="O1437" s="58" t="s">
        <v>911</v>
      </c>
      <c r="P1437" s="58" t="str">
        <f>_xlfn.CONCAT(B1437,C1437,D1437,E1437,F1437)</f>
        <v>Vazante IIIInversor 346004,298611111146004,298611111146006,7118055556</v>
      </c>
      <c r="Q1437" s="1" t="str">
        <f t="shared" si="71"/>
        <v>DAURDE</v>
      </c>
    </row>
    <row r="1438" spans="1:17" s="44" customFormat="1" hidden="1">
      <c r="A1438" s="43"/>
      <c r="B1438" s="58" t="s">
        <v>930</v>
      </c>
      <c r="C1438" s="58" t="s">
        <v>453</v>
      </c>
      <c r="D1438" s="59">
        <v>46004.298611111109</v>
      </c>
      <c r="E1438" s="59">
        <v>46004.298611111109</v>
      </c>
      <c r="F1438" s="59">
        <v>46006.711805555555</v>
      </c>
      <c r="G1438" s="60">
        <f>+F1438-E1438</f>
        <v>2.4131944444452529</v>
      </c>
      <c r="H1438" s="58" t="s">
        <v>248</v>
      </c>
      <c r="I1438" s="58"/>
      <c r="J1438" s="58" t="s">
        <v>249</v>
      </c>
      <c r="K1438" s="1" t="str">
        <f>_xlfn.XLOOKUP(J1438,REF!$D$2:$D$12,REF!$E$2:$E$12)</f>
        <v>Rede</v>
      </c>
      <c r="L1438" s="58" t="s">
        <v>910</v>
      </c>
      <c r="M1438" s="58" t="s">
        <v>251</v>
      </c>
      <c r="N1438" s="58" t="s">
        <v>330</v>
      </c>
      <c r="O1438" s="58" t="s">
        <v>911</v>
      </c>
      <c r="P1438" s="58" t="str">
        <f>_xlfn.CONCAT(B1438,C1438,D1438,E1438,F1438)</f>
        <v>Vazante IIIInversor 446004,298611111146004,298611111146006,7118055556</v>
      </c>
      <c r="Q1438" s="1" t="str">
        <f t="shared" si="71"/>
        <v>DAURDE</v>
      </c>
    </row>
    <row r="1439" spans="1:17" s="44" customFormat="1" hidden="1">
      <c r="A1439" s="43"/>
      <c r="B1439" s="58" t="s">
        <v>930</v>
      </c>
      <c r="C1439" s="58" t="s">
        <v>454</v>
      </c>
      <c r="D1439" s="59">
        <v>46004.298611111109</v>
      </c>
      <c r="E1439" s="59">
        <v>46004.298611111109</v>
      </c>
      <c r="F1439" s="59">
        <v>46006.711805555555</v>
      </c>
      <c r="G1439" s="60">
        <f>+F1439-E1439</f>
        <v>2.4131944444452529</v>
      </c>
      <c r="H1439" s="58" t="s">
        <v>248</v>
      </c>
      <c r="I1439" s="58"/>
      <c r="J1439" s="58" t="s">
        <v>249</v>
      </c>
      <c r="K1439" s="1" t="str">
        <f>_xlfn.XLOOKUP(J1439,REF!$D$2:$D$12,REF!$E$2:$E$12)</f>
        <v>Rede</v>
      </c>
      <c r="L1439" s="58" t="s">
        <v>910</v>
      </c>
      <c r="M1439" s="58" t="s">
        <v>251</v>
      </c>
      <c r="N1439" s="58" t="s">
        <v>330</v>
      </c>
      <c r="O1439" s="58" t="s">
        <v>911</v>
      </c>
      <c r="P1439" s="58" t="str">
        <f>_xlfn.CONCAT(B1439,C1439,D1439,E1439,F1439)</f>
        <v>Vazante IIIInversor 546004,298611111146004,298611111146006,7118055556</v>
      </c>
      <c r="Q1439" s="1" t="str">
        <f t="shared" si="71"/>
        <v>DAURDE</v>
      </c>
    </row>
    <row r="1440" spans="1:17" s="44" customFormat="1" hidden="1">
      <c r="A1440" s="43"/>
      <c r="B1440" s="58" t="s">
        <v>930</v>
      </c>
      <c r="C1440" s="58" t="s">
        <v>455</v>
      </c>
      <c r="D1440" s="59">
        <v>46004.298611111109</v>
      </c>
      <c r="E1440" s="59">
        <v>46004.298611111109</v>
      </c>
      <c r="F1440" s="59">
        <v>46006.711805555555</v>
      </c>
      <c r="G1440" s="60">
        <f>+F1440-E1440</f>
        <v>2.4131944444452529</v>
      </c>
      <c r="H1440" s="58" t="s">
        <v>248</v>
      </c>
      <c r="I1440" s="58"/>
      <c r="J1440" s="58" t="s">
        <v>249</v>
      </c>
      <c r="K1440" s="1" t="str">
        <f>_xlfn.XLOOKUP(J1440,REF!$D$2:$D$12,REF!$E$2:$E$12)</f>
        <v>Rede</v>
      </c>
      <c r="L1440" s="58" t="s">
        <v>910</v>
      </c>
      <c r="M1440" s="58" t="s">
        <v>251</v>
      </c>
      <c r="N1440" s="58" t="s">
        <v>330</v>
      </c>
      <c r="O1440" s="58" t="s">
        <v>911</v>
      </c>
      <c r="P1440" s="58" t="str">
        <f>_xlfn.CONCAT(B1440,C1440,D1440,E1440,F1440)</f>
        <v>Vazante IIIInversor 646004,298611111146004,298611111146006,7118055556</v>
      </c>
      <c r="Q1440" s="1" t="str">
        <f t="shared" si="71"/>
        <v>DAURDE</v>
      </c>
    </row>
    <row r="1441" spans="1:17" s="44" customFormat="1" hidden="1">
      <c r="A1441" s="43"/>
      <c r="B1441" s="58" t="s">
        <v>930</v>
      </c>
      <c r="C1441" s="58" t="s">
        <v>456</v>
      </c>
      <c r="D1441" s="59">
        <v>46004.298611111109</v>
      </c>
      <c r="E1441" s="59">
        <v>46004.298611111109</v>
      </c>
      <c r="F1441" s="59">
        <v>46006.711805555555</v>
      </c>
      <c r="G1441" s="60">
        <f>+F1441-E1441</f>
        <v>2.4131944444452529</v>
      </c>
      <c r="H1441" s="58" t="s">
        <v>248</v>
      </c>
      <c r="I1441" s="58"/>
      <c r="J1441" s="58" t="s">
        <v>249</v>
      </c>
      <c r="K1441" s="1" t="str">
        <f>_xlfn.XLOOKUP(J1441,REF!$D$2:$D$12,REF!$E$2:$E$12)</f>
        <v>Rede</v>
      </c>
      <c r="L1441" s="58" t="s">
        <v>910</v>
      </c>
      <c r="M1441" s="58" t="s">
        <v>251</v>
      </c>
      <c r="N1441" s="58" t="s">
        <v>330</v>
      </c>
      <c r="O1441" s="58" t="s">
        <v>911</v>
      </c>
      <c r="P1441" s="58" t="str">
        <f>_xlfn.CONCAT(B1441,C1441,D1441,E1441,F1441)</f>
        <v>Vazante IIIInversor 746004,298611111146004,298611111146006,7118055556</v>
      </c>
      <c r="Q1441" s="1" t="str">
        <f t="shared" si="71"/>
        <v>DAURDE</v>
      </c>
    </row>
    <row r="1442" spans="1:17" s="44" customFormat="1" hidden="1">
      <c r="A1442" s="43"/>
      <c r="B1442" s="58" t="s">
        <v>930</v>
      </c>
      <c r="C1442" s="58" t="s">
        <v>457</v>
      </c>
      <c r="D1442" s="59">
        <v>46004.298611111109</v>
      </c>
      <c r="E1442" s="59">
        <v>46004.298611111109</v>
      </c>
      <c r="F1442" s="59">
        <v>46006.711805555555</v>
      </c>
      <c r="G1442" s="60">
        <f>+F1442-E1442</f>
        <v>2.4131944444452529</v>
      </c>
      <c r="H1442" s="58" t="s">
        <v>248</v>
      </c>
      <c r="I1442" s="58"/>
      <c r="J1442" s="58" t="s">
        <v>249</v>
      </c>
      <c r="K1442" s="1" t="str">
        <f>_xlfn.XLOOKUP(J1442,REF!$D$2:$D$12,REF!$E$2:$E$12)</f>
        <v>Rede</v>
      </c>
      <c r="L1442" s="58" t="s">
        <v>910</v>
      </c>
      <c r="M1442" s="58" t="s">
        <v>251</v>
      </c>
      <c r="N1442" s="58" t="s">
        <v>330</v>
      </c>
      <c r="O1442" s="58" t="s">
        <v>911</v>
      </c>
      <c r="P1442" s="58" t="str">
        <f>_xlfn.CONCAT(B1442,C1442,D1442,E1442,F1442)</f>
        <v>Vazante IIIInversor 846004,298611111146004,298611111146006,7118055556</v>
      </c>
      <c r="Q1442" s="1" t="str">
        <f t="shared" si="71"/>
        <v>DAURDE</v>
      </c>
    </row>
    <row r="1443" spans="1:17" s="44" customFormat="1" hidden="1">
      <c r="A1443" s="43"/>
      <c r="B1443" s="58" t="s">
        <v>930</v>
      </c>
      <c r="C1443" s="58" t="s">
        <v>458</v>
      </c>
      <c r="D1443" s="59">
        <v>46004.298611111109</v>
      </c>
      <c r="E1443" s="59">
        <v>46004.298611111109</v>
      </c>
      <c r="F1443" s="59">
        <v>46006.711805555555</v>
      </c>
      <c r="G1443" s="60">
        <f>+F1443-E1443</f>
        <v>2.4131944444452529</v>
      </c>
      <c r="H1443" s="58" t="s">
        <v>248</v>
      </c>
      <c r="I1443" s="58"/>
      <c r="J1443" s="58" t="s">
        <v>249</v>
      </c>
      <c r="K1443" s="1" t="str">
        <f>_xlfn.XLOOKUP(J1443,REF!$D$2:$D$12,REF!$E$2:$E$12)</f>
        <v>Rede</v>
      </c>
      <c r="L1443" s="58" t="s">
        <v>910</v>
      </c>
      <c r="M1443" s="58" t="s">
        <v>251</v>
      </c>
      <c r="N1443" s="58" t="s">
        <v>330</v>
      </c>
      <c r="O1443" s="58" t="s">
        <v>911</v>
      </c>
      <c r="P1443" s="58" t="str">
        <f>_xlfn.CONCAT(B1443,C1443,D1443,E1443,F1443)</f>
        <v>Vazante IIIInversor 946004,298611111146004,298611111146006,7118055556</v>
      </c>
      <c r="Q1443" s="1" t="str">
        <f t="shared" si="71"/>
        <v>DAURDE</v>
      </c>
    </row>
    <row r="1444" spans="1:17" s="44" customFormat="1" hidden="1">
      <c r="A1444" s="43"/>
      <c r="B1444" s="58" t="s">
        <v>931</v>
      </c>
      <c r="C1444" s="58" t="s">
        <v>932</v>
      </c>
      <c r="D1444" s="59">
        <v>46004.298611111109</v>
      </c>
      <c r="E1444" s="59">
        <v>46004.298611111109</v>
      </c>
      <c r="F1444" s="59">
        <v>46006.711805555555</v>
      </c>
      <c r="G1444" s="60">
        <f>+F1444-E1444</f>
        <v>2.4131944444452529</v>
      </c>
      <c r="H1444" s="58" t="s">
        <v>248</v>
      </c>
      <c r="I1444" s="58"/>
      <c r="J1444" s="58" t="s">
        <v>249</v>
      </c>
      <c r="K1444" s="1" t="str">
        <f>_xlfn.XLOOKUP(J1444,REF!$D$2:$D$12,REF!$E$2:$E$12)</f>
        <v>Rede</v>
      </c>
      <c r="L1444" s="58" t="s">
        <v>910</v>
      </c>
      <c r="M1444" s="58" t="s">
        <v>251</v>
      </c>
      <c r="N1444" s="58" t="s">
        <v>330</v>
      </c>
      <c r="O1444" s="58" t="s">
        <v>911</v>
      </c>
      <c r="P1444" s="58" t="str">
        <f>_xlfn.CONCAT(B1444,C1444,D1444,E1444,F1444)</f>
        <v>VAZANTE II - UFV 1Inverter-ES217002861046004,298611111146004,298611111146006,7118055556</v>
      </c>
      <c r="Q1444" s="1" t="str">
        <f t="shared" si="71"/>
        <v>DAURDE</v>
      </c>
    </row>
    <row r="1445" spans="1:17" s="44" customFormat="1" hidden="1">
      <c r="A1445" s="43"/>
      <c r="B1445" s="58" t="s">
        <v>931</v>
      </c>
      <c r="C1445" s="58" t="s">
        <v>933</v>
      </c>
      <c r="D1445" s="59">
        <v>46004.298611111109</v>
      </c>
      <c r="E1445" s="59">
        <v>46004.298611111109</v>
      </c>
      <c r="F1445" s="59">
        <v>46006.711805555555</v>
      </c>
      <c r="G1445" s="60">
        <f>+F1445-E1445</f>
        <v>2.4131944444452529</v>
      </c>
      <c r="H1445" s="58" t="s">
        <v>248</v>
      </c>
      <c r="I1445" s="58"/>
      <c r="J1445" s="58" t="s">
        <v>249</v>
      </c>
      <c r="K1445" s="1" t="str">
        <f>_xlfn.XLOOKUP(J1445,REF!$D$2:$D$12,REF!$E$2:$E$12)</f>
        <v>Rede</v>
      </c>
      <c r="L1445" s="58" t="s">
        <v>910</v>
      </c>
      <c r="M1445" s="58" t="s">
        <v>251</v>
      </c>
      <c r="N1445" s="58" t="s">
        <v>330</v>
      </c>
      <c r="O1445" s="58" t="s">
        <v>911</v>
      </c>
      <c r="P1445" s="58" t="str">
        <f>_xlfn.CONCAT(B1445,C1445,D1445,E1445,F1445)</f>
        <v>VAZANTE II - UFV 1Inverter-ES218005918546004,298611111146004,298611111146006,7118055556</v>
      </c>
      <c r="Q1445" s="1" t="str">
        <f t="shared" si="71"/>
        <v>DAURDE</v>
      </c>
    </row>
    <row r="1446" spans="1:17" s="44" customFormat="1" hidden="1">
      <c r="A1446" s="43"/>
      <c r="B1446" s="58" t="s">
        <v>931</v>
      </c>
      <c r="C1446" s="58" t="s">
        <v>934</v>
      </c>
      <c r="D1446" s="59">
        <v>46004.298611111109</v>
      </c>
      <c r="E1446" s="59">
        <v>46004.298611111109</v>
      </c>
      <c r="F1446" s="59">
        <v>46006.711805555555</v>
      </c>
      <c r="G1446" s="60">
        <f>+F1446-E1446</f>
        <v>2.4131944444452529</v>
      </c>
      <c r="H1446" s="58" t="s">
        <v>248</v>
      </c>
      <c r="I1446" s="58"/>
      <c r="J1446" s="58" t="s">
        <v>249</v>
      </c>
      <c r="K1446" s="1" t="str">
        <f>_xlfn.XLOOKUP(J1446,REF!$D$2:$D$12,REF!$E$2:$E$12)</f>
        <v>Rede</v>
      </c>
      <c r="L1446" s="58" t="s">
        <v>910</v>
      </c>
      <c r="M1446" s="58" t="s">
        <v>251</v>
      </c>
      <c r="N1446" s="58" t="s">
        <v>330</v>
      </c>
      <c r="O1446" s="58" t="s">
        <v>911</v>
      </c>
      <c r="P1446" s="58" t="str">
        <f>_xlfn.CONCAT(B1446,C1446,D1446,E1446,F1446)</f>
        <v>VAZANTE II - UFV 1Inverter-ES218005834846004,298611111146004,298611111146006,7118055556</v>
      </c>
      <c r="Q1446" s="1" t="str">
        <f t="shared" si="71"/>
        <v>DAURDE</v>
      </c>
    </row>
    <row r="1447" spans="1:17" s="44" customFormat="1" hidden="1">
      <c r="A1447" s="43"/>
      <c r="B1447" s="58" t="s">
        <v>931</v>
      </c>
      <c r="C1447" s="58" t="s">
        <v>935</v>
      </c>
      <c r="D1447" s="59">
        <v>46004.298611111109</v>
      </c>
      <c r="E1447" s="59">
        <v>46004.298611111109</v>
      </c>
      <c r="F1447" s="59">
        <v>46006.711805555555</v>
      </c>
      <c r="G1447" s="60">
        <f>+F1447-E1447</f>
        <v>2.4131944444452529</v>
      </c>
      <c r="H1447" s="58" t="s">
        <v>248</v>
      </c>
      <c r="I1447" s="58"/>
      <c r="J1447" s="58" t="s">
        <v>249</v>
      </c>
      <c r="K1447" s="1" t="str">
        <f>_xlfn.XLOOKUP(J1447,REF!$D$2:$D$12,REF!$E$2:$E$12)</f>
        <v>Rede</v>
      </c>
      <c r="L1447" s="58" t="s">
        <v>910</v>
      </c>
      <c r="M1447" s="58" t="s">
        <v>251</v>
      </c>
      <c r="N1447" s="58" t="s">
        <v>330</v>
      </c>
      <c r="O1447" s="58" t="s">
        <v>911</v>
      </c>
      <c r="P1447" s="58" t="str">
        <f>_xlfn.CONCAT(B1447,C1447,D1447,E1447,F1447)</f>
        <v>VAZANTE II - UFV 1Inverter-ES217008032846004,298611111146004,298611111146006,7118055556</v>
      </c>
      <c r="Q1447" s="1" t="str">
        <f t="shared" si="71"/>
        <v>DAURDE</v>
      </c>
    </row>
    <row r="1448" spans="1:17" s="44" customFormat="1" hidden="1">
      <c r="A1448" s="43"/>
      <c r="B1448" s="58" t="s">
        <v>931</v>
      </c>
      <c r="C1448" s="58" t="s">
        <v>936</v>
      </c>
      <c r="D1448" s="59">
        <v>46004.298611111109</v>
      </c>
      <c r="E1448" s="59">
        <v>46004.298611111109</v>
      </c>
      <c r="F1448" s="59">
        <v>46006.711805555555</v>
      </c>
      <c r="G1448" s="60">
        <f>+F1448-E1448</f>
        <v>2.4131944444452529</v>
      </c>
      <c r="H1448" s="58" t="s">
        <v>248</v>
      </c>
      <c r="I1448" s="58"/>
      <c r="J1448" s="58" t="s">
        <v>249</v>
      </c>
      <c r="K1448" s="1" t="str">
        <f>_xlfn.XLOOKUP(J1448,REF!$D$2:$D$12,REF!$E$2:$E$12)</f>
        <v>Rede</v>
      </c>
      <c r="L1448" s="58" t="s">
        <v>910</v>
      </c>
      <c r="M1448" s="58" t="s">
        <v>251</v>
      </c>
      <c r="N1448" s="58" t="s">
        <v>330</v>
      </c>
      <c r="O1448" s="58" t="s">
        <v>911</v>
      </c>
      <c r="P1448" s="58" t="str">
        <f>_xlfn.CONCAT(B1448,C1448,D1448,E1448,F1448)</f>
        <v>VAZANTE II - UFV 1Inverter-ES219001107946004,298611111146004,298611111146006,7118055556</v>
      </c>
      <c r="Q1448" s="1" t="str">
        <f t="shared" si="71"/>
        <v>DAURDE</v>
      </c>
    </row>
    <row r="1449" spans="1:17" s="44" customFormat="1" hidden="1">
      <c r="A1449" s="43"/>
      <c r="B1449" s="58" t="s">
        <v>894</v>
      </c>
      <c r="C1449" s="58" t="s">
        <v>895</v>
      </c>
      <c r="D1449" s="59">
        <v>46004.298611111109</v>
      </c>
      <c r="E1449" s="59">
        <v>46004.298611111109</v>
      </c>
      <c r="F1449" s="59">
        <v>46006.711805555555</v>
      </c>
      <c r="G1449" s="60">
        <f>+F1449-E1449</f>
        <v>2.4131944444452529</v>
      </c>
      <c r="H1449" s="58" t="s">
        <v>248</v>
      </c>
      <c r="I1449" s="58"/>
      <c r="J1449" s="58" t="s">
        <v>249</v>
      </c>
      <c r="K1449" s="1" t="str">
        <f>_xlfn.XLOOKUP(J1449,REF!$D$2:$D$12,REF!$E$2:$E$12)</f>
        <v>Rede</v>
      </c>
      <c r="L1449" s="58" t="s">
        <v>910</v>
      </c>
      <c r="M1449" s="58" t="s">
        <v>251</v>
      </c>
      <c r="N1449" s="58" t="s">
        <v>330</v>
      </c>
      <c r="O1449" s="58" t="s">
        <v>911</v>
      </c>
      <c r="P1449" s="58" t="str">
        <f>_xlfn.CONCAT(B1449,C1449,D1449,E1449,F1449)</f>
        <v>VAZANTE II - UFV 2Inverter-ES218005834946004,298611111146004,298611111146006,7118055556</v>
      </c>
      <c r="Q1449" s="1" t="str">
        <f t="shared" si="71"/>
        <v>DAURDE</v>
      </c>
    </row>
    <row r="1450" spans="1:17" s="44" customFormat="1" hidden="1">
      <c r="A1450" s="43"/>
      <c r="B1450" s="58" t="s">
        <v>894</v>
      </c>
      <c r="C1450" s="58" t="s">
        <v>899</v>
      </c>
      <c r="D1450" s="59">
        <v>46004.298611111109</v>
      </c>
      <c r="E1450" s="59">
        <v>46004.298611111109</v>
      </c>
      <c r="F1450" s="59">
        <v>46006.711805555555</v>
      </c>
      <c r="G1450" s="60">
        <f>+F1450-E1450</f>
        <v>2.4131944444452529</v>
      </c>
      <c r="H1450" s="58" t="s">
        <v>248</v>
      </c>
      <c r="I1450" s="58"/>
      <c r="J1450" s="58" t="s">
        <v>249</v>
      </c>
      <c r="K1450" s="1" t="str">
        <f>_xlfn.XLOOKUP(J1450,REF!$D$2:$D$12,REF!$E$2:$E$12)</f>
        <v>Rede</v>
      </c>
      <c r="L1450" s="58" t="s">
        <v>910</v>
      </c>
      <c r="M1450" s="58" t="s">
        <v>251</v>
      </c>
      <c r="N1450" s="58" t="s">
        <v>330</v>
      </c>
      <c r="O1450" s="58" t="s">
        <v>911</v>
      </c>
      <c r="P1450" s="58" t="str">
        <f>_xlfn.CONCAT(B1450,C1450,D1450,E1450,F1450)</f>
        <v>VAZANTE II - UFV 2Inverter-ES217002732646004,298611111146004,298611111146006,7118055556</v>
      </c>
      <c r="Q1450" s="1" t="str">
        <f t="shared" si="71"/>
        <v>DAURDE</v>
      </c>
    </row>
    <row r="1451" spans="1:17" s="44" customFormat="1" hidden="1">
      <c r="A1451" s="43"/>
      <c r="B1451" s="58" t="s">
        <v>894</v>
      </c>
      <c r="C1451" s="58" t="s">
        <v>937</v>
      </c>
      <c r="D1451" s="59">
        <v>46004.298611111109</v>
      </c>
      <c r="E1451" s="59">
        <v>46004.298611111109</v>
      </c>
      <c r="F1451" s="59">
        <v>46006.711805555555</v>
      </c>
      <c r="G1451" s="60">
        <f>+F1451-E1451</f>
        <v>2.4131944444452529</v>
      </c>
      <c r="H1451" s="58" t="s">
        <v>248</v>
      </c>
      <c r="I1451" s="58"/>
      <c r="J1451" s="58" t="s">
        <v>249</v>
      </c>
      <c r="K1451" s="1" t="str">
        <f>_xlfn.XLOOKUP(J1451,REF!$D$2:$D$12,REF!$E$2:$E$12)</f>
        <v>Rede</v>
      </c>
      <c r="L1451" s="58" t="s">
        <v>910</v>
      </c>
      <c r="M1451" s="58" t="s">
        <v>251</v>
      </c>
      <c r="N1451" s="58" t="s">
        <v>330</v>
      </c>
      <c r="O1451" s="58" t="s">
        <v>911</v>
      </c>
      <c r="P1451" s="58" t="str">
        <f>_xlfn.CONCAT(B1451,C1451,D1451,E1451,F1451)</f>
        <v>VAZANTE II - UFV 2Inverter-ES217002866446004,298611111146004,298611111146006,7118055556</v>
      </c>
      <c r="Q1451" s="1" t="str">
        <f t="shared" si="71"/>
        <v>DAURDE</v>
      </c>
    </row>
    <row r="1452" spans="1:17" s="44" customFormat="1" hidden="1">
      <c r="A1452" s="43"/>
      <c r="B1452" s="58" t="s">
        <v>894</v>
      </c>
      <c r="C1452" s="58" t="s">
        <v>901</v>
      </c>
      <c r="D1452" s="59">
        <v>46004.298611111109</v>
      </c>
      <c r="E1452" s="59">
        <v>46004.298611111109</v>
      </c>
      <c r="F1452" s="59">
        <v>46006.711805555555</v>
      </c>
      <c r="G1452" s="60">
        <f>+F1452-E1452</f>
        <v>2.4131944444452529</v>
      </c>
      <c r="H1452" s="58" t="s">
        <v>248</v>
      </c>
      <c r="I1452" s="58"/>
      <c r="J1452" s="58" t="s">
        <v>249</v>
      </c>
      <c r="K1452" s="1" t="str">
        <f>_xlfn.XLOOKUP(J1452,REF!$D$2:$D$12,REF!$E$2:$E$12)</f>
        <v>Rede</v>
      </c>
      <c r="L1452" s="58" t="s">
        <v>910</v>
      </c>
      <c r="M1452" s="58" t="s">
        <v>251</v>
      </c>
      <c r="N1452" s="58" t="s">
        <v>330</v>
      </c>
      <c r="O1452" s="58" t="s">
        <v>911</v>
      </c>
      <c r="P1452" s="58" t="str">
        <f>_xlfn.CONCAT(B1452,C1452,D1452,E1452,F1452)</f>
        <v>VAZANTE II - UFV 2Inverter-ES218005897746004,298611111146004,298611111146006,7118055556</v>
      </c>
      <c r="Q1452" s="1" t="str">
        <f t="shared" si="71"/>
        <v>DAURDE</v>
      </c>
    </row>
    <row r="1453" spans="1:17" s="44" customFormat="1" hidden="1">
      <c r="A1453" s="43"/>
      <c r="B1453" s="58" t="s">
        <v>894</v>
      </c>
      <c r="C1453" s="58" t="s">
        <v>902</v>
      </c>
      <c r="D1453" s="59">
        <v>46004.298611111109</v>
      </c>
      <c r="E1453" s="59">
        <v>46004.298611111109</v>
      </c>
      <c r="F1453" s="59">
        <v>46006.711805555555</v>
      </c>
      <c r="G1453" s="60">
        <f>+F1453-E1453</f>
        <v>2.4131944444452529</v>
      </c>
      <c r="H1453" s="58" t="s">
        <v>248</v>
      </c>
      <c r="I1453" s="58"/>
      <c r="J1453" s="58" t="s">
        <v>249</v>
      </c>
      <c r="K1453" s="1" t="str">
        <f>_xlfn.XLOOKUP(J1453,REF!$D$2:$D$12,REF!$E$2:$E$12)</f>
        <v>Rede</v>
      </c>
      <c r="L1453" s="58" t="s">
        <v>910</v>
      </c>
      <c r="M1453" s="58" t="s">
        <v>251</v>
      </c>
      <c r="N1453" s="58" t="s">
        <v>330</v>
      </c>
      <c r="O1453" s="58" t="s">
        <v>911</v>
      </c>
      <c r="P1453" s="58" t="str">
        <f>_xlfn.CONCAT(B1453,C1453,D1453,E1453,F1453)</f>
        <v>VAZANTE II - UFV 2Inverter-ES217002814146004,298611111146004,298611111146006,7118055556</v>
      </c>
      <c r="Q1453" s="1" t="str">
        <f t="shared" si="71"/>
        <v>DAURDE</v>
      </c>
    </row>
    <row r="1454" spans="1:17" s="44" customFormat="1" hidden="1">
      <c r="A1454" s="43"/>
      <c r="B1454" s="58" t="s">
        <v>938</v>
      </c>
      <c r="C1454" s="58" t="s">
        <v>939</v>
      </c>
      <c r="D1454" s="59">
        <v>46004.298611111109</v>
      </c>
      <c r="E1454" s="59">
        <v>46004.298611111109</v>
      </c>
      <c r="F1454" s="59">
        <v>46006.711805555555</v>
      </c>
      <c r="G1454" s="60">
        <f>+F1454-E1454</f>
        <v>2.4131944444452529</v>
      </c>
      <c r="H1454" s="58" t="s">
        <v>248</v>
      </c>
      <c r="I1454" s="58"/>
      <c r="J1454" s="58" t="s">
        <v>249</v>
      </c>
      <c r="K1454" s="1" t="str">
        <f>_xlfn.XLOOKUP(J1454,REF!$D$2:$D$12,REF!$E$2:$E$12)</f>
        <v>Rede</v>
      </c>
      <c r="L1454" s="58" t="s">
        <v>910</v>
      </c>
      <c r="M1454" s="58" t="s">
        <v>251</v>
      </c>
      <c r="N1454" s="58" t="s">
        <v>330</v>
      </c>
      <c r="O1454" s="58" t="s">
        <v>911</v>
      </c>
      <c r="P1454" s="58" t="str">
        <f>_xlfn.CONCAT(B1454,C1454,D1454,E1454,F1454)</f>
        <v>VAZANTE II - UFV 3Inverter-ES219001107046004,298611111146004,298611111146006,7118055556</v>
      </c>
      <c r="Q1454" s="1" t="str">
        <f t="shared" si="71"/>
        <v>DAURDE</v>
      </c>
    </row>
    <row r="1455" spans="1:17" s="44" customFormat="1" hidden="1">
      <c r="A1455" s="43"/>
      <c r="B1455" s="58" t="s">
        <v>938</v>
      </c>
      <c r="C1455" s="58" t="s">
        <v>940</v>
      </c>
      <c r="D1455" s="59">
        <v>46004.298611111109</v>
      </c>
      <c r="E1455" s="59">
        <v>46004.298611111109</v>
      </c>
      <c r="F1455" s="59">
        <v>46006.711805555555</v>
      </c>
      <c r="G1455" s="60">
        <f>+F1455-E1455</f>
        <v>2.4131944444452529</v>
      </c>
      <c r="H1455" s="58" t="s">
        <v>248</v>
      </c>
      <c r="I1455" s="58"/>
      <c r="J1455" s="58" t="s">
        <v>249</v>
      </c>
      <c r="K1455" s="1" t="str">
        <f>_xlfn.XLOOKUP(J1455,REF!$D$2:$D$12,REF!$E$2:$E$12)</f>
        <v>Rede</v>
      </c>
      <c r="L1455" s="58" t="s">
        <v>910</v>
      </c>
      <c r="M1455" s="58" t="s">
        <v>251</v>
      </c>
      <c r="N1455" s="58" t="s">
        <v>330</v>
      </c>
      <c r="O1455" s="58" t="s">
        <v>911</v>
      </c>
      <c r="P1455" s="58" t="str">
        <f>_xlfn.CONCAT(B1455,C1455,D1455,E1455,F1455)</f>
        <v>VAZANTE II - UFV 3Inverter-ES218005835046004,298611111146004,298611111146006,7118055556</v>
      </c>
      <c r="Q1455" s="1" t="str">
        <f t="shared" si="71"/>
        <v>DAURDE</v>
      </c>
    </row>
    <row r="1456" spans="1:17" s="44" customFormat="1" hidden="1">
      <c r="A1456" s="43"/>
      <c r="B1456" s="58" t="s">
        <v>938</v>
      </c>
      <c r="C1456" s="58" t="s">
        <v>941</v>
      </c>
      <c r="D1456" s="59">
        <v>46004.298611111109</v>
      </c>
      <c r="E1456" s="59">
        <v>46004.298611111109</v>
      </c>
      <c r="F1456" s="59">
        <v>46006.711805555555</v>
      </c>
      <c r="G1456" s="60">
        <f>+F1456-E1456</f>
        <v>2.4131944444452529</v>
      </c>
      <c r="H1456" s="58" t="s">
        <v>248</v>
      </c>
      <c r="I1456" s="58"/>
      <c r="J1456" s="58" t="s">
        <v>249</v>
      </c>
      <c r="K1456" s="1" t="str">
        <f>_xlfn.XLOOKUP(J1456,REF!$D$2:$D$12,REF!$E$2:$E$12)</f>
        <v>Rede</v>
      </c>
      <c r="L1456" s="58" t="s">
        <v>910</v>
      </c>
      <c r="M1456" s="58" t="s">
        <v>251</v>
      </c>
      <c r="N1456" s="58" t="s">
        <v>330</v>
      </c>
      <c r="O1456" s="58" t="s">
        <v>911</v>
      </c>
      <c r="P1456" s="58" t="str">
        <f>_xlfn.CONCAT(B1456,C1456,D1456,E1456,F1456)</f>
        <v>VAZANTE II - UFV 3Inverter-ES224006061446004,298611111146004,298611111146006,7118055556</v>
      </c>
      <c r="Q1456" s="1" t="str">
        <f t="shared" si="71"/>
        <v>DAURDE</v>
      </c>
    </row>
    <row r="1457" spans="1:17" hidden="1">
      <c r="B1457" s="1" t="s">
        <v>361</v>
      </c>
      <c r="C1457" s="1" t="s">
        <v>362</v>
      </c>
      <c r="D1457" s="52">
        <v>46007.833333333336</v>
      </c>
      <c r="E1457" s="52">
        <v>46007.833333333336</v>
      </c>
      <c r="F1457" s="52">
        <v>46008.325694444444</v>
      </c>
      <c r="G1457" s="53">
        <f>+F1457-E1457</f>
        <v>0.49236111110803904</v>
      </c>
      <c r="H1457" s="1" t="s">
        <v>248</v>
      </c>
      <c r="J1457" s="1" t="s">
        <v>230</v>
      </c>
      <c r="K1457" s="1" t="str">
        <f>_xlfn.XLOOKUP(J1457,REF!$D$2:$D$12,REF!$E$2:$E$12)</f>
        <v>UFV</v>
      </c>
      <c r="L1457" s="65" t="s">
        <v>868</v>
      </c>
      <c r="M1457" s="1" t="s">
        <v>732</v>
      </c>
      <c r="N1457" s="1" t="s">
        <v>266</v>
      </c>
      <c r="O1457" s="1" t="s">
        <v>885</v>
      </c>
      <c r="P1457" s="1" t="str">
        <f>_xlfn.CONCAT(B1457,C1457,D1457,E1457,F1457)</f>
        <v>ARAGUATINS 1.3Inverter(MBUS-20)46007,833333333346007,833333333346008,3256944444</v>
      </c>
      <c r="Q1457" s="1" t="str">
        <f t="shared" si="71"/>
        <v>DAUUFV</v>
      </c>
    </row>
    <row r="1458" spans="1:17" hidden="1">
      <c r="B1458" s="1" t="s">
        <v>361</v>
      </c>
      <c r="C1458" s="1" t="s">
        <v>328</v>
      </c>
      <c r="D1458" s="52">
        <v>46007.833333333336</v>
      </c>
      <c r="E1458" s="52">
        <v>46007.833333333336</v>
      </c>
      <c r="F1458" s="52">
        <v>46008.325694444444</v>
      </c>
      <c r="G1458" s="53">
        <f>+F1458-E1458</f>
        <v>0.49236111110803904</v>
      </c>
      <c r="H1458" s="1" t="s">
        <v>248</v>
      </c>
      <c r="J1458" s="1" t="s">
        <v>230</v>
      </c>
      <c r="K1458" s="1" t="str">
        <f>_xlfn.XLOOKUP(J1458,REF!$D$2:$D$12,REF!$E$2:$E$12)</f>
        <v>UFV</v>
      </c>
      <c r="L1458" s="65" t="s">
        <v>868</v>
      </c>
      <c r="M1458" s="1" t="s">
        <v>732</v>
      </c>
      <c r="N1458" s="1" t="s">
        <v>266</v>
      </c>
      <c r="O1458" s="1" t="s">
        <v>885</v>
      </c>
      <c r="P1458" s="1" t="str">
        <f>_xlfn.CONCAT(B1458,C1458,D1458,E1458,F1458)</f>
        <v>ARAGUATINS 1.3Inverter(MBUS-1)46007,833333333346007,833333333346008,3256944444</v>
      </c>
      <c r="Q1458" s="1" t="str">
        <f t="shared" si="71"/>
        <v>DAUUFV</v>
      </c>
    </row>
    <row r="1459" spans="1:17" hidden="1">
      <c r="A1459" s="45"/>
      <c r="B1459" s="61" t="s">
        <v>421</v>
      </c>
      <c r="C1459" s="61" t="s">
        <v>357</v>
      </c>
      <c r="D1459" s="62">
        <v>45998.6875</v>
      </c>
      <c r="E1459" s="62">
        <v>45998.6875</v>
      </c>
      <c r="F1459" s="62">
        <v>46022.999988425923</v>
      </c>
      <c r="G1459" s="63">
        <f t="shared" ref="G1459:G1479" si="72">F1459-E1459</f>
        <v>24.31248842592322</v>
      </c>
      <c r="H1459" s="61" t="s">
        <v>248</v>
      </c>
      <c r="I1459" s="61" t="s">
        <v>942</v>
      </c>
      <c r="J1459" s="61" t="s">
        <v>396</v>
      </c>
      <c r="K1459" s="1" t="str">
        <f>_xlfn.XLOOKUP(J1459,REF!$D$2:$D$12,REF!$E$2:$E$12)</f>
        <v>Relé de proteção</v>
      </c>
      <c r="L1459" s="61" t="s">
        <v>943</v>
      </c>
      <c r="M1459" s="61" t="s">
        <v>302</v>
      </c>
      <c r="N1459" s="61" t="s">
        <v>303</v>
      </c>
      <c r="O1459" s="61" t="s">
        <v>944</v>
      </c>
      <c r="P1459" s="1" t="str">
        <f>_xlfn.CONCAT(B1459,C1459,D1459,E1459,F1459)</f>
        <v>BC Formoso1.2Inverter(MBUS-13)45998,687545998,687546022,9999884259</v>
      </c>
      <c r="Q1459" s="1" t="str">
        <f t="shared" si="71"/>
        <v>DAU PRT</v>
      </c>
    </row>
    <row r="1460" spans="1:17" hidden="1">
      <c r="A1460" s="45"/>
      <c r="B1460" s="61" t="s">
        <v>421</v>
      </c>
      <c r="C1460" s="61" t="s">
        <v>354</v>
      </c>
      <c r="D1460" s="62">
        <v>45998.6875</v>
      </c>
      <c r="E1460" s="62">
        <v>45998.6875</v>
      </c>
      <c r="F1460" s="62">
        <v>46022.999988425923</v>
      </c>
      <c r="G1460" s="63">
        <f t="shared" si="72"/>
        <v>24.31248842592322</v>
      </c>
      <c r="H1460" s="61" t="s">
        <v>248</v>
      </c>
      <c r="I1460" s="61" t="s">
        <v>942</v>
      </c>
      <c r="J1460" s="61" t="s">
        <v>396</v>
      </c>
      <c r="K1460" s="1" t="str">
        <f>_xlfn.XLOOKUP(J1460,REF!$D$2:$D$12,REF!$E$2:$E$12)</f>
        <v>Relé de proteção</v>
      </c>
      <c r="L1460" s="61" t="s">
        <v>943</v>
      </c>
      <c r="M1460" s="61" t="s">
        <v>302</v>
      </c>
      <c r="N1460" s="61" t="s">
        <v>303</v>
      </c>
      <c r="O1460" s="61" t="s">
        <v>944</v>
      </c>
      <c r="P1460" s="1" t="str">
        <f>_xlfn.CONCAT(B1460,C1460,D1460,E1460,F1460)</f>
        <v>BC Formoso1.2Inverter(MBUS-12)45998,687545998,687546022,9999884259</v>
      </c>
      <c r="Q1460" s="1" t="str">
        <f t="shared" si="71"/>
        <v>DAU PRT</v>
      </c>
    </row>
    <row r="1461" spans="1:17" hidden="1">
      <c r="A1461" s="45"/>
      <c r="B1461" s="61" t="s">
        <v>421</v>
      </c>
      <c r="C1461" s="61" t="s">
        <v>359</v>
      </c>
      <c r="D1461" s="62">
        <v>45998.6875</v>
      </c>
      <c r="E1461" s="62">
        <v>45998.6875</v>
      </c>
      <c r="F1461" s="62">
        <v>46022.999988425923</v>
      </c>
      <c r="G1461" s="63">
        <f t="shared" si="72"/>
        <v>24.31248842592322</v>
      </c>
      <c r="H1461" s="61" t="s">
        <v>248</v>
      </c>
      <c r="I1461" s="61" t="s">
        <v>942</v>
      </c>
      <c r="J1461" s="61" t="s">
        <v>396</v>
      </c>
      <c r="K1461" s="1" t="str">
        <f>_xlfn.XLOOKUP(J1461,REF!$D$2:$D$12,REF!$E$2:$E$12)</f>
        <v>Relé de proteção</v>
      </c>
      <c r="L1461" s="61" t="s">
        <v>943</v>
      </c>
      <c r="M1461" s="61" t="s">
        <v>302</v>
      </c>
      <c r="N1461" s="61" t="s">
        <v>303</v>
      </c>
      <c r="O1461" s="61" t="s">
        <v>944</v>
      </c>
      <c r="P1461" s="1" t="str">
        <f>_xlfn.CONCAT(B1461,C1461,D1461,E1461,F1461)</f>
        <v>BC Formoso1.2Inverter(MBUS-15)45998,687545998,687546022,9999884259</v>
      </c>
      <c r="Q1461" s="1" t="str">
        <f t="shared" si="71"/>
        <v>DAU PRT</v>
      </c>
    </row>
    <row r="1462" spans="1:17" hidden="1">
      <c r="A1462" s="45"/>
      <c r="B1462" s="61" t="s">
        <v>421</v>
      </c>
      <c r="C1462" s="61" t="s">
        <v>358</v>
      </c>
      <c r="D1462" s="62">
        <v>45998.6875</v>
      </c>
      <c r="E1462" s="62">
        <v>45998.6875</v>
      </c>
      <c r="F1462" s="62">
        <v>46022.999988425923</v>
      </c>
      <c r="G1462" s="63">
        <f t="shared" si="72"/>
        <v>24.31248842592322</v>
      </c>
      <c r="H1462" s="61" t="s">
        <v>248</v>
      </c>
      <c r="I1462" s="61" t="s">
        <v>942</v>
      </c>
      <c r="J1462" s="61" t="s">
        <v>396</v>
      </c>
      <c r="K1462" s="1" t="str">
        <f>_xlfn.XLOOKUP(J1462,REF!$D$2:$D$12,REF!$E$2:$E$12)</f>
        <v>Relé de proteção</v>
      </c>
      <c r="L1462" s="61" t="s">
        <v>943</v>
      </c>
      <c r="M1462" s="61" t="s">
        <v>302</v>
      </c>
      <c r="N1462" s="61" t="s">
        <v>303</v>
      </c>
      <c r="O1462" s="61" t="s">
        <v>944</v>
      </c>
      <c r="P1462" s="1" t="str">
        <f>_xlfn.CONCAT(B1462,C1462,D1462,E1462,F1462)</f>
        <v>BC Formoso1.2Inverter(MBUS-14)45998,687545998,687546022,9999884259</v>
      </c>
      <c r="Q1462" s="1" t="str">
        <f t="shared" si="71"/>
        <v>DAU PRT</v>
      </c>
    </row>
    <row r="1463" spans="1:17" hidden="1">
      <c r="A1463" s="45"/>
      <c r="B1463" s="61" t="s">
        <v>429</v>
      </c>
      <c r="C1463" s="61" t="s">
        <v>357</v>
      </c>
      <c r="D1463" s="62">
        <v>46000.548611111109</v>
      </c>
      <c r="E1463" s="62">
        <v>46000.548611111109</v>
      </c>
      <c r="F1463" s="62">
        <v>46001.371527777781</v>
      </c>
      <c r="G1463" s="63">
        <f t="shared" si="72"/>
        <v>0.82291666667151731</v>
      </c>
      <c r="H1463" s="61" t="s">
        <v>248</v>
      </c>
      <c r="I1463" s="61"/>
      <c r="J1463" s="61" t="s">
        <v>249</v>
      </c>
      <c r="K1463" s="1" t="str">
        <f>_xlfn.XLOOKUP(J1463,REF!$D$2:$D$12,REF!$E$2:$E$12)</f>
        <v>Rede</v>
      </c>
      <c r="L1463" s="61" t="s">
        <v>945</v>
      </c>
      <c r="M1463" s="61" t="s">
        <v>251</v>
      </c>
      <c r="N1463" s="61" t="s">
        <v>252</v>
      </c>
      <c r="O1463" s="61" t="s">
        <v>676</v>
      </c>
      <c r="P1463" s="1" t="str">
        <f>_xlfn.CONCAT(B1463,C1463,D1463,E1463,F1463)</f>
        <v>BC Formoso1.1Inverter(MBUS-13)46000,548611111146000,548611111146001,3715277778</v>
      </c>
      <c r="Q1463" s="1" t="str">
        <f t="shared" si="71"/>
        <v>DAURDE</v>
      </c>
    </row>
    <row r="1464" spans="1:17" hidden="1">
      <c r="A1464" s="45"/>
      <c r="B1464" s="61" t="s">
        <v>429</v>
      </c>
      <c r="C1464" s="61" t="s">
        <v>354</v>
      </c>
      <c r="D1464" s="62">
        <v>46000.548611111109</v>
      </c>
      <c r="E1464" s="62">
        <v>46000.548611111109</v>
      </c>
      <c r="F1464" s="62">
        <v>46001.371527777781</v>
      </c>
      <c r="G1464" s="63">
        <f t="shared" si="72"/>
        <v>0.82291666667151731</v>
      </c>
      <c r="H1464" s="61" t="s">
        <v>248</v>
      </c>
      <c r="I1464" s="61"/>
      <c r="J1464" s="61" t="s">
        <v>249</v>
      </c>
      <c r="K1464" s="1" t="str">
        <f>_xlfn.XLOOKUP(J1464,REF!$D$2:$D$12,REF!$E$2:$E$12)</f>
        <v>Rede</v>
      </c>
      <c r="L1464" s="61" t="s">
        <v>945</v>
      </c>
      <c r="M1464" s="61" t="s">
        <v>251</v>
      </c>
      <c r="N1464" s="61" t="s">
        <v>252</v>
      </c>
      <c r="O1464" s="61" t="s">
        <v>676</v>
      </c>
      <c r="P1464" s="1" t="str">
        <f>_xlfn.CONCAT(B1464,C1464,D1464,E1464,F1464)</f>
        <v>BC Formoso1.1Inverter(MBUS-12)46000,548611111146000,548611111146001,3715277778</v>
      </c>
      <c r="Q1464" s="1" t="str">
        <f t="shared" si="71"/>
        <v>DAURDE</v>
      </c>
    </row>
    <row r="1465" spans="1:17" hidden="1">
      <c r="A1465" s="45"/>
      <c r="B1465" s="61" t="s">
        <v>429</v>
      </c>
      <c r="C1465" s="61" t="s">
        <v>359</v>
      </c>
      <c r="D1465" s="62">
        <v>46000.548611111109</v>
      </c>
      <c r="E1465" s="62">
        <v>46000.548611111109</v>
      </c>
      <c r="F1465" s="62">
        <v>46001.371527777781</v>
      </c>
      <c r="G1465" s="63">
        <f t="shared" si="72"/>
        <v>0.82291666667151731</v>
      </c>
      <c r="H1465" s="61" t="s">
        <v>248</v>
      </c>
      <c r="I1465" s="61"/>
      <c r="J1465" s="61" t="s">
        <v>249</v>
      </c>
      <c r="K1465" s="1" t="str">
        <f>_xlfn.XLOOKUP(J1465,REF!$D$2:$D$12,REF!$E$2:$E$12)</f>
        <v>Rede</v>
      </c>
      <c r="L1465" s="61" t="s">
        <v>945</v>
      </c>
      <c r="M1465" s="61" t="s">
        <v>251</v>
      </c>
      <c r="N1465" s="61" t="s">
        <v>252</v>
      </c>
      <c r="O1465" s="61" t="s">
        <v>676</v>
      </c>
      <c r="P1465" s="1" t="str">
        <f>_xlfn.CONCAT(B1465,C1465,D1465,E1465,F1465)</f>
        <v>BC Formoso1.1Inverter(MBUS-15)46000,548611111146000,548611111146001,3715277778</v>
      </c>
      <c r="Q1465" s="1" t="str">
        <f t="shared" si="71"/>
        <v>DAURDE</v>
      </c>
    </row>
    <row r="1466" spans="1:17" hidden="1">
      <c r="A1466" s="45"/>
      <c r="B1466" s="61" t="s">
        <v>429</v>
      </c>
      <c r="C1466" s="61" t="s">
        <v>358</v>
      </c>
      <c r="D1466" s="62">
        <v>46000.548611111109</v>
      </c>
      <c r="E1466" s="62">
        <v>46000.548611111109</v>
      </c>
      <c r="F1466" s="62">
        <v>46001.371527777781</v>
      </c>
      <c r="G1466" s="63">
        <f t="shared" si="72"/>
        <v>0.82291666667151731</v>
      </c>
      <c r="H1466" s="61" t="s">
        <v>248</v>
      </c>
      <c r="I1466" s="61"/>
      <c r="J1466" s="61" t="s">
        <v>249</v>
      </c>
      <c r="K1466" s="1" t="str">
        <f>_xlfn.XLOOKUP(J1466,REF!$D$2:$D$12,REF!$E$2:$E$12)</f>
        <v>Rede</v>
      </c>
      <c r="L1466" s="61" t="s">
        <v>945</v>
      </c>
      <c r="M1466" s="61" t="s">
        <v>251</v>
      </c>
      <c r="N1466" s="61" t="s">
        <v>252</v>
      </c>
      <c r="O1466" s="61" t="s">
        <v>676</v>
      </c>
      <c r="P1466" s="1" t="str">
        <f>_xlfn.CONCAT(B1466,C1466,D1466,E1466,F1466)</f>
        <v>BC Formoso1.1Inverter(MBUS-14)46000,548611111146000,548611111146001,3715277778</v>
      </c>
      <c r="Q1466" s="1" t="str">
        <f t="shared" si="71"/>
        <v>DAURDE</v>
      </c>
    </row>
    <row r="1467" spans="1:17" hidden="1">
      <c r="A1467" s="45"/>
      <c r="B1467" s="61" t="s">
        <v>421</v>
      </c>
      <c r="C1467" s="61" t="s">
        <v>357</v>
      </c>
      <c r="D1467" s="62">
        <v>46000.548611111109</v>
      </c>
      <c r="E1467" s="62">
        <v>46000.548611111109</v>
      </c>
      <c r="F1467" s="62">
        <v>46001.371527777781</v>
      </c>
      <c r="G1467" s="63">
        <f t="shared" si="72"/>
        <v>0.82291666667151731</v>
      </c>
      <c r="H1467" s="61" t="s">
        <v>248</v>
      </c>
      <c r="I1467" s="61"/>
      <c r="J1467" s="61" t="s">
        <v>249</v>
      </c>
      <c r="K1467" s="1" t="str">
        <f>_xlfn.XLOOKUP(J1467,REF!$D$2:$D$12,REF!$E$2:$E$12)</f>
        <v>Rede</v>
      </c>
      <c r="L1467" s="61" t="s">
        <v>945</v>
      </c>
      <c r="M1467" s="61" t="s">
        <v>251</v>
      </c>
      <c r="N1467" s="61" t="s">
        <v>252</v>
      </c>
      <c r="O1467" s="61" t="s">
        <v>676</v>
      </c>
      <c r="P1467" s="1" t="str">
        <f>_xlfn.CONCAT(B1467,C1467,D1467,E1467,F1467)</f>
        <v>BC Formoso1.2Inverter(MBUS-13)46000,548611111146000,548611111146001,3715277778</v>
      </c>
      <c r="Q1467" s="1" t="str">
        <f t="shared" si="71"/>
        <v>DAURDE</v>
      </c>
    </row>
    <row r="1468" spans="1:17" hidden="1">
      <c r="A1468" s="45"/>
      <c r="B1468" s="61" t="s">
        <v>421</v>
      </c>
      <c r="C1468" s="61" t="s">
        <v>354</v>
      </c>
      <c r="D1468" s="62">
        <v>46000.548611111109</v>
      </c>
      <c r="E1468" s="62">
        <v>46000.548611111109</v>
      </c>
      <c r="F1468" s="62">
        <v>46001.371527777781</v>
      </c>
      <c r="G1468" s="63">
        <f t="shared" si="72"/>
        <v>0.82291666667151731</v>
      </c>
      <c r="H1468" s="61" t="s">
        <v>248</v>
      </c>
      <c r="I1468" s="61"/>
      <c r="J1468" s="61" t="s">
        <v>249</v>
      </c>
      <c r="K1468" s="1" t="str">
        <f>_xlfn.XLOOKUP(J1468,REF!$D$2:$D$12,REF!$E$2:$E$12)</f>
        <v>Rede</v>
      </c>
      <c r="L1468" s="61" t="s">
        <v>945</v>
      </c>
      <c r="M1468" s="61" t="s">
        <v>251</v>
      </c>
      <c r="N1468" s="61" t="s">
        <v>252</v>
      </c>
      <c r="O1468" s="61" t="s">
        <v>676</v>
      </c>
      <c r="P1468" s="1" t="str">
        <f>_xlfn.CONCAT(B1468,C1468,D1468,E1468,F1468)</f>
        <v>BC Formoso1.2Inverter(MBUS-12)46000,548611111146000,548611111146001,3715277778</v>
      </c>
      <c r="Q1468" s="1" t="str">
        <f t="shared" si="71"/>
        <v>DAURDE</v>
      </c>
    </row>
    <row r="1469" spans="1:17" hidden="1">
      <c r="A1469" s="45"/>
      <c r="B1469" s="61" t="s">
        <v>421</v>
      </c>
      <c r="C1469" s="61" t="s">
        <v>359</v>
      </c>
      <c r="D1469" s="62">
        <v>46000.548611111109</v>
      </c>
      <c r="E1469" s="62">
        <v>46000.548611111109</v>
      </c>
      <c r="F1469" s="62">
        <v>46001.371527777781</v>
      </c>
      <c r="G1469" s="63">
        <f t="shared" si="72"/>
        <v>0.82291666667151731</v>
      </c>
      <c r="H1469" s="61" t="s">
        <v>248</v>
      </c>
      <c r="I1469" s="61"/>
      <c r="J1469" s="61" t="s">
        <v>249</v>
      </c>
      <c r="K1469" s="1" t="str">
        <f>_xlfn.XLOOKUP(J1469,REF!$D$2:$D$12,REF!$E$2:$E$12)</f>
        <v>Rede</v>
      </c>
      <c r="L1469" s="61" t="s">
        <v>945</v>
      </c>
      <c r="M1469" s="61" t="s">
        <v>251</v>
      </c>
      <c r="N1469" s="61" t="s">
        <v>252</v>
      </c>
      <c r="O1469" s="61" t="s">
        <v>676</v>
      </c>
      <c r="P1469" s="1" t="str">
        <f>_xlfn.CONCAT(B1469,C1469,D1469,E1469,F1469)</f>
        <v>BC Formoso1.2Inverter(MBUS-15)46000,548611111146000,548611111146001,3715277778</v>
      </c>
      <c r="Q1469" s="1" t="str">
        <f t="shared" si="71"/>
        <v>DAURDE</v>
      </c>
    </row>
    <row r="1470" spans="1:17" hidden="1">
      <c r="A1470" s="45"/>
      <c r="B1470" s="61" t="s">
        <v>421</v>
      </c>
      <c r="C1470" s="61" t="s">
        <v>358</v>
      </c>
      <c r="D1470" s="62">
        <v>46000.548611111109</v>
      </c>
      <c r="E1470" s="62">
        <v>46000.548611111109</v>
      </c>
      <c r="F1470" s="62">
        <v>46001.371527777781</v>
      </c>
      <c r="G1470" s="63">
        <f t="shared" si="72"/>
        <v>0.82291666667151731</v>
      </c>
      <c r="H1470" s="61" t="s">
        <v>248</v>
      </c>
      <c r="I1470" s="61"/>
      <c r="J1470" s="61" t="s">
        <v>249</v>
      </c>
      <c r="K1470" s="1" t="str">
        <f>_xlfn.XLOOKUP(J1470,REF!$D$2:$D$12,REF!$E$2:$E$12)</f>
        <v>Rede</v>
      </c>
      <c r="L1470" s="61" t="s">
        <v>945</v>
      </c>
      <c r="M1470" s="61" t="s">
        <v>251</v>
      </c>
      <c r="N1470" s="61" t="s">
        <v>252</v>
      </c>
      <c r="O1470" s="61" t="s">
        <v>676</v>
      </c>
      <c r="P1470" s="1" t="str">
        <f>_xlfn.CONCAT(B1470,C1470,D1470,E1470,F1470)</f>
        <v>BC Formoso1.2Inverter(MBUS-14)46000,548611111146000,548611111146001,3715277778</v>
      </c>
      <c r="Q1470" s="1" t="str">
        <f t="shared" si="71"/>
        <v>DAURDE</v>
      </c>
    </row>
    <row r="1471" spans="1:17" hidden="1">
      <c r="A1471" s="45"/>
      <c r="B1471" s="61" t="s">
        <v>430</v>
      </c>
      <c r="C1471" s="61" t="s">
        <v>357</v>
      </c>
      <c r="D1471" s="62">
        <v>46000.548611111109</v>
      </c>
      <c r="E1471" s="62">
        <v>46000.548611111109</v>
      </c>
      <c r="F1471" s="62">
        <v>46001.371527777781</v>
      </c>
      <c r="G1471" s="63">
        <f t="shared" si="72"/>
        <v>0.82291666667151731</v>
      </c>
      <c r="H1471" s="61" t="s">
        <v>248</v>
      </c>
      <c r="I1471" s="61"/>
      <c r="J1471" s="61" t="s">
        <v>249</v>
      </c>
      <c r="K1471" s="1" t="str">
        <f>_xlfn.XLOOKUP(J1471,REF!$D$2:$D$12,REF!$E$2:$E$12)</f>
        <v>Rede</v>
      </c>
      <c r="L1471" s="61" t="s">
        <v>945</v>
      </c>
      <c r="M1471" s="61" t="s">
        <v>251</v>
      </c>
      <c r="N1471" s="61" t="s">
        <v>252</v>
      </c>
      <c r="O1471" s="61" t="s">
        <v>676</v>
      </c>
      <c r="P1471" s="1" t="str">
        <f>_xlfn.CONCAT(B1471,C1471,D1471,E1471,F1471)</f>
        <v>BC Formoso1.3Inverter(MBUS-13)46000,548611111146000,548611111146001,3715277778</v>
      </c>
      <c r="Q1471" s="1" t="str">
        <f t="shared" si="71"/>
        <v>DAURDE</v>
      </c>
    </row>
    <row r="1472" spans="1:17" hidden="1">
      <c r="A1472" s="45"/>
      <c r="B1472" s="61" t="s">
        <v>430</v>
      </c>
      <c r="C1472" s="61" t="s">
        <v>354</v>
      </c>
      <c r="D1472" s="62">
        <v>46000.548611111109</v>
      </c>
      <c r="E1472" s="62">
        <v>46000.548611111109</v>
      </c>
      <c r="F1472" s="62">
        <v>46001.371527777781</v>
      </c>
      <c r="G1472" s="63">
        <f t="shared" si="72"/>
        <v>0.82291666667151731</v>
      </c>
      <c r="H1472" s="61" t="s">
        <v>248</v>
      </c>
      <c r="I1472" s="61"/>
      <c r="J1472" s="61" t="s">
        <v>249</v>
      </c>
      <c r="K1472" s="1" t="str">
        <f>_xlfn.XLOOKUP(J1472,REF!$D$2:$D$12,REF!$E$2:$E$12)</f>
        <v>Rede</v>
      </c>
      <c r="L1472" s="61" t="s">
        <v>945</v>
      </c>
      <c r="M1472" s="61" t="s">
        <v>251</v>
      </c>
      <c r="N1472" s="61" t="s">
        <v>252</v>
      </c>
      <c r="O1472" s="61" t="s">
        <v>676</v>
      </c>
      <c r="P1472" s="1" t="str">
        <f>_xlfn.CONCAT(B1472,C1472,D1472,E1472,F1472)</f>
        <v>BC Formoso1.3Inverter(MBUS-12)46000,548611111146000,548611111146001,3715277778</v>
      </c>
      <c r="Q1472" s="1" t="str">
        <f t="shared" si="71"/>
        <v>DAURDE</v>
      </c>
    </row>
    <row r="1473" spans="1:17" hidden="1">
      <c r="A1473" s="45"/>
      <c r="B1473" s="61" t="s">
        <v>423</v>
      </c>
      <c r="C1473" s="61" t="s">
        <v>354</v>
      </c>
      <c r="D1473" s="62">
        <v>46000.548611111109</v>
      </c>
      <c r="E1473" s="62">
        <v>46000.548611111109</v>
      </c>
      <c r="F1473" s="62">
        <v>46001.371527777781</v>
      </c>
      <c r="G1473" s="63">
        <f t="shared" si="72"/>
        <v>0.82291666667151731</v>
      </c>
      <c r="H1473" s="61" t="s">
        <v>248</v>
      </c>
      <c r="I1473" s="61"/>
      <c r="J1473" s="61" t="s">
        <v>249</v>
      </c>
      <c r="K1473" s="1" t="str">
        <f>_xlfn.XLOOKUP(J1473,REF!$D$2:$D$12,REF!$E$2:$E$12)</f>
        <v>Rede</v>
      </c>
      <c r="L1473" s="61" t="s">
        <v>945</v>
      </c>
      <c r="M1473" s="61" t="s">
        <v>251</v>
      </c>
      <c r="N1473" s="61" t="s">
        <v>252</v>
      </c>
      <c r="O1473" s="61" t="s">
        <v>676</v>
      </c>
      <c r="P1473" s="1" t="str">
        <f>_xlfn.CONCAT(B1473,C1473,D1473,E1473,F1473)</f>
        <v>BC Formoso2.1Inverter(MBUS-12)46000,548611111146000,548611111146001,3715277778</v>
      </c>
      <c r="Q1473" s="1" t="str">
        <f t="shared" si="71"/>
        <v>DAURDE</v>
      </c>
    </row>
    <row r="1474" spans="1:17" hidden="1">
      <c r="A1474" s="45"/>
      <c r="B1474" s="61" t="s">
        <v>423</v>
      </c>
      <c r="C1474" s="61" t="s">
        <v>358</v>
      </c>
      <c r="D1474" s="62">
        <v>46000.548611111109</v>
      </c>
      <c r="E1474" s="62">
        <v>46000.548611111109</v>
      </c>
      <c r="F1474" s="62">
        <v>46001.371527777781</v>
      </c>
      <c r="G1474" s="63">
        <f t="shared" si="72"/>
        <v>0.82291666667151731</v>
      </c>
      <c r="H1474" s="61" t="s">
        <v>248</v>
      </c>
      <c r="I1474" s="61"/>
      <c r="J1474" s="61" t="s">
        <v>249</v>
      </c>
      <c r="K1474" s="1" t="str">
        <f>_xlfn.XLOOKUP(J1474,REF!$D$2:$D$12,REF!$E$2:$E$12)</f>
        <v>Rede</v>
      </c>
      <c r="L1474" s="61" t="s">
        <v>945</v>
      </c>
      <c r="M1474" s="61" t="s">
        <v>251</v>
      </c>
      <c r="N1474" s="61" t="s">
        <v>252</v>
      </c>
      <c r="O1474" s="61" t="s">
        <v>676</v>
      </c>
      <c r="P1474" s="1" t="str">
        <f>_xlfn.CONCAT(B1474,C1474,D1474,E1474,F1474)</f>
        <v>BC Formoso2.1Inverter(MBUS-14)46000,548611111146000,548611111146001,3715277778</v>
      </c>
      <c r="Q1474" s="1" t="str">
        <f t="shared" si="71"/>
        <v>DAURDE</v>
      </c>
    </row>
    <row r="1475" spans="1:17" hidden="1">
      <c r="A1475" s="45"/>
      <c r="B1475" s="61" t="s">
        <v>423</v>
      </c>
      <c r="C1475" s="61" t="s">
        <v>357</v>
      </c>
      <c r="D1475" s="62">
        <v>46000.548611111109</v>
      </c>
      <c r="E1475" s="62">
        <v>46000.548611111109</v>
      </c>
      <c r="F1475" s="62">
        <v>46001.371527777781</v>
      </c>
      <c r="G1475" s="63">
        <f t="shared" si="72"/>
        <v>0.82291666667151731</v>
      </c>
      <c r="H1475" s="61" t="s">
        <v>248</v>
      </c>
      <c r="I1475" s="61"/>
      <c r="J1475" s="61" t="s">
        <v>249</v>
      </c>
      <c r="K1475" s="1" t="str">
        <f>_xlfn.XLOOKUP(J1475,REF!$D$2:$D$12,REF!$E$2:$E$12)</f>
        <v>Rede</v>
      </c>
      <c r="L1475" s="61" t="s">
        <v>945</v>
      </c>
      <c r="M1475" s="61" t="s">
        <v>251</v>
      </c>
      <c r="N1475" s="61" t="s">
        <v>252</v>
      </c>
      <c r="O1475" s="61" t="s">
        <v>676</v>
      </c>
      <c r="P1475" s="1" t="str">
        <f>_xlfn.CONCAT(B1475,C1475,D1475,E1475,F1475)</f>
        <v>BC Formoso2.1Inverter(MBUS-13)46000,548611111146000,548611111146001,3715277778</v>
      </c>
      <c r="Q1475" s="1" t="str">
        <f t="shared" si="71"/>
        <v>DAURDE</v>
      </c>
    </row>
    <row r="1476" spans="1:17" hidden="1">
      <c r="A1476" s="45"/>
      <c r="B1476" s="61" t="s">
        <v>423</v>
      </c>
      <c r="C1476" s="61" t="s">
        <v>328</v>
      </c>
      <c r="D1476" s="62">
        <v>46000.548611111109</v>
      </c>
      <c r="E1476" s="62">
        <v>46000.548611111109</v>
      </c>
      <c r="F1476" s="62">
        <v>46001.371527777781</v>
      </c>
      <c r="G1476" s="63">
        <f t="shared" si="72"/>
        <v>0.82291666667151731</v>
      </c>
      <c r="H1476" s="61" t="s">
        <v>248</v>
      </c>
      <c r="I1476" s="61"/>
      <c r="J1476" s="61" t="s">
        <v>249</v>
      </c>
      <c r="K1476" s="1" t="str">
        <f>_xlfn.XLOOKUP(J1476,REF!$D$2:$D$12,REF!$E$2:$E$12)</f>
        <v>Rede</v>
      </c>
      <c r="L1476" s="61" t="s">
        <v>945</v>
      </c>
      <c r="M1476" s="61" t="s">
        <v>251</v>
      </c>
      <c r="N1476" s="61" t="s">
        <v>252</v>
      </c>
      <c r="O1476" s="61" t="s">
        <v>676</v>
      </c>
      <c r="P1476" s="1" t="str">
        <f>_xlfn.CONCAT(B1476,C1476,D1476,E1476,F1476)</f>
        <v>BC Formoso2.1Inverter(MBUS-1)46000,548611111146000,548611111146001,3715277778</v>
      </c>
      <c r="Q1476" s="1" t="str">
        <f t="shared" si="71"/>
        <v>DAURDE</v>
      </c>
    </row>
    <row r="1477" spans="1:17" hidden="1">
      <c r="A1477" s="45"/>
      <c r="B1477" s="61" t="s">
        <v>424</v>
      </c>
      <c r="C1477" s="61" t="s">
        <v>358</v>
      </c>
      <c r="D1477" s="62">
        <v>46000.548611111109</v>
      </c>
      <c r="E1477" s="62">
        <v>46000.548611111109</v>
      </c>
      <c r="F1477" s="62">
        <v>46001.371527777781</v>
      </c>
      <c r="G1477" s="63">
        <f t="shared" si="72"/>
        <v>0.82291666667151731</v>
      </c>
      <c r="H1477" s="61" t="s">
        <v>248</v>
      </c>
      <c r="I1477" s="61"/>
      <c r="J1477" s="61" t="s">
        <v>249</v>
      </c>
      <c r="K1477" s="1" t="str">
        <f>_xlfn.XLOOKUP(J1477,REF!$D$2:$D$12,REF!$E$2:$E$12)</f>
        <v>Rede</v>
      </c>
      <c r="L1477" s="61" t="s">
        <v>945</v>
      </c>
      <c r="M1477" s="61" t="s">
        <v>251</v>
      </c>
      <c r="N1477" s="61" t="s">
        <v>252</v>
      </c>
      <c r="O1477" s="61" t="s">
        <v>676</v>
      </c>
      <c r="P1477" s="1" t="str">
        <f>_xlfn.CONCAT(B1477,C1477,D1477,E1477,F1477)</f>
        <v>BC Formoso2.2Inverter(MBUS-14)46000,548611111146000,548611111146001,3715277778</v>
      </c>
      <c r="Q1477" s="1" t="str">
        <f t="shared" si="71"/>
        <v>DAURDE</v>
      </c>
    </row>
    <row r="1478" spans="1:17" hidden="1">
      <c r="A1478" s="45"/>
      <c r="B1478" s="61" t="s">
        <v>424</v>
      </c>
      <c r="C1478" s="61" t="s">
        <v>357</v>
      </c>
      <c r="D1478" s="62">
        <v>46000.548611111109</v>
      </c>
      <c r="E1478" s="62">
        <v>46000.548611111109</v>
      </c>
      <c r="F1478" s="62">
        <v>46001.371527777781</v>
      </c>
      <c r="G1478" s="63">
        <f t="shared" si="72"/>
        <v>0.82291666667151731</v>
      </c>
      <c r="H1478" s="61" t="s">
        <v>248</v>
      </c>
      <c r="I1478" s="61"/>
      <c r="J1478" s="61" t="s">
        <v>249</v>
      </c>
      <c r="K1478" s="1" t="str">
        <f>_xlfn.XLOOKUP(J1478,REF!$D$2:$D$12,REF!$E$2:$E$12)</f>
        <v>Rede</v>
      </c>
      <c r="L1478" s="61" t="s">
        <v>945</v>
      </c>
      <c r="M1478" s="61" t="s">
        <v>251</v>
      </c>
      <c r="N1478" s="61" t="s">
        <v>252</v>
      </c>
      <c r="O1478" s="61" t="s">
        <v>676</v>
      </c>
      <c r="P1478" s="1" t="str">
        <f>_xlfn.CONCAT(B1478,C1478,D1478,E1478,F1478)</f>
        <v>BC Formoso2.2Inverter(MBUS-13)46000,548611111146000,548611111146001,3715277778</v>
      </c>
      <c r="Q1478" s="1" t="str">
        <f t="shared" si="71"/>
        <v>DAURDE</v>
      </c>
    </row>
    <row r="1479" spans="1:17" hidden="1">
      <c r="A1479" s="45"/>
      <c r="B1479" s="61" t="s">
        <v>424</v>
      </c>
      <c r="C1479" s="61" t="s">
        <v>354</v>
      </c>
      <c r="D1479" s="62">
        <v>46000.548611111109</v>
      </c>
      <c r="E1479" s="62">
        <v>46000.548611111109</v>
      </c>
      <c r="F1479" s="62">
        <v>46001.371527777781</v>
      </c>
      <c r="G1479" s="63">
        <f t="shared" si="72"/>
        <v>0.82291666667151731</v>
      </c>
      <c r="H1479" s="61" t="s">
        <v>248</v>
      </c>
      <c r="I1479" s="61"/>
      <c r="J1479" s="61" t="s">
        <v>249</v>
      </c>
      <c r="K1479" s="1" t="str">
        <f>_xlfn.XLOOKUP(J1479,REF!$D$2:$D$12,REF!$E$2:$E$12)</f>
        <v>Rede</v>
      </c>
      <c r="L1479" s="61" t="s">
        <v>945</v>
      </c>
      <c r="M1479" s="61" t="s">
        <v>251</v>
      </c>
      <c r="N1479" s="61" t="s">
        <v>252</v>
      </c>
      <c r="O1479" s="61" t="s">
        <v>676</v>
      </c>
      <c r="P1479" s="1" t="str">
        <f>_xlfn.CONCAT(B1479,C1479,D1479,E1479,F1479)</f>
        <v>BC Formoso2.2Inverter(MBUS-12)46000,548611111146000,548611111146001,3715277778</v>
      </c>
      <c r="Q1479" s="1" t="str">
        <f t="shared" si="71"/>
        <v>DAURDE</v>
      </c>
    </row>
    <row r="1480" spans="1:17" hidden="1">
      <c r="A1480" s="45"/>
      <c r="B1480" s="61" t="s">
        <v>424</v>
      </c>
      <c r="C1480" s="61" t="s">
        <v>328</v>
      </c>
      <c r="D1480" s="62">
        <v>46000.548611111109</v>
      </c>
      <c r="E1480" s="62">
        <v>46000.548611111109</v>
      </c>
      <c r="F1480" s="62">
        <v>46001.371527777781</v>
      </c>
      <c r="G1480" s="63">
        <v>0.82291666666666663</v>
      </c>
      <c r="H1480" s="61" t="s">
        <v>248</v>
      </c>
      <c r="I1480" s="61"/>
      <c r="J1480" s="61" t="s">
        <v>249</v>
      </c>
      <c r="K1480" s="1" t="str">
        <f>_xlfn.XLOOKUP(J1480,REF!$D$2:$D$12,REF!$E$2:$E$12)</f>
        <v>Rede</v>
      </c>
      <c r="L1480" s="61" t="s">
        <v>945</v>
      </c>
      <c r="M1480" s="61" t="s">
        <v>251</v>
      </c>
      <c r="N1480" s="61" t="s">
        <v>252</v>
      </c>
      <c r="O1480" s="61" t="s">
        <v>676</v>
      </c>
      <c r="P1480" s="1" t="str">
        <f>_xlfn.CONCAT(B1480,C1480,D1480,E1480,F1480)</f>
        <v>BC Formoso2.2Inverter(MBUS-1)46000,548611111146000,548611111146001,3715277778</v>
      </c>
      <c r="Q1480" s="1" t="str">
        <f t="shared" si="71"/>
        <v>DAURDE</v>
      </c>
    </row>
    <row r="1481" spans="1:17" hidden="1">
      <c r="A1481" s="45"/>
      <c r="B1481" s="61" t="s">
        <v>425</v>
      </c>
      <c r="C1481" s="61" t="s">
        <v>357</v>
      </c>
      <c r="D1481" s="62">
        <v>46000.548611111109</v>
      </c>
      <c r="E1481" s="62">
        <v>46000.548611111109</v>
      </c>
      <c r="F1481" s="62">
        <v>46001.371527777781</v>
      </c>
      <c r="G1481" s="63">
        <v>0.82291666666666663</v>
      </c>
      <c r="H1481" s="61" t="s">
        <v>248</v>
      </c>
      <c r="I1481" s="61"/>
      <c r="J1481" s="61" t="s">
        <v>249</v>
      </c>
      <c r="K1481" s="1" t="str">
        <f>_xlfn.XLOOKUP(J1481,REF!$D$2:$D$12,REF!$E$2:$E$12)</f>
        <v>Rede</v>
      </c>
      <c r="L1481" s="61" t="s">
        <v>945</v>
      </c>
      <c r="M1481" s="61" t="s">
        <v>251</v>
      </c>
      <c r="N1481" s="61" t="s">
        <v>252</v>
      </c>
      <c r="O1481" s="61" t="s">
        <v>676</v>
      </c>
      <c r="P1481" s="1" t="str">
        <f>_xlfn.CONCAT(B1481,C1481,D1481,E1481,F1481)</f>
        <v>BC Formoso2.3Inverter(MBUS-13)46000,548611111146000,548611111146001,3715277778</v>
      </c>
      <c r="Q1481" s="1" t="str">
        <f t="shared" si="71"/>
        <v>DAURDE</v>
      </c>
    </row>
    <row r="1482" spans="1:17" hidden="1">
      <c r="A1482" s="45"/>
      <c r="B1482" s="61" t="s">
        <v>425</v>
      </c>
      <c r="C1482" s="61" t="s">
        <v>354</v>
      </c>
      <c r="D1482" s="62">
        <v>46000.548611111109</v>
      </c>
      <c r="E1482" s="62">
        <v>46000.548611111109</v>
      </c>
      <c r="F1482" s="62">
        <v>46001.371527777781</v>
      </c>
      <c r="G1482" s="63">
        <v>0.82291666666666663</v>
      </c>
      <c r="H1482" s="61" t="s">
        <v>248</v>
      </c>
      <c r="I1482" s="61"/>
      <c r="J1482" s="61" t="s">
        <v>249</v>
      </c>
      <c r="K1482" s="1" t="str">
        <f>_xlfn.XLOOKUP(J1482,REF!$D$2:$D$12,REF!$E$2:$E$12)</f>
        <v>Rede</v>
      </c>
      <c r="L1482" s="61" t="s">
        <v>945</v>
      </c>
      <c r="M1482" s="61" t="s">
        <v>251</v>
      </c>
      <c r="N1482" s="61" t="s">
        <v>252</v>
      </c>
      <c r="O1482" s="61" t="s">
        <v>676</v>
      </c>
      <c r="P1482" s="1" t="str">
        <f>_xlfn.CONCAT(B1482,C1482,D1482,E1482,F1482)</f>
        <v>BC Formoso2.3Inverter(MBUS-12)46000,548611111146000,548611111146001,3715277778</v>
      </c>
      <c r="Q1482" s="1" t="str">
        <f t="shared" si="71"/>
        <v>DAURDE</v>
      </c>
    </row>
    <row r="1483" spans="1:17" hidden="1">
      <c r="A1483" s="45"/>
      <c r="B1483" s="61" t="s">
        <v>423</v>
      </c>
      <c r="C1483" s="61" t="s">
        <v>354</v>
      </c>
      <c r="D1483" s="62">
        <v>46008.587500000001</v>
      </c>
      <c r="E1483" s="62">
        <v>46008.587500000001</v>
      </c>
      <c r="F1483" s="62">
        <v>46008.666666666664</v>
      </c>
      <c r="G1483" s="63">
        <v>7.9166666666666663E-2</v>
      </c>
      <c r="H1483" s="61" t="s">
        <v>343</v>
      </c>
      <c r="I1483" s="61"/>
      <c r="J1483" s="61" t="s">
        <v>230</v>
      </c>
      <c r="K1483" s="1" t="str">
        <f>_xlfn.XLOOKUP(J1483,REF!$D$2:$D$12,REF!$E$2:$E$12)</f>
        <v>UFV</v>
      </c>
      <c r="L1483" s="61" t="s">
        <v>946</v>
      </c>
      <c r="M1483" s="61" t="s">
        <v>302</v>
      </c>
      <c r="N1483" s="61" t="s">
        <v>303</v>
      </c>
      <c r="O1483" s="61" t="s">
        <v>947</v>
      </c>
      <c r="P1483" s="1" t="str">
        <f>_xlfn.CONCAT(B1483,C1483,D1483,E1483,F1483)</f>
        <v>BC Formoso2.1Inverter(MBUS-12)46008,587546008,587546008,6666666667</v>
      </c>
      <c r="Q1483" s="1" t="str">
        <f t="shared" si="71"/>
        <v>DPRUFV</v>
      </c>
    </row>
    <row r="1484" spans="1:17" hidden="1">
      <c r="A1484" s="45"/>
      <c r="B1484" s="61" t="s">
        <v>423</v>
      </c>
      <c r="C1484" s="61" t="s">
        <v>358</v>
      </c>
      <c r="D1484" s="62">
        <v>46008.587500000001</v>
      </c>
      <c r="E1484" s="62">
        <v>46008.587500000001</v>
      </c>
      <c r="F1484" s="62">
        <v>46008.666666666664</v>
      </c>
      <c r="G1484" s="63">
        <v>7.9166666666666663E-2</v>
      </c>
      <c r="H1484" s="61" t="s">
        <v>343</v>
      </c>
      <c r="I1484" s="61"/>
      <c r="J1484" s="61" t="s">
        <v>230</v>
      </c>
      <c r="K1484" s="1" t="str">
        <f>_xlfn.XLOOKUP(J1484,REF!$D$2:$D$12,REF!$E$2:$E$12)</f>
        <v>UFV</v>
      </c>
      <c r="L1484" s="61" t="s">
        <v>946</v>
      </c>
      <c r="M1484" s="61" t="s">
        <v>302</v>
      </c>
      <c r="N1484" s="61" t="s">
        <v>303</v>
      </c>
      <c r="O1484" s="61" t="s">
        <v>947</v>
      </c>
      <c r="P1484" s="1" t="str">
        <f>_xlfn.CONCAT(B1484,C1484,D1484,E1484,F1484)</f>
        <v>BC Formoso2.1Inverter(MBUS-14)46008,587546008,587546008,6666666667</v>
      </c>
      <c r="Q1484" s="1" t="str">
        <f t="shared" si="71"/>
        <v>DPRUFV</v>
      </c>
    </row>
    <row r="1485" spans="1:17" hidden="1">
      <c r="A1485" s="45"/>
      <c r="B1485" s="61" t="s">
        <v>423</v>
      </c>
      <c r="C1485" s="61" t="s">
        <v>357</v>
      </c>
      <c r="D1485" s="62">
        <v>46008.587500000001</v>
      </c>
      <c r="E1485" s="62">
        <v>46008.587500000001</v>
      </c>
      <c r="F1485" s="62">
        <v>46008.666666666664</v>
      </c>
      <c r="G1485" s="63">
        <v>7.9166666666666663E-2</v>
      </c>
      <c r="H1485" s="61" t="s">
        <v>343</v>
      </c>
      <c r="I1485" s="61"/>
      <c r="J1485" s="61" t="s">
        <v>230</v>
      </c>
      <c r="K1485" s="1" t="str">
        <f>_xlfn.XLOOKUP(J1485,REF!$D$2:$D$12,REF!$E$2:$E$12)</f>
        <v>UFV</v>
      </c>
      <c r="L1485" s="61" t="s">
        <v>946</v>
      </c>
      <c r="M1485" s="61" t="s">
        <v>302</v>
      </c>
      <c r="N1485" s="61" t="s">
        <v>303</v>
      </c>
      <c r="O1485" s="61" t="s">
        <v>947</v>
      </c>
      <c r="P1485" s="1" t="str">
        <f>_xlfn.CONCAT(B1485,C1485,D1485,E1485,F1485)</f>
        <v>BC Formoso2.1Inverter(MBUS-13)46008,587546008,587546008,6666666667</v>
      </c>
      <c r="Q1485" s="1" t="str">
        <f t="shared" si="71"/>
        <v>DPRUFV</v>
      </c>
    </row>
    <row r="1486" spans="1:17" hidden="1">
      <c r="A1486" s="45"/>
      <c r="B1486" s="61" t="s">
        <v>423</v>
      </c>
      <c r="C1486" s="61" t="s">
        <v>328</v>
      </c>
      <c r="D1486" s="62">
        <v>46008.587500000001</v>
      </c>
      <c r="E1486" s="62">
        <v>46008.587500000001</v>
      </c>
      <c r="F1486" s="62">
        <v>46008.666666666664</v>
      </c>
      <c r="G1486" s="63">
        <v>7.9166666666666663E-2</v>
      </c>
      <c r="H1486" s="61" t="s">
        <v>343</v>
      </c>
      <c r="I1486" s="61"/>
      <c r="J1486" s="61" t="s">
        <v>230</v>
      </c>
      <c r="K1486" s="1" t="str">
        <f>_xlfn.XLOOKUP(J1486,REF!$D$2:$D$12,REF!$E$2:$E$12)</f>
        <v>UFV</v>
      </c>
      <c r="L1486" s="61" t="s">
        <v>946</v>
      </c>
      <c r="M1486" s="61" t="s">
        <v>302</v>
      </c>
      <c r="N1486" s="61" t="s">
        <v>303</v>
      </c>
      <c r="O1486" s="61" t="s">
        <v>947</v>
      </c>
      <c r="P1486" s="1" t="str">
        <f>_xlfn.CONCAT(B1486,C1486,D1486,E1486,F1486)</f>
        <v>BC Formoso2.1Inverter(MBUS-1)46008,587546008,587546008,6666666667</v>
      </c>
      <c r="Q1486" s="1" t="str">
        <f t="shared" si="71"/>
        <v>DPRUFV</v>
      </c>
    </row>
    <row r="1487" spans="1:17" hidden="1">
      <c r="B1487" s="1" t="s">
        <v>361</v>
      </c>
      <c r="C1487" s="1" t="s">
        <v>362</v>
      </c>
      <c r="D1487" s="52">
        <v>46010.587500000001</v>
      </c>
      <c r="E1487" s="52">
        <v>46010.465277777781</v>
      </c>
      <c r="F1487" s="52">
        <v>46010.475694444445</v>
      </c>
      <c r="G1487" s="53">
        <f>F1487-E1487</f>
        <v>1.0416666664241347E-2</v>
      </c>
      <c r="H1487" s="1" t="s">
        <v>248</v>
      </c>
      <c r="J1487" s="1" t="s">
        <v>230</v>
      </c>
      <c r="K1487" s="1" t="str">
        <f>_xlfn.XLOOKUP(J1487,REF!$D$2:$D$12,REF!$E$2:$E$12)</f>
        <v>UFV</v>
      </c>
      <c r="L1487" s="65" t="s">
        <v>868</v>
      </c>
      <c r="M1487" s="1" t="s">
        <v>732</v>
      </c>
      <c r="N1487" s="1" t="s">
        <v>266</v>
      </c>
      <c r="O1487" s="1" t="s">
        <v>885</v>
      </c>
      <c r="P1487" s="1" t="str">
        <f>_xlfn.CONCAT(B1487,C1487,D1487,E1487,F1487)</f>
        <v>ARAGUATINS 1.3Inverter(MBUS-20)46010,587546010,465277777846010,4756944444</v>
      </c>
      <c r="Q1487" s="1" t="str">
        <f t="shared" si="71"/>
        <v>DAUUFV</v>
      </c>
    </row>
    <row r="1488" spans="1:17" hidden="1">
      <c r="B1488" s="1" t="s">
        <v>361</v>
      </c>
      <c r="C1488" s="1" t="s">
        <v>328</v>
      </c>
      <c r="D1488" s="52">
        <v>46010.587500000001</v>
      </c>
      <c r="E1488" s="52">
        <v>46010.465277777781</v>
      </c>
      <c r="F1488" s="52">
        <v>46010.475694444445</v>
      </c>
      <c r="G1488" s="53">
        <f>F1488-E1488</f>
        <v>1.0416666664241347E-2</v>
      </c>
      <c r="H1488" s="1" t="s">
        <v>248</v>
      </c>
      <c r="J1488" s="1" t="s">
        <v>230</v>
      </c>
      <c r="K1488" s="1" t="str">
        <f>_xlfn.XLOOKUP(J1488,REF!$D$2:$D$12,REF!$E$2:$E$12)</f>
        <v>UFV</v>
      </c>
      <c r="L1488" s="65" t="s">
        <v>868</v>
      </c>
      <c r="M1488" s="1" t="s">
        <v>732</v>
      </c>
      <c r="N1488" s="1" t="s">
        <v>266</v>
      </c>
      <c r="O1488" s="1" t="s">
        <v>885</v>
      </c>
      <c r="P1488" s="1" t="str">
        <f>_xlfn.CONCAT(B1488,C1488,D1488,E1488,F1488)</f>
        <v>ARAGUATINS 1.3Inverter(MBUS-1)46010,587546010,465277777846010,4756944444</v>
      </c>
      <c r="Q1488" s="1" t="str">
        <f t="shared" si="71"/>
        <v>DAUUFV</v>
      </c>
    </row>
    <row r="1489" spans="1:17" s="30" customFormat="1" hidden="1">
      <c r="A1489" s="45"/>
      <c r="B1489" s="61" t="s">
        <v>659</v>
      </c>
      <c r="C1489" s="61" t="s">
        <v>299</v>
      </c>
      <c r="D1489" s="62">
        <v>45998.625</v>
      </c>
      <c r="E1489" s="62">
        <v>45998.625</v>
      </c>
      <c r="F1489" s="62">
        <v>45999.486111111109</v>
      </c>
      <c r="G1489" s="63">
        <f>F1489-E1489</f>
        <v>0.86111111110949423</v>
      </c>
      <c r="H1489" s="61" t="s">
        <v>248</v>
      </c>
      <c r="I1489" s="61"/>
      <c r="J1489" s="61" t="s">
        <v>249</v>
      </c>
      <c r="K1489" s="1" t="str">
        <f>_xlfn.XLOOKUP(J1489,REF!$D$2:$D$12,REF!$E$2:$E$12)</f>
        <v>Rede</v>
      </c>
      <c r="L1489" s="61" t="s">
        <v>948</v>
      </c>
      <c r="M1489" s="61" t="s">
        <v>251</v>
      </c>
      <c r="N1489" s="61" t="s">
        <v>252</v>
      </c>
      <c r="O1489" s="61" t="s">
        <v>949</v>
      </c>
      <c r="P1489" s="1" t="str">
        <f t="shared" ref="P1489:P1500" si="73">_xlfn.CONCAT(B1489,C1489,D1489,E1489,F1489)</f>
        <v>BC BomSucessoSG60KTL45998,62545998,62545999,4861111111</v>
      </c>
      <c r="Q1489" s="1" t="str">
        <f t="shared" si="71"/>
        <v>DAURDE</v>
      </c>
    </row>
    <row r="1490" spans="1:17" s="30" customFormat="1" hidden="1">
      <c r="A1490" s="45"/>
      <c r="B1490" s="61" t="s">
        <v>659</v>
      </c>
      <c r="C1490" s="61" t="s">
        <v>661</v>
      </c>
      <c r="D1490" s="62">
        <v>45998.625</v>
      </c>
      <c r="E1490" s="62">
        <v>45998.625</v>
      </c>
      <c r="F1490" s="62">
        <v>45999.486111111109</v>
      </c>
      <c r="G1490" s="63">
        <f t="shared" ref="G1490:G1500" si="74">F1490-E1490</f>
        <v>0.86111111110949423</v>
      </c>
      <c r="H1490" s="61" t="s">
        <v>248</v>
      </c>
      <c r="I1490" s="61"/>
      <c r="J1490" s="61" t="s">
        <v>249</v>
      </c>
      <c r="K1490" s="1" t="str">
        <f>_xlfn.XLOOKUP(J1490,REF!$D$2:$D$12,REF!$E$2:$E$12)</f>
        <v>Rede</v>
      </c>
      <c r="L1490" s="61" t="s">
        <v>948</v>
      </c>
      <c r="M1490" s="61" t="s">
        <v>251</v>
      </c>
      <c r="N1490" s="61" t="s">
        <v>252</v>
      </c>
      <c r="O1490" s="61" t="s">
        <v>949</v>
      </c>
      <c r="P1490" s="1" t="str">
        <f t="shared" si="73"/>
        <v>BC BomSucessoABB_0145998,62545998,62545999,4861111111</v>
      </c>
      <c r="Q1490" s="1" t="str">
        <f t="shared" si="71"/>
        <v>DAURDE</v>
      </c>
    </row>
    <row r="1491" spans="1:17" s="30" customFormat="1" hidden="1">
      <c r="A1491" s="45"/>
      <c r="B1491" s="61" t="s">
        <v>659</v>
      </c>
      <c r="C1491" s="61" t="s">
        <v>662</v>
      </c>
      <c r="D1491" s="62">
        <v>45998.625</v>
      </c>
      <c r="E1491" s="62">
        <v>45998.625</v>
      </c>
      <c r="F1491" s="62">
        <v>45999.486111111109</v>
      </c>
      <c r="G1491" s="63">
        <f t="shared" si="74"/>
        <v>0.86111111110949423</v>
      </c>
      <c r="H1491" s="61" t="s">
        <v>248</v>
      </c>
      <c r="I1491" s="61"/>
      <c r="J1491" s="61" t="s">
        <v>249</v>
      </c>
      <c r="K1491" s="1" t="str">
        <f>_xlfn.XLOOKUP(J1491,REF!$D$2:$D$12,REF!$E$2:$E$12)</f>
        <v>Rede</v>
      </c>
      <c r="L1491" s="61" t="s">
        <v>948</v>
      </c>
      <c r="M1491" s="61" t="s">
        <v>251</v>
      </c>
      <c r="N1491" s="61" t="s">
        <v>252</v>
      </c>
      <c r="O1491" s="61" t="s">
        <v>949</v>
      </c>
      <c r="P1491" s="1" t="str">
        <f t="shared" si="73"/>
        <v>BC BomSucessoABB_0245998,62545998,62545999,4861111111</v>
      </c>
      <c r="Q1491" s="1" t="str">
        <f t="shared" si="71"/>
        <v>DAURDE</v>
      </c>
    </row>
    <row r="1492" spans="1:17" s="30" customFormat="1" hidden="1">
      <c r="A1492" s="45"/>
      <c r="B1492" s="61" t="s">
        <v>659</v>
      </c>
      <c r="C1492" s="61" t="s">
        <v>663</v>
      </c>
      <c r="D1492" s="62">
        <v>45998.625</v>
      </c>
      <c r="E1492" s="62">
        <v>45998.625</v>
      </c>
      <c r="F1492" s="62">
        <v>45999.486111111109</v>
      </c>
      <c r="G1492" s="63">
        <f t="shared" si="74"/>
        <v>0.86111111110949423</v>
      </c>
      <c r="H1492" s="61" t="s">
        <v>248</v>
      </c>
      <c r="I1492" s="61"/>
      <c r="J1492" s="61" t="s">
        <v>249</v>
      </c>
      <c r="K1492" s="1" t="str">
        <f>_xlfn.XLOOKUP(J1492,REF!$D$2:$D$12,REF!$E$2:$E$12)</f>
        <v>Rede</v>
      </c>
      <c r="L1492" s="61" t="s">
        <v>948</v>
      </c>
      <c r="M1492" s="61" t="s">
        <v>251</v>
      </c>
      <c r="N1492" s="61" t="s">
        <v>252</v>
      </c>
      <c r="O1492" s="61" t="s">
        <v>949</v>
      </c>
      <c r="P1492" s="1" t="str">
        <f t="shared" si="73"/>
        <v>BC BomSucessoABB_0345998,62545998,62545999,4861111111</v>
      </c>
      <c r="Q1492" s="1" t="str">
        <f t="shared" si="71"/>
        <v>DAURDE</v>
      </c>
    </row>
    <row r="1493" spans="1:17" s="30" customFormat="1" hidden="1">
      <c r="A1493" s="45"/>
      <c r="B1493" s="61" t="s">
        <v>659</v>
      </c>
      <c r="C1493" s="61" t="s">
        <v>664</v>
      </c>
      <c r="D1493" s="62">
        <v>45998.625</v>
      </c>
      <c r="E1493" s="62">
        <v>45998.625</v>
      </c>
      <c r="F1493" s="62">
        <v>45999.486111111109</v>
      </c>
      <c r="G1493" s="63">
        <f t="shared" si="74"/>
        <v>0.86111111110949423</v>
      </c>
      <c r="H1493" s="61" t="s">
        <v>248</v>
      </c>
      <c r="I1493" s="61"/>
      <c r="J1493" s="61" t="s">
        <v>249</v>
      </c>
      <c r="K1493" s="1" t="str">
        <f>_xlfn.XLOOKUP(J1493,REF!$D$2:$D$12,REF!$E$2:$E$12)</f>
        <v>Rede</v>
      </c>
      <c r="L1493" s="61" t="s">
        <v>948</v>
      </c>
      <c r="M1493" s="61" t="s">
        <v>251</v>
      </c>
      <c r="N1493" s="61" t="s">
        <v>252</v>
      </c>
      <c r="O1493" s="61" t="s">
        <v>949</v>
      </c>
      <c r="P1493" s="1" t="str">
        <f t="shared" si="73"/>
        <v>BC BomSucessoABB_0445998,62545998,62545999,4861111111</v>
      </c>
      <c r="Q1493" s="1" t="str">
        <f t="shared" si="71"/>
        <v>DAURDE</v>
      </c>
    </row>
    <row r="1494" spans="1:17" s="30" customFormat="1" hidden="1">
      <c r="A1494" s="45"/>
      <c r="B1494" s="61" t="s">
        <v>659</v>
      </c>
      <c r="C1494" s="61" t="s">
        <v>665</v>
      </c>
      <c r="D1494" s="62">
        <v>45998.625</v>
      </c>
      <c r="E1494" s="62">
        <v>45998.625</v>
      </c>
      <c r="F1494" s="62">
        <v>45999.486111111109</v>
      </c>
      <c r="G1494" s="63">
        <f t="shared" si="74"/>
        <v>0.86111111110949423</v>
      </c>
      <c r="H1494" s="61" t="s">
        <v>248</v>
      </c>
      <c r="I1494" s="61"/>
      <c r="J1494" s="61" t="s">
        <v>249</v>
      </c>
      <c r="K1494" s="1" t="str">
        <f>_xlfn.XLOOKUP(J1494,REF!$D$2:$D$12,REF!$E$2:$E$12)</f>
        <v>Rede</v>
      </c>
      <c r="L1494" s="61" t="s">
        <v>948</v>
      </c>
      <c r="M1494" s="61" t="s">
        <v>251</v>
      </c>
      <c r="N1494" s="61" t="s">
        <v>252</v>
      </c>
      <c r="O1494" s="61" t="s">
        <v>949</v>
      </c>
      <c r="P1494" s="1" t="str">
        <f t="shared" si="73"/>
        <v>BC BomSucessoABB_0545998,62545998,62545999,4861111111</v>
      </c>
      <c r="Q1494" s="1" t="str">
        <f t="shared" si="71"/>
        <v>DAURDE</v>
      </c>
    </row>
    <row r="1495" spans="1:17" s="30" customFormat="1" hidden="1">
      <c r="A1495" s="45"/>
      <c r="B1495" s="61" t="s">
        <v>659</v>
      </c>
      <c r="C1495" s="61" t="s">
        <v>666</v>
      </c>
      <c r="D1495" s="62">
        <v>45998.625</v>
      </c>
      <c r="E1495" s="62">
        <v>45998.625</v>
      </c>
      <c r="F1495" s="62">
        <v>45999.486111111109</v>
      </c>
      <c r="G1495" s="63">
        <f t="shared" si="74"/>
        <v>0.86111111110949423</v>
      </c>
      <c r="H1495" s="61" t="s">
        <v>248</v>
      </c>
      <c r="I1495" s="61"/>
      <c r="J1495" s="61" t="s">
        <v>249</v>
      </c>
      <c r="K1495" s="1" t="str">
        <f>_xlfn.XLOOKUP(J1495,REF!$D$2:$D$12,REF!$E$2:$E$12)</f>
        <v>Rede</v>
      </c>
      <c r="L1495" s="61" t="s">
        <v>948</v>
      </c>
      <c r="M1495" s="61" t="s">
        <v>251</v>
      </c>
      <c r="N1495" s="61" t="s">
        <v>252</v>
      </c>
      <c r="O1495" s="61" t="s">
        <v>949</v>
      </c>
      <c r="P1495" s="1" t="str">
        <f t="shared" si="73"/>
        <v>BC BomSucessoABB_0645998,62545998,62545999,4861111111</v>
      </c>
      <c r="Q1495" s="1" t="str">
        <f t="shared" si="71"/>
        <v>DAURDE</v>
      </c>
    </row>
    <row r="1496" spans="1:17" s="30" customFormat="1" hidden="1">
      <c r="A1496" s="45"/>
      <c r="B1496" s="61" t="s">
        <v>659</v>
      </c>
      <c r="C1496" s="61" t="s">
        <v>667</v>
      </c>
      <c r="D1496" s="62">
        <v>45998.625</v>
      </c>
      <c r="E1496" s="62">
        <v>45998.625</v>
      </c>
      <c r="F1496" s="62">
        <v>45999.486111111109</v>
      </c>
      <c r="G1496" s="63">
        <f t="shared" si="74"/>
        <v>0.86111111110949423</v>
      </c>
      <c r="H1496" s="61" t="s">
        <v>248</v>
      </c>
      <c r="I1496" s="61"/>
      <c r="J1496" s="61" t="s">
        <v>249</v>
      </c>
      <c r="K1496" s="1" t="str">
        <f>_xlfn.XLOOKUP(J1496,REF!$D$2:$D$12,REF!$E$2:$E$12)</f>
        <v>Rede</v>
      </c>
      <c r="L1496" s="61" t="s">
        <v>948</v>
      </c>
      <c r="M1496" s="61" t="s">
        <v>251</v>
      </c>
      <c r="N1496" s="61" t="s">
        <v>252</v>
      </c>
      <c r="O1496" s="61" t="s">
        <v>949</v>
      </c>
      <c r="P1496" s="1" t="str">
        <f t="shared" si="73"/>
        <v>BC BomSucessoABB_0745998,62545998,62545999,4861111111</v>
      </c>
      <c r="Q1496" s="1" t="str">
        <f t="shared" si="71"/>
        <v>DAURDE</v>
      </c>
    </row>
    <row r="1497" spans="1:17" s="30" customFormat="1" hidden="1">
      <c r="A1497" s="45"/>
      <c r="B1497" s="61" t="s">
        <v>659</v>
      </c>
      <c r="C1497" s="61" t="s">
        <v>668</v>
      </c>
      <c r="D1497" s="62">
        <v>45998.625</v>
      </c>
      <c r="E1497" s="62">
        <v>45998.625</v>
      </c>
      <c r="F1497" s="62">
        <v>45999.486111111109</v>
      </c>
      <c r="G1497" s="63">
        <f t="shared" si="74"/>
        <v>0.86111111110949423</v>
      </c>
      <c r="H1497" s="61" t="s">
        <v>248</v>
      </c>
      <c r="I1497" s="61"/>
      <c r="J1497" s="61" t="s">
        <v>249</v>
      </c>
      <c r="K1497" s="1" t="str">
        <f>_xlfn.XLOOKUP(J1497,REF!$D$2:$D$12,REF!$E$2:$E$12)</f>
        <v>Rede</v>
      </c>
      <c r="L1497" s="61" t="s">
        <v>948</v>
      </c>
      <c r="M1497" s="61" t="s">
        <v>251</v>
      </c>
      <c r="N1497" s="61" t="s">
        <v>252</v>
      </c>
      <c r="O1497" s="61" t="s">
        <v>949</v>
      </c>
      <c r="P1497" s="1" t="str">
        <f t="shared" si="73"/>
        <v>BC BomSucessoABB_0845998,62545998,62545999,4861111111</v>
      </c>
      <c r="Q1497" s="1" t="str">
        <f t="shared" si="71"/>
        <v>DAURDE</v>
      </c>
    </row>
    <row r="1498" spans="1:17" s="30" customFormat="1" hidden="1">
      <c r="A1498" s="45"/>
      <c r="B1498" s="61" t="s">
        <v>659</v>
      </c>
      <c r="C1498" s="61" t="s">
        <v>669</v>
      </c>
      <c r="D1498" s="62">
        <v>45998.625</v>
      </c>
      <c r="E1498" s="62">
        <v>45998.625</v>
      </c>
      <c r="F1498" s="62">
        <v>45999.486111111109</v>
      </c>
      <c r="G1498" s="63">
        <f t="shared" si="74"/>
        <v>0.86111111110949423</v>
      </c>
      <c r="H1498" s="61" t="s">
        <v>248</v>
      </c>
      <c r="I1498" s="61"/>
      <c r="J1498" s="61" t="s">
        <v>249</v>
      </c>
      <c r="K1498" s="1" t="str">
        <f>_xlfn.XLOOKUP(J1498,REF!$D$2:$D$12,REF!$E$2:$E$12)</f>
        <v>Rede</v>
      </c>
      <c r="L1498" s="61" t="s">
        <v>948</v>
      </c>
      <c r="M1498" s="61" t="s">
        <v>251</v>
      </c>
      <c r="N1498" s="61" t="s">
        <v>252</v>
      </c>
      <c r="O1498" s="61" t="s">
        <v>949</v>
      </c>
      <c r="P1498" s="1" t="str">
        <f t="shared" si="73"/>
        <v>BC BomSucessoABB_0945998,62545998,62545999,4861111111</v>
      </c>
      <c r="Q1498" s="1" t="str">
        <f t="shared" ref="Q1498:Q1500" si="75">_xlfn.CONCAT(H1498,I1498,J1498)</f>
        <v>DAURDE</v>
      </c>
    </row>
    <row r="1499" spans="1:17" s="30" customFormat="1" hidden="1">
      <c r="A1499" s="45"/>
      <c r="B1499" s="61" t="s">
        <v>659</v>
      </c>
      <c r="C1499" s="61" t="s">
        <v>670</v>
      </c>
      <c r="D1499" s="62">
        <v>45998.625</v>
      </c>
      <c r="E1499" s="62">
        <v>45998.625</v>
      </c>
      <c r="F1499" s="62">
        <v>45999.486111111109</v>
      </c>
      <c r="G1499" s="63">
        <f t="shared" si="74"/>
        <v>0.86111111110949423</v>
      </c>
      <c r="H1499" s="61" t="s">
        <v>248</v>
      </c>
      <c r="I1499" s="61"/>
      <c r="J1499" s="61" t="s">
        <v>249</v>
      </c>
      <c r="K1499" s="1" t="str">
        <f>_xlfn.XLOOKUP(J1499,REF!$D$2:$D$12,REF!$E$2:$E$12)</f>
        <v>Rede</v>
      </c>
      <c r="L1499" s="61" t="s">
        <v>948</v>
      </c>
      <c r="M1499" s="61" t="s">
        <v>251</v>
      </c>
      <c r="N1499" s="61" t="s">
        <v>252</v>
      </c>
      <c r="O1499" s="61" t="s">
        <v>949</v>
      </c>
      <c r="P1499" s="1" t="str">
        <f t="shared" si="73"/>
        <v>BC BomSucessoABB_1045998,62545998,62545999,4861111111</v>
      </c>
      <c r="Q1499" s="1" t="str">
        <f t="shared" si="75"/>
        <v>DAURDE</v>
      </c>
    </row>
    <row r="1500" spans="1:17" s="30" customFormat="1" hidden="1">
      <c r="A1500" s="45"/>
      <c r="B1500" s="61" t="s">
        <v>659</v>
      </c>
      <c r="C1500" s="61" t="s">
        <v>671</v>
      </c>
      <c r="D1500" s="62">
        <v>45998.625</v>
      </c>
      <c r="E1500" s="62">
        <v>45998.625</v>
      </c>
      <c r="F1500" s="62">
        <v>45999.486111111109</v>
      </c>
      <c r="G1500" s="63">
        <f t="shared" si="74"/>
        <v>0.86111111110949423</v>
      </c>
      <c r="H1500" s="61" t="s">
        <v>248</v>
      </c>
      <c r="I1500" s="61"/>
      <c r="J1500" s="61" t="s">
        <v>249</v>
      </c>
      <c r="K1500" s="1" t="str">
        <f>_xlfn.XLOOKUP(J1500,REF!$D$2:$D$12,REF!$E$2:$E$12)</f>
        <v>Rede</v>
      </c>
      <c r="L1500" s="61" t="s">
        <v>948</v>
      </c>
      <c r="M1500" s="61" t="s">
        <v>251</v>
      </c>
      <c r="N1500" s="61" t="s">
        <v>252</v>
      </c>
      <c r="O1500" s="61" t="s">
        <v>949</v>
      </c>
      <c r="P1500" s="1" t="str">
        <f t="shared" si="73"/>
        <v>BC BomSucessoABB_1145998,62545998,62545999,4861111111</v>
      </c>
      <c r="Q1500" s="1" t="str">
        <f t="shared" si="75"/>
        <v>DAURDE</v>
      </c>
    </row>
    <row r="1501" spans="1:17" hidden="1">
      <c r="B1501" s="1" t="s">
        <v>870</v>
      </c>
      <c r="C1501" s="1" t="s">
        <v>373</v>
      </c>
      <c r="D1501" s="52">
        <v>46000.4375</v>
      </c>
      <c r="E1501" s="52">
        <v>46000.4375</v>
      </c>
      <c r="F1501" s="52">
        <v>46000.444444444445</v>
      </c>
      <c r="G1501" s="53">
        <f>F1501-E1501</f>
        <v>6.9444444452528842E-3</v>
      </c>
      <c r="H1501" s="1" t="s">
        <v>260</v>
      </c>
      <c r="I1501" s="1" t="s">
        <v>261</v>
      </c>
      <c r="J1501" s="1" t="s">
        <v>740</v>
      </c>
      <c r="K1501" s="1" t="str">
        <f>_xlfn.XLOOKUP(J1501,REF!$D$2:$D$12,REF!$E$2:$E$12)</f>
        <v>Internet</v>
      </c>
      <c r="L1501" s="1" t="s">
        <v>950</v>
      </c>
      <c r="M1501" s="1" t="s">
        <v>391</v>
      </c>
      <c r="N1501" s="1" t="s">
        <v>433</v>
      </c>
      <c r="O1501" s="1" t="s">
        <v>951</v>
      </c>
      <c r="P1501" s="1" t="str">
        <f>_xlfn.CONCAT(B1501,C1501,D1501,E1501,F1501)</f>
        <v>Barra do Garças IInverter__546000,437546000,437546000,4444444444</v>
      </c>
      <c r="Q1501" s="1" t="str">
        <f t="shared" ref="Q1498:Q1561" si="76">_xlfn.CONCAT(H1501,I1501,J1501)</f>
        <v>LIGRFOINT</v>
      </c>
    </row>
    <row r="1502" spans="1:17" hidden="1">
      <c r="B1502" s="1" t="s">
        <v>870</v>
      </c>
      <c r="C1502" s="1" t="s">
        <v>378</v>
      </c>
      <c r="D1502" s="52">
        <v>46000.4375</v>
      </c>
      <c r="E1502" s="52">
        <v>46000.4375</v>
      </c>
      <c r="F1502" s="52">
        <v>46000.444444444445</v>
      </c>
      <c r="G1502" s="53">
        <f>F1502-E1502</f>
        <v>6.9444444452528842E-3</v>
      </c>
      <c r="H1502" s="1" t="s">
        <v>260</v>
      </c>
      <c r="I1502" s="1" t="s">
        <v>261</v>
      </c>
      <c r="J1502" s="1" t="s">
        <v>740</v>
      </c>
      <c r="K1502" s="1" t="str">
        <f>_xlfn.XLOOKUP(J1502,REF!$D$2:$D$12,REF!$E$2:$E$12)</f>
        <v>Internet</v>
      </c>
      <c r="L1502" s="1" t="s">
        <v>950</v>
      </c>
      <c r="M1502" s="1" t="s">
        <v>391</v>
      </c>
      <c r="N1502" s="1" t="s">
        <v>433</v>
      </c>
      <c r="O1502" s="1" t="s">
        <v>951</v>
      </c>
      <c r="P1502" s="1" t="str">
        <f>_xlfn.CONCAT(B1502,C1502,D1502,E1502,F1502)</f>
        <v>Barra do Garças IInverter__146000,437546000,437546000,4444444444</v>
      </c>
      <c r="Q1502" s="1" t="str">
        <f t="shared" si="76"/>
        <v>LIGRFOINT</v>
      </c>
    </row>
    <row r="1503" spans="1:17" hidden="1">
      <c r="B1503" s="1" t="s">
        <v>871</v>
      </c>
      <c r="C1503" s="1" t="s">
        <v>872</v>
      </c>
      <c r="D1503" s="52">
        <v>46000.4375</v>
      </c>
      <c r="E1503" s="52">
        <v>46000.4375</v>
      </c>
      <c r="F1503" s="52">
        <v>46000.444444444445</v>
      </c>
      <c r="G1503" s="53">
        <f>F1503-E1503</f>
        <v>6.9444444452528842E-3</v>
      </c>
      <c r="H1503" s="1" t="s">
        <v>260</v>
      </c>
      <c r="I1503" s="1" t="s">
        <v>261</v>
      </c>
      <c r="J1503" s="1" t="s">
        <v>740</v>
      </c>
      <c r="K1503" s="1" t="str">
        <f>_xlfn.XLOOKUP(J1503,REF!$D$2:$D$12,REF!$E$2:$E$12)</f>
        <v>Internet</v>
      </c>
      <c r="L1503" s="1" t="s">
        <v>950</v>
      </c>
      <c r="M1503" s="1" t="s">
        <v>391</v>
      </c>
      <c r="N1503" s="1" t="s">
        <v>433</v>
      </c>
      <c r="O1503" s="1" t="s">
        <v>951</v>
      </c>
      <c r="P1503" s="1" t="str">
        <f>_xlfn.CONCAT(B1503,C1503,D1503,E1503,F1503)</f>
        <v>Barra do Garças IIInverter__446000,437546000,437546000,4444444444</v>
      </c>
      <c r="Q1503" s="1" t="str">
        <f t="shared" si="76"/>
        <v>LIGRFOINT</v>
      </c>
    </row>
    <row r="1504" spans="1:17" hidden="1">
      <c r="B1504" s="1" t="s">
        <v>871</v>
      </c>
      <c r="C1504" s="1" t="s">
        <v>873</v>
      </c>
      <c r="D1504" s="52">
        <v>46000.4375</v>
      </c>
      <c r="E1504" s="52">
        <v>46000.4375</v>
      </c>
      <c r="F1504" s="52">
        <v>46000.444444444445</v>
      </c>
      <c r="G1504" s="53">
        <f>F1504-E1504</f>
        <v>6.9444444452528842E-3</v>
      </c>
      <c r="H1504" s="1" t="s">
        <v>260</v>
      </c>
      <c r="I1504" s="1" t="s">
        <v>261</v>
      </c>
      <c r="J1504" s="1" t="s">
        <v>740</v>
      </c>
      <c r="K1504" s="1" t="str">
        <f>_xlfn.XLOOKUP(J1504,REF!$D$2:$D$12,REF!$E$2:$E$12)</f>
        <v>Internet</v>
      </c>
      <c r="L1504" s="1" t="s">
        <v>950</v>
      </c>
      <c r="M1504" s="1" t="s">
        <v>391</v>
      </c>
      <c r="N1504" s="1" t="s">
        <v>433</v>
      </c>
      <c r="O1504" s="1" t="s">
        <v>951</v>
      </c>
      <c r="P1504" s="1" t="str">
        <f>_xlfn.CONCAT(B1504,C1504,D1504,E1504,F1504)</f>
        <v>Barra do Garças IIInverter__346000,437546000,437546000,4444444444</v>
      </c>
      <c r="Q1504" s="1" t="str">
        <f t="shared" si="76"/>
        <v>LIGRFOINT</v>
      </c>
    </row>
    <row r="1505" spans="1:17" hidden="1">
      <c r="B1505" s="1" t="s">
        <v>871</v>
      </c>
      <c r="C1505" s="1" t="s">
        <v>874</v>
      </c>
      <c r="D1505" s="52">
        <v>46000.4375</v>
      </c>
      <c r="E1505" s="52">
        <v>46000.4375</v>
      </c>
      <c r="F1505" s="52">
        <v>46000.444444444445</v>
      </c>
      <c r="G1505" s="53">
        <f>F1505-E1505</f>
        <v>6.9444444452528842E-3</v>
      </c>
      <c r="H1505" s="1" t="s">
        <v>260</v>
      </c>
      <c r="I1505" s="1" t="s">
        <v>261</v>
      </c>
      <c r="J1505" s="1" t="s">
        <v>740</v>
      </c>
      <c r="K1505" s="1" t="str">
        <f>_xlfn.XLOOKUP(J1505,REF!$D$2:$D$12,REF!$E$2:$E$12)</f>
        <v>Internet</v>
      </c>
      <c r="L1505" s="1" t="s">
        <v>950</v>
      </c>
      <c r="M1505" s="1" t="s">
        <v>391</v>
      </c>
      <c r="N1505" s="1" t="s">
        <v>433</v>
      </c>
      <c r="O1505" s="1" t="s">
        <v>951</v>
      </c>
      <c r="P1505" s="1" t="str">
        <f>_xlfn.CONCAT(B1505,C1505,D1505,E1505,F1505)</f>
        <v>Barra do Garças IIInverter__246000,437546000,437546000,4444444444</v>
      </c>
      <c r="Q1505" s="1" t="str">
        <f t="shared" si="76"/>
        <v>LIGRFOINT</v>
      </c>
    </row>
    <row r="1506" spans="1:17" hidden="1">
      <c r="B1506" s="1" t="s">
        <v>871</v>
      </c>
      <c r="C1506" s="1" t="s">
        <v>875</v>
      </c>
      <c r="D1506" s="52">
        <v>46000.4375</v>
      </c>
      <c r="E1506" s="52">
        <v>46000.4375</v>
      </c>
      <c r="F1506" s="52">
        <v>46000.444444444445</v>
      </c>
      <c r="G1506" s="53">
        <f>F1506-E1506</f>
        <v>6.9444444452528842E-3</v>
      </c>
      <c r="H1506" s="1" t="s">
        <v>260</v>
      </c>
      <c r="I1506" s="1" t="s">
        <v>261</v>
      </c>
      <c r="J1506" s="1" t="s">
        <v>740</v>
      </c>
      <c r="K1506" s="1" t="str">
        <f>_xlfn.XLOOKUP(J1506,REF!$D$2:$D$12,REF!$E$2:$E$12)</f>
        <v>Internet</v>
      </c>
      <c r="L1506" s="1" t="s">
        <v>950</v>
      </c>
      <c r="M1506" s="1" t="s">
        <v>391</v>
      </c>
      <c r="N1506" s="1" t="s">
        <v>433</v>
      </c>
      <c r="O1506" s="1" t="s">
        <v>951</v>
      </c>
      <c r="P1506" s="1" t="str">
        <f>_xlfn.CONCAT(B1506,C1506,D1506,E1506,F1506)</f>
        <v>Barra do Garças IIInverter__746000,437546000,437546000,4444444444</v>
      </c>
      <c r="Q1506" s="1" t="str">
        <f t="shared" si="76"/>
        <v>LIGRFOINT</v>
      </c>
    </row>
    <row r="1507" spans="1:17" hidden="1">
      <c r="B1507" s="1" t="s">
        <v>876</v>
      </c>
      <c r="C1507" s="1" t="s">
        <v>877</v>
      </c>
      <c r="D1507" s="52">
        <v>46000.4375</v>
      </c>
      <c r="E1507" s="52">
        <v>46000.4375</v>
      </c>
      <c r="F1507" s="52">
        <v>46000.444444444445</v>
      </c>
      <c r="G1507" s="53">
        <f>F1507-E1507</f>
        <v>6.9444444452528842E-3</v>
      </c>
      <c r="H1507" s="1" t="s">
        <v>260</v>
      </c>
      <c r="I1507" s="1" t="s">
        <v>261</v>
      </c>
      <c r="J1507" s="1" t="s">
        <v>740</v>
      </c>
      <c r="K1507" s="1" t="str">
        <f>_xlfn.XLOOKUP(J1507,REF!$D$2:$D$12,REF!$E$2:$E$12)</f>
        <v>Internet</v>
      </c>
      <c r="L1507" s="1" t="s">
        <v>950</v>
      </c>
      <c r="M1507" s="1" t="s">
        <v>391</v>
      </c>
      <c r="N1507" s="1" t="s">
        <v>433</v>
      </c>
      <c r="O1507" s="1" t="s">
        <v>951</v>
      </c>
      <c r="P1507" s="1" t="str">
        <f>_xlfn.CONCAT(B1507,C1507,D1507,E1507,F1507)</f>
        <v>Barra do Garças IIIInverter__946000,437546000,437546000,4444444444</v>
      </c>
      <c r="Q1507" s="1" t="str">
        <f t="shared" si="76"/>
        <v>LIGRFOINT</v>
      </c>
    </row>
    <row r="1508" spans="1:17" hidden="1">
      <c r="B1508" s="1" t="s">
        <v>876</v>
      </c>
      <c r="C1508" s="1" t="s">
        <v>878</v>
      </c>
      <c r="D1508" s="52">
        <v>46000.4375</v>
      </c>
      <c r="E1508" s="52">
        <v>46000.4375</v>
      </c>
      <c r="F1508" s="52">
        <v>46000.444444444445</v>
      </c>
      <c r="G1508" s="53">
        <f>F1508-E1508</f>
        <v>6.9444444452528842E-3</v>
      </c>
      <c r="H1508" s="1" t="s">
        <v>260</v>
      </c>
      <c r="I1508" s="1" t="s">
        <v>261</v>
      </c>
      <c r="J1508" s="1" t="s">
        <v>740</v>
      </c>
      <c r="K1508" s="1" t="str">
        <f>_xlfn.XLOOKUP(J1508,REF!$D$2:$D$12,REF!$E$2:$E$12)</f>
        <v>Internet</v>
      </c>
      <c r="L1508" s="1" t="s">
        <v>950</v>
      </c>
      <c r="M1508" s="1" t="s">
        <v>391</v>
      </c>
      <c r="N1508" s="1" t="s">
        <v>433</v>
      </c>
      <c r="O1508" s="1" t="s">
        <v>951</v>
      </c>
      <c r="P1508" s="1" t="str">
        <f>_xlfn.CONCAT(B1508,C1508,D1508,E1508,F1508)</f>
        <v>Barra do Garças IIIInverter__846000,437546000,437546000,4444444444</v>
      </c>
      <c r="Q1508" s="1" t="str">
        <f t="shared" si="76"/>
        <v>LIGRFOINT</v>
      </c>
    </row>
    <row r="1509" spans="1:17" hidden="1">
      <c r="B1509" s="1" t="s">
        <v>876</v>
      </c>
      <c r="C1509" s="1" t="s">
        <v>879</v>
      </c>
      <c r="D1509" s="52">
        <v>46000.4375</v>
      </c>
      <c r="E1509" s="52">
        <v>46000.4375</v>
      </c>
      <c r="F1509" s="52">
        <v>46000.444444444445</v>
      </c>
      <c r="G1509" s="53">
        <f>F1509-E1509</f>
        <v>6.9444444452528842E-3</v>
      </c>
      <c r="H1509" s="1" t="s">
        <v>260</v>
      </c>
      <c r="I1509" s="1" t="s">
        <v>261</v>
      </c>
      <c r="J1509" s="1" t="s">
        <v>740</v>
      </c>
      <c r="K1509" s="1" t="str">
        <f>_xlfn.XLOOKUP(J1509,REF!$D$2:$D$12,REF!$E$2:$E$12)</f>
        <v>Internet</v>
      </c>
      <c r="L1509" s="1" t="s">
        <v>950</v>
      </c>
      <c r="M1509" s="1" t="s">
        <v>391</v>
      </c>
      <c r="N1509" s="1" t="s">
        <v>433</v>
      </c>
      <c r="O1509" s="1" t="s">
        <v>951</v>
      </c>
      <c r="P1509" s="1" t="str">
        <f>_xlfn.CONCAT(B1509,C1509,D1509,E1509,F1509)</f>
        <v>Barra do Garças IIIInverter__1046000,437546000,437546000,4444444444</v>
      </c>
      <c r="Q1509" s="1" t="str">
        <f t="shared" si="76"/>
        <v>LIGRFOINT</v>
      </c>
    </row>
    <row r="1510" spans="1:17" hidden="1">
      <c r="B1510" s="1" t="s">
        <v>876</v>
      </c>
      <c r="C1510" s="1" t="s">
        <v>880</v>
      </c>
      <c r="D1510" s="52">
        <v>46000.4375</v>
      </c>
      <c r="E1510" s="52">
        <v>46000.4375</v>
      </c>
      <c r="F1510" s="52">
        <v>46000.444444444445</v>
      </c>
      <c r="G1510" s="53">
        <f>F1510-E1510</f>
        <v>6.9444444452528842E-3</v>
      </c>
      <c r="H1510" s="1" t="s">
        <v>260</v>
      </c>
      <c r="I1510" s="1" t="s">
        <v>261</v>
      </c>
      <c r="J1510" s="1" t="s">
        <v>740</v>
      </c>
      <c r="K1510" s="1" t="str">
        <f>_xlfn.XLOOKUP(J1510,REF!$D$2:$D$12,REF!$E$2:$E$12)</f>
        <v>Internet</v>
      </c>
      <c r="L1510" s="1" t="s">
        <v>950</v>
      </c>
      <c r="M1510" s="1" t="s">
        <v>391</v>
      </c>
      <c r="N1510" s="1" t="s">
        <v>433</v>
      </c>
      <c r="O1510" s="1" t="s">
        <v>951</v>
      </c>
      <c r="P1510" s="1" t="str">
        <f>_xlfn.CONCAT(B1510,C1510,D1510,E1510,F1510)</f>
        <v>Barra do Garças IIIInverter__646000,437546000,437546000,4444444444</v>
      </c>
      <c r="Q1510" s="1" t="str">
        <f t="shared" si="76"/>
        <v>LIGRFOINT</v>
      </c>
    </row>
    <row r="1511" spans="1:17" hidden="1">
      <c r="B1511" s="66" t="s">
        <v>837</v>
      </c>
      <c r="C1511" s="1" t="s">
        <v>357</v>
      </c>
      <c r="D1511" s="52">
        <v>46001.583333333336</v>
      </c>
      <c r="E1511" s="52">
        <v>46001.583333333336</v>
      </c>
      <c r="F1511" s="52">
        <v>46001.75</v>
      </c>
      <c r="G1511" s="53">
        <f>F1511-E1511</f>
        <v>0.16666666666424135</v>
      </c>
      <c r="H1511" s="1" t="s">
        <v>260</v>
      </c>
      <c r="I1511" s="1" t="s">
        <v>261</v>
      </c>
      <c r="J1511" s="1" t="s">
        <v>230</v>
      </c>
      <c r="K1511" s="1" t="str">
        <f>_xlfn.XLOOKUP(J1511,REF!$D$2:$D$12,REF!$E$2:$E$12)</f>
        <v>UFV</v>
      </c>
      <c r="L1511" s="1" t="s">
        <v>952</v>
      </c>
      <c r="M1511" s="1" t="s">
        <v>732</v>
      </c>
      <c r="N1511" s="1" t="s">
        <v>580</v>
      </c>
      <c r="O1511" s="1" t="s">
        <v>953</v>
      </c>
      <c r="P1511" s="1" t="str">
        <f>_xlfn.CONCAT(B1511,C1511,D1511,E1511,F1511)</f>
        <v>UFV LENÇOIS PAULISTAInverter(MBUS-13)46001,583333333346001,583333333346001,75</v>
      </c>
      <c r="Q1511" s="1" t="str">
        <f t="shared" si="76"/>
        <v>LIGRFOUFV</v>
      </c>
    </row>
    <row r="1512" spans="1:17" hidden="1">
      <c r="B1512" s="66" t="s">
        <v>837</v>
      </c>
      <c r="C1512" s="1" t="s">
        <v>358</v>
      </c>
      <c r="D1512" s="52">
        <v>46001.583333333336</v>
      </c>
      <c r="E1512" s="52">
        <v>46001.583333333336</v>
      </c>
      <c r="F1512" s="52">
        <v>46001.75</v>
      </c>
      <c r="G1512" s="53">
        <f>F1512-E1512</f>
        <v>0.16666666666424135</v>
      </c>
      <c r="H1512" s="1" t="s">
        <v>260</v>
      </c>
      <c r="I1512" s="1" t="s">
        <v>261</v>
      </c>
      <c r="J1512" s="1" t="s">
        <v>230</v>
      </c>
      <c r="K1512" s="1" t="str">
        <f>_xlfn.XLOOKUP(J1512,REF!$D$2:$D$12,REF!$E$2:$E$12)</f>
        <v>UFV</v>
      </c>
      <c r="L1512" s="1" t="s">
        <v>952</v>
      </c>
      <c r="M1512" s="1" t="s">
        <v>732</v>
      </c>
      <c r="N1512" s="1" t="s">
        <v>580</v>
      </c>
      <c r="O1512" s="1" t="s">
        <v>953</v>
      </c>
      <c r="P1512" s="1" t="str">
        <f>_xlfn.CONCAT(B1512,C1512,D1512,E1512,F1512)</f>
        <v>UFV LENÇOIS PAULISTAInverter(MBUS-14)46001,583333333346001,583333333346001,75</v>
      </c>
      <c r="Q1512" s="1" t="str">
        <f t="shared" si="76"/>
        <v>LIGRFOUFV</v>
      </c>
    </row>
    <row r="1513" spans="1:17" hidden="1">
      <c r="B1513" s="66" t="s">
        <v>837</v>
      </c>
      <c r="C1513" s="1" t="s">
        <v>354</v>
      </c>
      <c r="D1513" s="52">
        <v>46001.583333333336</v>
      </c>
      <c r="E1513" s="52">
        <v>46001.583333333336</v>
      </c>
      <c r="F1513" s="52">
        <v>46001.75</v>
      </c>
      <c r="G1513" s="53">
        <f>F1513-E1513</f>
        <v>0.16666666666424135</v>
      </c>
      <c r="H1513" s="1" t="s">
        <v>260</v>
      </c>
      <c r="I1513" s="1" t="s">
        <v>261</v>
      </c>
      <c r="J1513" s="1" t="s">
        <v>230</v>
      </c>
      <c r="K1513" s="1" t="str">
        <f>_xlfn.XLOOKUP(J1513,REF!$D$2:$D$12,REF!$E$2:$E$12)</f>
        <v>UFV</v>
      </c>
      <c r="L1513" s="1" t="s">
        <v>952</v>
      </c>
      <c r="M1513" s="1" t="s">
        <v>732</v>
      </c>
      <c r="N1513" s="1" t="s">
        <v>580</v>
      </c>
      <c r="O1513" s="1" t="s">
        <v>953</v>
      </c>
      <c r="P1513" s="1" t="str">
        <f>_xlfn.CONCAT(B1513,C1513,D1513,E1513,F1513)</f>
        <v>UFV LENÇOIS PAULISTAInverter(MBUS-12)46001,583333333346001,583333333346001,75</v>
      </c>
      <c r="Q1513" s="1" t="str">
        <f t="shared" si="76"/>
        <v>LIGRFOUFV</v>
      </c>
    </row>
    <row r="1514" spans="1:17" hidden="1">
      <c r="B1514" s="66" t="s">
        <v>837</v>
      </c>
      <c r="C1514" s="1" t="s">
        <v>359</v>
      </c>
      <c r="D1514" s="52">
        <v>46001.583333333336</v>
      </c>
      <c r="E1514" s="52">
        <v>46001.583333333336</v>
      </c>
      <c r="F1514" s="52">
        <v>46001.75</v>
      </c>
      <c r="G1514" s="53">
        <f>F1514-E1514</f>
        <v>0.16666666666424135</v>
      </c>
      <c r="H1514" s="1" t="s">
        <v>260</v>
      </c>
      <c r="I1514" s="1" t="s">
        <v>261</v>
      </c>
      <c r="J1514" s="1" t="s">
        <v>230</v>
      </c>
      <c r="K1514" s="1" t="str">
        <f>_xlfn.XLOOKUP(J1514,REF!$D$2:$D$12,REF!$E$2:$E$12)</f>
        <v>UFV</v>
      </c>
      <c r="L1514" s="1" t="s">
        <v>952</v>
      </c>
      <c r="M1514" s="1" t="s">
        <v>732</v>
      </c>
      <c r="N1514" s="1" t="s">
        <v>580</v>
      </c>
      <c r="O1514" s="1" t="s">
        <v>953</v>
      </c>
      <c r="P1514" s="1" t="str">
        <f>_xlfn.CONCAT(B1514,C1514,D1514,E1514,F1514)</f>
        <v>UFV LENÇOIS PAULISTAInverter(MBUS-15)46001,583333333346001,583333333346001,75</v>
      </c>
      <c r="Q1514" s="1" t="str">
        <f t="shared" si="76"/>
        <v>LIGRFOUFV</v>
      </c>
    </row>
    <row r="1515" spans="1:17" s="30" customFormat="1" hidden="1">
      <c r="A1515" s="49"/>
      <c r="B1515" s="57" t="s">
        <v>771</v>
      </c>
      <c r="C1515" s="57" t="s">
        <v>772</v>
      </c>
      <c r="D1515" s="55">
        <v>46001.506944444445</v>
      </c>
      <c r="E1515" s="55">
        <v>46001.506944444445</v>
      </c>
      <c r="F1515" s="55">
        <v>46001.732638888891</v>
      </c>
      <c r="G1515" s="56">
        <f>F1515-E1515</f>
        <v>0.22569444444525288</v>
      </c>
      <c r="H1515" s="57" t="s">
        <v>248</v>
      </c>
      <c r="I1515" s="57"/>
      <c r="J1515" s="57" t="s">
        <v>249</v>
      </c>
      <c r="K1515" s="57" t="str">
        <f>_xlfn.XLOOKUP(J1515,REF!$D$2:$D$12,REF!$E$2:$E$12)</f>
        <v>Rede</v>
      </c>
      <c r="L1515" s="57" t="s">
        <v>954</v>
      </c>
      <c r="M1515" s="57" t="s">
        <v>251</v>
      </c>
      <c r="N1515" s="57" t="s">
        <v>252</v>
      </c>
      <c r="O1515" s="57" t="s">
        <v>955</v>
      </c>
      <c r="P1515" s="57" t="str">
        <f t="shared" ref="P1515:P1531" si="77">_xlfn.CONCAT(B1515,C1515,D1515,E1515,F1515)</f>
        <v>Rio Monte ISG75CX(COM2-001)_001_01846001,506944444446001,506944444446001,7326388889</v>
      </c>
      <c r="Q1515" s="57" t="str">
        <f t="shared" si="76"/>
        <v>DAURDE</v>
      </c>
    </row>
    <row r="1516" spans="1:17" s="30" customFormat="1" hidden="1">
      <c r="A1516" s="49"/>
      <c r="B1516" s="57" t="s">
        <v>773</v>
      </c>
      <c r="C1516" s="57" t="s">
        <v>774</v>
      </c>
      <c r="D1516" s="55">
        <v>46001.506944444445</v>
      </c>
      <c r="E1516" s="55">
        <v>46001.506944444445</v>
      </c>
      <c r="F1516" s="55">
        <v>46001.732638888891</v>
      </c>
      <c r="G1516" s="56">
        <f>F1516-E1516</f>
        <v>0.22569444444525288</v>
      </c>
      <c r="H1516" s="57" t="s">
        <v>248</v>
      </c>
      <c r="I1516" s="57"/>
      <c r="J1516" s="57" t="s">
        <v>249</v>
      </c>
      <c r="K1516" s="57" t="str">
        <f>_xlfn.XLOOKUP(J1516,REF!$D$2:$D$12,REF!$E$2:$E$12)</f>
        <v>Rede</v>
      </c>
      <c r="L1516" s="57" t="s">
        <v>954</v>
      </c>
      <c r="M1516" s="57" t="s">
        <v>251</v>
      </c>
      <c r="N1516" s="57" t="s">
        <v>252</v>
      </c>
      <c r="O1516" s="57" t="s">
        <v>955</v>
      </c>
      <c r="P1516" s="57" t="str">
        <f t="shared" si="77"/>
        <v>Rio Monte IISG40CX(COM2-007)_001_01746001,506944444446001,506944444446001,7326388889</v>
      </c>
      <c r="Q1516" s="57" t="str">
        <f t="shared" si="76"/>
        <v>DAURDE</v>
      </c>
    </row>
    <row r="1517" spans="1:17" s="30" customFormat="1" hidden="1">
      <c r="A1517" s="49"/>
      <c r="B1517" s="57" t="s">
        <v>773</v>
      </c>
      <c r="C1517" s="57" t="s">
        <v>775</v>
      </c>
      <c r="D1517" s="55">
        <v>46001.506944444445</v>
      </c>
      <c r="E1517" s="55">
        <v>46001.506944444445</v>
      </c>
      <c r="F1517" s="55">
        <v>46001.732638888891</v>
      </c>
      <c r="G1517" s="56">
        <f>F1517-E1517</f>
        <v>0.22569444444525288</v>
      </c>
      <c r="H1517" s="57" t="s">
        <v>248</v>
      </c>
      <c r="I1517" s="57"/>
      <c r="J1517" s="57" t="s">
        <v>249</v>
      </c>
      <c r="K1517" s="57" t="str">
        <f>_xlfn.XLOOKUP(J1517,REF!$D$2:$D$12,REF!$E$2:$E$12)</f>
        <v>Rede</v>
      </c>
      <c r="L1517" s="57" t="s">
        <v>954</v>
      </c>
      <c r="M1517" s="57" t="s">
        <v>251</v>
      </c>
      <c r="N1517" s="57" t="s">
        <v>252</v>
      </c>
      <c r="O1517" s="57" t="s">
        <v>955</v>
      </c>
      <c r="P1517" s="57" t="str">
        <f t="shared" si="77"/>
        <v>Rio Monte IISG60KTL(COM1-002)_001_00546001,506944444446001,506944444446001,7326388889</v>
      </c>
      <c r="Q1517" s="57" t="str">
        <f t="shared" si="76"/>
        <v>DAURDE</v>
      </c>
    </row>
    <row r="1518" spans="1:17" s="30" customFormat="1" hidden="1">
      <c r="A1518" s="49"/>
      <c r="B1518" s="57" t="s">
        <v>773</v>
      </c>
      <c r="C1518" s="57" t="s">
        <v>776</v>
      </c>
      <c r="D1518" s="55">
        <v>46001.506944444445</v>
      </c>
      <c r="E1518" s="55">
        <v>46001.506944444445</v>
      </c>
      <c r="F1518" s="55">
        <v>46001.732638888891</v>
      </c>
      <c r="G1518" s="56">
        <f>F1518-E1518</f>
        <v>0.22569444444525288</v>
      </c>
      <c r="H1518" s="57" t="s">
        <v>248</v>
      </c>
      <c r="I1518" s="57"/>
      <c r="J1518" s="57" t="s">
        <v>249</v>
      </c>
      <c r="K1518" s="57" t="str">
        <f>_xlfn.XLOOKUP(J1518,REF!$D$2:$D$12,REF!$E$2:$E$12)</f>
        <v>Rede</v>
      </c>
      <c r="L1518" s="57" t="s">
        <v>954</v>
      </c>
      <c r="M1518" s="57" t="s">
        <v>251</v>
      </c>
      <c r="N1518" s="57" t="s">
        <v>252</v>
      </c>
      <c r="O1518" s="57" t="s">
        <v>955</v>
      </c>
      <c r="P1518" s="57" t="str">
        <f t="shared" si="77"/>
        <v>Rio Monte IISG60KTL(COM1-003)_001__01146001,506944444446001,506944444446001,7326388889</v>
      </c>
      <c r="Q1518" s="57" t="str">
        <f t="shared" si="76"/>
        <v>DAURDE</v>
      </c>
    </row>
    <row r="1519" spans="1:17" s="30" customFormat="1" hidden="1">
      <c r="A1519" s="49"/>
      <c r="B1519" s="57" t="s">
        <v>773</v>
      </c>
      <c r="C1519" s="57" t="s">
        <v>777</v>
      </c>
      <c r="D1519" s="55">
        <v>46001.506944444445</v>
      </c>
      <c r="E1519" s="55">
        <v>46001.506944444445</v>
      </c>
      <c r="F1519" s="55">
        <v>46001.732638888891</v>
      </c>
      <c r="G1519" s="56">
        <f>F1519-E1519</f>
        <v>0.22569444444525288</v>
      </c>
      <c r="H1519" s="57" t="s">
        <v>248</v>
      </c>
      <c r="I1519" s="57"/>
      <c r="J1519" s="57" t="s">
        <v>249</v>
      </c>
      <c r="K1519" s="57" t="str">
        <f>_xlfn.XLOOKUP(J1519,REF!$D$2:$D$12,REF!$E$2:$E$12)</f>
        <v>Rede</v>
      </c>
      <c r="L1519" s="57" t="s">
        <v>954</v>
      </c>
      <c r="M1519" s="57" t="s">
        <v>251</v>
      </c>
      <c r="N1519" s="57" t="s">
        <v>252</v>
      </c>
      <c r="O1519" s="57" t="s">
        <v>955</v>
      </c>
      <c r="P1519" s="57" t="str">
        <f t="shared" si="77"/>
        <v>Rio Monte IISG60KTL(COM1-004)_001_00746001,506944444446001,506944444446001,7326388889</v>
      </c>
      <c r="Q1519" s="57" t="str">
        <f t="shared" si="76"/>
        <v>DAURDE</v>
      </c>
    </row>
    <row r="1520" spans="1:17" s="30" customFormat="1" hidden="1">
      <c r="A1520" s="49"/>
      <c r="B1520" s="57" t="s">
        <v>773</v>
      </c>
      <c r="C1520" s="57" t="s">
        <v>778</v>
      </c>
      <c r="D1520" s="55">
        <v>46001.506944444445</v>
      </c>
      <c r="E1520" s="55">
        <v>46001.506944444445</v>
      </c>
      <c r="F1520" s="55">
        <v>46001.732638888891</v>
      </c>
      <c r="G1520" s="56">
        <f>F1520-E1520</f>
        <v>0.22569444444525288</v>
      </c>
      <c r="H1520" s="57" t="s">
        <v>248</v>
      </c>
      <c r="I1520" s="57"/>
      <c r="J1520" s="57" t="s">
        <v>249</v>
      </c>
      <c r="K1520" s="57" t="str">
        <f>_xlfn.XLOOKUP(J1520,REF!$D$2:$D$12,REF!$E$2:$E$12)</f>
        <v>Rede</v>
      </c>
      <c r="L1520" s="57" t="s">
        <v>954</v>
      </c>
      <c r="M1520" s="57" t="s">
        <v>251</v>
      </c>
      <c r="N1520" s="57" t="s">
        <v>252</v>
      </c>
      <c r="O1520" s="57" t="s">
        <v>955</v>
      </c>
      <c r="P1520" s="57" t="str">
        <f t="shared" si="77"/>
        <v>Rio Monte IISG60KTL(COM1-005)_001_00946001,506944444446001,506944444446001,7326388889</v>
      </c>
      <c r="Q1520" s="57" t="str">
        <f t="shared" si="76"/>
        <v>DAURDE</v>
      </c>
    </row>
    <row r="1521" spans="1:17" s="30" customFormat="1" hidden="1">
      <c r="A1521" s="49"/>
      <c r="B1521" s="57" t="s">
        <v>773</v>
      </c>
      <c r="C1521" s="57" t="s">
        <v>779</v>
      </c>
      <c r="D1521" s="55">
        <v>46001.506944444445</v>
      </c>
      <c r="E1521" s="55">
        <v>46001.506944444445</v>
      </c>
      <c r="F1521" s="55">
        <v>46001.732638888891</v>
      </c>
      <c r="G1521" s="56">
        <f>F1521-E1521</f>
        <v>0.22569444444525288</v>
      </c>
      <c r="H1521" s="57" t="s">
        <v>248</v>
      </c>
      <c r="I1521" s="57"/>
      <c r="J1521" s="57" t="s">
        <v>249</v>
      </c>
      <c r="K1521" s="57" t="str">
        <f>_xlfn.XLOOKUP(J1521,REF!$D$2:$D$12,REF!$E$2:$E$12)</f>
        <v>Rede</v>
      </c>
      <c r="L1521" s="57" t="s">
        <v>954</v>
      </c>
      <c r="M1521" s="57" t="s">
        <v>251</v>
      </c>
      <c r="N1521" s="57" t="s">
        <v>252</v>
      </c>
      <c r="O1521" s="57" t="s">
        <v>955</v>
      </c>
      <c r="P1521" s="57" t="str">
        <f t="shared" si="77"/>
        <v>Rio Monte IISG60KTL(COM1-006)_001_00646001,506944444446001,506944444446001,7326388889</v>
      </c>
      <c r="Q1521" s="57" t="str">
        <f t="shared" si="76"/>
        <v>DAURDE</v>
      </c>
    </row>
    <row r="1522" spans="1:17" s="30" customFormat="1" hidden="1">
      <c r="A1522" s="49"/>
      <c r="B1522" s="57" t="s">
        <v>782</v>
      </c>
      <c r="C1522" s="57" t="s">
        <v>783</v>
      </c>
      <c r="D1522" s="55">
        <v>46001.506944444445</v>
      </c>
      <c r="E1522" s="55">
        <v>46001.506944444445</v>
      </c>
      <c r="F1522" s="55">
        <v>46001.597222222219</v>
      </c>
      <c r="G1522" s="56">
        <f>F1522-E1522</f>
        <v>9.0277777773735579E-2</v>
      </c>
      <c r="H1522" s="57" t="s">
        <v>248</v>
      </c>
      <c r="I1522" s="57"/>
      <c r="J1522" s="57" t="s">
        <v>249</v>
      </c>
      <c r="K1522" s="57" t="str">
        <f>_xlfn.XLOOKUP(J1522,REF!$D$2:$D$12,REF!$E$2:$E$12)</f>
        <v>Rede</v>
      </c>
      <c r="L1522" s="57" t="s">
        <v>954</v>
      </c>
      <c r="M1522" s="57" t="s">
        <v>251</v>
      </c>
      <c r="N1522" s="57" t="s">
        <v>252</v>
      </c>
      <c r="O1522" s="57" t="s">
        <v>955</v>
      </c>
      <c r="P1522" s="57" t="str">
        <f t="shared" si="77"/>
        <v>Rio Monte IIISG60KTL(COM1-008)_001_01646001,506944444446001,506944444446001,5972222222</v>
      </c>
      <c r="Q1522" s="57" t="str">
        <f t="shared" si="76"/>
        <v>DAURDE</v>
      </c>
    </row>
    <row r="1523" spans="1:17" s="30" customFormat="1" hidden="1">
      <c r="A1523" s="49"/>
      <c r="B1523" s="57" t="s">
        <v>782</v>
      </c>
      <c r="C1523" s="57" t="s">
        <v>784</v>
      </c>
      <c r="D1523" s="55">
        <v>46001.506944444445</v>
      </c>
      <c r="E1523" s="55">
        <v>46001.506944444445</v>
      </c>
      <c r="F1523" s="55">
        <v>46001.597222222219</v>
      </c>
      <c r="G1523" s="56">
        <f>F1523-E1523</f>
        <v>9.0277777773735579E-2</v>
      </c>
      <c r="H1523" s="57" t="s">
        <v>248</v>
      </c>
      <c r="I1523" s="57"/>
      <c r="J1523" s="57" t="s">
        <v>249</v>
      </c>
      <c r="K1523" s="57" t="str">
        <f>_xlfn.XLOOKUP(J1523,REF!$D$2:$D$12,REF!$E$2:$E$12)</f>
        <v>Rede</v>
      </c>
      <c r="L1523" s="57" t="s">
        <v>954</v>
      </c>
      <c r="M1523" s="57" t="s">
        <v>251</v>
      </c>
      <c r="N1523" s="57" t="s">
        <v>252</v>
      </c>
      <c r="O1523" s="57" t="s">
        <v>955</v>
      </c>
      <c r="P1523" s="57" t="str">
        <f t="shared" si="77"/>
        <v>Rio Monte IIISG60KTL(COM1-009)_001_01046001,506944444446001,506944444446001,5972222222</v>
      </c>
      <c r="Q1523" s="57" t="str">
        <f t="shared" si="76"/>
        <v>DAURDE</v>
      </c>
    </row>
    <row r="1524" spans="1:17" s="30" customFormat="1" hidden="1">
      <c r="A1524" s="49"/>
      <c r="B1524" s="57" t="s">
        <v>782</v>
      </c>
      <c r="C1524" s="57" t="s">
        <v>785</v>
      </c>
      <c r="D1524" s="55">
        <v>46001.506944444445</v>
      </c>
      <c r="E1524" s="55">
        <v>46001.506944444445</v>
      </c>
      <c r="F1524" s="55">
        <v>46001.597222222219</v>
      </c>
      <c r="G1524" s="56">
        <f>F1524-E1524</f>
        <v>9.0277777773735579E-2</v>
      </c>
      <c r="H1524" s="57" t="s">
        <v>248</v>
      </c>
      <c r="I1524" s="57"/>
      <c r="J1524" s="57" t="s">
        <v>249</v>
      </c>
      <c r="K1524" s="57" t="str">
        <f>_xlfn.XLOOKUP(J1524,REF!$D$2:$D$12,REF!$E$2:$E$12)</f>
        <v>Rede</v>
      </c>
      <c r="L1524" s="57" t="s">
        <v>954</v>
      </c>
      <c r="M1524" s="57" t="s">
        <v>251</v>
      </c>
      <c r="N1524" s="57" t="s">
        <v>252</v>
      </c>
      <c r="O1524" s="57" t="s">
        <v>955</v>
      </c>
      <c r="P1524" s="57" t="str">
        <f t="shared" si="77"/>
        <v>Rio Monte IIISG60KTL(COM1-010)_001_01246001,506944444446001,506944444446001,5972222222</v>
      </c>
      <c r="Q1524" s="57" t="str">
        <f t="shared" si="76"/>
        <v>DAURDE</v>
      </c>
    </row>
    <row r="1525" spans="1:17" s="30" customFormat="1" hidden="1">
      <c r="A1525" s="49"/>
      <c r="B1525" s="57" t="s">
        <v>782</v>
      </c>
      <c r="C1525" s="57" t="s">
        <v>786</v>
      </c>
      <c r="D1525" s="55">
        <v>46001.506944444445</v>
      </c>
      <c r="E1525" s="55">
        <v>46001.506944444445</v>
      </c>
      <c r="F1525" s="55">
        <v>46001.597222222219</v>
      </c>
      <c r="G1525" s="56">
        <f>F1525-E1525</f>
        <v>9.0277777773735579E-2</v>
      </c>
      <c r="H1525" s="57" t="s">
        <v>248</v>
      </c>
      <c r="I1525" s="57"/>
      <c r="J1525" s="57" t="s">
        <v>249</v>
      </c>
      <c r="K1525" s="57" t="str">
        <f>_xlfn.XLOOKUP(J1525,REF!$D$2:$D$12,REF!$E$2:$E$12)</f>
        <v>Rede</v>
      </c>
      <c r="L1525" s="57" t="s">
        <v>954</v>
      </c>
      <c r="M1525" s="57" t="s">
        <v>251</v>
      </c>
      <c r="N1525" s="57" t="s">
        <v>252</v>
      </c>
      <c r="O1525" s="57" t="s">
        <v>955</v>
      </c>
      <c r="P1525" s="57" t="str">
        <f t="shared" si="77"/>
        <v>Rio Monte IIISG60KTL(COM1-011)_001_00246001,506944444446001,506944444446001,5972222222</v>
      </c>
      <c r="Q1525" s="57" t="str">
        <f t="shared" si="76"/>
        <v>DAURDE</v>
      </c>
    </row>
    <row r="1526" spans="1:17" s="30" customFormat="1" hidden="1">
      <c r="A1526" s="49"/>
      <c r="B1526" s="57" t="s">
        <v>782</v>
      </c>
      <c r="C1526" s="57" t="s">
        <v>787</v>
      </c>
      <c r="D1526" s="55">
        <v>46001.506944444445</v>
      </c>
      <c r="E1526" s="55">
        <v>46001.506944444445</v>
      </c>
      <c r="F1526" s="55">
        <v>46001.597222222219</v>
      </c>
      <c r="G1526" s="56">
        <f>F1526-E1526</f>
        <v>9.0277777773735579E-2</v>
      </c>
      <c r="H1526" s="57" t="s">
        <v>248</v>
      </c>
      <c r="I1526" s="57"/>
      <c r="J1526" s="57" t="s">
        <v>249</v>
      </c>
      <c r="K1526" s="57" t="str">
        <f>_xlfn.XLOOKUP(J1526,REF!$D$2:$D$12,REF!$E$2:$E$12)</f>
        <v>Rede</v>
      </c>
      <c r="L1526" s="57" t="s">
        <v>954</v>
      </c>
      <c r="M1526" s="57" t="s">
        <v>251</v>
      </c>
      <c r="N1526" s="57" t="s">
        <v>252</v>
      </c>
      <c r="O1526" s="57" t="s">
        <v>955</v>
      </c>
      <c r="P1526" s="57" t="str">
        <f t="shared" si="77"/>
        <v>Rio Monte IIISG60KTL(COM1-012)_001_01546001,506944444446001,506944444446001,5972222222</v>
      </c>
      <c r="Q1526" s="57" t="str">
        <f t="shared" si="76"/>
        <v>DAURDE</v>
      </c>
    </row>
    <row r="1527" spans="1:17" s="30" customFormat="1" hidden="1">
      <c r="A1527" s="49"/>
      <c r="B1527" s="57" t="s">
        <v>782</v>
      </c>
      <c r="C1527" s="57" t="s">
        <v>788</v>
      </c>
      <c r="D1527" s="55">
        <v>46001.506944444445</v>
      </c>
      <c r="E1527" s="55">
        <v>46001.506944444445</v>
      </c>
      <c r="F1527" s="55">
        <v>46001.597222222219</v>
      </c>
      <c r="G1527" s="56">
        <f>F1527-E1527</f>
        <v>9.0277777773735579E-2</v>
      </c>
      <c r="H1527" s="57" t="s">
        <v>248</v>
      </c>
      <c r="I1527" s="57"/>
      <c r="J1527" s="57" t="s">
        <v>249</v>
      </c>
      <c r="K1527" s="57" t="str">
        <f>_xlfn.XLOOKUP(J1527,REF!$D$2:$D$12,REF!$E$2:$E$12)</f>
        <v>Rede</v>
      </c>
      <c r="L1527" s="57" t="s">
        <v>954</v>
      </c>
      <c r="M1527" s="57" t="s">
        <v>251</v>
      </c>
      <c r="N1527" s="57" t="s">
        <v>252</v>
      </c>
      <c r="O1527" s="57" t="s">
        <v>955</v>
      </c>
      <c r="P1527" s="57" t="str">
        <f t="shared" si="77"/>
        <v>Rio Monte IIISG60KTL(COM1-013)_001_00346001,506944444446001,506944444446001,5972222222</v>
      </c>
      <c r="Q1527" s="57" t="str">
        <f t="shared" si="76"/>
        <v>DAURDE</v>
      </c>
    </row>
    <row r="1528" spans="1:17" s="30" customFormat="1" hidden="1">
      <c r="A1528" s="49"/>
      <c r="B1528" s="57" t="s">
        <v>782</v>
      </c>
      <c r="C1528" s="57" t="s">
        <v>789</v>
      </c>
      <c r="D1528" s="55">
        <v>46001.506944444445</v>
      </c>
      <c r="E1528" s="55">
        <v>46001.506944444445</v>
      </c>
      <c r="F1528" s="55">
        <v>46001.597222222219</v>
      </c>
      <c r="G1528" s="56">
        <f>F1528-E1528</f>
        <v>9.0277777773735579E-2</v>
      </c>
      <c r="H1528" s="57" t="s">
        <v>248</v>
      </c>
      <c r="I1528" s="57"/>
      <c r="J1528" s="57" t="s">
        <v>249</v>
      </c>
      <c r="K1528" s="57" t="str">
        <f>_xlfn.XLOOKUP(J1528,REF!$D$2:$D$12,REF!$E$2:$E$12)</f>
        <v>Rede</v>
      </c>
      <c r="L1528" s="57" t="s">
        <v>954</v>
      </c>
      <c r="M1528" s="57" t="s">
        <v>251</v>
      </c>
      <c r="N1528" s="57" t="s">
        <v>252</v>
      </c>
      <c r="O1528" s="57" t="s">
        <v>955</v>
      </c>
      <c r="P1528" s="57" t="str">
        <f t="shared" si="77"/>
        <v>Rio Monte IIISG60KTL(COM1-014)_001_00446001,506944444446001,506944444446001,5972222222</v>
      </c>
      <c r="Q1528" s="57" t="str">
        <f t="shared" si="76"/>
        <v>DAURDE</v>
      </c>
    </row>
    <row r="1529" spans="1:17" s="30" customFormat="1" hidden="1">
      <c r="A1529" s="49"/>
      <c r="B1529" s="57" t="s">
        <v>782</v>
      </c>
      <c r="C1529" s="57" t="s">
        <v>790</v>
      </c>
      <c r="D1529" s="55">
        <v>46001.506944444445</v>
      </c>
      <c r="E1529" s="55">
        <v>46001.506944444445</v>
      </c>
      <c r="F1529" s="55">
        <v>46001.597222222219</v>
      </c>
      <c r="G1529" s="56">
        <f>F1529-E1529</f>
        <v>9.0277777773735579E-2</v>
      </c>
      <c r="H1529" s="57" t="s">
        <v>248</v>
      </c>
      <c r="I1529" s="57"/>
      <c r="J1529" s="57" t="s">
        <v>249</v>
      </c>
      <c r="K1529" s="57" t="str">
        <f>_xlfn.XLOOKUP(J1529,REF!$D$2:$D$12,REF!$E$2:$E$12)</f>
        <v>Rede</v>
      </c>
      <c r="L1529" s="57" t="s">
        <v>954</v>
      </c>
      <c r="M1529" s="57" t="s">
        <v>251</v>
      </c>
      <c r="N1529" s="57" t="s">
        <v>252</v>
      </c>
      <c r="O1529" s="57" t="s">
        <v>955</v>
      </c>
      <c r="P1529" s="57" t="str">
        <f t="shared" si="77"/>
        <v>Rio Monte IIISG60KTL(COM1-015)_001_01346001,506944444446001,506944444446001,5972222222</v>
      </c>
      <c r="Q1529" s="57" t="str">
        <f t="shared" si="76"/>
        <v>DAURDE</v>
      </c>
    </row>
    <row r="1530" spans="1:17" s="30" customFormat="1" hidden="1">
      <c r="A1530" s="49"/>
      <c r="B1530" s="57" t="s">
        <v>782</v>
      </c>
      <c r="C1530" s="57" t="s">
        <v>791</v>
      </c>
      <c r="D1530" s="55">
        <v>46001.506944444445</v>
      </c>
      <c r="E1530" s="55">
        <v>46001.506944444445</v>
      </c>
      <c r="F1530" s="55">
        <v>46001.597222222219</v>
      </c>
      <c r="G1530" s="56">
        <f>F1530-E1530</f>
        <v>9.0277777773735579E-2</v>
      </c>
      <c r="H1530" s="57" t="s">
        <v>248</v>
      </c>
      <c r="I1530" s="57"/>
      <c r="J1530" s="57" t="s">
        <v>249</v>
      </c>
      <c r="K1530" s="57" t="str">
        <f>_xlfn.XLOOKUP(J1530,REF!$D$2:$D$12,REF!$E$2:$E$12)</f>
        <v>Rede</v>
      </c>
      <c r="L1530" s="57" t="s">
        <v>954</v>
      </c>
      <c r="M1530" s="57" t="s">
        <v>251</v>
      </c>
      <c r="N1530" s="57" t="s">
        <v>252</v>
      </c>
      <c r="O1530" s="57" t="s">
        <v>955</v>
      </c>
      <c r="P1530" s="57" t="str">
        <f t="shared" si="77"/>
        <v>Rio Monte IIISG60KTL(COM1-016)_001_01446001,506944444446001,506944444446001,5972222222</v>
      </c>
      <c r="Q1530" s="57" t="str">
        <f t="shared" si="76"/>
        <v>DAURDE</v>
      </c>
    </row>
    <row r="1531" spans="1:17" s="30" customFormat="1" hidden="1">
      <c r="A1531" s="49"/>
      <c r="B1531" s="57" t="s">
        <v>782</v>
      </c>
      <c r="C1531" s="57" t="s">
        <v>792</v>
      </c>
      <c r="D1531" s="55">
        <v>46001.506944444445</v>
      </c>
      <c r="E1531" s="55">
        <v>46001.506944444445</v>
      </c>
      <c r="F1531" s="55">
        <v>46001.597222222219</v>
      </c>
      <c r="G1531" s="56">
        <f>F1531-E1531</f>
        <v>9.0277777773735579E-2</v>
      </c>
      <c r="H1531" s="57" t="s">
        <v>248</v>
      </c>
      <c r="I1531" s="57"/>
      <c r="J1531" s="57" t="s">
        <v>249</v>
      </c>
      <c r="K1531" s="57" t="str">
        <f>_xlfn.XLOOKUP(J1531,REF!$D$2:$D$12,REF!$E$2:$E$12)</f>
        <v>Rede</v>
      </c>
      <c r="L1531" s="57" t="s">
        <v>954</v>
      </c>
      <c r="M1531" s="57" t="s">
        <v>251</v>
      </c>
      <c r="N1531" s="57" t="s">
        <v>252</v>
      </c>
      <c r="O1531" s="57" t="s">
        <v>955</v>
      </c>
      <c r="P1531" s="57" t="str">
        <f t="shared" si="77"/>
        <v>Rio Monte IIISG60KTL(COM1-017)_001_00846001,506944444446001,506944444446001,5972222222</v>
      </c>
      <c r="Q1531" s="57" t="str">
        <f t="shared" si="76"/>
        <v>DAURDE</v>
      </c>
    </row>
    <row r="1532" spans="1:17" s="30" customFormat="1" hidden="1">
      <c r="A1532" s="49"/>
      <c r="B1532" s="57" t="s">
        <v>363</v>
      </c>
      <c r="C1532" s="57" t="s">
        <v>359</v>
      </c>
      <c r="D1532" s="55">
        <v>46012.284722222219</v>
      </c>
      <c r="E1532" s="55">
        <v>46012.284722222219</v>
      </c>
      <c r="F1532" s="55">
        <v>46022.999988425923</v>
      </c>
      <c r="G1532" s="56">
        <f>F1532-E1532</f>
        <v>10.715266203704232</v>
      </c>
      <c r="H1532" s="57" t="s">
        <v>248</v>
      </c>
      <c r="I1532" s="57"/>
      <c r="J1532" s="57" t="s">
        <v>300</v>
      </c>
      <c r="K1532" s="57" t="str">
        <f>_xlfn.XLOOKUP(J1532,REF!$D$2:$D$12,REF!$E$2:$E$12)</f>
        <v>Inversor</v>
      </c>
      <c r="L1532" s="57" t="s">
        <v>956</v>
      </c>
      <c r="M1532" s="57" t="s">
        <v>375</v>
      </c>
      <c r="N1532" s="57" t="s">
        <v>341</v>
      </c>
      <c r="O1532" s="57" t="s">
        <v>957</v>
      </c>
      <c r="P1532" s="57" t="str">
        <f>_xlfn.CONCAT(B1532,C1532,D1532,E1532,F1532)</f>
        <v>ARAGUATINS 2.1Inverter(MBUS-15)46012,284722222246012,284722222246022,9999884259</v>
      </c>
      <c r="Q1532" s="57" t="str">
        <f t="shared" si="76"/>
        <v>DAUINV</v>
      </c>
    </row>
    <row r="1533" spans="1:17" s="71" customFormat="1" hidden="1">
      <c r="A1533" s="67"/>
      <c r="B1533" s="68" t="s">
        <v>363</v>
      </c>
      <c r="C1533" s="68" t="s">
        <v>359</v>
      </c>
      <c r="D1533" s="69">
        <v>46012.284722222219</v>
      </c>
      <c r="E1533" s="69">
        <v>46023</v>
      </c>
      <c r="F1533" s="69"/>
      <c r="G1533" s="70">
        <f t="shared" ref="G1533:G1545" si="78">F1533-E1533</f>
        <v>-46023</v>
      </c>
      <c r="H1533" s="68" t="s">
        <v>248</v>
      </c>
      <c r="I1533" s="68"/>
      <c r="J1533" s="68" t="s">
        <v>300</v>
      </c>
      <c r="K1533" s="68" t="str">
        <f>_xlfn.XLOOKUP(J1533,REF!$D$2:$D$12,REF!$E$2:$E$12)</f>
        <v>Inversor</v>
      </c>
      <c r="L1533" s="68" t="s">
        <v>956</v>
      </c>
      <c r="M1533" s="68" t="s">
        <v>375</v>
      </c>
      <c r="N1533" s="68" t="s">
        <v>341</v>
      </c>
      <c r="O1533" s="68" t="s">
        <v>957</v>
      </c>
      <c r="P1533" s="68" t="str">
        <f>_xlfn.CONCAT(B1533,C1533,D1533,E1533,F1533)</f>
        <v>ARAGUATINS 2.1Inverter(MBUS-15)46012,284722222246023</v>
      </c>
      <c r="Q1533" s="68" t="str">
        <f t="shared" si="76"/>
        <v>DAUINV</v>
      </c>
    </row>
    <row r="1534" spans="1:17" ht="91.5" hidden="1">
      <c r="B1534" s="47" t="s">
        <v>508</v>
      </c>
      <c r="C1534" s="47" t="s">
        <v>524</v>
      </c>
      <c r="D1534" s="48">
        <v>45992</v>
      </c>
      <c r="E1534" s="48">
        <v>45992</v>
      </c>
      <c r="F1534" s="48">
        <v>46012.5</v>
      </c>
      <c r="G1534" s="56">
        <f>F1534-E1534</f>
        <v>20.5</v>
      </c>
      <c r="H1534" s="47" t="s">
        <v>336</v>
      </c>
      <c r="I1534" s="47"/>
      <c r="J1534" s="47" t="s">
        <v>230</v>
      </c>
      <c r="K1534" s="47" t="s">
        <v>230</v>
      </c>
      <c r="L1534" s="47" t="s">
        <v>958</v>
      </c>
      <c r="M1534" s="47" t="s">
        <v>302</v>
      </c>
      <c r="N1534" s="47" t="s">
        <v>303</v>
      </c>
      <c r="O1534" s="15" t="s">
        <v>959</v>
      </c>
      <c r="P1534" s="57" t="str">
        <f t="shared" ref="P1534:P1597" si="79">_xlfn.CONCAT(B1534,C1534,D1534,E1534,F1534)</f>
        <v>BC ParanoaSG60KTL(COM1-019)_002_007459924599246012,5</v>
      </c>
      <c r="Q1534" s="57" t="str">
        <f t="shared" ref="Q1534:Q1597" si="80">_xlfn.CONCAT(H1534,I1534,J1534)</f>
        <v>DEMUFV</v>
      </c>
    </row>
    <row r="1535" spans="1:17" ht="91.5" hidden="1">
      <c r="B1535" s="47" t="s">
        <v>508</v>
      </c>
      <c r="C1535" s="47" t="s">
        <v>525</v>
      </c>
      <c r="D1535" s="48">
        <v>45992</v>
      </c>
      <c r="E1535" s="48">
        <v>45992</v>
      </c>
      <c r="F1535" s="48">
        <v>46012.5</v>
      </c>
      <c r="G1535" s="56">
        <f>F1535-E1535</f>
        <v>20.5</v>
      </c>
      <c r="H1535" s="47" t="s">
        <v>336</v>
      </c>
      <c r="I1535" s="47"/>
      <c r="J1535" s="47" t="s">
        <v>230</v>
      </c>
      <c r="K1535" s="47" t="s">
        <v>230</v>
      </c>
      <c r="L1535" s="47" t="s">
        <v>958</v>
      </c>
      <c r="M1535" s="47" t="s">
        <v>302</v>
      </c>
      <c r="N1535" s="47" t="s">
        <v>303</v>
      </c>
      <c r="O1535" s="15" t="s">
        <v>959</v>
      </c>
      <c r="P1535" s="57" t="str">
        <f t="shared" si="79"/>
        <v>BC ParanoaSG60KTL(COM1-020)_002_011459924599246012,5</v>
      </c>
      <c r="Q1535" s="57" t="str">
        <f t="shared" si="80"/>
        <v>DEMUFV</v>
      </c>
    </row>
    <row r="1536" spans="1:17" ht="91.5" hidden="1">
      <c r="B1536" s="47" t="s">
        <v>508</v>
      </c>
      <c r="C1536" s="47" t="s">
        <v>526</v>
      </c>
      <c r="D1536" s="48">
        <v>45992</v>
      </c>
      <c r="E1536" s="48">
        <v>45992</v>
      </c>
      <c r="F1536" s="48">
        <v>46012.5</v>
      </c>
      <c r="G1536" s="56">
        <f t="shared" ref="G1536:G1546" si="81">F1536-E1536</f>
        <v>20.5</v>
      </c>
      <c r="H1536" s="47" t="s">
        <v>336</v>
      </c>
      <c r="I1536" s="47"/>
      <c r="J1536" s="47" t="s">
        <v>230</v>
      </c>
      <c r="K1536" s="47" t="s">
        <v>230</v>
      </c>
      <c r="L1536" s="47" t="s">
        <v>958</v>
      </c>
      <c r="M1536" s="47" t="s">
        <v>302</v>
      </c>
      <c r="N1536" s="47" t="s">
        <v>303</v>
      </c>
      <c r="O1536" s="15" t="s">
        <v>959</v>
      </c>
      <c r="P1536" s="57" t="str">
        <f t="shared" si="79"/>
        <v>BC ParanoaSG60KTL(COM1-021)_002_017459924599246012,5</v>
      </c>
      <c r="Q1536" s="57" t="str">
        <f t="shared" si="80"/>
        <v>DEMUFV</v>
      </c>
    </row>
    <row r="1537" spans="2:17" ht="91.5" hidden="1">
      <c r="B1537" s="47" t="s">
        <v>508</v>
      </c>
      <c r="C1537" s="47" t="s">
        <v>527</v>
      </c>
      <c r="D1537" s="48">
        <v>45992</v>
      </c>
      <c r="E1537" s="48">
        <v>45992</v>
      </c>
      <c r="F1537" s="48">
        <v>46008.5</v>
      </c>
      <c r="G1537" s="56">
        <f t="shared" si="81"/>
        <v>16.5</v>
      </c>
      <c r="H1537" s="47" t="s">
        <v>336</v>
      </c>
      <c r="I1537" s="47"/>
      <c r="J1537" s="47" t="s">
        <v>230</v>
      </c>
      <c r="K1537" s="47" t="s">
        <v>230</v>
      </c>
      <c r="L1537" s="47" t="s">
        <v>958</v>
      </c>
      <c r="M1537" s="47" t="s">
        <v>302</v>
      </c>
      <c r="N1537" s="47" t="s">
        <v>303</v>
      </c>
      <c r="O1537" s="15" t="s">
        <v>959</v>
      </c>
      <c r="P1537" s="57" t="str">
        <f t="shared" si="79"/>
        <v>BC ParanoaSG60KTL(COM1-022)_002_020459924599246008,5</v>
      </c>
      <c r="Q1537" s="57" t="str">
        <f t="shared" si="80"/>
        <v>DEMUFV</v>
      </c>
    </row>
    <row r="1538" spans="2:17" ht="91.5" hidden="1">
      <c r="B1538" s="47" t="s">
        <v>508</v>
      </c>
      <c r="C1538" s="47" t="s">
        <v>528</v>
      </c>
      <c r="D1538" s="48">
        <v>45992</v>
      </c>
      <c r="E1538" s="48">
        <v>45992</v>
      </c>
      <c r="F1538" s="48">
        <v>46008.5</v>
      </c>
      <c r="G1538" s="56">
        <f t="shared" si="81"/>
        <v>16.5</v>
      </c>
      <c r="H1538" s="47" t="s">
        <v>336</v>
      </c>
      <c r="I1538" s="47"/>
      <c r="J1538" s="47" t="s">
        <v>230</v>
      </c>
      <c r="K1538" s="47" t="s">
        <v>230</v>
      </c>
      <c r="L1538" s="47" t="s">
        <v>958</v>
      </c>
      <c r="M1538" s="47" t="s">
        <v>302</v>
      </c>
      <c r="N1538" s="47" t="s">
        <v>303</v>
      </c>
      <c r="O1538" s="15" t="s">
        <v>959</v>
      </c>
      <c r="P1538" s="57" t="str">
        <f t="shared" si="79"/>
        <v>BC ParanoaSG40CX(COM2-023)_002_024459924599246008,5</v>
      </c>
      <c r="Q1538" s="57" t="str">
        <f t="shared" si="80"/>
        <v>DEMUFV</v>
      </c>
    </row>
    <row r="1539" spans="2:17" ht="91.5" hidden="1">
      <c r="B1539" s="47" t="s">
        <v>508</v>
      </c>
      <c r="C1539" s="47" t="s">
        <v>529</v>
      </c>
      <c r="D1539" s="48">
        <v>45970.982638888891</v>
      </c>
      <c r="E1539" s="48">
        <v>45970.982638888891</v>
      </c>
      <c r="F1539" s="48">
        <v>46008.5</v>
      </c>
      <c r="G1539" s="56">
        <f t="shared" si="81"/>
        <v>37.517361111109494</v>
      </c>
      <c r="H1539" s="47" t="s">
        <v>336</v>
      </c>
      <c r="I1539" s="47"/>
      <c r="J1539" s="47" t="s">
        <v>230</v>
      </c>
      <c r="K1539" s="47" t="s">
        <v>230</v>
      </c>
      <c r="L1539" s="47" t="s">
        <v>958</v>
      </c>
      <c r="M1539" s="47" t="s">
        <v>302</v>
      </c>
      <c r="N1539" s="47" t="s">
        <v>303</v>
      </c>
      <c r="O1539" s="15" t="s">
        <v>959</v>
      </c>
      <c r="P1539" s="57" t="str">
        <f t="shared" si="79"/>
        <v>BC ParanoaSG40CX(COM2-024)_002_02245970,982638888945970,982638888946008,5</v>
      </c>
      <c r="Q1539" s="57" t="str">
        <f t="shared" si="80"/>
        <v>DEMUFV</v>
      </c>
    </row>
    <row r="1540" spans="2:17" ht="91.5" hidden="1">
      <c r="B1540" s="47" t="s">
        <v>508</v>
      </c>
      <c r="C1540" s="47" t="s">
        <v>542</v>
      </c>
      <c r="D1540" s="48">
        <v>45970.982638888891</v>
      </c>
      <c r="E1540" s="48">
        <v>45970.982638888891</v>
      </c>
      <c r="F1540" s="48">
        <v>46008.5</v>
      </c>
      <c r="G1540" s="56">
        <f t="shared" si="81"/>
        <v>37.517361111109494</v>
      </c>
      <c r="H1540" s="47" t="s">
        <v>336</v>
      </c>
      <c r="I1540" s="47"/>
      <c r="J1540" s="47" t="s">
        <v>230</v>
      </c>
      <c r="K1540" s="47" t="s">
        <v>230</v>
      </c>
      <c r="L1540" s="47" t="s">
        <v>958</v>
      </c>
      <c r="M1540" s="47" t="s">
        <v>302</v>
      </c>
      <c r="N1540" s="47" t="s">
        <v>303</v>
      </c>
      <c r="O1540" s="15" t="s">
        <v>959</v>
      </c>
      <c r="P1540" s="57" t="str">
        <f t="shared" si="79"/>
        <v>BC ParanoaSG60KTL(COM1-013)_002_00445970,982638888945970,982638888946008,5</v>
      </c>
      <c r="Q1540" s="57" t="str">
        <f t="shared" si="80"/>
        <v>DEMUFV</v>
      </c>
    </row>
    <row r="1541" spans="2:17" ht="91.5" hidden="1">
      <c r="B1541" s="47" t="s">
        <v>508</v>
      </c>
      <c r="C1541" s="47" t="s">
        <v>543</v>
      </c>
      <c r="D1541" s="48">
        <v>45970.982638888891</v>
      </c>
      <c r="E1541" s="48">
        <v>45970.982638888891</v>
      </c>
      <c r="F1541" s="48">
        <v>45991.999988425923</v>
      </c>
      <c r="G1541" s="56">
        <f t="shared" si="81"/>
        <v>21.017349537032715</v>
      </c>
      <c r="H1541" s="47" t="s">
        <v>336</v>
      </c>
      <c r="I1541" s="47"/>
      <c r="J1541" s="47" t="s">
        <v>230</v>
      </c>
      <c r="K1541" s="47" t="s">
        <v>230</v>
      </c>
      <c r="L1541" s="47" t="s">
        <v>958</v>
      </c>
      <c r="M1541" s="47" t="s">
        <v>302</v>
      </c>
      <c r="N1541" s="47" t="s">
        <v>303</v>
      </c>
      <c r="O1541" s="15" t="s">
        <v>959</v>
      </c>
      <c r="P1541" s="57" t="str">
        <f t="shared" si="79"/>
        <v>BC ParanoaSG60KTL(COM1-014)_002_01945970,982638888945970,982638888945991,9999884259</v>
      </c>
      <c r="Q1541" s="57" t="str">
        <f t="shared" si="80"/>
        <v>DEMUFV</v>
      </c>
    </row>
    <row r="1542" spans="2:17" ht="91.5" hidden="1">
      <c r="B1542" s="47" t="s">
        <v>508</v>
      </c>
      <c r="C1542" s="47" t="s">
        <v>544</v>
      </c>
      <c r="D1542" s="48">
        <v>45970.982638888891</v>
      </c>
      <c r="E1542" s="48">
        <v>45970.982638888891</v>
      </c>
      <c r="F1542" s="48">
        <v>45991.999988425923</v>
      </c>
      <c r="G1542" s="56">
        <f t="shared" si="81"/>
        <v>21.017349537032715</v>
      </c>
      <c r="H1542" s="47" t="s">
        <v>336</v>
      </c>
      <c r="I1542" s="47"/>
      <c r="J1542" s="47" t="s">
        <v>230</v>
      </c>
      <c r="K1542" s="47" t="s">
        <v>230</v>
      </c>
      <c r="L1542" s="47" t="s">
        <v>958</v>
      </c>
      <c r="M1542" s="47" t="s">
        <v>302</v>
      </c>
      <c r="N1542" s="47" t="s">
        <v>303</v>
      </c>
      <c r="O1542" s="15" t="s">
        <v>959</v>
      </c>
      <c r="P1542" s="57" t="str">
        <f t="shared" si="79"/>
        <v>BC ParanoaSG60KTL(COM1-015)_002_01845970,982638888945970,982638888945991,9999884259</v>
      </c>
      <c r="Q1542" s="57" t="str">
        <f t="shared" si="80"/>
        <v>DEMUFV</v>
      </c>
    </row>
    <row r="1543" spans="2:17" ht="91.5" hidden="1">
      <c r="B1543" s="47" t="s">
        <v>508</v>
      </c>
      <c r="C1543" s="47" t="s">
        <v>545</v>
      </c>
      <c r="D1543" s="48">
        <v>45970.982638888891</v>
      </c>
      <c r="E1543" s="48">
        <v>45970.982638888891</v>
      </c>
      <c r="F1543" s="48">
        <v>45991.999988425923</v>
      </c>
      <c r="G1543" s="56">
        <f t="shared" si="81"/>
        <v>21.017349537032715</v>
      </c>
      <c r="H1543" s="47" t="s">
        <v>336</v>
      </c>
      <c r="I1543" s="47"/>
      <c r="J1543" s="47" t="s">
        <v>230</v>
      </c>
      <c r="K1543" s="47" t="s">
        <v>230</v>
      </c>
      <c r="L1543" s="47" t="s">
        <v>958</v>
      </c>
      <c r="M1543" s="47" t="s">
        <v>302</v>
      </c>
      <c r="N1543" s="47" t="s">
        <v>303</v>
      </c>
      <c r="O1543" s="15" t="s">
        <v>959</v>
      </c>
      <c r="P1543" s="57" t="str">
        <f t="shared" si="79"/>
        <v>BC ParanoaSG60KTL(COM1-016)_002_01445970,982638888945970,982638888945991,9999884259</v>
      </c>
      <c r="Q1543" s="57" t="str">
        <f t="shared" si="80"/>
        <v>DEMUFV</v>
      </c>
    </row>
    <row r="1544" spans="2:17" ht="91.5" hidden="1">
      <c r="B1544" s="47" t="s">
        <v>508</v>
      </c>
      <c r="C1544" s="47" t="s">
        <v>546</v>
      </c>
      <c r="D1544" s="48">
        <v>45970.982638888891</v>
      </c>
      <c r="E1544" s="48">
        <v>45970.982638888891</v>
      </c>
      <c r="F1544" s="48">
        <v>45991.999988425923</v>
      </c>
      <c r="G1544" s="56">
        <f t="shared" si="81"/>
        <v>21.017349537032715</v>
      </c>
      <c r="H1544" s="47" t="s">
        <v>336</v>
      </c>
      <c r="I1544" s="47"/>
      <c r="J1544" s="47" t="s">
        <v>230</v>
      </c>
      <c r="K1544" s="47" t="s">
        <v>230</v>
      </c>
      <c r="L1544" s="47" t="s">
        <v>958</v>
      </c>
      <c r="M1544" s="47" t="s">
        <v>302</v>
      </c>
      <c r="N1544" s="47" t="s">
        <v>303</v>
      </c>
      <c r="O1544" s="15" t="s">
        <v>959</v>
      </c>
      <c r="P1544" s="57" t="str">
        <f t="shared" si="79"/>
        <v>BC ParanoaSG60KTL(COM1-017)_002_01545970,982638888945970,982638888945991,9999884259</v>
      </c>
      <c r="Q1544" s="57" t="str">
        <f t="shared" si="80"/>
        <v>DEMUFV</v>
      </c>
    </row>
    <row r="1545" spans="2:17" ht="91.5" hidden="1">
      <c r="B1545" s="47" t="s">
        <v>508</v>
      </c>
      <c r="C1545" s="47" t="s">
        <v>547</v>
      </c>
      <c r="D1545" s="48">
        <v>45970.982638888891</v>
      </c>
      <c r="E1545" s="48">
        <v>45970.982638888891</v>
      </c>
      <c r="F1545" s="48">
        <v>45991.999988425923</v>
      </c>
      <c r="G1545" s="56">
        <f t="shared" si="81"/>
        <v>21.017349537032715</v>
      </c>
      <c r="H1545" s="47" t="s">
        <v>336</v>
      </c>
      <c r="I1545" s="47"/>
      <c r="J1545" s="47" t="s">
        <v>230</v>
      </c>
      <c r="K1545" s="47" t="s">
        <v>230</v>
      </c>
      <c r="L1545" s="47" t="s">
        <v>958</v>
      </c>
      <c r="M1545" s="47" t="s">
        <v>302</v>
      </c>
      <c r="N1545" s="47" t="s">
        <v>303</v>
      </c>
      <c r="O1545" s="15" t="s">
        <v>959</v>
      </c>
      <c r="P1545" s="57" t="str">
        <f t="shared" si="79"/>
        <v>BC ParanoaSG60KTL(COM1-018)_002_01245970,982638888945970,982638888945991,9999884259</v>
      </c>
      <c r="Q1545" s="57" t="str">
        <f t="shared" si="80"/>
        <v>DEMUFV</v>
      </c>
    </row>
    <row r="1546" spans="2:17" hidden="1">
      <c r="G1546" s="56">
        <f t="shared" si="81"/>
        <v>0</v>
      </c>
      <c r="K1546" s="1" t="e">
        <f>_xlfn.XLOOKUP(J1546,REF!$D$2:$D$12,REF!$E$2:$E$12)</f>
        <v>#N/A</v>
      </c>
      <c r="P1546" s="57" t="str">
        <f t="shared" si="79"/>
        <v/>
      </c>
      <c r="Q1546" s="57" t="str">
        <f t="shared" si="80"/>
        <v/>
      </c>
    </row>
    <row r="1547" spans="2:17" hidden="1">
      <c r="G1547" s="53">
        <f>+F1547-E1547</f>
        <v>0</v>
      </c>
      <c r="K1547" s="1" t="e">
        <f>_xlfn.XLOOKUP(J1547,REF!$D$2:$D$12,REF!$E$2:$E$12)</f>
        <v>#N/A</v>
      </c>
      <c r="P1547" s="57" t="str">
        <f t="shared" si="79"/>
        <v/>
      </c>
      <c r="Q1547" s="57" t="str">
        <f t="shared" si="80"/>
        <v/>
      </c>
    </row>
    <row r="1548" spans="2:17" hidden="1">
      <c r="G1548" s="53">
        <f>+F1548-E1548</f>
        <v>0</v>
      </c>
      <c r="K1548" s="1" t="e">
        <f>_xlfn.XLOOKUP(J1548,REF!$D$2:$D$12,REF!$E$2:$E$12)</f>
        <v>#N/A</v>
      </c>
      <c r="P1548" s="57" t="str">
        <f t="shared" si="79"/>
        <v/>
      </c>
      <c r="Q1548" s="57" t="str">
        <f t="shared" si="80"/>
        <v/>
      </c>
    </row>
    <row r="1549" spans="2:17" hidden="1">
      <c r="G1549" s="53">
        <f>+F1549-E1549</f>
        <v>0</v>
      </c>
      <c r="K1549" s="1" t="e">
        <f>_xlfn.XLOOKUP(J1549,REF!$D$2:$D$12,REF!$E$2:$E$12)</f>
        <v>#N/A</v>
      </c>
      <c r="P1549" s="57" t="str">
        <f t="shared" si="79"/>
        <v/>
      </c>
      <c r="Q1549" s="57" t="str">
        <f t="shared" si="80"/>
        <v/>
      </c>
    </row>
    <row r="1550" spans="2:17" hidden="1">
      <c r="G1550" s="53">
        <f>+F1550-E1550</f>
        <v>0</v>
      </c>
      <c r="K1550" s="1" t="e">
        <f>_xlfn.XLOOKUP(J1550,REF!$D$2:$D$12,REF!$E$2:$E$12)</f>
        <v>#N/A</v>
      </c>
      <c r="P1550" s="57" t="str">
        <f t="shared" si="79"/>
        <v/>
      </c>
      <c r="Q1550" s="57" t="str">
        <f t="shared" si="80"/>
        <v/>
      </c>
    </row>
    <row r="1551" spans="2:17" hidden="1">
      <c r="G1551" s="53">
        <f>+F1551-E1551</f>
        <v>0</v>
      </c>
      <c r="K1551" s="1" t="e">
        <f>_xlfn.XLOOKUP(J1551,REF!$D$2:$D$12,REF!$E$2:$E$12)</f>
        <v>#N/A</v>
      </c>
      <c r="P1551" s="57" t="str">
        <f t="shared" si="79"/>
        <v/>
      </c>
      <c r="Q1551" s="57" t="str">
        <f t="shared" si="80"/>
        <v/>
      </c>
    </row>
    <row r="1552" spans="2:17" hidden="1">
      <c r="G1552" s="53">
        <f>+F1552-E1552</f>
        <v>0</v>
      </c>
      <c r="K1552" s="1" t="e">
        <f>_xlfn.XLOOKUP(J1552,REF!$D$2:$D$12,REF!$E$2:$E$12)</f>
        <v>#N/A</v>
      </c>
      <c r="P1552" s="57" t="str">
        <f t="shared" si="79"/>
        <v/>
      </c>
      <c r="Q1552" s="57" t="str">
        <f t="shared" si="80"/>
        <v/>
      </c>
    </row>
    <row r="1553" spans="7:17" hidden="1">
      <c r="G1553" s="53">
        <f>+F1553-E1553</f>
        <v>0</v>
      </c>
      <c r="K1553" s="1" t="e">
        <f>_xlfn.XLOOKUP(J1553,REF!$D$2:$D$12,REF!$E$2:$E$12)</f>
        <v>#N/A</v>
      </c>
      <c r="P1553" s="57" t="str">
        <f t="shared" si="79"/>
        <v/>
      </c>
      <c r="Q1553" s="57" t="str">
        <f t="shared" si="80"/>
        <v/>
      </c>
    </row>
    <row r="1554" spans="7:17" hidden="1">
      <c r="G1554" s="53">
        <f>+F1554-E1554</f>
        <v>0</v>
      </c>
      <c r="K1554" s="1" t="e">
        <f>_xlfn.XLOOKUP(J1554,REF!$D$2:$D$12,REF!$E$2:$E$12)</f>
        <v>#N/A</v>
      </c>
      <c r="P1554" s="57" t="str">
        <f t="shared" si="79"/>
        <v/>
      </c>
      <c r="Q1554" s="57" t="str">
        <f t="shared" si="80"/>
        <v/>
      </c>
    </row>
    <row r="1555" spans="7:17" hidden="1">
      <c r="G1555" s="53">
        <f>+F1555-E1555</f>
        <v>0</v>
      </c>
      <c r="K1555" s="1" t="e">
        <f>_xlfn.XLOOKUP(J1555,REF!$D$2:$D$12,REF!$E$2:$E$12)</f>
        <v>#N/A</v>
      </c>
      <c r="P1555" s="57" t="str">
        <f t="shared" si="79"/>
        <v/>
      </c>
      <c r="Q1555" s="57" t="str">
        <f t="shared" si="80"/>
        <v/>
      </c>
    </row>
    <row r="1556" spans="7:17" hidden="1">
      <c r="G1556" s="53">
        <f>+F1556-E1556</f>
        <v>0</v>
      </c>
      <c r="K1556" s="1" t="e">
        <f>_xlfn.XLOOKUP(J1556,REF!$D$2:$D$12,REF!$E$2:$E$12)</f>
        <v>#N/A</v>
      </c>
      <c r="P1556" s="57" t="str">
        <f t="shared" si="79"/>
        <v/>
      </c>
      <c r="Q1556" s="57" t="str">
        <f t="shared" si="80"/>
        <v/>
      </c>
    </row>
    <row r="1557" spans="7:17" hidden="1">
      <c r="G1557" s="53">
        <f>+F1557-E1557</f>
        <v>0</v>
      </c>
      <c r="K1557" s="1" t="e">
        <f>_xlfn.XLOOKUP(J1557,REF!$D$2:$D$12,REF!$E$2:$E$12)</f>
        <v>#N/A</v>
      </c>
      <c r="P1557" s="57" t="str">
        <f t="shared" si="79"/>
        <v/>
      </c>
      <c r="Q1557" s="57" t="str">
        <f t="shared" si="80"/>
        <v/>
      </c>
    </row>
    <row r="1558" spans="7:17" hidden="1">
      <c r="G1558" s="53">
        <f>+F1558-E1558</f>
        <v>0</v>
      </c>
      <c r="K1558" s="1" t="e">
        <f>_xlfn.XLOOKUP(J1558,REF!$D$2:$D$12,REF!$E$2:$E$12)</f>
        <v>#N/A</v>
      </c>
      <c r="P1558" s="57" t="str">
        <f t="shared" si="79"/>
        <v/>
      </c>
      <c r="Q1558" s="57" t="str">
        <f t="shared" si="80"/>
        <v/>
      </c>
    </row>
    <row r="1559" spans="7:17" hidden="1">
      <c r="G1559" s="53">
        <f>+F1559-E1559</f>
        <v>0</v>
      </c>
      <c r="K1559" s="1" t="e">
        <f>_xlfn.XLOOKUP(J1559,REF!$D$2:$D$12,REF!$E$2:$E$12)</f>
        <v>#N/A</v>
      </c>
      <c r="P1559" s="57" t="str">
        <f t="shared" si="79"/>
        <v/>
      </c>
      <c r="Q1559" s="57" t="str">
        <f t="shared" si="80"/>
        <v/>
      </c>
    </row>
    <row r="1560" spans="7:17" hidden="1">
      <c r="G1560" s="53">
        <f>+F1560-E1560</f>
        <v>0</v>
      </c>
      <c r="K1560" s="1" t="e">
        <f>_xlfn.XLOOKUP(J1560,REF!$D$2:$D$12,REF!$E$2:$E$12)</f>
        <v>#N/A</v>
      </c>
      <c r="P1560" s="57" t="str">
        <f t="shared" si="79"/>
        <v/>
      </c>
      <c r="Q1560" s="57" t="str">
        <f t="shared" si="80"/>
        <v/>
      </c>
    </row>
    <row r="1561" spans="7:17" hidden="1">
      <c r="G1561" s="53">
        <f>+F1561-E1561</f>
        <v>0</v>
      </c>
      <c r="K1561" s="1" t="e">
        <f>_xlfn.XLOOKUP(J1561,REF!$D$2:$D$12,REF!$E$2:$E$12)</f>
        <v>#N/A</v>
      </c>
      <c r="P1561" s="57" t="str">
        <f t="shared" si="79"/>
        <v/>
      </c>
      <c r="Q1561" s="57" t="str">
        <f t="shared" si="80"/>
        <v/>
      </c>
    </row>
    <row r="1562" spans="7:17" hidden="1">
      <c r="G1562" s="53">
        <f>+F1562-E1562</f>
        <v>0</v>
      </c>
      <c r="K1562" s="1" t="e">
        <f>_xlfn.XLOOKUP(J1562,REF!$D$2:$D$12,REF!$E$2:$E$12)</f>
        <v>#N/A</v>
      </c>
      <c r="P1562" s="57" t="str">
        <f t="shared" si="79"/>
        <v/>
      </c>
      <c r="Q1562" s="57" t="str">
        <f t="shared" si="80"/>
        <v/>
      </c>
    </row>
    <row r="1563" spans="7:17" hidden="1">
      <c r="G1563" s="53">
        <f>+F1563-E1563</f>
        <v>0</v>
      </c>
      <c r="K1563" s="1" t="e">
        <f>_xlfn.XLOOKUP(J1563,REF!$D$2:$D$12,REF!$E$2:$E$12)</f>
        <v>#N/A</v>
      </c>
      <c r="P1563" s="57" t="str">
        <f t="shared" si="79"/>
        <v/>
      </c>
      <c r="Q1563" s="57" t="str">
        <f t="shared" si="80"/>
        <v/>
      </c>
    </row>
    <row r="1564" spans="7:17" hidden="1">
      <c r="G1564" s="53">
        <f>+F1564-E1564</f>
        <v>0</v>
      </c>
      <c r="K1564" s="1" t="e">
        <f>_xlfn.XLOOKUP(J1564,REF!$D$2:$D$12,REF!$E$2:$E$12)</f>
        <v>#N/A</v>
      </c>
      <c r="P1564" s="57" t="str">
        <f t="shared" si="79"/>
        <v/>
      </c>
      <c r="Q1564" s="57" t="str">
        <f t="shared" si="80"/>
        <v/>
      </c>
    </row>
    <row r="1565" spans="7:17" hidden="1">
      <c r="G1565" s="53">
        <f>+F1565-E1565</f>
        <v>0</v>
      </c>
      <c r="K1565" s="1" t="e">
        <f>_xlfn.XLOOKUP(J1565,REF!$D$2:$D$12,REF!$E$2:$E$12)</f>
        <v>#N/A</v>
      </c>
      <c r="P1565" s="57" t="str">
        <f t="shared" si="79"/>
        <v/>
      </c>
      <c r="Q1565" s="57" t="str">
        <f t="shared" si="80"/>
        <v/>
      </c>
    </row>
    <row r="1566" spans="7:17" hidden="1">
      <c r="G1566" s="53">
        <f>+F1566-E1566</f>
        <v>0</v>
      </c>
      <c r="K1566" s="1" t="e">
        <f>_xlfn.XLOOKUP(J1566,REF!$D$2:$D$12,REF!$E$2:$E$12)</f>
        <v>#N/A</v>
      </c>
      <c r="P1566" s="57" t="str">
        <f t="shared" si="79"/>
        <v/>
      </c>
      <c r="Q1566" s="57" t="str">
        <f t="shared" si="80"/>
        <v/>
      </c>
    </row>
    <row r="1567" spans="7:17" hidden="1">
      <c r="G1567" s="53">
        <f>+F1567-E1567</f>
        <v>0</v>
      </c>
      <c r="K1567" s="1" t="e">
        <f>_xlfn.XLOOKUP(J1567,REF!$D$2:$D$12,REF!$E$2:$E$12)</f>
        <v>#N/A</v>
      </c>
      <c r="P1567" s="57" t="str">
        <f t="shared" si="79"/>
        <v/>
      </c>
      <c r="Q1567" s="57" t="str">
        <f t="shared" si="80"/>
        <v/>
      </c>
    </row>
    <row r="1568" spans="7:17" hidden="1">
      <c r="G1568" s="53">
        <f>+F1568-E1568</f>
        <v>0</v>
      </c>
      <c r="K1568" s="1" t="e">
        <f>_xlfn.XLOOKUP(J1568,REF!$D$2:$D$12,REF!$E$2:$E$12)</f>
        <v>#N/A</v>
      </c>
      <c r="P1568" s="57" t="str">
        <f t="shared" si="79"/>
        <v/>
      </c>
      <c r="Q1568" s="57" t="str">
        <f t="shared" si="80"/>
        <v/>
      </c>
    </row>
    <row r="1569" spans="7:17" hidden="1">
      <c r="G1569" s="53">
        <f>+F1569-E1569</f>
        <v>0</v>
      </c>
      <c r="K1569" s="1" t="e">
        <f>_xlfn.XLOOKUP(J1569,REF!$D$2:$D$12,REF!$E$2:$E$12)</f>
        <v>#N/A</v>
      </c>
      <c r="P1569" s="57" t="str">
        <f t="shared" si="79"/>
        <v/>
      </c>
      <c r="Q1569" s="57" t="str">
        <f t="shared" si="80"/>
        <v/>
      </c>
    </row>
    <row r="1570" spans="7:17" hidden="1">
      <c r="G1570" s="53">
        <f>+F1570-E1570</f>
        <v>0</v>
      </c>
      <c r="K1570" s="1" t="e">
        <f>_xlfn.XLOOKUP(J1570,REF!$D$2:$D$12,REF!$E$2:$E$12)</f>
        <v>#N/A</v>
      </c>
      <c r="P1570" s="57" t="str">
        <f t="shared" si="79"/>
        <v/>
      </c>
      <c r="Q1570" s="57" t="str">
        <f t="shared" si="80"/>
        <v/>
      </c>
    </row>
    <row r="1571" spans="7:17" hidden="1">
      <c r="G1571" s="53">
        <f>+F1571-E1571</f>
        <v>0</v>
      </c>
      <c r="K1571" s="1" t="e">
        <f>_xlfn.XLOOKUP(J1571,REF!$D$2:$D$12,REF!$E$2:$E$12)</f>
        <v>#N/A</v>
      </c>
      <c r="P1571" s="57" t="str">
        <f t="shared" si="79"/>
        <v/>
      </c>
      <c r="Q1571" s="57" t="str">
        <f t="shared" si="80"/>
        <v/>
      </c>
    </row>
    <row r="1572" spans="7:17" hidden="1">
      <c r="G1572" s="53">
        <f>+F1572-E1572</f>
        <v>0</v>
      </c>
      <c r="K1572" s="1" t="e">
        <f>_xlfn.XLOOKUP(J1572,REF!$D$2:$D$12,REF!$E$2:$E$12)</f>
        <v>#N/A</v>
      </c>
      <c r="P1572" s="57" t="str">
        <f t="shared" si="79"/>
        <v/>
      </c>
      <c r="Q1572" s="57" t="str">
        <f t="shared" si="80"/>
        <v/>
      </c>
    </row>
    <row r="1573" spans="7:17" hidden="1">
      <c r="G1573" s="53">
        <f>+F1573-E1573</f>
        <v>0</v>
      </c>
      <c r="K1573" s="1" t="e">
        <f>_xlfn.XLOOKUP(J1573,REF!$D$2:$D$12,REF!$E$2:$E$12)</f>
        <v>#N/A</v>
      </c>
      <c r="P1573" s="57" t="str">
        <f t="shared" si="79"/>
        <v/>
      </c>
      <c r="Q1573" s="57" t="str">
        <f t="shared" si="80"/>
        <v/>
      </c>
    </row>
    <row r="1574" spans="7:17" hidden="1">
      <c r="G1574" s="53">
        <f>+F1574-E1574</f>
        <v>0</v>
      </c>
      <c r="K1574" s="1" t="e">
        <f>_xlfn.XLOOKUP(J1574,REF!$D$2:$D$12,REF!$E$2:$E$12)</f>
        <v>#N/A</v>
      </c>
      <c r="P1574" s="57" t="str">
        <f t="shared" si="79"/>
        <v/>
      </c>
      <c r="Q1574" s="57" t="str">
        <f t="shared" si="80"/>
        <v/>
      </c>
    </row>
    <row r="1575" spans="7:17" hidden="1">
      <c r="G1575" s="53">
        <f>+F1575-E1575</f>
        <v>0</v>
      </c>
      <c r="K1575" s="1" t="e">
        <f>_xlfn.XLOOKUP(J1575,REF!$D$2:$D$12,REF!$E$2:$E$12)</f>
        <v>#N/A</v>
      </c>
      <c r="P1575" s="57" t="str">
        <f t="shared" si="79"/>
        <v/>
      </c>
      <c r="Q1575" s="57" t="str">
        <f t="shared" si="80"/>
        <v/>
      </c>
    </row>
    <row r="1576" spans="7:17" hidden="1">
      <c r="G1576" s="53">
        <f>+F1576-E1576</f>
        <v>0</v>
      </c>
      <c r="K1576" s="1" t="e">
        <f>_xlfn.XLOOKUP(J1576,REF!$D$2:$D$12,REF!$E$2:$E$12)</f>
        <v>#N/A</v>
      </c>
      <c r="P1576" s="57" t="str">
        <f t="shared" si="79"/>
        <v/>
      </c>
      <c r="Q1576" s="57" t="str">
        <f t="shared" si="80"/>
        <v/>
      </c>
    </row>
    <row r="1577" spans="7:17" hidden="1">
      <c r="G1577" s="53">
        <f>+F1577-E1577</f>
        <v>0</v>
      </c>
      <c r="K1577" s="1" t="e">
        <f>_xlfn.XLOOKUP(J1577,REF!$D$2:$D$12,REF!$E$2:$E$12)</f>
        <v>#N/A</v>
      </c>
      <c r="P1577" s="57" t="str">
        <f t="shared" si="79"/>
        <v/>
      </c>
      <c r="Q1577" s="57" t="str">
        <f t="shared" si="80"/>
        <v/>
      </c>
    </row>
    <row r="1578" spans="7:17" hidden="1">
      <c r="G1578" s="53">
        <f>+F1578-E1578</f>
        <v>0</v>
      </c>
      <c r="K1578" s="1" t="e">
        <f>_xlfn.XLOOKUP(J1578,REF!$D$2:$D$12,REF!$E$2:$E$12)</f>
        <v>#N/A</v>
      </c>
      <c r="P1578" s="57" t="str">
        <f t="shared" si="79"/>
        <v/>
      </c>
      <c r="Q1578" s="57" t="str">
        <f t="shared" si="80"/>
        <v/>
      </c>
    </row>
    <row r="1579" spans="7:17" hidden="1">
      <c r="G1579" s="53">
        <f>+F1579-E1579</f>
        <v>0</v>
      </c>
      <c r="K1579" s="1" t="e">
        <f>_xlfn.XLOOKUP(J1579,REF!$D$2:$D$12,REF!$E$2:$E$12)</f>
        <v>#N/A</v>
      </c>
      <c r="P1579" s="57" t="str">
        <f t="shared" si="79"/>
        <v/>
      </c>
      <c r="Q1579" s="57" t="str">
        <f t="shared" si="80"/>
        <v/>
      </c>
    </row>
    <row r="1580" spans="7:17" hidden="1">
      <c r="G1580" s="53">
        <f>+F1580-E1580</f>
        <v>0</v>
      </c>
      <c r="K1580" s="1" t="e">
        <f>_xlfn.XLOOKUP(J1580,REF!$D$2:$D$12,REF!$E$2:$E$12)</f>
        <v>#N/A</v>
      </c>
      <c r="P1580" s="57" t="str">
        <f t="shared" si="79"/>
        <v/>
      </c>
      <c r="Q1580" s="57" t="str">
        <f t="shared" si="80"/>
        <v/>
      </c>
    </row>
    <row r="1581" spans="7:17" hidden="1">
      <c r="G1581" s="53">
        <f>+F1581-E1581</f>
        <v>0</v>
      </c>
      <c r="K1581" s="1" t="e">
        <f>_xlfn.XLOOKUP(J1581,REF!$D$2:$D$12,REF!$E$2:$E$12)</f>
        <v>#N/A</v>
      </c>
      <c r="P1581" s="57" t="str">
        <f t="shared" si="79"/>
        <v/>
      </c>
      <c r="Q1581" s="57" t="str">
        <f t="shared" si="80"/>
        <v/>
      </c>
    </row>
    <row r="1582" spans="7:17" hidden="1">
      <c r="G1582" s="53">
        <f>+F1582-E1582</f>
        <v>0</v>
      </c>
      <c r="K1582" s="1" t="e">
        <f>_xlfn.XLOOKUP(J1582,REF!$D$2:$D$12,REF!$E$2:$E$12)</f>
        <v>#N/A</v>
      </c>
      <c r="P1582" s="57" t="str">
        <f t="shared" si="79"/>
        <v/>
      </c>
      <c r="Q1582" s="57" t="str">
        <f t="shared" si="80"/>
        <v/>
      </c>
    </row>
    <row r="1583" spans="7:17" hidden="1">
      <c r="G1583" s="53">
        <f>+F1583-E1583</f>
        <v>0</v>
      </c>
      <c r="K1583" s="1" t="e">
        <f>_xlfn.XLOOKUP(J1583,REF!$D$2:$D$12,REF!$E$2:$E$12)</f>
        <v>#N/A</v>
      </c>
      <c r="P1583" s="57" t="str">
        <f t="shared" si="79"/>
        <v/>
      </c>
      <c r="Q1583" s="57" t="str">
        <f t="shared" si="80"/>
        <v/>
      </c>
    </row>
    <row r="1584" spans="7:17" hidden="1">
      <c r="G1584" s="53">
        <f>+F1584-E1584</f>
        <v>0</v>
      </c>
      <c r="K1584" s="1" t="e">
        <f>_xlfn.XLOOKUP(J1584,REF!$D$2:$D$12,REF!$E$2:$E$12)</f>
        <v>#N/A</v>
      </c>
      <c r="P1584" s="57" t="str">
        <f t="shared" si="79"/>
        <v/>
      </c>
      <c r="Q1584" s="57" t="str">
        <f t="shared" si="80"/>
        <v/>
      </c>
    </row>
    <row r="1585" spans="7:17" hidden="1">
      <c r="G1585" s="53">
        <f>+F1585-E1585</f>
        <v>0</v>
      </c>
      <c r="K1585" s="1" t="e">
        <f>_xlfn.XLOOKUP(J1585,REF!$D$2:$D$12,REF!$E$2:$E$12)</f>
        <v>#N/A</v>
      </c>
      <c r="P1585" s="57" t="str">
        <f t="shared" si="79"/>
        <v/>
      </c>
      <c r="Q1585" s="57" t="str">
        <f t="shared" si="80"/>
        <v/>
      </c>
    </row>
    <row r="1586" spans="7:17" hidden="1">
      <c r="G1586" s="53">
        <f>+F1586-E1586</f>
        <v>0</v>
      </c>
      <c r="K1586" s="1" t="e">
        <f>_xlfn.XLOOKUP(J1586,REF!$D$2:$D$12,REF!$E$2:$E$12)</f>
        <v>#N/A</v>
      </c>
      <c r="P1586" s="57" t="str">
        <f t="shared" si="79"/>
        <v/>
      </c>
      <c r="Q1586" s="57" t="str">
        <f t="shared" si="80"/>
        <v/>
      </c>
    </row>
    <row r="1587" spans="7:17" hidden="1">
      <c r="G1587" s="53">
        <f>+F1587-E1587</f>
        <v>0</v>
      </c>
      <c r="K1587" s="1" t="e">
        <f>_xlfn.XLOOKUP(J1587,REF!$D$2:$D$12,REF!$E$2:$E$12)</f>
        <v>#N/A</v>
      </c>
      <c r="P1587" s="57" t="str">
        <f t="shared" si="79"/>
        <v/>
      </c>
      <c r="Q1587" s="57" t="str">
        <f t="shared" si="80"/>
        <v/>
      </c>
    </row>
    <row r="1588" spans="7:17" hidden="1">
      <c r="G1588" s="53">
        <f>+F1588-E1588</f>
        <v>0</v>
      </c>
      <c r="K1588" s="1" t="e">
        <f>_xlfn.XLOOKUP(J1588,REF!$D$2:$D$12,REF!$E$2:$E$12)</f>
        <v>#N/A</v>
      </c>
      <c r="P1588" s="57" t="str">
        <f t="shared" si="79"/>
        <v/>
      </c>
      <c r="Q1588" s="57" t="str">
        <f t="shared" si="80"/>
        <v/>
      </c>
    </row>
    <row r="1589" spans="7:17" hidden="1">
      <c r="G1589" s="53">
        <f>+F1589-E1589</f>
        <v>0</v>
      </c>
      <c r="K1589" s="1" t="e">
        <f>_xlfn.XLOOKUP(J1589,REF!$D$2:$D$12,REF!$E$2:$E$12)</f>
        <v>#N/A</v>
      </c>
      <c r="P1589" s="57" t="str">
        <f t="shared" si="79"/>
        <v/>
      </c>
      <c r="Q1589" s="57" t="str">
        <f t="shared" si="80"/>
        <v/>
      </c>
    </row>
    <row r="1590" spans="7:17" hidden="1">
      <c r="G1590" s="53">
        <f>+F1590-E1590</f>
        <v>0</v>
      </c>
      <c r="K1590" s="1" t="e">
        <f>_xlfn.XLOOKUP(J1590,REF!$D$2:$D$12,REF!$E$2:$E$12)</f>
        <v>#N/A</v>
      </c>
      <c r="P1590" s="57" t="str">
        <f t="shared" si="79"/>
        <v/>
      </c>
      <c r="Q1590" s="57" t="str">
        <f t="shared" si="80"/>
        <v/>
      </c>
    </row>
    <row r="1591" spans="7:17" hidden="1">
      <c r="G1591" s="53">
        <f>+F1591-E1591</f>
        <v>0</v>
      </c>
      <c r="K1591" s="1" t="e">
        <f>_xlfn.XLOOKUP(J1591,REF!$D$2:$D$12,REF!$E$2:$E$12)</f>
        <v>#N/A</v>
      </c>
      <c r="P1591" s="57" t="str">
        <f t="shared" si="79"/>
        <v/>
      </c>
      <c r="Q1591" s="57" t="str">
        <f t="shared" si="80"/>
        <v/>
      </c>
    </row>
    <row r="1592" spans="7:17" hidden="1">
      <c r="G1592" s="53">
        <f>+F1592-E1592</f>
        <v>0</v>
      </c>
      <c r="K1592" s="1" t="e">
        <f>_xlfn.XLOOKUP(J1592,REF!$D$2:$D$12,REF!$E$2:$E$12)</f>
        <v>#N/A</v>
      </c>
      <c r="P1592" s="57" t="str">
        <f t="shared" si="79"/>
        <v/>
      </c>
      <c r="Q1592" s="57" t="str">
        <f t="shared" si="80"/>
        <v/>
      </c>
    </row>
    <row r="1593" spans="7:17" hidden="1">
      <c r="G1593" s="53">
        <f>+F1593-E1593</f>
        <v>0</v>
      </c>
      <c r="K1593" s="1" t="e">
        <f>_xlfn.XLOOKUP(J1593,REF!$D$2:$D$12,REF!$E$2:$E$12)</f>
        <v>#N/A</v>
      </c>
      <c r="P1593" s="57" t="str">
        <f t="shared" si="79"/>
        <v/>
      </c>
      <c r="Q1593" s="57" t="str">
        <f t="shared" si="80"/>
        <v/>
      </c>
    </row>
    <row r="1594" spans="7:17" hidden="1">
      <c r="G1594" s="53">
        <f>+F1594-E1594</f>
        <v>0</v>
      </c>
      <c r="K1594" s="1" t="e">
        <f>_xlfn.XLOOKUP(J1594,REF!$D$2:$D$12,REF!$E$2:$E$12)</f>
        <v>#N/A</v>
      </c>
      <c r="P1594" s="57" t="str">
        <f t="shared" si="79"/>
        <v/>
      </c>
      <c r="Q1594" s="57" t="str">
        <f t="shared" si="80"/>
        <v/>
      </c>
    </row>
    <row r="1595" spans="7:17" hidden="1">
      <c r="G1595" s="53">
        <f>+F1595-E1595</f>
        <v>0</v>
      </c>
      <c r="K1595" s="1" t="e">
        <f>_xlfn.XLOOKUP(J1595,REF!$D$2:$D$12,REF!$E$2:$E$12)</f>
        <v>#N/A</v>
      </c>
      <c r="P1595" s="57" t="str">
        <f t="shared" si="79"/>
        <v/>
      </c>
      <c r="Q1595" s="57" t="str">
        <f t="shared" si="80"/>
        <v/>
      </c>
    </row>
    <row r="1596" spans="7:17" hidden="1">
      <c r="G1596" s="53">
        <f>+F1596-E1596</f>
        <v>0</v>
      </c>
      <c r="K1596" s="1" t="e">
        <f>_xlfn.XLOOKUP(J1596,REF!$D$2:$D$12,REF!$E$2:$E$12)</f>
        <v>#N/A</v>
      </c>
      <c r="P1596" s="57" t="str">
        <f t="shared" si="79"/>
        <v/>
      </c>
      <c r="Q1596" s="57" t="str">
        <f t="shared" si="80"/>
        <v/>
      </c>
    </row>
    <row r="1597" spans="7:17" hidden="1">
      <c r="G1597" s="53">
        <f>+F1597-E1597</f>
        <v>0</v>
      </c>
      <c r="K1597" s="1" t="e">
        <f>_xlfn.XLOOKUP(J1597,REF!$D$2:$D$12,REF!$E$2:$E$12)</f>
        <v>#N/A</v>
      </c>
      <c r="P1597" s="57" t="str">
        <f t="shared" si="79"/>
        <v/>
      </c>
      <c r="Q1597" s="57" t="str">
        <f t="shared" si="80"/>
        <v/>
      </c>
    </row>
    <row r="1598" spans="7:17" hidden="1">
      <c r="G1598" s="53">
        <f>+F1598-E1598</f>
        <v>0</v>
      </c>
      <c r="K1598" s="1" t="e">
        <f>_xlfn.XLOOKUP(J1598,REF!$D$2:$D$12,REF!$E$2:$E$12)</f>
        <v>#N/A</v>
      </c>
      <c r="P1598" s="57" t="str">
        <f t="shared" ref="P1598:P1607" si="82">_xlfn.CONCAT(B1598,C1598,D1598,E1598,F1598)</f>
        <v/>
      </c>
      <c r="Q1598" s="57" t="str">
        <f t="shared" ref="Q1598:Q1607" si="83">_xlfn.CONCAT(H1598,I1598,J1598)</f>
        <v/>
      </c>
    </row>
    <row r="1599" spans="7:17" hidden="1">
      <c r="G1599" s="53">
        <f>+F1599-E1599</f>
        <v>0</v>
      </c>
      <c r="K1599" s="1" t="e">
        <f>_xlfn.XLOOKUP(J1599,REF!$D$2:$D$12,REF!$E$2:$E$12)</f>
        <v>#N/A</v>
      </c>
      <c r="P1599" s="57" t="str">
        <f t="shared" si="82"/>
        <v/>
      </c>
      <c r="Q1599" s="57" t="str">
        <f t="shared" si="83"/>
        <v/>
      </c>
    </row>
    <row r="1600" spans="7:17" hidden="1">
      <c r="G1600" s="53">
        <f>+F1600-E1600</f>
        <v>0</v>
      </c>
      <c r="K1600" s="1" t="e">
        <f>_xlfn.XLOOKUP(J1600,REF!$D$2:$D$12,REF!$E$2:$E$12)</f>
        <v>#N/A</v>
      </c>
      <c r="P1600" s="57" t="str">
        <f t="shared" si="82"/>
        <v/>
      </c>
      <c r="Q1600" s="57" t="str">
        <f t="shared" si="83"/>
        <v/>
      </c>
    </row>
    <row r="1601" spans="2:17">
      <c r="B1601" s="1" t="s">
        <v>846</v>
      </c>
      <c r="C1601" s="1" t="s">
        <v>603</v>
      </c>
      <c r="D1601" s="52">
        <v>46373.763888888891</v>
      </c>
      <c r="E1601" s="52">
        <v>46373.763888888891</v>
      </c>
      <c r="F1601" s="52">
        <v>46387.999988425923</v>
      </c>
      <c r="G1601" s="53">
        <f t="shared" ref="G1601:G1607" si="84">F1601-E1601</f>
        <v>14.236099537032715</v>
      </c>
      <c r="H1601" s="1" t="s">
        <v>260</v>
      </c>
      <c r="I1601" s="1" t="s">
        <v>261</v>
      </c>
      <c r="J1601" s="1" t="s">
        <v>262</v>
      </c>
      <c r="K1601" s="1" t="str">
        <f>_xlfn.XLOOKUP(J1601,REF!$D$2:$D$12,REF!$E$2:$E$12)</f>
        <v>Comunicação</v>
      </c>
      <c r="L1601" s="1" t="s">
        <v>960</v>
      </c>
      <c r="M1601" s="1" t="s">
        <v>265</v>
      </c>
      <c r="N1601" s="1" t="s">
        <v>266</v>
      </c>
      <c r="O1601" s="1" t="s">
        <v>961</v>
      </c>
      <c r="P1601" s="57" t="str">
        <f t="shared" si="82"/>
        <v>Araçu IInverter7146373,763888888946373,763888888946387,9999884259</v>
      </c>
      <c r="Q1601" s="57" t="str">
        <f t="shared" si="83"/>
        <v>LIGRFOCOM</v>
      </c>
    </row>
    <row r="1602" spans="2:17">
      <c r="B1602" s="1" t="s">
        <v>846</v>
      </c>
      <c r="C1602" s="1" t="s">
        <v>604</v>
      </c>
      <c r="D1602" s="52">
        <v>46373.763888888891</v>
      </c>
      <c r="E1602" s="52">
        <v>46373.763888888891</v>
      </c>
      <c r="F1602" s="52">
        <v>46387.999988425923</v>
      </c>
      <c r="G1602" s="53">
        <f t="shared" si="84"/>
        <v>14.236099537032715</v>
      </c>
      <c r="H1602" s="1" t="s">
        <v>260</v>
      </c>
      <c r="I1602" s="1" t="s">
        <v>261</v>
      </c>
      <c r="J1602" s="1" t="s">
        <v>262</v>
      </c>
      <c r="K1602" s="1" t="str">
        <f>_xlfn.XLOOKUP(J1602,REF!$D$2:$D$12,REF!$E$2:$E$12)</f>
        <v>Comunicação</v>
      </c>
      <c r="L1602" s="1" t="s">
        <v>960</v>
      </c>
      <c r="M1602" s="1" t="s">
        <v>265</v>
      </c>
      <c r="N1602" s="1" t="s">
        <v>266</v>
      </c>
      <c r="O1602" s="1" t="s">
        <v>961</v>
      </c>
      <c r="P1602" s="57" t="str">
        <f t="shared" si="82"/>
        <v>Araçu IInverter7246373,763888888946373,763888888946387,9999884259</v>
      </c>
      <c r="Q1602" s="57" t="str">
        <f t="shared" si="83"/>
        <v>LIGRFOCOM</v>
      </c>
    </row>
    <row r="1603" spans="2:17">
      <c r="B1603" s="1" t="s">
        <v>846</v>
      </c>
      <c r="C1603" s="1" t="s">
        <v>605</v>
      </c>
      <c r="D1603" s="52">
        <v>46373.763888888891</v>
      </c>
      <c r="E1603" s="52">
        <v>46373.763888888891</v>
      </c>
      <c r="F1603" s="52">
        <v>46387.999988425923</v>
      </c>
      <c r="G1603" s="53">
        <f t="shared" si="84"/>
        <v>14.236099537032715</v>
      </c>
      <c r="H1603" s="1" t="s">
        <v>260</v>
      </c>
      <c r="I1603" s="1" t="s">
        <v>261</v>
      </c>
      <c r="J1603" s="1" t="s">
        <v>262</v>
      </c>
      <c r="K1603" s="1" t="str">
        <f>_xlfn.XLOOKUP(J1603,REF!$D$2:$D$12,REF!$E$2:$E$12)</f>
        <v>Comunicação</v>
      </c>
      <c r="L1603" s="1" t="s">
        <v>960</v>
      </c>
      <c r="M1603" s="1" t="s">
        <v>265</v>
      </c>
      <c r="N1603" s="1" t="s">
        <v>266</v>
      </c>
      <c r="O1603" s="1" t="s">
        <v>961</v>
      </c>
      <c r="P1603" s="57" t="str">
        <f t="shared" si="82"/>
        <v>Araçu IInverter7346373,763888888946373,763888888946387,9999884259</v>
      </c>
      <c r="Q1603" s="57" t="str">
        <f t="shared" si="83"/>
        <v>LIGRFOCOM</v>
      </c>
    </row>
    <row r="1604" spans="2:17">
      <c r="B1604" s="1" t="s">
        <v>846</v>
      </c>
      <c r="C1604" s="1" t="s">
        <v>606</v>
      </c>
      <c r="D1604" s="52">
        <v>46373.763888888891</v>
      </c>
      <c r="E1604" s="52">
        <v>46373.763888888891</v>
      </c>
      <c r="F1604" s="52">
        <v>46387.999988425923</v>
      </c>
      <c r="G1604" s="53">
        <f t="shared" si="84"/>
        <v>14.236099537032715</v>
      </c>
      <c r="H1604" s="1" t="s">
        <v>260</v>
      </c>
      <c r="I1604" s="1" t="s">
        <v>261</v>
      </c>
      <c r="J1604" s="1" t="s">
        <v>262</v>
      </c>
      <c r="K1604" s="1" t="str">
        <f>_xlfn.XLOOKUP(J1604,REF!$D$2:$D$12,REF!$E$2:$E$12)</f>
        <v>Comunicação</v>
      </c>
      <c r="L1604" s="1" t="s">
        <v>960</v>
      </c>
      <c r="M1604" s="1" t="s">
        <v>265</v>
      </c>
      <c r="N1604" s="1" t="s">
        <v>266</v>
      </c>
      <c r="O1604" s="1" t="s">
        <v>961</v>
      </c>
      <c r="P1604" s="57" t="str">
        <f t="shared" si="82"/>
        <v>Araçu IInverter7446373,763888888946373,763888888946387,9999884259</v>
      </c>
      <c r="Q1604" s="57" t="str">
        <f t="shared" si="83"/>
        <v>LIGRFOCOM</v>
      </c>
    </row>
    <row r="1605" spans="2:17">
      <c r="B1605" s="1" t="s">
        <v>846</v>
      </c>
      <c r="C1605" s="1" t="s">
        <v>607</v>
      </c>
      <c r="D1605" s="52">
        <v>46373.763888888891</v>
      </c>
      <c r="E1605" s="52">
        <v>46373.763888888891</v>
      </c>
      <c r="F1605" s="52">
        <v>46387.999988425923</v>
      </c>
      <c r="G1605" s="53">
        <f t="shared" si="84"/>
        <v>14.236099537032715</v>
      </c>
      <c r="H1605" s="1" t="s">
        <v>260</v>
      </c>
      <c r="I1605" s="1" t="s">
        <v>261</v>
      </c>
      <c r="J1605" s="1" t="s">
        <v>262</v>
      </c>
      <c r="K1605" s="1" t="str">
        <f>_xlfn.XLOOKUP(J1605,REF!$D$2:$D$12,REF!$E$2:$E$12)</f>
        <v>Comunicação</v>
      </c>
      <c r="L1605" s="1" t="s">
        <v>960</v>
      </c>
      <c r="M1605" s="1" t="s">
        <v>265</v>
      </c>
      <c r="N1605" s="1" t="s">
        <v>266</v>
      </c>
      <c r="O1605" s="1" t="s">
        <v>961</v>
      </c>
      <c r="P1605" s="57" t="str">
        <f t="shared" si="82"/>
        <v>Araçu IInverter7546373,763888888946373,763888888946387,9999884259</v>
      </c>
      <c r="Q1605" s="57" t="str">
        <f t="shared" si="83"/>
        <v>LIGRFOCOM</v>
      </c>
    </row>
    <row r="1606" spans="2:17">
      <c r="B1606" s="1" t="s">
        <v>846</v>
      </c>
      <c r="C1606" s="1" t="s">
        <v>608</v>
      </c>
      <c r="D1606" s="52">
        <v>46373.763888888891</v>
      </c>
      <c r="E1606" s="52">
        <v>46373.763888888891</v>
      </c>
      <c r="F1606" s="52">
        <v>46387.999988425923</v>
      </c>
      <c r="G1606" s="53">
        <f t="shared" si="84"/>
        <v>14.236099537032715</v>
      </c>
      <c r="H1606" s="1" t="s">
        <v>260</v>
      </c>
      <c r="I1606" s="1" t="s">
        <v>261</v>
      </c>
      <c r="J1606" s="1" t="s">
        <v>262</v>
      </c>
      <c r="K1606" s="1" t="str">
        <f>_xlfn.XLOOKUP(J1606,REF!$D$2:$D$12,REF!$E$2:$E$12)</f>
        <v>Comunicação</v>
      </c>
      <c r="L1606" s="1" t="s">
        <v>960</v>
      </c>
      <c r="M1606" s="1" t="s">
        <v>265</v>
      </c>
      <c r="N1606" s="1" t="s">
        <v>266</v>
      </c>
      <c r="O1606" s="1" t="s">
        <v>961</v>
      </c>
      <c r="P1606" s="57" t="str">
        <f t="shared" si="82"/>
        <v>Araçu IInverter7646373,763888888946373,763888888946387,9999884259</v>
      </c>
      <c r="Q1606" s="57" t="str">
        <f t="shared" si="83"/>
        <v>LIGRFOCOM</v>
      </c>
    </row>
    <row r="1607" spans="2:17">
      <c r="B1607" s="1" t="s">
        <v>846</v>
      </c>
      <c r="C1607" s="1" t="s">
        <v>609</v>
      </c>
      <c r="D1607" s="52">
        <v>46373.763888888891</v>
      </c>
      <c r="E1607" s="52">
        <v>46373.763888888891</v>
      </c>
      <c r="F1607" s="52">
        <v>46387.999988425923</v>
      </c>
      <c r="G1607" s="53">
        <f t="shared" si="84"/>
        <v>14.236099537032715</v>
      </c>
      <c r="H1607" s="1" t="s">
        <v>260</v>
      </c>
      <c r="I1607" s="1" t="s">
        <v>261</v>
      </c>
      <c r="J1607" s="1" t="s">
        <v>262</v>
      </c>
      <c r="K1607" s="1" t="str">
        <f>_xlfn.XLOOKUP(J1607,REF!$D$2:$D$12,REF!$E$2:$E$12)</f>
        <v>Comunicação</v>
      </c>
      <c r="L1607" s="1" t="s">
        <v>960</v>
      </c>
      <c r="M1607" s="1" t="s">
        <v>265</v>
      </c>
      <c r="N1607" s="1" t="s">
        <v>266</v>
      </c>
      <c r="O1607" s="1" t="s">
        <v>961</v>
      </c>
      <c r="P1607" s="57" t="str">
        <f t="shared" si="82"/>
        <v>Araçu IInverter7746373,763888888946373,763888888946387,9999884259</v>
      </c>
      <c r="Q1607" s="57" t="str">
        <f t="shared" si="83"/>
        <v>LIGRFOCOM</v>
      </c>
    </row>
    <row r="1608" spans="2:17" hidden="1">
      <c r="K1608" s="1" t="e">
        <f>_xlfn.XLOOKUP(J1608,REF!$D$2:$D$12,REF!$E$2:$E$12)</f>
        <v>#N/A</v>
      </c>
    </row>
    <row r="1609" spans="2:17" hidden="1">
      <c r="K1609" s="1" t="e">
        <f>_xlfn.XLOOKUP(J1609,REF!$D$2:$D$12,REF!$E$2:$E$12)</f>
        <v>#N/A</v>
      </c>
    </row>
    <row r="1610" spans="2:17" hidden="1">
      <c r="K1610" s="1" t="e">
        <f>_xlfn.XLOOKUP(J1610,REF!$D$2:$D$12,REF!$E$2:$E$12)</f>
        <v>#N/A</v>
      </c>
    </row>
    <row r="1611" spans="2:17" hidden="1">
      <c r="K1611" s="1" t="e">
        <f>_xlfn.XLOOKUP(J1611,REF!$D$2:$D$12,REF!$E$2:$E$12)</f>
        <v>#N/A</v>
      </c>
    </row>
    <row r="1612" spans="2:17" hidden="1">
      <c r="K1612" s="1" t="e">
        <f>_xlfn.XLOOKUP(J1612,REF!$D$2:$D$12,REF!$E$2:$E$12)</f>
        <v>#N/A</v>
      </c>
    </row>
    <row r="1613" spans="2:17" hidden="1">
      <c r="K1613" s="1" t="e">
        <f>_xlfn.XLOOKUP(J1613,REF!$D$2:$D$12,REF!$E$2:$E$12)</f>
        <v>#N/A</v>
      </c>
    </row>
    <row r="1614" spans="2:17" hidden="1">
      <c r="K1614" s="1" t="e">
        <f>_xlfn.XLOOKUP(J1614,REF!$D$2:$D$12,REF!$E$2:$E$12)</f>
        <v>#N/A</v>
      </c>
    </row>
    <row r="1615" spans="2:17" hidden="1">
      <c r="K1615" s="1" t="e">
        <f>_xlfn.XLOOKUP(J1615,REF!$D$2:$D$12,REF!$E$2:$E$12)</f>
        <v>#N/A</v>
      </c>
    </row>
    <row r="1616" spans="2:17" hidden="1">
      <c r="B1616" s="61" t="s">
        <v>437</v>
      </c>
      <c r="C1616" s="61" t="s">
        <v>354</v>
      </c>
      <c r="D1616" s="62">
        <v>46011.450694444444</v>
      </c>
      <c r="E1616" s="62">
        <v>46011.450694444444</v>
      </c>
      <c r="F1616" s="62">
        <v>46014.861111111109</v>
      </c>
      <c r="G1616" s="63">
        <f>F1616-E1616</f>
        <v>3.4104166666656965</v>
      </c>
      <c r="H1616" s="61" t="s">
        <v>248</v>
      </c>
      <c r="I1616" s="61"/>
      <c r="J1616" s="61" t="s">
        <v>249</v>
      </c>
      <c r="K1616" s="61" t="s">
        <v>349</v>
      </c>
      <c r="L1616" s="61" t="s">
        <v>962</v>
      </c>
      <c r="M1616" s="61" t="s">
        <v>251</v>
      </c>
      <c r="N1616" s="61" t="s">
        <v>330</v>
      </c>
      <c r="O1616" s="61" t="s">
        <v>356</v>
      </c>
      <c r="P1616" s="61" t="str">
        <f t="shared" ref="P1616:P1623" si="85">_xlfn.CONCAT(B1616,C1616,D1616,E1616,F1616)</f>
        <v>BC Ibiuna 1.1Inverter(MBUS-12)46011,450694444446011,450694444446014,8611111111</v>
      </c>
      <c r="Q1616" s="61" t="str">
        <f t="shared" ref="Q1616:Q1623" si="86">_xlfn.CONCAT(H1616,I1616,J1616)</f>
        <v>DAURDE</v>
      </c>
    </row>
    <row r="1617" spans="2:17" hidden="1">
      <c r="B1617" s="61" t="s">
        <v>437</v>
      </c>
      <c r="C1617" s="61" t="s">
        <v>357</v>
      </c>
      <c r="D1617" s="62">
        <v>46011.450694444444</v>
      </c>
      <c r="E1617" s="62">
        <v>46011.450694444444</v>
      </c>
      <c r="F1617" s="62">
        <v>46014.861111111109</v>
      </c>
      <c r="G1617" s="63">
        <f>F1617-E1617</f>
        <v>3.4104166666656965</v>
      </c>
      <c r="H1617" s="61" t="s">
        <v>248</v>
      </c>
      <c r="I1617" s="61"/>
      <c r="J1617" s="61" t="s">
        <v>249</v>
      </c>
      <c r="K1617" s="61" t="s">
        <v>349</v>
      </c>
      <c r="L1617" s="61" t="s">
        <v>962</v>
      </c>
      <c r="M1617" s="61" t="s">
        <v>251</v>
      </c>
      <c r="N1617" s="61" t="s">
        <v>330</v>
      </c>
      <c r="O1617" s="61" t="s">
        <v>356</v>
      </c>
      <c r="P1617" s="61" t="str">
        <f t="shared" si="85"/>
        <v>BC Ibiuna 1.1Inverter(MBUS-13)46011,450694444446011,450694444446014,8611111111</v>
      </c>
      <c r="Q1617" s="61" t="str">
        <f t="shared" si="86"/>
        <v>DAURDE</v>
      </c>
    </row>
    <row r="1618" spans="2:17" hidden="1">
      <c r="B1618" s="61" t="s">
        <v>437</v>
      </c>
      <c r="C1618" s="61" t="s">
        <v>358</v>
      </c>
      <c r="D1618" s="62">
        <v>46011.450694444444</v>
      </c>
      <c r="E1618" s="62">
        <v>46011.450694444444</v>
      </c>
      <c r="F1618" s="62">
        <v>46014.861111111109</v>
      </c>
      <c r="G1618" s="63">
        <f>F1618-E1618</f>
        <v>3.4104166666656965</v>
      </c>
      <c r="H1618" s="61" t="s">
        <v>248</v>
      </c>
      <c r="I1618" s="61"/>
      <c r="J1618" s="61" t="s">
        <v>249</v>
      </c>
      <c r="K1618" s="61" t="s">
        <v>349</v>
      </c>
      <c r="L1618" s="61" t="s">
        <v>962</v>
      </c>
      <c r="M1618" s="61" t="s">
        <v>251</v>
      </c>
      <c r="N1618" s="61" t="s">
        <v>330</v>
      </c>
      <c r="O1618" s="61" t="s">
        <v>356</v>
      </c>
      <c r="P1618" s="61" t="str">
        <f t="shared" si="85"/>
        <v>BC Ibiuna 1.1Inverter(MBUS-14)46011,450694444446011,450694444446014,8611111111</v>
      </c>
      <c r="Q1618" s="61" t="str">
        <f t="shared" si="86"/>
        <v>DAURDE</v>
      </c>
    </row>
    <row r="1619" spans="2:17" hidden="1">
      <c r="B1619" s="61" t="s">
        <v>437</v>
      </c>
      <c r="C1619" s="61" t="s">
        <v>359</v>
      </c>
      <c r="D1619" s="62">
        <v>46011.450694444444</v>
      </c>
      <c r="E1619" s="62">
        <v>46011.450694444444</v>
      </c>
      <c r="F1619" s="62">
        <v>46014.861111111109</v>
      </c>
      <c r="G1619" s="63">
        <f>F1619-E1619</f>
        <v>3.4104166666656965</v>
      </c>
      <c r="H1619" s="61" t="s">
        <v>248</v>
      </c>
      <c r="I1619" s="61"/>
      <c r="J1619" s="61" t="s">
        <v>249</v>
      </c>
      <c r="K1619" s="61" t="s">
        <v>349</v>
      </c>
      <c r="L1619" s="61" t="s">
        <v>962</v>
      </c>
      <c r="M1619" s="61" t="s">
        <v>251</v>
      </c>
      <c r="N1619" s="61" t="s">
        <v>330</v>
      </c>
      <c r="O1619" s="61" t="s">
        <v>356</v>
      </c>
      <c r="P1619" s="61" t="str">
        <f t="shared" si="85"/>
        <v>BC Ibiuna 1.1Inverter(MBUS-15)46011,450694444446011,450694444446014,8611111111</v>
      </c>
      <c r="Q1619" s="61" t="str">
        <f t="shared" si="86"/>
        <v>DAURDE</v>
      </c>
    </row>
    <row r="1620" spans="2:17" hidden="1">
      <c r="B1620" s="61" t="s">
        <v>439</v>
      </c>
      <c r="C1620" s="61" t="s">
        <v>354</v>
      </c>
      <c r="D1620" s="62">
        <v>46011.450694444444</v>
      </c>
      <c r="E1620" s="62">
        <v>46011.450694444444</v>
      </c>
      <c r="F1620" s="62">
        <v>46014.861111111109</v>
      </c>
      <c r="G1620" s="63">
        <f>F1620-E1620</f>
        <v>3.4104166666656965</v>
      </c>
      <c r="H1620" s="61" t="s">
        <v>248</v>
      </c>
      <c r="I1620" s="61"/>
      <c r="J1620" s="61" t="s">
        <v>249</v>
      </c>
      <c r="K1620" s="61" t="s">
        <v>349</v>
      </c>
      <c r="L1620" s="61" t="s">
        <v>962</v>
      </c>
      <c r="M1620" s="61" t="s">
        <v>251</v>
      </c>
      <c r="N1620" s="61" t="s">
        <v>330</v>
      </c>
      <c r="O1620" s="61" t="s">
        <v>356</v>
      </c>
      <c r="P1620" s="61" t="str">
        <f t="shared" si="85"/>
        <v>BC Ibiuna 1.2Inverter(MBUS-12)46011,450694444446011,450694444446014,8611111111</v>
      </c>
      <c r="Q1620" s="61" t="str">
        <f t="shared" si="86"/>
        <v>DAURDE</v>
      </c>
    </row>
    <row r="1621" spans="2:17" hidden="1">
      <c r="B1621" s="61" t="s">
        <v>439</v>
      </c>
      <c r="C1621" s="61" t="s">
        <v>357</v>
      </c>
      <c r="D1621" s="62">
        <v>46011.450694444444</v>
      </c>
      <c r="E1621" s="62">
        <v>46011.450694444444</v>
      </c>
      <c r="F1621" s="62">
        <v>46014.861111111109</v>
      </c>
      <c r="G1621" s="63">
        <f>F1621-E1621</f>
        <v>3.4104166666656965</v>
      </c>
      <c r="H1621" s="61" t="s">
        <v>248</v>
      </c>
      <c r="I1621" s="61"/>
      <c r="J1621" s="61" t="s">
        <v>249</v>
      </c>
      <c r="K1621" s="61" t="s">
        <v>349</v>
      </c>
      <c r="L1621" s="61" t="s">
        <v>962</v>
      </c>
      <c r="M1621" s="61" t="s">
        <v>251</v>
      </c>
      <c r="N1621" s="61" t="s">
        <v>330</v>
      </c>
      <c r="O1621" s="61" t="s">
        <v>356</v>
      </c>
      <c r="P1621" s="61" t="str">
        <f t="shared" si="85"/>
        <v>BC Ibiuna 1.2Inverter(MBUS-13)46011,450694444446011,450694444446014,8611111111</v>
      </c>
      <c r="Q1621" s="61" t="str">
        <f t="shared" si="86"/>
        <v>DAURDE</v>
      </c>
    </row>
    <row r="1622" spans="2:17" hidden="1">
      <c r="B1622" s="61" t="s">
        <v>439</v>
      </c>
      <c r="C1622" s="61" t="s">
        <v>358</v>
      </c>
      <c r="D1622" s="62">
        <v>46011.450694444444</v>
      </c>
      <c r="E1622" s="62">
        <v>46011.450694444444</v>
      </c>
      <c r="F1622" s="62">
        <v>46014.861111111109</v>
      </c>
      <c r="G1622" s="63">
        <f>F1622-E1622</f>
        <v>3.4104166666656965</v>
      </c>
      <c r="H1622" s="61" t="s">
        <v>248</v>
      </c>
      <c r="I1622" s="61"/>
      <c r="J1622" s="61" t="s">
        <v>249</v>
      </c>
      <c r="K1622" s="61" t="s">
        <v>349</v>
      </c>
      <c r="L1622" s="61" t="s">
        <v>962</v>
      </c>
      <c r="M1622" s="61" t="s">
        <v>251</v>
      </c>
      <c r="N1622" s="61" t="s">
        <v>330</v>
      </c>
      <c r="O1622" s="61" t="s">
        <v>356</v>
      </c>
      <c r="P1622" s="61" t="str">
        <f t="shared" si="85"/>
        <v>BC Ibiuna 1.2Inverter(MBUS-14)46011,450694444446011,450694444446014,8611111111</v>
      </c>
      <c r="Q1622" s="61" t="str">
        <f t="shared" si="86"/>
        <v>DAURDE</v>
      </c>
    </row>
    <row r="1623" spans="2:17" hidden="1">
      <c r="B1623" s="61" t="s">
        <v>439</v>
      </c>
      <c r="C1623" s="61" t="s">
        <v>359</v>
      </c>
      <c r="D1623" s="62">
        <v>46011.450694444444</v>
      </c>
      <c r="E1623" s="62">
        <v>46011.450694444444</v>
      </c>
      <c r="F1623" s="62">
        <v>46014.861111111109</v>
      </c>
      <c r="G1623" s="63">
        <f>F1623-E1623</f>
        <v>3.4104166666656965</v>
      </c>
      <c r="H1623" s="61" t="s">
        <v>248</v>
      </c>
      <c r="I1623" s="61"/>
      <c r="J1623" s="61" t="s">
        <v>249</v>
      </c>
      <c r="K1623" s="61" t="s">
        <v>349</v>
      </c>
      <c r="L1623" s="61" t="s">
        <v>962</v>
      </c>
      <c r="M1623" s="61" t="s">
        <v>251</v>
      </c>
      <c r="N1623" s="61" t="s">
        <v>330</v>
      </c>
      <c r="O1623" s="61" t="s">
        <v>356</v>
      </c>
      <c r="P1623" s="61" t="str">
        <f t="shared" si="85"/>
        <v>BC Ibiuna 1.2Inverter(MBUS-15)46011,450694444446011,450694444446014,8611111111</v>
      </c>
      <c r="Q1623" s="61" t="str">
        <f t="shared" si="86"/>
        <v>DAURDE</v>
      </c>
    </row>
  </sheetData>
  <autoFilter ref="A1:Q1623" xr:uid="{79DC4CCA-9A61-4806-8E56-EE96087CE65F}">
    <filterColumn colId="10">
      <filters>
        <filter val="Comunicação"/>
      </filters>
    </filterColumn>
  </autoFilter>
  <conditionalFormatting sqref="P1">
    <cfRule type="duplicateValues" dxfId="5" priority="2"/>
    <cfRule type="duplicateValues" dxfId="4" priority="3"/>
  </conditionalFormatting>
  <conditionalFormatting sqref="P1:P1048576">
    <cfRule type="duplicateValues" dxfId="3" priority="1"/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F995904-2653-47B7-8585-FC3363F514BE}">
          <x14:formula1>
            <xm:f>REF!$B$2:$B$7</xm:f>
          </x14:formula1>
          <xm:sqref>H59:H126 H165:H462 H488:H509 H514:H928 H946:H975 H998:H1020 H1072:H1121 H1194:H1198 H1270:H1278 H1299:H1306 H1309:H1345 H1369:H1373 H1376:H1456 H1546:H1607 H1501:H1533</xm:sqref>
        </x14:dataValidation>
        <x14:dataValidation type="list" allowBlank="1" showInputMessage="1" showErrorMessage="1" xr:uid="{EC0EA0EC-759D-45C6-AA48-8774604975B1}">
          <x14:formula1>
            <xm:f>REF!$C$2:$C$6</xm:f>
          </x14:formula1>
          <xm:sqref>I59:I126 I165:I462 I488:I509 I514:I858 I863:I875 I888:I928 I946:I975 I998:I1020 I1072:I1121 I1194:I1198 I1270:I1278 I1299:I1306 I1309:I1345 I1501:I1514 I1601:I1607</xm:sqref>
        </x14:dataValidation>
        <x14:dataValidation type="list" allowBlank="1" showInputMessage="1" showErrorMessage="1" xr:uid="{0B462A0A-288E-439F-8EEB-753F8A11949D}">
          <x14:formula1>
            <xm:f>REF!$D$2:$D$13</xm:f>
          </x14:formula1>
          <xm:sqref>J59:J126 J165:J462 J488:J509 J514:J928 J946:J975 J998:J1020 J1072:J1121 J1194:J1198 J1270:J1278 J1299:J1306 J1309:J1345 J1501:J1514 J1532:J1533 J1546:J1607</xm:sqref>
        </x14:dataValidation>
        <x14:dataValidation type="list" allowBlank="1" showInputMessage="1" showErrorMessage="1" xr:uid="{246B40C1-CC4E-426B-B584-A5F2B499D84B}">
          <x14:formula1>
            <xm:f>REF!$F$2:$F$16</xm:f>
          </x14:formula1>
          <xm:sqref>M59:M126 M165:M462 M488:M509 M514:M928 M946:M975 M998:M1020 M1072:M1121 M1194:M1198 M1270:M1278 M1299:M1306 M1309:M1345 M1501:M1533 M1601:M1607</xm:sqref>
        </x14:dataValidation>
        <x14:dataValidation type="list" allowBlank="1" showInputMessage="1" showErrorMessage="1" xr:uid="{08E02CD3-D8B0-4DB8-BD8A-401A7D1DE87C}">
          <x14:formula1>
            <xm:f>REF!$A$2:$A$13</xm:f>
          </x14:formula1>
          <xm:sqref>N59:N126 N165:N462 N488:N509 N514:N928 N946:N975 N998:N1020 N1072:N1121 N1194:N1198 N1270:N1278 N1299:N1306 N1309:N1345 N1501:N1533 N1546:N1607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C4CCA-9A61-4806-8E56-EE96087CE65F}">
  <dimension ref="A1:Q1685"/>
  <sheetViews>
    <sheetView topLeftCell="L951" workbookViewId="0">
      <selection activeCell="L1535" sqref="L1535"/>
    </sheetView>
  </sheetViews>
  <sheetFormatPr defaultRowHeight="14.45"/>
  <cols>
    <col min="1" max="2" width="17.42578125" style="2" bestFit="1" customWidth="1"/>
    <col min="3" max="3" width="31.28515625" style="2" bestFit="1" customWidth="1"/>
    <col min="4" max="4" width="19.140625" style="11" hidden="1" customWidth="1"/>
    <col min="5" max="6" width="18.140625" style="11" hidden="1" customWidth="1"/>
    <col min="7" max="7" width="12.42578125" style="12" hidden="1" customWidth="1"/>
    <col min="8" max="8" width="15.28515625" style="2" customWidth="1"/>
    <col min="9" max="9" width="12.42578125" style="2" customWidth="1"/>
    <col min="10" max="10" width="11.7109375" style="2" bestFit="1" customWidth="1"/>
    <col min="11" max="11" width="15.7109375" style="2" bestFit="1" customWidth="1"/>
    <col min="12" max="12" width="188.7109375" style="2" customWidth="1"/>
    <col min="13" max="13" width="18.28515625" bestFit="1" customWidth="1"/>
    <col min="14" max="14" width="23.85546875" bestFit="1" customWidth="1"/>
    <col min="15" max="15" width="255.7109375" bestFit="1" customWidth="1"/>
    <col min="16" max="16" width="90.7109375" bestFit="1" customWidth="1"/>
    <col min="17" max="17" width="16" bestFit="1" customWidth="1"/>
  </cols>
  <sheetData>
    <row r="1" spans="1:17">
      <c r="A1" s="5" t="s">
        <v>1</v>
      </c>
      <c r="B1" s="5" t="s">
        <v>230</v>
      </c>
      <c r="C1" s="5" t="s">
        <v>231</v>
      </c>
      <c r="D1" s="6" t="s">
        <v>232</v>
      </c>
      <c r="E1" s="7" t="s">
        <v>233</v>
      </c>
      <c r="F1" s="7" t="s">
        <v>234</v>
      </c>
      <c r="G1" s="8" t="s">
        <v>235</v>
      </c>
      <c r="H1" s="5" t="s">
        <v>236</v>
      </c>
      <c r="I1" s="5" t="s">
        <v>237</v>
      </c>
      <c r="J1" s="5" t="s">
        <v>238</v>
      </c>
      <c r="K1" s="5" t="s">
        <v>239</v>
      </c>
      <c r="L1" s="5" t="s">
        <v>240</v>
      </c>
      <c r="M1" s="5" t="s">
        <v>241</v>
      </c>
      <c r="N1" s="9" t="s">
        <v>242</v>
      </c>
      <c r="O1" s="5" t="s">
        <v>243</v>
      </c>
      <c r="P1" s="5" t="s">
        <v>244</v>
      </c>
      <c r="Q1" s="5" t="s">
        <v>245</v>
      </c>
    </row>
    <row r="2" spans="1:17">
      <c r="A2" s="2" t="s">
        <v>383</v>
      </c>
      <c r="B2" s="2" t="s">
        <v>383</v>
      </c>
      <c r="C2" s="2" t="s">
        <v>385</v>
      </c>
      <c r="D2" s="11">
        <v>45961.725694444445</v>
      </c>
      <c r="E2" s="11">
        <v>45962</v>
      </c>
      <c r="F2" s="11">
        <v>45962.290277777778</v>
      </c>
      <c r="G2" s="12">
        <v>0.29027777777810115</v>
      </c>
      <c r="H2" s="2" t="s">
        <v>248</v>
      </c>
      <c r="J2" s="2" t="s">
        <v>249</v>
      </c>
      <c r="K2" s="2" t="s">
        <v>349</v>
      </c>
      <c r="L2" s="2" t="s">
        <v>963</v>
      </c>
      <c r="M2" t="s">
        <v>251</v>
      </c>
      <c r="N2" t="s">
        <v>330</v>
      </c>
      <c r="O2" t="s">
        <v>964</v>
      </c>
      <c r="P2" t="s">
        <v>965</v>
      </c>
      <c r="Q2" t="s">
        <v>966</v>
      </c>
    </row>
    <row r="3" spans="1:17">
      <c r="A3" s="2" t="s">
        <v>383</v>
      </c>
      <c r="B3" s="2" t="s">
        <v>383</v>
      </c>
      <c r="C3" s="2" t="s">
        <v>386</v>
      </c>
      <c r="D3" s="11">
        <v>45961.725694444445</v>
      </c>
      <c r="E3" s="11">
        <v>45962</v>
      </c>
      <c r="F3" s="11">
        <v>45962.290277777778</v>
      </c>
      <c r="G3" s="12">
        <v>0.29027777777810115</v>
      </c>
      <c r="H3" s="2" t="s">
        <v>248</v>
      </c>
      <c r="J3" s="2" t="s">
        <v>249</v>
      </c>
      <c r="K3" s="2" t="s">
        <v>349</v>
      </c>
      <c r="L3" s="2" t="s">
        <v>963</v>
      </c>
      <c r="M3" t="s">
        <v>251</v>
      </c>
      <c r="N3" t="s">
        <v>330</v>
      </c>
      <c r="O3" t="s">
        <v>964</v>
      </c>
      <c r="P3" t="s">
        <v>967</v>
      </c>
      <c r="Q3" t="s">
        <v>966</v>
      </c>
    </row>
    <row r="4" spans="1:17">
      <c r="A4" s="2" t="s">
        <v>383</v>
      </c>
      <c r="B4" s="2" t="s">
        <v>383</v>
      </c>
      <c r="C4" s="2" t="s">
        <v>354</v>
      </c>
      <c r="D4" s="11">
        <v>45961.725694444445</v>
      </c>
      <c r="E4" s="11">
        <v>45962</v>
      </c>
      <c r="F4" s="11">
        <v>45962.290277777778</v>
      </c>
      <c r="G4" s="12">
        <v>0.29027777777810115</v>
      </c>
      <c r="H4" s="2" t="s">
        <v>248</v>
      </c>
      <c r="J4" s="2" t="s">
        <v>249</v>
      </c>
      <c r="K4" s="2" t="s">
        <v>349</v>
      </c>
      <c r="L4" s="2" t="s">
        <v>963</v>
      </c>
      <c r="M4" t="s">
        <v>251</v>
      </c>
      <c r="N4" t="s">
        <v>330</v>
      </c>
      <c r="O4" t="s">
        <v>964</v>
      </c>
      <c r="P4" t="s">
        <v>968</v>
      </c>
      <c r="Q4" t="s">
        <v>966</v>
      </c>
    </row>
    <row r="5" spans="1:17">
      <c r="A5" s="2" t="s">
        <v>383</v>
      </c>
      <c r="B5" s="2" t="s">
        <v>383</v>
      </c>
      <c r="C5" s="2" t="s">
        <v>384</v>
      </c>
      <c r="D5" s="11">
        <v>45961.725694444445</v>
      </c>
      <c r="E5" s="11">
        <v>45962</v>
      </c>
      <c r="F5" s="11">
        <v>45962.290277777778</v>
      </c>
      <c r="G5" s="12">
        <v>0.29027777777810115</v>
      </c>
      <c r="H5" s="2" t="s">
        <v>248</v>
      </c>
      <c r="J5" s="2" t="s">
        <v>249</v>
      </c>
      <c r="K5" s="2" t="s">
        <v>349</v>
      </c>
      <c r="L5" s="2" t="s">
        <v>963</v>
      </c>
      <c r="M5" t="s">
        <v>251</v>
      </c>
      <c r="N5" t="s">
        <v>330</v>
      </c>
      <c r="O5" t="s">
        <v>964</v>
      </c>
      <c r="P5" t="s">
        <v>969</v>
      </c>
      <c r="Q5" t="s">
        <v>966</v>
      </c>
    </row>
    <row r="6" spans="1:17">
      <c r="A6" s="2" t="s">
        <v>383</v>
      </c>
      <c r="B6" s="2" t="s">
        <v>383</v>
      </c>
      <c r="C6" s="2" t="s">
        <v>328</v>
      </c>
      <c r="D6" s="11">
        <v>45961.725694444445</v>
      </c>
      <c r="E6" s="11">
        <v>45962</v>
      </c>
      <c r="F6" s="11">
        <v>45962.290277777778</v>
      </c>
      <c r="G6" s="12">
        <v>0.29027777777810115</v>
      </c>
      <c r="H6" s="2" t="s">
        <v>248</v>
      </c>
      <c r="J6" s="2" t="s">
        <v>249</v>
      </c>
      <c r="K6" s="2" t="s">
        <v>349</v>
      </c>
      <c r="L6" s="2" t="s">
        <v>963</v>
      </c>
      <c r="M6" t="s">
        <v>251</v>
      </c>
      <c r="N6" t="s">
        <v>330</v>
      </c>
      <c r="O6" t="s">
        <v>964</v>
      </c>
      <c r="P6" t="s">
        <v>970</v>
      </c>
      <c r="Q6" t="s">
        <v>966</v>
      </c>
    </row>
    <row r="7" spans="1:17">
      <c r="A7" s="2" t="s">
        <v>771</v>
      </c>
      <c r="B7" s="2" t="s">
        <v>477</v>
      </c>
      <c r="C7" s="2" t="s">
        <v>634</v>
      </c>
      <c r="D7" s="11">
        <v>45962.25</v>
      </c>
      <c r="E7" s="11">
        <v>45962.25</v>
      </c>
      <c r="F7" s="11">
        <v>45962.263888888891</v>
      </c>
      <c r="G7" s="12">
        <v>1.3888888890505768E-2</v>
      </c>
      <c r="H7" s="2" t="s">
        <v>248</v>
      </c>
      <c r="J7" s="2" t="s">
        <v>249</v>
      </c>
      <c r="K7" s="2" t="s">
        <v>349</v>
      </c>
      <c r="L7" s="2" t="s">
        <v>971</v>
      </c>
      <c r="M7" t="s">
        <v>251</v>
      </c>
      <c r="N7" t="s">
        <v>330</v>
      </c>
      <c r="O7" t="s">
        <v>331</v>
      </c>
      <c r="P7" t="s">
        <v>972</v>
      </c>
      <c r="Q7" t="s">
        <v>966</v>
      </c>
    </row>
    <row r="8" spans="1:17">
      <c r="A8" s="2" t="s">
        <v>773</v>
      </c>
      <c r="B8" s="2" t="s">
        <v>477</v>
      </c>
      <c r="C8" s="2" t="s">
        <v>628</v>
      </c>
      <c r="D8" s="11">
        <v>45962.25</v>
      </c>
      <c r="E8" s="11">
        <v>45962.25</v>
      </c>
      <c r="F8" s="11">
        <v>45962.263888888891</v>
      </c>
      <c r="G8" s="12">
        <v>1.3888888890505768E-2</v>
      </c>
      <c r="H8" s="2" t="s">
        <v>248</v>
      </c>
      <c r="J8" s="2" t="s">
        <v>249</v>
      </c>
      <c r="K8" s="2" t="s">
        <v>349</v>
      </c>
      <c r="L8" s="2" t="s">
        <v>971</v>
      </c>
      <c r="M8" t="s">
        <v>251</v>
      </c>
      <c r="N8" t="s">
        <v>330</v>
      </c>
      <c r="O8" t="s">
        <v>331</v>
      </c>
      <c r="P8" t="s">
        <v>973</v>
      </c>
      <c r="Q8" t="s">
        <v>966</v>
      </c>
    </row>
    <row r="9" spans="1:17">
      <c r="A9" s="2" t="s">
        <v>773</v>
      </c>
      <c r="B9" s="2" t="s">
        <v>477</v>
      </c>
      <c r="C9" s="2" t="s">
        <v>491</v>
      </c>
      <c r="D9" s="11">
        <v>45962.25</v>
      </c>
      <c r="E9" s="11">
        <v>45962.25</v>
      </c>
      <c r="F9" s="11">
        <v>45962.263888888891</v>
      </c>
      <c r="G9" s="12">
        <v>1.3888888890505768E-2</v>
      </c>
      <c r="H9" s="2" t="s">
        <v>248</v>
      </c>
      <c r="J9" s="2" t="s">
        <v>249</v>
      </c>
      <c r="K9" s="2" t="s">
        <v>349</v>
      </c>
      <c r="L9" s="2" t="s">
        <v>971</v>
      </c>
      <c r="M9" t="s">
        <v>251</v>
      </c>
      <c r="N9" t="s">
        <v>330</v>
      </c>
      <c r="O9" t="s">
        <v>331</v>
      </c>
      <c r="P9" t="s">
        <v>974</v>
      </c>
      <c r="Q9" t="s">
        <v>966</v>
      </c>
    </row>
    <row r="10" spans="1:17">
      <c r="A10" s="2" t="s">
        <v>773</v>
      </c>
      <c r="B10" s="2" t="s">
        <v>477</v>
      </c>
      <c r="C10" s="2" t="s">
        <v>488</v>
      </c>
      <c r="D10" s="11">
        <v>45962.25</v>
      </c>
      <c r="E10" s="11">
        <v>45962.25</v>
      </c>
      <c r="F10" s="11">
        <v>45962.263888888891</v>
      </c>
      <c r="G10" s="12">
        <v>1.3888888890505768E-2</v>
      </c>
      <c r="H10" s="2" t="s">
        <v>248</v>
      </c>
      <c r="J10" s="2" t="s">
        <v>249</v>
      </c>
      <c r="K10" s="2" t="s">
        <v>349</v>
      </c>
      <c r="L10" s="2" t="s">
        <v>971</v>
      </c>
      <c r="M10" t="s">
        <v>251</v>
      </c>
      <c r="N10" t="s">
        <v>330</v>
      </c>
      <c r="O10" t="s">
        <v>331</v>
      </c>
      <c r="P10" t="s">
        <v>975</v>
      </c>
      <c r="Q10" t="s">
        <v>966</v>
      </c>
    </row>
    <row r="11" spans="1:17">
      <c r="A11" s="2" t="s">
        <v>773</v>
      </c>
      <c r="B11" s="2" t="s">
        <v>477</v>
      </c>
      <c r="C11" s="2" t="s">
        <v>492</v>
      </c>
      <c r="D11" s="11">
        <v>45962.25</v>
      </c>
      <c r="E11" s="11">
        <v>45962.25</v>
      </c>
      <c r="F11" s="11">
        <v>45962.263888888891</v>
      </c>
      <c r="G11" s="12">
        <v>1.3888888890505768E-2</v>
      </c>
      <c r="H11" s="2" t="s">
        <v>248</v>
      </c>
      <c r="J11" s="2" t="s">
        <v>249</v>
      </c>
      <c r="K11" s="2" t="s">
        <v>349</v>
      </c>
      <c r="L11" s="2" t="s">
        <v>971</v>
      </c>
      <c r="M11" t="s">
        <v>251</v>
      </c>
      <c r="N11" t="s">
        <v>330</v>
      </c>
      <c r="O11" t="s">
        <v>331</v>
      </c>
      <c r="P11" t="s">
        <v>976</v>
      </c>
      <c r="Q11" t="s">
        <v>966</v>
      </c>
    </row>
    <row r="12" spans="1:17">
      <c r="A12" s="2" t="s">
        <v>773</v>
      </c>
      <c r="B12" s="2" t="s">
        <v>477</v>
      </c>
      <c r="C12" s="2" t="s">
        <v>490</v>
      </c>
      <c r="D12" s="11">
        <v>45962.25</v>
      </c>
      <c r="E12" s="11">
        <v>45962.25</v>
      </c>
      <c r="F12" s="11">
        <v>45962.263888888891</v>
      </c>
      <c r="G12" s="12">
        <v>1.3888888890505768E-2</v>
      </c>
      <c r="H12" s="2" t="s">
        <v>248</v>
      </c>
      <c r="J12" s="2" t="s">
        <v>249</v>
      </c>
      <c r="K12" s="2" t="s">
        <v>349</v>
      </c>
      <c r="L12" s="2" t="s">
        <v>971</v>
      </c>
      <c r="M12" t="s">
        <v>251</v>
      </c>
      <c r="N12" t="s">
        <v>330</v>
      </c>
      <c r="O12" t="s">
        <v>331</v>
      </c>
      <c r="P12" t="s">
        <v>977</v>
      </c>
      <c r="Q12" t="s">
        <v>966</v>
      </c>
    </row>
    <row r="13" spans="1:17">
      <c r="A13" s="2" t="s">
        <v>773</v>
      </c>
      <c r="B13" s="2" t="s">
        <v>477</v>
      </c>
      <c r="C13" s="2" t="s">
        <v>978</v>
      </c>
      <c r="D13" s="11">
        <v>45962.25</v>
      </c>
      <c r="E13" s="11">
        <v>45962.25</v>
      </c>
      <c r="F13" s="11">
        <v>45962.263888888891</v>
      </c>
      <c r="G13" s="12">
        <v>1.3888888890505768E-2</v>
      </c>
      <c r="H13" s="2" t="s">
        <v>248</v>
      </c>
      <c r="J13" s="2" t="s">
        <v>249</v>
      </c>
      <c r="K13" s="2" t="s">
        <v>349</v>
      </c>
      <c r="L13" s="2" t="s">
        <v>971</v>
      </c>
      <c r="M13" t="s">
        <v>251</v>
      </c>
      <c r="N13" t="s">
        <v>330</v>
      </c>
      <c r="O13" t="s">
        <v>331</v>
      </c>
      <c r="P13" t="s">
        <v>979</v>
      </c>
      <c r="Q13" t="s">
        <v>966</v>
      </c>
    </row>
    <row r="14" spans="1:17">
      <c r="A14" s="2" t="s">
        <v>782</v>
      </c>
      <c r="B14" s="2" t="s">
        <v>477</v>
      </c>
      <c r="C14" s="2" t="s">
        <v>489</v>
      </c>
      <c r="D14" s="11">
        <v>45962.25</v>
      </c>
      <c r="E14" s="11">
        <v>45962.25</v>
      </c>
      <c r="F14" s="11">
        <v>45962.263888888891</v>
      </c>
      <c r="G14" s="12">
        <v>1.3888888890505768E-2</v>
      </c>
      <c r="H14" s="2" t="s">
        <v>248</v>
      </c>
      <c r="J14" s="2" t="s">
        <v>249</v>
      </c>
      <c r="K14" s="2" t="s">
        <v>349</v>
      </c>
      <c r="L14" s="2" t="s">
        <v>971</v>
      </c>
      <c r="M14" t="s">
        <v>251</v>
      </c>
      <c r="N14" t="s">
        <v>330</v>
      </c>
      <c r="O14" t="s">
        <v>331</v>
      </c>
      <c r="P14" t="s">
        <v>980</v>
      </c>
      <c r="Q14" t="s">
        <v>966</v>
      </c>
    </row>
    <row r="15" spans="1:17">
      <c r="A15" s="2" t="s">
        <v>782</v>
      </c>
      <c r="B15" s="2" t="s">
        <v>477</v>
      </c>
      <c r="C15" s="2" t="s">
        <v>713</v>
      </c>
      <c r="D15" s="11">
        <v>45962.25</v>
      </c>
      <c r="E15" s="11">
        <v>45962.25</v>
      </c>
      <c r="F15" s="11">
        <v>45962.263888888891</v>
      </c>
      <c r="G15" s="12">
        <v>1.3888888890505768E-2</v>
      </c>
      <c r="H15" s="2" t="s">
        <v>248</v>
      </c>
      <c r="J15" s="2" t="s">
        <v>249</v>
      </c>
      <c r="K15" s="2" t="s">
        <v>349</v>
      </c>
      <c r="L15" s="2" t="s">
        <v>971</v>
      </c>
      <c r="M15" t="s">
        <v>251</v>
      </c>
      <c r="N15" t="s">
        <v>330</v>
      </c>
      <c r="O15" t="s">
        <v>331</v>
      </c>
      <c r="P15" t="s">
        <v>981</v>
      </c>
      <c r="Q15" t="s">
        <v>966</v>
      </c>
    </row>
    <row r="16" spans="1:17">
      <c r="A16" s="2" t="s">
        <v>782</v>
      </c>
      <c r="B16" s="2" t="s">
        <v>477</v>
      </c>
      <c r="C16" s="2" t="s">
        <v>486</v>
      </c>
      <c r="D16" s="11">
        <v>45962.25</v>
      </c>
      <c r="E16" s="11">
        <v>45962.25</v>
      </c>
      <c r="F16" s="11">
        <v>45962.263888888891</v>
      </c>
      <c r="G16" s="12">
        <v>1.3888888890505768E-2</v>
      </c>
      <c r="H16" s="2" t="s">
        <v>248</v>
      </c>
      <c r="J16" s="2" t="s">
        <v>249</v>
      </c>
      <c r="K16" s="2" t="s">
        <v>349</v>
      </c>
      <c r="L16" s="2" t="s">
        <v>971</v>
      </c>
      <c r="M16" t="s">
        <v>251</v>
      </c>
      <c r="N16" t="s">
        <v>330</v>
      </c>
      <c r="O16" t="s">
        <v>331</v>
      </c>
      <c r="P16" t="s">
        <v>982</v>
      </c>
      <c r="Q16" t="s">
        <v>966</v>
      </c>
    </row>
    <row r="17" spans="1:17">
      <c r="A17" s="2" t="s">
        <v>782</v>
      </c>
      <c r="B17" s="2" t="s">
        <v>477</v>
      </c>
      <c r="C17" s="2" t="s">
        <v>478</v>
      </c>
      <c r="D17" s="11">
        <v>45962.25</v>
      </c>
      <c r="E17" s="11">
        <v>45962.25</v>
      </c>
      <c r="F17" s="11">
        <v>45962.263888888891</v>
      </c>
      <c r="G17" s="12">
        <v>1.3888888890505768E-2</v>
      </c>
      <c r="H17" s="2" t="s">
        <v>248</v>
      </c>
      <c r="J17" s="2" t="s">
        <v>249</v>
      </c>
      <c r="K17" s="2" t="s">
        <v>349</v>
      </c>
      <c r="L17" s="2" t="s">
        <v>971</v>
      </c>
      <c r="M17" t="s">
        <v>251</v>
      </c>
      <c r="N17" t="s">
        <v>330</v>
      </c>
      <c r="O17" t="s">
        <v>331</v>
      </c>
      <c r="P17" t="s">
        <v>983</v>
      </c>
      <c r="Q17" t="s">
        <v>966</v>
      </c>
    </row>
    <row r="18" spans="1:17">
      <c r="A18" s="2" t="s">
        <v>782</v>
      </c>
      <c r="B18" s="2" t="s">
        <v>477</v>
      </c>
      <c r="C18" s="2" t="s">
        <v>632</v>
      </c>
      <c r="D18" s="11">
        <v>45962.25</v>
      </c>
      <c r="E18" s="11">
        <v>45962.25</v>
      </c>
      <c r="F18" s="11">
        <v>45962.263888888891</v>
      </c>
      <c r="G18" s="12">
        <v>1.3888888890505768E-2</v>
      </c>
      <c r="H18" s="2" t="s">
        <v>248</v>
      </c>
      <c r="J18" s="2" t="s">
        <v>249</v>
      </c>
      <c r="K18" s="2" t="s">
        <v>349</v>
      </c>
      <c r="L18" s="2" t="s">
        <v>971</v>
      </c>
      <c r="M18" t="s">
        <v>251</v>
      </c>
      <c r="N18" t="s">
        <v>330</v>
      </c>
      <c r="O18" t="s">
        <v>331</v>
      </c>
      <c r="P18" t="s">
        <v>984</v>
      </c>
      <c r="Q18" t="s">
        <v>966</v>
      </c>
    </row>
    <row r="19" spans="1:17">
      <c r="A19" s="2" t="s">
        <v>782</v>
      </c>
      <c r="B19" s="2" t="s">
        <v>477</v>
      </c>
      <c r="C19" s="2" t="s">
        <v>629</v>
      </c>
      <c r="D19" s="11">
        <v>45962.25</v>
      </c>
      <c r="E19" s="11">
        <v>45962.25</v>
      </c>
      <c r="F19" s="11">
        <v>45962.263888888891</v>
      </c>
      <c r="G19" s="12">
        <v>1.3888888890505768E-2</v>
      </c>
      <c r="H19" s="2" t="s">
        <v>248</v>
      </c>
      <c r="J19" s="2" t="s">
        <v>249</v>
      </c>
      <c r="K19" s="2" t="s">
        <v>349</v>
      </c>
      <c r="L19" s="2" t="s">
        <v>971</v>
      </c>
      <c r="M19" t="s">
        <v>251</v>
      </c>
      <c r="N19" t="s">
        <v>330</v>
      </c>
      <c r="O19" t="s">
        <v>331</v>
      </c>
      <c r="P19" t="s">
        <v>985</v>
      </c>
      <c r="Q19" t="s">
        <v>966</v>
      </c>
    </row>
    <row r="20" spans="1:17">
      <c r="A20" s="2" t="s">
        <v>782</v>
      </c>
      <c r="B20" s="2" t="s">
        <v>477</v>
      </c>
      <c r="C20" s="2" t="s">
        <v>631</v>
      </c>
      <c r="D20" s="11">
        <v>45962.25</v>
      </c>
      <c r="E20" s="11">
        <v>45962.25</v>
      </c>
      <c r="F20" s="11">
        <v>45962.263888888891</v>
      </c>
      <c r="G20" s="12">
        <v>1.3888888890505768E-2</v>
      </c>
      <c r="H20" s="2" t="s">
        <v>248</v>
      </c>
      <c r="J20" s="2" t="s">
        <v>249</v>
      </c>
      <c r="K20" s="2" t="s">
        <v>349</v>
      </c>
      <c r="L20" s="2" t="s">
        <v>971</v>
      </c>
      <c r="M20" t="s">
        <v>251</v>
      </c>
      <c r="N20" t="s">
        <v>330</v>
      </c>
      <c r="O20" t="s">
        <v>331</v>
      </c>
      <c r="P20" t="s">
        <v>986</v>
      </c>
      <c r="Q20" t="s">
        <v>966</v>
      </c>
    </row>
    <row r="21" spans="1:17">
      <c r="A21" s="2" t="s">
        <v>782</v>
      </c>
      <c r="B21" s="2" t="s">
        <v>477</v>
      </c>
      <c r="C21" s="2" t="s">
        <v>635</v>
      </c>
      <c r="D21" s="11">
        <v>45962.25</v>
      </c>
      <c r="E21" s="11">
        <v>45962.25</v>
      </c>
      <c r="F21" s="11">
        <v>45962.263888888891</v>
      </c>
      <c r="G21" s="12">
        <v>1.3888888890505768E-2</v>
      </c>
      <c r="H21" s="2" t="s">
        <v>248</v>
      </c>
      <c r="J21" s="2" t="s">
        <v>249</v>
      </c>
      <c r="K21" s="2" t="s">
        <v>349</v>
      </c>
      <c r="L21" s="2" t="s">
        <v>971</v>
      </c>
      <c r="M21" t="s">
        <v>251</v>
      </c>
      <c r="N21" t="s">
        <v>330</v>
      </c>
      <c r="O21" t="s">
        <v>331</v>
      </c>
      <c r="P21" t="s">
        <v>987</v>
      </c>
      <c r="Q21" t="s">
        <v>966</v>
      </c>
    </row>
    <row r="22" spans="1:17">
      <c r="A22" s="2" t="s">
        <v>782</v>
      </c>
      <c r="B22" s="2" t="s">
        <v>477</v>
      </c>
      <c r="C22" s="2" t="s">
        <v>487</v>
      </c>
      <c r="D22" s="11">
        <v>45962.25</v>
      </c>
      <c r="E22" s="11">
        <v>45962.25</v>
      </c>
      <c r="F22" s="11">
        <v>45962.263888888891</v>
      </c>
      <c r="G22" s="12">
        <v>1.3888888890505768E-2</v>
      </c>
      <c r="H22" s="2" t="s">
        <v>248</v>
      </c>
      <c r="J22" s="2" t="s">
        <v>249</v>
      </c>
      <c r="K22" s="2" t="s">
        <v>349</v>
      </c>
      <c r="L22" s="2" t="s">
        <v>971</v>
      </c>
      <c r="M22" t="s">
        <v>251</v>
      </c>
      <c r="N22" t="s">
        <v>330</v>
      </c>
      <c r="O22" t="s">
        <v>331</v>
      </c>
      <c r="P22" t="s">
        <v>988</v>
      </c>
      <c r="Q22" t="s">
        <v>966</v>
      </c>
    </row>
    <row r="23" spans="1:17">
      <c r="A23" s="2" t="s">
        <v>782</v>
      </c>
      <c r="B23" s="2" t="s">
        <v>477</v>
      </c>
      <c r="C23" s="2" t="s">
        <v>627</v>
      </c>
      <c r="D23" s="11">
        <v>45962.25</v>
      </c>
      <c r="E23" s="11">
        <v>45962.25</v>
      </c>
      <c r="F23" s="11">
        <v>45962.263888888891</v>
      </c>
      <c r="G23" s="12">
        <v>1.3888888890505768E-2</v>
      </c>
      <c r="H23" s="2" t="s">
        <v>248</v>
      </c>
      <c r="J23" s="2" t="s">
        <v>249</v>
      </c>
      <c r="K23" s="2" t="s">
        <v>349</v>
      </c>
      <c r="L23" s="2" t="s">
        <v>971</v>
      </c>
      <c r="M23" t="s">
        <v>251</v>
      </c>
      <c r="N23" t="s">
        <v>330</v>
      </c>
      <c r="O23" t="s">
        <v>331</v>
      </c>
      <c r="P23" t="s">
        <v>989</v>
      </c>
      <c r="Q23" t="s">
        <v>966</v>
      </c>
    </row>
    <row r="24" spans="1:17">
      <c r="A24" s="2" t="s">
        <v>363</v>
      </c>
      <c r="B24" s="2" t="s">
        <v>363</v>
      </c>
      <c r="C24" s="2" t="s">
        <v>357</v>
      </c>
      <c r="D24" s="11">
        <v>45962.410416666666</v>
      </c>
      <c r="E24" s="11">
        <v>45962.410416666666</v>
      </c>
      <c r="F24" s="11">
        <v>45962.461805555555</v>
      </c>
      <c r="G24" s="12">
        <v>5.1388888889050577E-2</v>
      </c>
      <c r="H24" s="2" t="s">
        <v>248</v>
      </c>
      <c r="J24" s="2" t="s">
        <v>249</v>
      </c>
      <c r="K24" s="2" t="s">
        <v>349</v>
      </c>
      <c r="L24" s="2" t="s">
        <v>990</v>
      </c>
      <c r="M24" t="s">
        <v>251</v>
      </c>
      <c r="N24" t="s">
        <v>330</v>
      </c>
      <c r="O24" t="s">
        <v>739</v>
      </c>
      <c r="P24" t="s">
        <v>991</v>
      </c>
      <c r="Q24" t="s">
        <v>966</v>
      </c>
    </row>
    <row r="25" spans="1:17">
      <c r="A25" s="2" t="s">
        <v>363</v>
      </c>
      <c r="B25" s="2" t="s">
        <v>363</v>
      </c>
      <c r="C25" s="2" t="s">
        <v>354</v>
      </c>
      <c r="D25" s="11">
        <v>45962.410416666666</v>
      </c>
      <c r="E25" s="11">
        <v>45962.410416666666</v>
      </c>
      <c r="F25" s="11">
        <v>45962.461805555555</v>
      </c>
      <c r="G25" s="12">
        <v>5.1388888889050577E-2</v>
      </c>
      <c r="H25" s="2" t="s">
        <v>248</v>
      </c>
      <c r="J25" s="2" t="s">
        <v>249</v>
      </c>
      <c r="K25" s="2" t="s">
        <v>349</v>
      </c>
      <c r="L25" s="2" t="s">
        <v>990</v>
      </c>
      <c r="M25" t="s">
        <v>251</v>
      </c>
      <c r="N25" t="s">
        <v>330</v>
      </c>
      <c r="O25" t="s">
        <v>739</v>
      </c>
      <c r="P25" t="s">
        <v>992</v>
      </c>
      <c r="Q25" t="s">
        <v>966</v>
      </c>
    </row>
    <row r="26" spans="1:17">
      <c r="A26" s="2" t="s">
        <v>363</v>
      </c>
      <c r="B26" s="2" t="s">
        <v>363</v>
      </c>
      <c r="C26" s="2" t="s">
        <v>359</v>
      </c>
      <c r="D26" s="11">
        <v>45962.410416666666</v>
      </c>
      <c r="E26" s="11">
        <v>45962.410416666666</v>
      </c>
      <c r="F26" s="11">
        <v>45962.461805555555</v>
      </c>
      <c r="G26" s="12">
        <v>5.1388888889050577E-2</v>
      </c>
      <c r="H26" s="2" t="s">
        <v>248</v>
      </c>
      <c r="J26" s="2" t="s">
        <v>249</v>
      </c>
      <c r="K26" s="2" t="s">
        <v>349</v>
      </c>
      <c r="L26" s="2" t="s">
        <v>990</v>
      </c>
      <c r="M26" t="s">
        <v>251</v>
      </c>
      <c r="N26" t="s">
        <v>330</v>
      </c>
      <c r="O26" t="s">
        <v>739</v>
      </c>
      <c r="P26" t="s">
        <v>993</v>
      </c>
      <c r="Q26" t="s">
        <v>966</v>
      </c>
    </row>
    <row r="27" spans="1:17">
      <c r="A27" s="2" t="s">
        <v>363</v>
      </c>
      <c r="B27" s="2" t="s">
        <v>363</v>
      </c>
      <c r="C27" s="2" t="s">
        <v>358</v>
      </c>
      <c r="D27" s="11">
        <v>45962.410416666666</v>
      </c>
      <c r="E27" s="11">
        <v>45962.410416666666</v>
      </c>
      <c r="F27" s="11">
        <v>45962.461805555555</v>
      </c>
      <c r="G27" s="12">
        <v>5.1388888889050577E-2</v>
      </c>
      <c r="H27" s="2" t="s">
        <v>248</v>
      </c>
      <c r="J27" s="2" t="s">
        <v>249</v>
      </c>
      <c r="K27" s="2" t="s">
        <v>349</v>
      </c>
      <c r="L27" s="2" t="s">
        <v>990</v>
      </c>
      <c r="M27" t="s">
        <v>251</v>
      </c>
      <c r="N27" t="s">
        <v>330</v>
      </c>
      <c r="O27" t="s">
        <v>739</v>
      </c>
      <c r="P27" t="s">
        <v>994</v>
      </c>
      <c r="Q27" t="s">
        <v>966</v>
      </c>
    </row>
    <row r="28" spans="1:17">
      <c r="A28" s="2" t="s">
        <v>369</v>
      </c>
      <c r="B28" s="2" t="s">
        <v>369</v>
      </c>
      <c r="C28" s="2" t="s">
        <v>359</v>
      </c>
      <c r="D28" s="11">
        <v>45962.410416666666</v>
      </c>
      <c r="E28" s="11">
        <v>45962.410416666666</v>
      </c>
      <c r="F28" s="11">
        <v>45962.461805555555</v>
      </c>
      <c r="G28" s="12">
        <v>5.1388888889050577E-2</v>
      </c>
      <c r="H28" s="2" t="s">
        <v>248</v>
      </c>
      <c r="J28" s="2" t="s">
        <v>249</v>
      </c>
      <c r="K28" s="2" t="s">
        <v>349</v>
      </c>
      <c r="L28" s="2" t="s">
        <v>990</v>
      </c>
      <c r="M28" t="s">
        <v>251</v>
      </c>
      <c r="N28" t="s">
        <v>330</v>
      </c>
      <c r="O28" t="s">
        <v>739</v>
      </c>
      <c r="P28" t="s">
        <v>995</v>
      </c>
      <c r="Q28" t="s">
        <v>966</v>
      </c>
    </row>
    <row r="29" spans="1:17">
      <c r="A29" s="2" t="s">
        <v>369</v>
      </c>
      <c r="B29" s="2" t="s">
        <v>369</v>
      </c>
      <c r="C29" s="2" t="s">
        <v>357</v>
      </c>
      <c r="D29" s="11">
        <v>45962.410416666666</v>
      </c>
      <c r="E29" s="11">
        <v>45962.410416666666</v>
      </c>
      <c r="F29" s="11">
        <v>45962.461805555555</v>
      </c>
      <c r="G29" s="12">
        <v>5.1388888889050577E-2</v>
      </c>
      <c r="H29" s="2" t="s">
        <v>248</v>
      </c>
      <c r="J29" s="2" t="s">
        <v>249</v>
      </c>
      <c r="K29" s="2" t="s">
        <v>349</v>
      </c>
      <c r="L29" s="2" t="s">
        <v>990</v>
      </c>
      <c r="M29" t="s">
        <v>251</v>
      </c>
      <c r="N29" t="s">
        <v>330</v>
      </c>
      <c r="O29" t="s">
        <v>739</v>
      </c>
      <c r="P29" t="s">
        <v>996</v>
      </c>
      <c r="Q29" t="s">
        <v>966</v>
      </c>
    </row>
    <row r="30" spans="1:17">
      <c r="A30" s="2" t="s">
        <v>369</v>
      </c>
      <c r="B30" s="2" t="s">
        <v>369</v>
      </c>
      <c r="C30" s="2" t="s">
        <v>358</v>
      </c>
      <c r="D30" s="11">
        <v>45962.410416666666</v>
      </c>
      <c r="E30" s="11">
        <v>45962.410416666666</v>
      </c>
      <c r="F30" s="11">
        <v>45962.461805555555</v>
      </c>
      <c r="G30" s="12">
        <v>5.1388888889050577E-2</v>
      </c>
      <c r="H30" s="2" t="s">
        <v>248</v>
      </c>
      <c r="J30" s="2" t="s">
        <v>249</v>
      </c>
      <c r="K30" s="2" t="s">
        <v>349</v>
      </c>
      <c r="L30" s="2" t="s">
        <v>990</v>
      </c>
      <c r="M30" t="s">
        <v>251</v>
      </c>
      <c r="N30" t="s">
        <v>330</v>
      </c>
      <c r="O30" t="s">
        <v>739</v>
      </c>
      <c r="P30" t="s">
        <v>997</v>
      </c>
      <c r="Q30" t="s">
        <v>966</v>
      </c>
    </row>
    <row r="31" spans="1:17">
      <c r="A31" s="2" t="s">
        <v>369</v>
      </c>
      <c r="B31" s="2" t="s">
        <v>369</v>
      </c>
      <c r="C31" s="2" t="s">
        <v>354</v>
      </c>
      <c r="D31" s="11">
        <v>45962.410416666666</v>
      </c>
      <c r="E31" s="11">
        <v>45962.410416666666</v>
      </c>
      <c r="F31" s="11">
        <v>45962.461805555555</v>
      </c>
      <c r="G31" s="12">
        <v>5.1388888889050577E-2</v>
      </c>
      <c r="H31" s="2" t="s">
        <v>248</v>
      </c>
      <c r="J31" s="2" t="s">
        <v>249</v>
      </c>
      <c r="K31" s="2" t="s">
        <v>349</v>
      </c>
      <c r="L31" s="2" t="s">
        <v>990</v>
      </c>
      <c r="M31" t="s">
        <v>251</v>
      </c>
      <c r="N31" t="s">
        <v>330</v>
      </c>
      <c r="O31" t="s">
        <v>739</v>
      </c>
      <c r="P31" t="s">
        <v>998</v>
      </c>
      <c r="Q31" t="s">
        <v>966</v>
      </c>
    </row>
    <row r="32" spans="1:17">
      <c r="A32" s="2" t="s">
        <v>780</v>
      </c>
      <c r="B32" s="2" t="s">
        <v>268</v>
      </c>
      <c r="C32" s="2" t="s">
        <v>269</v>
      </c>
      <c r="D32" s="11">
        <v>45963.341666666667</v>
      </c>
      <c r="E32" s="11">
        <v>45963.341666666667</v>
      </c>
      <c r="F32" s="11">
        <v>45963.420138888891</v>
      </c>
      <c r="G32" s="12">
        <v>7.8472222223354038E-2</v>
      </c>
      <c r="H32" s="2" t="s">
        <v>248</v>
      </c>
      <c r="J32" s="2" t="s">
        <v>249</v>
      </c>
      <c r="K32" s="2" t="s">
        <v>349</v>
      </c>
      <c r="L32" s="2" t="s">
        <v>677</v>
      </c>
      <c r="M32" t="s">
        <v>251</v>
      </c>
      <c r="N32" t="s">
        <v>330</v>
      </c>
      <c r="O32" t="s">
        <v>331</v>
      </c>
      <c r="P32" t="s">
        <v>999</v>
      </c>
      <c r="Q32" t="s">
        <v>966</v>
      </c>
    </row>
    <row r="33" spans="1:17">
      <c r="A33" s="2" t="s">
        <v>780</v>
      </c>
      <c r="B33" s="2" t="s">
        <v>268</v>
      </c>
      <c r="C33" s="2" t="s">
        <v>270</v>
      </c>
      <c r="D33" s="11">
        <v>45963.341666666667</v>
      </c>
      <c r="E33" s="11">
        <v>45963.341666666667</v>
      </c>
      <c r="F33" s="11">
        <v>45963.420138888891</v>
      </c>
      <c r="G33" s="12">
        <v>7.8472222223354038E-2</v>
      </c>
      <c r="H33" s="2" t="s">
        <v>248</v>
      </c>
      <c r="J33" s="2" t="s">
        <v>249</v>
      </c>
      <c r="K33" s="2" t="s">
        <v>349</v>
      </c>
      <c r="L33" s="2" t="s">
        <v>677</v>
      </c>
      <c r="M33" t="s">
        <v>251</v>
      </c>
      <c r="N33" t="s">
        <v>330</v>
      </c>
      <c r="O33" t="s">
        <v>331</v>
      </c>
      <c r="P33" t="s">
        <v>1000</v>
      </c>
      <c r="Q33" t="s">
        <v>966</v>
      </c>
    </row>
    <row r="34" spans="1:17">
      <c r="A34" s="2" t="s">
        <v>780</v>
      </c>
      <c r="B34" s="2" t="s">
        <v>268</v>
      </c>
      <c r="C34" s="2" t="s">
        <v>271</v>
      </c>
      <c r="D34" s="11">
        <v>45963.341666666667</v>
      </c>
      <c r="E34" s="11">
        <v>45963.341666666667</v>
      </c>
      <c r="F34" s="11">
        <v>45963.420138888891</v>
      </c>
      <c r="G34" s="12">
        <v>7.8472222223354038E-2</v>
      </c>
      <c r="H34" s="2" t="s">
        <v>248</v>
      </c>
      <c r="J34" s="2" t="s">
        <v>249</v>
      </c>
      <c r="K34" s="2" t="s">
        <v>349</v>
      </c>
      <c r="L34" s="2" t="s">
        <v>677</v>
      </c>
      <c r="M34" t="s">
        <v>251</v>
      </c>
      <c r="N34" t="s">
        <v>330</v>
      </c>
      <c r="O34" t="s">
        <v>331</v>
      </c>
      <c r="P34" t="s">
        <v>1001</v>
      </c>
      <c r="Q34" t="s">
        <v>966</v>
      </c>
    </row>
    <row r="35" spans="1:17">
      <c r="A35" s="2" t="s">
        <v>780</v>
      </c>
      <c r="B35" s="2" t="s">
        <v>268</v>
      </c>
      <c r="C35" s="2" t="s">
        <v>272</v>
      </c>
      <c r="D35" s="11">
        <v>45963.341666666667</v>
      </c>
      <c r="E35" s="11">
        <v>45963.341666666667</v>
      </c>
      <c r="F35" s="11">
        <v>45963.420138888891</v>
      </c>
      <c r="G35" s="12">
        <v>7.8472222223354038E-2</v>
      </c>
      <c r="H35" s="2" t="s">
        <v>248</v>
      </c>
      <c r="J35" s="2" t="s">
        <v>249</v>
      </c>
      <c r="K35" s="2" t="s">
        <v>349</v>
      </c>
      <c r="L35" s="2" t="s">
        <v>677</v>
      </c>
      <c r="M35" t="s">
        <v>251</v>
      </c>
      <c r="N35" t="s">
        <v>330</v>
      </c>
      <c r="O35" t="s">
        <v>331</v>
      </c>
      <c r="P35" t="s">
        <v>1002</v>
      </c>
      <c r="Q35" t="s">
        <v>966</v>
      </c>
    </row>
    <row r="36" spans="1:17">
      <c r="A36" s="2" t="s">
        <v>780</v>
      </c>
      <c r="B36" s="2" t="s">
        <v>268</v>
      </c>
      <c r="C36" s="2" t="s">
        <v>273</v>
      </c>
      <c r="D36" s="11">
        <v>45963.341666666667</v>
      </c>
      <c r="E36" s="11">
        <v>45963.341666666667</v>
      </c>
      <c r="F36" s="11">
        <v>45963.420138888891</v>
      </c>
      <c r="G36" s="12">
        <v>7.8472222223354038E-2</v>
      </c>
      <c r="H36" s="2" t="s">
        <v>248</v>
      </c>
      <c r="J36" s="2" t="s">
        <v>249</v>
      </c>
      <c r="K36" s="2" t="s">
        <v>349</v>
      </c>
      <c r="L36" s="2" t="s">
        <v>677</v>
      </c>
      <c r="M36" t="s">
        <v>251</v>
      </c>
      <c r="N36" t="s">
        <v>330</v>
      </c>
      <c r="O36" t="s">
        <v>331</v>
      </c>
      <c r="P36" t="s">
        <v>1003</v>
      </c>
      <c r="Q36" t="s">
        <v>966</v>
      </c>
    </row>
    <row r="37" spans="1:17">
      <c r="A37" s="2" t="s">
        <v>780</v>
      </c>
      <c r="B37" s="2" t="s">
        <v>268</v>
      </c>
      <c r="C37" s="2" t="s">
        <v>274</v>
      </c>
      <c r="D37" s="11">
        <v>45963.341666666667</v>
      </c>
      <c r="E37" s="11">
        <v>45963.341666666667</v>
      </c>
      <c r="F37" s="11">
        <v>45963.420138888891</v>
      </c>
      <c r="G37" s="12">
        <v>7.8472222223354038E-2</v>
      </c>
      <c r="H37" s="2" t="s">
        <v>248</v>
      </c>
      <c r="J37" s="2" t="s">
        <v>249</v>
      </c>
      <c r="K37" s="2" t="s">
        <v>349</v>
      </c>
      <c r="L37" s="2" t="s">
        <v>677</v>
      </c>
      <c r="M37" t="s">
        <v>251</v>
      </c>
      <c r="N37" t="s">
        <v>330</v>
      </c>
      <c r="O37" t="s">
        <v>331</v>
      </c>
      <c r="P37" t="s">
        <v>1004</v>
      </c>
      <c r="Q37" t="s">
        <v>966</v>
      </c>
    </row>
    <row r="38" spans="1:17">
      <c r="A38" s="2" t="s">
        <v>780</v>
      </c>
      <c r="B38" s="2" t="s">
        <v>268</v>
      </c>
      <c r="C38" s="2" t="s">
        <v>275</v>
      </c>
      <c r="D38" s="11">
        <v>45963.341666666667</v>
      </c>
      <c r="E38" s="11">
        <v>45963.341666666667</v>
      </c>
      <c r="F38" s="11">
        <v>45963.420138888891</v>
      </c>
      <c r="G38" s="12">
        <v>7.8472222223354038E-2</v>
      </c>
      <c r="H38" s="2" t="s">
        <v>248</v>
      </c>
      <c r="J38" s="2" t="s">
        <v>249</v>
      </c>
      <c r="K38" s="2" t="s">
        <v>349</v>
      </c>
      <c r="L38" s="2" t="s">
        <v>677</v>
      </c>
      <c r="M38" t="s">
        <v>251</v>
      </c>
      <c r="N38" t="s">
        <v>330</v>
      </c>
      <c r="O38" t="s">
        <v>331</v>
      </c>
      <c r="P38" t="s">
        <v>1005</v>
      </c>
      <c r="Q38" t="s">
        <v>966</v>
      </c>
    </row>
    <row r="39" spans="1:17">
      <c r="A39" s="2" t="s">
        <v>780</v>
      </c>
      <c r="B39" s="2" t="s">
        <v>268</v>
      </c>
      <c r="C39" s="2" t="s">
        <v>276</v>
      </c>
      <c r="D39" s="11">
        <v>45963.341666666667</v>
      </c>
      <c r="E39" s="11">
        <v>45963.341666666667</v>
      </c>
      <c r="F39" s="11">
        <v>45963.420138888891</v>
      </c>
      <c r="G39" s="12">
        <v>7.8472222223354038E-2</v>
      </c>
      <c r="H39" s="2" t="s">
        <v>248</v>
      </c>
      <c r="J39" s="2" t="s">
        <v>249</v>
      </c>
      <c r="K39" s="2" t="s">
        <v>349</v>
      </c>
      <c r="L39" s="2" t="s">
        <v>677</v>
      </c>
      <c r="M39" t="s">
        <v>251</v>
      </c>
      <c r="N39" t="s">
        <v>330</v>
      </c>
      <c r="O39" t="s">
        <v>331</v>
      </c>
      <c r="P39" t="s">
        <v>1006</v>
      </c>
      <c r="Q39" t="s">
        <v>966</v>
      </c>
    </row>
    <row r="40" spans="1:17">
      <c r="A40" s="2" t="s">
        <v>781</v>
      </c>
      <c r="B40" s="2" t="s">
        <v>268</v>
      </c>
      <c r="C40" s="2" t="s">
        <v>277</v>
      </c>
      <c r="D40" s="11">
        <v>45963.341666666667</v>
      </c>
      <c r="E40" s="11">
        <v>45963.341666666667</v>
      </c>
      <c r="F40" s="11">
        <v>45963.420138888891</v>
      </c>
      <c r="G40" s="12">
        <v>7.8472222223354038E-2</v>
      </c>
      <c r="H40" s="2" t="s">
        <v>248</v>
      </c>
      <c r="J40" s="2" t="s">
        <v>249</v>
      </c>
      <c r="K40" s="2" t="s">
        <v>349</v>
      </c>
      <c r="L40" s="2" t="s">
        <v>677</v>
      </c>
      <c r="M40" t="s">
        <v>251</v>
      </c>
      <c r="N40" t="s">
        <v>330</v>
      </c>
      <c r="O40" t="s">
        <v>331</v>
      </c>
      <c r="P40" t="s">
        <v>1007</v>
      </c>
      <c r="Q40" t="s">
        <v>966</v>
      </c>
    </row>
    <row r="41" spans="1:17">
      <c r="A41" s="2" t="s">
        <v>781</v>
      </c>
      <c r="B41" s="2" t="s">
        <v>268</v>
      </c>
      <c r="C41" s="2" t="s">
        <v>278</v>
      </c>
      <c r="D41" s="11">
        <v>45963.341666666667</v>
      </c>
      <c r="E41" s="11">
        <v>45963.341666666667</v>
      </c>
      <c r="F41" s="11">
        <v>45963.420138888891</v>
      </c>
      <c r="G41" s="12">
        <v>7.8472222223354038E-2</v>
      </c>
      <c r="H41" s="2" t="s">
        <v>248</v>
      </c>
      <c r="J41" s="2" t="s">
        <v>249</v>
      </c>
      <c r="K41" s="2" t="s">
        <v>349</v>
      </c>
      <c r="L41" s="2" t="s">
        <v>677</v>
      </c>
      <c r="M41" t="s">
        <v>251</v>
      </c>
      <c r="N41" t="s">
        <v>330</v>
      </c>
      <c r="O41" t="s">
        <v>331</v>
      </c>
      <c r="P41" t="s">
        <v>1008</v>
      </c>
      <c r="Q41" t="s">
        <v>966</v>
      </c>
    </row>
    <row r="42" spans="1:17">
      <c r="A42" s="2" t="s">
        <v>781</v>
      </c>
      <c r="B42" s="2" t="s">
        <v>268</v>
      </c>
      <c r="C42" s="2" t="s">
        <v>279</v>
      </c>
      <c r="D42" s="11">
        <v>45963.341666666667</v>
      </c>
      <c r="E42" s="11">
        <v>45963.341666666667</v>
      </c>
      <c r="F42" s="11">
        <v>45963.420138888891</v>
      </c>
      <c r="G42" s="12">
        <v>7.8472222223354038E-2</v>
      </c>
      <c r="H42" s="2" t="s">
        <v>248</v>
      </c>
      <c r="J42" s="2" t="s">
        <v>249</v>
      </c>
      <c r="K42" s="2" t="s">
        <v>349</v>
      </c>
      <c r="L42" s="2" t="s">
        <v>677</v>
      </c>
      <c r="M42" t="s">
        <v>251</v>
      </c>
      <c r="N42" t="s">
        <v>330</v>
      </c>
      <c r="O42" t="s">
        <v>331</v>
      </c>
      <c r="P42" t="s">
        <v>1009</v>
      </c>
      <c r="Q42" t="s">
        <v>966</v>
      </c>
    </row>
    <row r="43" spans="1:17">
      <c r="A43" s="2" t="s">
        <v>781</v>
      </c>
      <c r="B43" s="2" t="s">
        <v>268</v>
      </c>
      <c r="C43" s="2" t="s">
        <v>280</v>
      </c>
      <c r="D43" s="11">
        <v>45963.341666666667</v>
      </c>
      <c r="E43" s="11">
        <v>45963.341666666667</v>
      </c>
      <c r="F43" s="11">
        <v>45963.420138888891</v>
      </c>
      <c r="G43" s="12">
        <v>7.8472222223354038E-2</v>
      </c>
      <c r="H43" s="2" t="s">
        <v>248</v>
      </c>
      <c r="J43" s="2" t="s">
        <v>249</v>
      </c>
      <c r="K43" s="2" t="s">
        <v>349</v>
      </c>
      <c r="L43" s="2" t="s">
        <v>677</v>
      </c>
      <c r="M43" t="s">
        <v>251</v>
      </c>
      <c r="N43" t="s">
        <v>330</v>
      </c>
      <c r="O43" t="s">
        <v>331</v>
      </c>
      <c r="P43" t="s">
        <v>1010</v>
      </c>
      <c r="Q43" t="s">
        <v>966</v>
      </c>
    </row>
    <row r="44" spans="1:17">
      <c r="A44" s="2" t="s">
        <v>781</v>
      </c>
      <c r="B44" s="2" t="s">
        <v>268</v>
      </c>
      <c r="C44" s="2" t="s">
        <v>281</v>
      </c>
      <c r="D44" s="11">
        <v>45963.341666666667</v>
      </c>
      <c r="E44" s="11">
        <v>45963.341666666667</v>
      </c>
      <c r="F44" s="11">
        <v>45963.420138888891</v>
      </c>
      <c r="G44" s="12">
        <v>7.8472222223354038E-2</v>
      </c>
      <c r="H44" s="2" t="s">
        <v>248</v>
      </c>
      <c r="J44" s="2" t="s">
        <v>249</v>
      </c>
      <c r="K44" s="2" t="s">
        <v>349</v>
      </c>
      <c r="L44" s="2" t="s">
        <v>677</v>
      </c>
      <c r="M44" t="s">
        <v>251</v>
      </c>
      <c r="N44" t="s">
        <v>330</v>
      </c>
      <c r="O44" t="s">
        <v>331</v>
      </c>
      <c r="P44" t="s">
        <v>1011</v>
      </c>
      <c r="Q44" t="s">
        <v>966</v>
      </c>
    </row>
    <row r="45" spans="1:17">
      <c r="A45" s="2" t="s">
        <v>781</v>
      </c>
      <c r="B45" s="2" t="s">
        <v>268</v>
      </c>
      <c r="C45" s="2" t="s">
        <v>282</v>
      </c>
      <c r="D45" s="11">
        <v>45963.341666666667</v>
      </c>
      <c r="E45" s="11">
        <v>45963.341666666667</v>
      </c>
      <c r="F45" s="11">
        <v>45963.420138888891</v>
      </c>
      <c r="G45" s="12">
        <v>7.8472222223354038E-2</v>
      </c>
      <c r="H45" s="2" t="s">
        <v>248</v>
      </c>
      <c r="J45" s="2" t="s">
        <v>249</v>
      </c>
      <c r="K45" s="2" t="s">
        <v>349</v>
      </c>
      <c r="L45" s="2" t="s">
        <v>677</v>
      </c>
      <c r="M45" t="s">
        <v>251</v>
      </c>
      <c r="N45" t="s">
        <v>330</v>
      </c>
      <c r="O45" t="s">
        <v>331</v>
      </c>
      <c r="P45" t="s">
        <v>1012</v>
      </c>
      <c r="Q45" t="s">
        <v>966</v>
      </c>
    </row>
    <row r="46" spans="1:17">
      <c r="A46" s="2" t="s">
        <v>781</v>
      </c>
      <c r="B46" s="2" t="s">
        <v>268</v>
      </c>
      <c r="C46" s="2" t="s">
        <v>283</v>
      </c>
      <c r="D46" s="11">
        <v>45963.341666666667</v>
      </c>
      <c r="E46" s="11">
        <v>45963.341666666667</v>
      </c>
      <c r="F46" s="11">
        <v>45963.420138888891</v>
      </c>
      <c r="G46" s="12">
        <v>7.8472222223354038E-2</v>
      </c>
      <c r="H46" s="2" t="s">
        <v>248</v>
      </c>
      <c r="J46" s="2" t="s">
        <v>249</v>
      </c>
      <c r="K46" s="2" t="s">
        <v>349</v>
      </c>
      <c r="L46" s="2" t="s">
        <v>677</v>
      </c>
      <c r="M46" t="s">
        <v>251</v>
      </c>
      <c r="N46" t="s">
        <v>330</v>
      </c>
      <c r="O46" t="s">
        <v>331</v>
      </c>
      <c r="P46" t="s">
        <v>1013</v>
      </c>
      <c r="Q46" t="s">
        <v>966</v>
      </c>
    </row>
    <row r="47" spans="1:17">
      <c r="A47" s="2" t="s">
        <v>794</v>
      </c>
      <c r="B47" s="2" t="s">
        <v>268</v>
      </c>
      <c r="C47" s="2" t="s">
        <v>284</v>
      </c>
      <c r="D47" s="11">
        <v>45963.341666666667</v>
      </c>
      <c r="E47" s="11">
        <v>45963.341666666667</v>
      </c>
      <c r="F47" s="11">
        <v>45963.420138888891</v>
      </c>
      <c r="G47" s="12">
        <v>7.8472222223354038E-2</v>
      </c>
      <c r="H47" s="2" t="s">
        <v>248</v>
      </c>
      <c r="J47" s="2" t="s">
        <v>249</v>
      </c>
      <c r="K47" s="2" t="s">
        <v>349</v>
      </c>
      <c r="L47" s="2" t="s">
        <v>677</v>
      </c>
      <c r="M47" t="s">
        <v>251</v>
      </c>
      <c r="N47" t="s">
        <v>330</v>
      </c>
      <c r="O47" t="s">
        <v>331</v>
      </c>
      <c r="P47" t="s">
        <v>1014</v>
      </c>
      <c r="Q47" t="s">
        <v>966</v>
      </c>
    </row>
    <row r="48" spans="1:17">
      <c r="A48" s="2" t="s">
        <v>794</v>
      </c>
      <c r="B48" s="2" t="s">
        <v>268</v>
      </c>
      <c r="C48" s="2" t="s">
        <v>285</v>
      </c>
      <c r="D48" s="11">
        <v>45963.341666666667</v>
      </c>
      <c r="E48" s="11">
        <v>45963.341666666667</v>
      </c>
      <c r="F48" s="11">
        <v>45963.420138888891</v>
      </c>
      <c r="G48" s="12">
        <v>7.8472222223354038E-2</v>
      </c>
      <c r="H48" s="2" t="s">
        <v>248</v>
      </c>
      <c r="J48" s="2" t="s">
        <v>249</v>
      </c>
      <c r="K48" s="2" t="s">
        <v>349</v>
      </c>
      <c r="L48" s="2" t="s">
        <v>677</v>
      </c>
      <c r="M48" t="s">
        <v>251</v>
      </c>
      <c r="N48" t="s">
        <v>330</v>
      </c>
      <c r="O48" t="s">
        <v>331</v>
      </c>
      <c r="P48" t="s">
        <v>1015</v>
      </c>
      <c r="Q48" t="s">
        <v>966</v>
      </c>
    </row>
    <row r="49" spans="1:17">
      <c r="A49" s="2" t="s">
        <v>794</v>
      </c>
      <c r="B49" s="2" t="s">
        <v>268</v>
      </c>
      <c r="C49" s="2" t="s">
        <v>286</v>
      </c>
      <c r="D49" s="11">
        <v>45963.341666666667</v>
      </c>
      <c r="E49" s="11">
        <v>45963.341666666667</v>
      </c>
      <c r="F49" s="11">
        <v>45963.420138888891</v>
      </c>
      <c r="G49" s="12">
        <v>7.8472222223354038E-2</v>
      </c>
      <c r="H49" s="2" t="s">
        <v>248</v>
      </c>
      <c r="J49" s="2" t="s">
        <v>249</v>
      </c>
      <c r="K49" s="2" t="s">
        <v>349</v>
      </c>
      <c r="L49" s="2" t="s">
        <v>677</v>
      </c>
      <c r="M49" t="s">
        <v>251</v>
      </c>
      <c r="N49" t="s">
        <v>330</v>
      </c>
      <c r="O49" t="s">
        <v>331</v>
      </c>
      <c r="P49" t="s">
        <v>1016</v>
      </c>
      <c r="Q49" t="s">
        <v>966</v>
      </c>
    </row>
    <row r="50" spans="1:17">
      <c r="A50" s="2" t="s">
        <v>794</v>
      </c>
      <c r="B50" s="2" t="s">
        <v>268</v>
      </c>
      <c r="C50" s="2" t="s">
        <v>287</v>
      </c>
      <c r="D50" s="11">
        <v>45963.341666666667</v>
      </c>
      <c r="E50" s="11">
        <v>45963.341666666667</v>
      </c>
      <c r="F50" s="11">
        <v>45963.420138888891</v>
      </c>
      <c r="G50" s="12">
        <v>7.8472222223354038E-2</v>
      </c>
      <c r="H50" s="2" t="s">
        <v>248</v>
      </c>
      <c r="J50" s="2" t="s">
        <v>249</v>
      </c>
      <c r="K50" s="2" t="s">
        <v>349</v>
      </c>
      <c r="L50" s="2" t="s">
        <v>677</v>
      </c>
      <c r="M50" t="s">
        <v>251</v>
      </c>
      <c r="N50" t="s">
        <v>330</v>
      </c>
      <c r="O50" t="s">
        <v>331</v>
      </c>
      <c r="P50" t="s">
        <v>1017</v>
      </c>
      <c r="Q50" t="s">
        <v>966</v>
      </c>
    </row>
    <row r="51" spans="1:17">
      <c r="A51" s="2" t="s">
        <v>794</v>
      </c>
      <c r="B51" s="2" t="s">
        <v>268</v>
      </c>
      <c r="C51" s="2" t="s">
        <v>288</v>
      </c>
      <c r="D51" s="11">
        <v>45963.341666666667</v>
      </c>
      <c r="E51" s="11">
        <v>45963.341666666667</v>
      </c>
      <c r="F51" s="11">
        <v>45963.420138888891</v>
      </c>
      <c r="G51" s="12">
        <v>7.8472222223354038E-2</v>
      </c>
      <c r="H51" s="2" t="s">
        <v>248</v>
      </c>
      <c r="J51" s="2" t="s">
        <v>249</v>
      </c>
      <c r="K51" s="2" t="s">
        <v>349</v>
      </c>
      <c r="L51" s="2" t="s">
        <v>677</v>
      </c>
      <c r="M51" t="s">
        <v>251</v>
      </c>
      <c r="N51" t="s">
        <v>330</v>
      </c>
      <c r="O51" t="s">
        <v>331</v>
      </c>
      <c r="P51" t="s">
        <v>1018</v>
      </c>
      <c r="Q51" t="s">
        <v>966</v>
      </c>
    </row>
    <row r="52" spans="1:17">
      <c r="A52" s="2" t="s">
        <v>795</v>
      </c>
      <c r="B52" s="2" t="s">
        <v>268</v>
      </c>
      <c r="C52" s="2" t="s">
        <v>289</v>
      </c>
      <c r="D52" s="11">
        <v>45963.341666666667</v>
      </c>
      <c r="E52" s="11">
        <v>45963.341666666667</v>
      </c>
      <c r="F52" s="11">
        <v>45963.420138888891</v>
      </c>
      <c r="G52" s="12">
        <v>7.8472222223354038E-2</v>
      </c>
      <c r="H52" s="2" t="s">
        <v>248</v>
      </c>
      <c r="J52" s="2" t="s">
        <v>249</v>
      </c>
      <c r="K52" s="2" t="s">
        <v>349</v>
      </c>
      <c r="L52" s="2" t="s">
        <v>677</v>
      </c>
      <c r="M52" t="s">
        <v>251</v>
      </c>
      <c r="N52" t="s">
        <v>330</v>
      </c>
      <c r="O52" t="s">
        <v>331</v>
      </c>
      <c r="P52" t="s">
        <v>1019</v>
      </c>
      <c r="Q52" t="s">
        <v>966</v>
      </c>
    </row>
    <row r="53" spans="1:17">
      <c r="A53" s="2" t="s">
        <v>795</v>
      </c>
      <c r="B53" s="2" t="s">
        <v>268</v>
      </c>
      <c r="C53" s="2" t="s">
        <v>290</v>
      </c>
      <c r="D53" s="11">
        <v>45963.341666666667</v>
      </c>
      <c r="E53" s="11">
        <v>45963.341666666667</v>
      </c>
      <c r="F53" s="11">
        <v>45963.420138888891</v>
      </c>
      <c r="G53" s="12">
        <v>7.8472222223354038E-2</v>
      </c>
      <c r="H53" s="2" t="s">
        <v>248</v>
      </c>
      <c r="J53" s="2" t="s">
        <v>249</v>
      </c>
      <c r="K53" s="2" t="s">
        <v>349</v>
      </c>
      <c r="L53" s="2" t="s">
        <v>677</v>
      </c>
      <c r="M53" t="s">
        <v>251</v>
      </c>
      <c r="N53" t="s">
        <v>330</v>
      </c>
      <c r="O53" t="s">
        <v>331</v>
      </c>
      <c r="P53" t="s">
        <v>1020</v>
      </c>
      <c r="Q53" t="s">
        <v>966</v>
      </c>
    </row>
    <row r="54" spans="1:17">
      <c r="A54" s="2" t="s">
        <v>795</v>
      </c>
      <c r="B54" s="2" t="s">
        <v>268</v>
      </c>
      <c r="C54" s="2" t="s">
        <v>291</v>
      </c>
      <c r="D54" s="11">
        <v>45963.341666666667</v>
      </c>
      <c r="E54" s="11">
        <v>45963.341666666667</v>
      </c>
      <c r="F54" s="11">
        <v>45963.420138888891</v>
      </c>
      <c r="G54" s="12">
        <v>7.8472222223354038E-2</v>
      </c>
      <c r="H54" s="2" t="s">
        <v>248</v>
      </c>
      <c r="J54" s="2" t="s">
        <v>249</v>
      </c>
      <c r="K54" s="2" t="s">
        <v>349</v>
      </c>
      <c r="L54" s="2" t="s">
        <v>677</v>
      </c>
      <c r="M54" t="s">
        <v>251</v>
      </c>
      <c r="N54" t="s">
        <v>330</v>
      </c>
      <c r="O54" t="s">
        <v>331</v>
      </c>
      <c r="P54" t="s">
        <v>1021</v>
      </c>
      <c r="Q54" t="s">
        <v>966</v>
      </c>
    </row>
    <row r="55" spans="1:17">
      <c r="A55" s="2" t="s">
        <v>795</v>
      </c>
      <c r="B55" s="2" t="s">
        <v>268</v>
      </c>
      <c r="C55" s="2" t="s">
        <v>292</v>
      </c>
      <c r="D55" s="11">
        <v>45963.341666666667</v>
      </c>
      <c r="E55" s="11">
        <v>45963.341666666667</v>
      </c>
      <c r="F55" s="11">
        <v>45963.420138888891</v>
      </c>
      <c r="G55" s="12">
        <v>7.8472222223354038E-2</v>
      </c>
      <c r="H55" s="2" t="s">
        <v>248</v>
      </c>
      <c r="J55" s="2" t="s">
        <v>249</v>
      </c>
      <c r="K55" s="2" t="s">
        <v>349</v>
      </c>
      <c r="L55" s="2" t="s">
        <v>677</v>
      </c>
      <c r="M55" t="s">
        <v>251</v>
      </c>
      <c r="N55" t="s">
        <v>330</v>
      </c>
      <c r="O55" t="s">
        <v>331</v>
      </c>
      <c r="P55" t="s">
        <v>1022</v>
      </c>
      <c r="Q55" t="s">
        <v>966</v>
      </c>
    </row>
    <row r="56" spans="1:17">
      <c r="A56" s="2" t="s">
        <v>796</v>
      </c>
      <c r="B56" s="2" t="s">
        <v>268</v>
      </c>
      <c r="C56" s="2" t="s">
        <v>293</v>
      </c>
      <c r="D56" s="11">
        <v>45963.341666666667</v>
      </c>
      <c r="E56" s="11">
        <v>45963.341666666667</v>
      </c>
      <c r="F56" s="11">
        <v>45963.420138888891</v>
      </c>
      <c r="G56" s="12">
        <v>7.8472222223354038E-2</v>
      </c>
      <c r="H56" s="2" t="s">
        <v>248</v>
      </c>
      <c r="J56" s="2" t="s">
        <v>249</v>
      </c>
      <c r="K56" s="2" t="s">
        <v>349</v>
      </c>
      <c r="L56" s="2" t="s">
        <v>677</v>
      </c>
      <c r="M56" t="s">
        <v>251</v>
      </c>
      <c r="N56" t="s">
        <v>330</v>
      </c>
      <c r="O56" t="s">
        <v>331</v>
      </c>
      <c r="P56" t="s">
        <v>1023</v>
      </c>
      <c r="Q56" t="s">
        <v>966</v>
      </c>
    </row>
    <row r="57" spans="1:17">
      <c r="A57" s="2" t="s">
        <v>796</v>
      </c>
      <c r="B57" s="2" t="s">
        <v>268</v>
      </c>
      <c r="C57" s="2" t="s">
        <v>294</v>
      </c>
      <c r="D57" s="11">
        <v>45963.341666666667</v>
      </c>
      <c r="E57" s="11">
        <v>45963.341666666667</v>
      </c>
      <c r="F57" s="11">
        <v>45963.420138888891</v>
      </c>
      <c r="G57" s="12">
        <v>7.8472222223354038E-2</v>
      </c>
      <c r="H57" s="2" t="s">
        <v>248</v>
      </c>
      <c r="J57" s="2" t="s">
        <v>249</v>
      </c>
      <c r="K57" s="2" t="s">
        <v>349</v>
      </c>
      <c r="L57" s="2" t="s">
        <v>677</v>
      </c>
      <c r="M57" t="s">
        <v>251</v>
      </c>
      <c r="N57" t="s">
        <v>330</v>
      </c>
      <c r="O57" t="s">
        <v>331</v>
      </c>
      <c r="P57" t="s">
        <v>1024</v>
      </c>
      <c r="Q57" t="s">
        <v>966</v>
      </c>
    </row>
    <row r="58" spans="1:17">
      <c r="A58" s="2" t="s">
        <v>796</v>
      </c>
      <c r="B58" s="2" t="s">
        <v>268</v>
      </c>
      <c r="C58" s="2" t="s">
        <v>295</v>
      </c>
      <c r="D58" s="11">
        <v>45963.341666666667</v>
      </c>
      <c r="E58" s="11">
        <v>45963.341666666667</v>
      </c>
      <c r="F58" s="11">
        <v>45963.420138888891</v>
      </c>
      <c r="G58" s="12">
        <v>7.8472222223354038E-2</v>
      </c>
      <c r="H58" s="2" t="s">
        <v>248</v>
      </c>
      <c r="J58" s="2" t="s">
        <v>249</v>
      </c>
      <c r="K58" s="2" t="s">
        <v>349</v>
      </c>
      <c r="L58" s="2" t="s">
        <v>677</v>
      </c>
      <c r="M58" t="s">
        <v>251</v>
      </c>
      <c r="N58" t="s">
        <v>330</v>
      </c>
      <c r="O58" t="s">
        <v>331</v>
      </c>
      <c r="P58" t="s">
        <v>1025</v>
      </c>
      <c r="Q58" t="s">
        <v>966</v>
      </c>
    </row>
    <row r="59" spans="1:17">
      <c r="A59" s="2" t="s">
        <v>796</v>
      </c>
      <c r="B59" s="2" t="s">
        <v>268</v>
      </c>
      <c r="C59" s="2" t="s">
        <v>296</v>
      </c>
      <c r="D59" s="11">
        <v>45963.341666666667</v>
      </c>
      <c r="E59" s="11">
        <v>45963.341666666667</v>
      </c>
      <c r="F59" s="11">
        <v>45963.420138888891</v>
      </c>
      <c r="G59" s="12">
        <v>7.8472222223354038E-2</v>
      </c>
      <c r="H59" s="2" t="s">
        <v>248</v>
      </c>
      <c r="J59" s="2" t="s">
        <v>249</v>
      </c>
      <c r="K59" s="2" t="s">
        <v>349</v>
      </c>
      <c r="L59" s="2" t="s">
        <v>677</v>
      </c>
      <c r="M59" t="s">
        <v>251</v>
      </c>
      <c r="N59" t="s">
        <v>330</v>
      </c>
      <c r="O59" t="s">
        <v>331</v>
      </c>
      <c r="P59" t="s">
        <v>1026</v>
      </c>
      <c r="Q59" t="s">
        <v>966</v>
      </c>
    </row>
    <row r="60" spans="1:17">
      <c r="A60" s="2" t="s">
        <v>796</v>
      </c>
      <c r="B60" s="2" t="s">
        <v>268</v>
      </c>
      <c r="C60" s="2" t="s">
        <v>297</v>
      </c>
      <c r="D60" s="11">
        <v>45963.341666666667</v>
      </c>
      <c r="E60" s="11">
        <v>45963.341666666667</v>
      </c>
      <c r="F60" s="11">
        <v>45963.420138888891</v>
      </c>
      <c r="G60" s="12">
        <v>7.8472222223354038E-2</v>
      </c>
      <c r="H60" s="2" t="s">
        <v>248</v>
      </c>
      <c r="J60" s="2" t="s">
        <v>249</v>
      </c>
      <c r="K60" s="2" t="s">
        <v>349</v>
      </c>
      <c r="L60" s="2" t="s">
        <v>677</v>
      </c>
      <c r="M60" t="s">
        <v>251</v>
      </c>
      <c r="N60" t="s">
        <v>330</v>
      </c>
      <c r="O60" t="s">
        <v>331</v>
      </c>
      <c r="P60" t="s">
        <v>1027</v>
      </c>
      <c r="Q60" t="s">
        <v>966</v>
      </c>
    </row>
    <row r="61" spans="1:17">
      <c r="A61" s="2" t="s">
        <v>246</v>
      </c>
      <c r="B61" s="2" t="s">
        <v>246</v>
      </c>
      <c r="C61" s="2" t="s">
        <v>247</v>
      </c>
      <c r="D61" s="11">
        <v>45963.341666666667</v>
      </c>
      <c r="E61" s="11">
        <v>45963.341666666667</v>
      </c>
      <c r="F61" s="11">
        <v>45963.420138888891</v>
      </c>
      <c r="G61" s="12">
        <v>7.8472222223354038E-2</v>
      </c>
      <c r="H61" s="2" t="s">
        <v>248</v>
      </c>
      <c r="J61" s="2" t="s">
        <v>249</v>
      </c>
      <c r="K61" s="2" t="s">
        <v>349</v>
      </c>
      <c r="L61" s="2" t="s">
        <v>677</v>
      </c>
      <c r="M61" t="s">
        <v>251</v>
      </c>
      <c r="N61" t="s">
        <v>330</v>
      </c>
      <c r="O61" t="s">
        <v>331</v>
      </c>
      <c r="P61" t="s">
        <v>1028</v>
      </c>
      <c r="Q61" t="s">
        <v>966</v>
      </c>
    </row>
    <row r="62" spans="1:17">
      <c r="A62" s="2" t="s">
        <v>246</v>
      </c>
      <c r="B62" s="2" t="s">
        <v>246</v>
      </c>
      <c r="C62" s="2" t="s">
        <v>254</v>
      </c>
      <c r="D62" s="11">
        <v>45963.341666666667</v>
      </c>
      <c r="E62" s="11">
        <v>45963.341666666667</v>
      </c>
      <c r="F62" s="11">
        <v>45963.420138888891</v>
      </c>
      <c r="G62" s="12">
        <v>7.8472222223354038E-2</v>
      </c>
      <c r="H62" s="2" t="s">
        <v>248</v>
      </c>
      <c r="J62" s="2" t="s">
        <v>249</v>
      </c>
      <c r="K62" s="2" t="s">
        <v>349</v>
      </c>
      <c r="L62" s="2" t="s">
        <v>677</v>
      </c>
      <c r="M62" t="s">
        <v>251</v>
      </c>
      <c r="N62" t="s">
        <v>330</v>
      </c>
      <c r="O62" t="s">
        <v>331</v>
      </c>
      <c r="P62" t="s">
        <v>1029</v>
      </c>
      <c r="Q62" t="s">
        <v>966</v>
      </c>
    </row>
    <row r="63" spans="1:17">
      <c r="A63" s="2" t="s">
        <v>246</v>
      </c>
      <c r="B63" s="2" t="s">
        <v>246</v>
      </c>
      <c r="C63" s="2" t="s">
        <v>255</v>
      </c>
      <c r="D63" s="11">
        <v>45963.341666666667</v>
      </c>
      <c r="E63" s="11">
        <v>45963.341666666667</v>
      </c>
      <c r="F63" s="11">
        <v>45963.420138888891</v>
      </c>
      <c r="G63" s="12">
        <v>7.8472222223354038E-2</v>
      </c>
      <c r="H63" s="2" t="s">
        <v>248</v>
      </c>
      <c r="J63" s="2" t="s">
        <v>249</v>
      </c>
      <c r="K63" s="2" t="s">
        <v>349</v>
      </c>
      <c r="L63" s="2" t="s">
        <v>677</v>
      </c>
      <c r="M63" t="s">
        <v>251</v>
      </c>
      <c r="N63" t="s">
        <v>330</v>
      </c>
      <c r="O63" t="s">
        <v>331</v>
      </c>
      <c r="P63" t="s">
        <v>1030</v>
      </c>
      <c r="Q63" t="s">
        <v>966</v>
      </c>
    </row>
    <row r="64" spans="1:17">
      <c r="A64" s="2" t="s">
        <v>246</v>
      </c>
      <c r="B64" s="2" t="s">
        <v>246</v>
      </c>
      <c r="C64" s="2" t="s">
        <v>256</v>
      </c>
      <c r="D64" s="11">
        <v>45963.341666666667</v>
      </c>
      <c r="E64" s="11">
        <v>45963.341666666667</v>
      </c>
      <c r="F64" s="11">
        <v>45963.420138888891</v>
      </c>
      <c r="G64" s="12">
        <v>7.8472222223354038E-2</v>
      </c>
      <c r="H64" s="2" t="s">
        <v>248</v>
      </c>
      <c r="J64" s="2" t="s">
        <v>249</v>
      </c>
      <c r="K64" s="2" t="s">
        <v>349</v>
      </c>
      <c r="L64" s="2" t="s">
        <v>677</v>
      </c>
      <c r="M64" t="s">
        <v>251</v>
      </c>
      <c r="N64" t="s">
        <v>330</v>
      </c>
      <c r="O64" t="s">
        <v>331</v>
      </c>
      <c r="P64" t="s">
        <v>1031</v>
      </c>
      <c r="Q64" t="s">
        <v>966</v>
      </c>
    </row>
    <row r="65" spans="1:17">
      <c r="A65" s="2" t="s">
        <v>246</v>
      </c>
      <c r="B65" s="2" t="s">
        <v>246</v>
      </c>
      <c r="C65" s="2" t="s">
        <v>257</v>
      </c>
      <c r="D65" s="11">
        <v>45963.341666666667</v>
      </c>
      <c r="E65" s="11">
        <v>45963.341666666667</v>
      </c>
      <c r="F65" s="11">
        <v>45963.420138888891</v>
      </c>
      <c r="G65" s="12">
        <v>7.8472222223354038E-2</v>
      </c>
      <c r="H65" s="2" t="s">
        <v>248</v>
      </c>
      <c r="J65" s="2" t="s">
        <v>249</v>
      </c>
      <c r="K65" s="2" t="s">
        <v>349</v>
      </c>
      <c r="L65" s="2" t="s">
        <v>677</v>
      </c>
      <c r="M65" t="s">
        <v>251</v>
      </c>
      <c r="N65" t="s">
        <v>330</v>
      </c>
      <c r="O65" t="s">
        <v>331</v>
      </c>
      <c r="P65" t="s">
        <v>1032</v>
      </c>
      <c r="Q65" t="s">
        <v>966</v>
      </c>
    </row>
    <row r="66" spans="1:17">
      <c r="A66" s="2" t="s">
        <v>258</v>
      </c>
      <c r="B66" s="2" t="s">
        <v>258</v>
      </c>
      <c r="C66" s="2" t="s">
        <v>247</v>
      </c>
      <c r="D66" s="11">
        <v>45963.341666666667</v>
      </c>
      <c r="E66" s="11">
        <v>45963.341666666667</v>
      </c>
      <c r="F66" s="11">
        <v>45963.420138888891</v>
      </c>
      <c r="G66" s="12">
        <v>7.8472222223354038E-2</v>
      </c>
      <c r="H66" s="2" t="s">
        <v>248</v>
      </c>
      <c r="J66" s="2" t="s">
        <v>249</v>
      </c>
      <c r="K66" s="2" t="s">
        <v>349</v>
      </c>
      <c r="L66" s="2" t="s">
        <v>677</v>
      </c>
      <c r="M66" t="s">
        <v>251</v>
      </c>
      <c r="N66" t="s">
        <v>330</v>
      </c>
      <c r="O66" t="s">
        <v>331</v>
      </c>
      <c r="P66" t="s">
        <v>1033</v>
      </c>
      <c r="Q66" t="s">
        <v>966</v>
      </c>
    </row>
    <row r="67" spans="1:17">
      <c r="A67" s="2" t="s">
        <v>258</v>
      </c>
      <c r="B67" s="2" t="s">
        <v>258</v>
      </c>
      <c r="C67" s="2" t="s">
        <v>254</v>
      </c>
      <c r="D67" s="11">
        <v>45963.341666666667</v>
      </c>
      <c r="E67" s="11">
        <v>45963.341666666667</v>
      </c>
      <c r="F67" s="11">
        <v>45963.420138888891</v>
      </c>
      <c r="G67" s="12">
        <v>7.8472222223354038E-2</v>
      </c>
      <c r="H67" s="2" t="s">
        <v>248</v>
      </c>
      <c r="J67" s="2" t="s">
        <v>249</v>
      </c>
      <c r="K67" s="2" t="s">
        <v>349</v>
      </c>
      <c r="L67" s="2" t="s">
        <v>677</v>
      </c>
      <c r="M67" t="s">
        <v>251</v>
      </c>
      <c r="N67" t="s">
        <v>330</v>
      </c>
      <c r="O67" t="s">
        <v>331</v>
      </c>
      <c r="P67" t="s">
        <v>1034</v>
      </c>
      <c r="Q67" t="s">
        <v>966</v>
      </c>
    </row>
    <row r="68" spans="1:17">
      <c r="A68" s="2" t="s">
        <v>258</v>
      </c>
      <c r="B68" s="2" t="s">
        <v>258</v>
      </c>
      <c r="C68" s="2" t="s">
        <v>255</v>
      </c>
      <c r="D68" s="11">
        <v>45963.341666666667</v>
      </c>
      <c r="E68" s="11">
        <v>45963.341666666667</v>
      </c>
      <c r="F68" s="11">
        <v>45963.420138888891</v>
      </c>
      <c r="G68" s="12">
        <v>7.8472222223354038E-2</v>
      </c>
      <c r="H68" s="2" t="s">
        <v>248</v>
      </c>
      <c r="J68" s="2" t="s">
        <v>249</v>
      </c>
      <c r="K68" s="2" t="s">
        <v>349</v>
      </c>
      <c r="L68" s="2" t="s">
        <v>677</v>
      </c>
      <c r="M68" t="s">
        <v>251</v>
      </c>
      <c r="N68" t="s">
        <v>330</v>
      </c>
      <c r="O68" t="s">
        <v>331</v>
      </c>
      <c r="P68" t="s">
        <v>1035</v>
      </c>
      <c r="Q68" t="s">
        <v>966</v>
      </c>
    </row>
    <row r="69" spans="1:17">
      <c r="A69" s="2" t="s">
        <v>258</v>
      </c>
      <c r="B69" s="2" t="s">
        <v>258</v>
      </c>
      <c r="C69" s="2" t="s">
        <v>256</v>
      </c>
      <c r="D69" s="11">
        <v>45963.341666666667</v>
      </c>
      <c r="E69" s="11">
        <v>45963.341666666667</v>
      </c>
      <c r="F69" s="11">
        <v>45963.420138888891</v>
      </c>
      <c r="G69" s="12">
        <v>7.8472222223354038E-2</v>
      </c>
      <c r="H69" s="2" t="s">
        <v>248</v>
      </c>
      <c r="J69" s="2" t="s">
        <v>249</v>
      </c>
      <c r="K69" s="2" t="s">
        <v>349</v>
      </c>
      <c r="L69" s="2" t="s">
        <v>677</v>
      </c>
      <c r="M69" t="s">
        <v>251</v>
      </c>
      <c r="N69" t="s">
        <v>330</v>
      </c>
      <c r="O69" t="s">
        <v>331</v>
      </c>
      <c r="P69" t="s">
        <v>1036</v>
      </c>
      <c r="Q69" t="s">
        <v>966</v>
      </c>
    </row>
    <row r="70" spans="1:17">
      <c r="A70" s="2" t="s">
        <v>258</v>
      </c>
      <c r="B70" s="2" t="s">
        <v>258</v>
      </c>
      <c r="C70" s="2" t="s">
        <v>257</v>
      </c>
      <c r="D70" s="11">
        <v>45963.341666666667</v>
      </c>
      <c r="E70" s="11">
        <v>45963.341666666667</v>
      </c>
      <c r="F70" s="11">
        <v>45963.420138888891</v>
      </c>
      <c r="G70" s="12">
        <v>7.8472222223354038E-2</v>
      </c>
      <c r="H70" s="2" t="s">
        <v>248</v>
      </c>
      <c r="J70" s="2" t="s">
        <v>249</v>
      </c>
      <c r="K70" s="2" t="s">
        <v>349</v>
      </c>
      <c r="L70" s="2" t="s">
        <v>677</v>
      </c>
      <c r="M70" t="s">
        <v>251</v>
      </c>
      <c r="N70" t="s">
        <v>330</v>
      </c>
      <c r="O70" t="s">
        <v>331</v>
      </c>
      <c r="P70" t="s">
        <v>1037</v>
      </c>
      <c r="Q70" t="s">
        <v>966</v>
      </c>
    </row>
    <row r="71" spans="1:17">
      <c r="A71" s="2" t="s">
        <v>259</v>
      </c>
      <c r="B71" s="2" t="s">
        <v>259</v>
      </c>
      <c r="C71" s="2" t="s">
        <v>247</v>
      </c>
      <c r="D71" s="11">
        <v>45963.341666666667</v>
      </c>
      <c r="E71" s="11">
        <v>45963.341666666667</v>
      </c>
      <c r="F71" s="11">
        <v>45963.420138888891</v>
      </c>
      <c r="G71" s="12">
        <v>7.8472222223354038E-2</v>
      </c>
      <c r="H71" s="2" t="s">
        <v>248</v>
      </c>
      <c r="J71" s="2" t="s">
        <v>249</v>
      </c>
      <c r="K71" s="2" t="s">
        <v>349</v>
      </c>
      <c r="L71" s="2" t="s">
        <v>677</v>
      </c>
      <c r="M71" t="s">
        <v>251</v>
      </c>
      <c r="N71" t="s">
        <v>330</v>
      </c>
      <c r="O71" t="s">
        <v>331</v>
      </c>
      <c r="P71" t="s">
        <v>1038</v>
      </c>
      <c r="Q71" t="s">
        <v>966</v>
      </c>
    </row>
    <row r="72" spans="1:17">
      <c r="A72" s="2" t="s">
        <v>259</v>
      </c>
      <c r="B72" s="2" t="s">
        <v>259</v>
      </c>
      <c r="C72" s="2" t="s">
        <v>254</v>
      </c>
      <c r="D72" s="11">
        <v>45963.341666666667</v>
      </c>
      <c r="E72" s="11">
        <v>45963.341666666667</v>
      </c>
      <c r="F72" s="11">
        <v>45963.420138888891</v>
      </c>
      <c r="G72" s="12">
        <v>7.8472222223354038E-2</v>
      </c>
      <c r="H72" s="2" t="s">
        <v>248</v>
      </c>
      <c r="J72" s="2" t="s">
        <v>249</v>
      </c>
      <c r="K72" s="2" t="s">
        <v>349</v>
      </c>
      <c r="L72" s="2" t="s">
        <v>677</v>
      </c>
      <c r="M72" t="s">
        <v>251</v>
      </c>
      <c r="N72" t="s">
        <v>330</v>
      </c>
      <c r="O72" t="s">
        <v>331</v>
      </c>
      <c r="P72" t="s">
        <v>1039</v>
      </c>
      <c r="Q72" t="s">
        <v>966</v>
      </c>
    </row>
    <row r="73" spans="1:17">
      <c r="A73" s="2" t="s">
        <v>259</v>
      </c>
      <c r="B73" s="2" t="s">
        <v>259</v>
      </c>
      <c r="C73" s="2" t="s">
        <v>255</v>
      </c>
      <c r="D73" s="11">
        <v>45963.341666666667</v>
      </c>
      <c r="E73" s="11">
        <v>45963.341666666667</v>
      </c>
      <c r="F73" s="11">
        <v>45963.420138888891</v>
      </c>
      <c r="G73" s="12">
        <v>7.8472222223354038E-2</v>
      </c>
      <c r="H73" s="2" t="s">
        <v>248</v>
      </c>
      <c r="J73" s="2" t="s">
        <v>249</v>
      </c>
      <c r="K73" s="2" t="s">
        <v>349</v>
      </c>
      <c r="L73" s="2" t="s">
        <v>677</v>
      </c>
      <c r="M73" t="s">
        <v>251</v>
      </c>
      <c r="N73" t="s">
        <v>330</v>
      </c>
      <c r="O73" t="s">
        <v>331</v>
      </c>
      <c r="P73" t="s">
        <v>1040</v>
      </c>
      <c r="Q73" t="s">
        <v>966</v>
      </c>
    </row>
    <row r="74" spans="1:17">
      <c r="A74" s="2" t="s">
        <v>259</v>
      </c>
      <c r="B74" s="2" t="s">
        <v>259</v>
      </c>
      <c r="C74" s="2" t="s">
        <v>256</v>
      </c>
      <c r="D74" s="11">
        <v>45963.341666666667</v>
      </c>
      <c r="E74" s="11">
        <v>45963.341666666667</v>
      </c>
      <c r="F74" s="11">
        <v>45963.420138888891</v>
      </c>
      <c r="G74" s="12">
        <v>7.8472222223354038E-2</v>
      </c>
      <c r="H74" s="2" t="s">
        <v>248</v>
      </c>
      <c r="J74" s="2" t="s">
        <v>249</v>
      </c>
      <c r="K74" s="2" t="s">
        <v>349</v>
      </c>
      <c r="L74" s="2" t="s">
        <v>677</v>
      </c>
      <c r="M74" t="s">
        <v>251</v>
      </c>
      <c r="N74" t="s">
        <v>330</v>
      </c>
      <c r="O74" t="s">
        <v>331</v>
      </c>
      <c r="P74" t="s">
        <v>1041</v>
      </c>
      <c r="Q74" t="s">
        <v>966</v>
      </c>
    </row>
    <row r="75" spans="1:17">
      <c r="A75" s="2" t="s">
        <v>259</v>
      </c>
      <c r="B75" s="2" t="s">
        <v>259</v>
      </c>
      <c r="C75" s="2" t="s">
        <v>257</v>
      </c>
      <c r="D75" s="11">
        <v>45963.341666666667</v>
      </c>
      <c r="E75" s="11">
        <v>45963.341666666667</v>
      </c>
      <c r="F75" s="11">
        <v>45963.420138888891</v>
      </c>
      <c r="G75" s="12">
        <v>7.8472222223354038E-2</v>
      </c>
      <c r="H75" s="2" t="s">
        <v>248</v>
      </c>
      <c r="J75" s="2" t="s">
        <v>249</v>
      </c>
      <c r="K75" s="2" t="s">
        <v>349</v>
      </c>
      <c r="L75" s="2" t="s">
        <v>677</v>
      </c>
      <c r="M75" t="s">
        <v>251</v>
      </c>
      <c r="N75" t="s">
        <v>330</v>
      </c>
      <c r="O75" t="s">
        <v>331</v>
      </c>
      <c r="P75" t="s">
        <v>1042</v>
      </c>
      <c r="Q75" t="s">
        <v>966</v>
      </c>
    </row>
    <row r="76" spans="1:17">
      <c r="A76" s="2" t="s">
        <v>363</v>
      </c>
      <c r="B76" s="2" t="s">
        <v>363</v>
      </c>
      <c r="C76" s="2" t="s">
        <v>357</v>
      </c>
      <c r="D76" s="11">
        <v>45963.356944444444</v>
      </c>
      <c r="E76" s="11">
        <v>45963.356944444444</v>
      </c>
      <c r="F76" s="11">
        <v>45963.736111111109</v>
      </c>
      <c r="G76" s="12">
        <v>0.37916666666569654</v>
      </c>
      <c r="H76" s="2" t="s">
        <v>248</v>
      </c>
      <c r="J76" s="2" t="s">
        <v>249</v>
      </c>
      <c r="K76" s="2" t="s">
        <v>349</v>
      </c>
      <c r="L76" s="2" t="s">
        <v>1043</v>
      </c>
      <c r="M76" t="s">
        <v>251</v>
      </c>
      <c r="N76" t="s">
        <v>330</v>
      </c>
      <c r="O76" t="s">
        <v>739</v>
      </c>
      <c r="P76" t="s">
        <v>1044</v>
      </c>
      <c r="Q76" t="s">
        <v>966</v>
      </c>
    </row>
    <row r="77" spans="1:17">
      <c r="A77" s="2" t="s">
        <v>363</v>
      </c>
      <c r="B77" s="2" t="s">
        <v>363</v>
      </c>
      <c r="C77" s="2" t="s">
        <v>354</v>
      </c>
      <c r="D77" s="11">
        <v>45963.356944444444</v>
      </c>
      <c r="E77" s="11">
        <v>45963.356944444444</v>
      </c>
      <c r="F77" s="11">
        <v>45963.736111111109</v>
      </c>
      <c r="G77" s="12">
        <v>0.37916666666569654</v>
      </c>
      <c r="H77" s="2" t="s">
        <v>248</v>
      </c>
      <c r="J77" s="2" t="s">
        <v>249</v>
      </c>
      <c r="K77" s="2" t="s">
        <v>349</v>
      </c>
      <c r="L77" s="2" t="s">
        <v>1043</v>
      </c>
      <c r="M77" t="s">
        <v>251</v>
      </c>
      <c r="N77" t="s">
        <v>330</v>
      </c>
      <c r="O77" t="s">
        <v>739</v>
      </c>
      <c r="P77" t="s">
        <v>1045</v>
      </c>
      <c r="Q77" t="s">
        <v>966</v>
      </c>
    </row>
    <row r="78" spans="1:17">
      <c r="A78" s="2" t="s">
        <v>363</v>
      </c>
      <c r="B78" s="2" t="s">
        <v>363</v>
      </c>
      <c r="C78" s="2" t="s">
        <v>359</v>
      </c>
      <c r="D78" s="11">
        <v>45963.356944444444</v>
      </c>
      <c r="E78" s="11">
        <v>45963.356944444444</v>
      </c>
      <c r="F78" s="11">
        <v>45963.736111111109</v>
      </c>
      <c r="G78" s="12">
        <v>0.37916666666569654</v>
      </c>
      <c r="H78" s="2" t="s">
        <v>248</v>
      </c>
      <c r="J78" s="2" t="s">
        <v>249</v>
      </c>
      <c r="K78" s="2" t="s">
        <v>349</v>
      </c>
      <c r="L78" s="2" t="s">
        <v>1043</v>
      </c>
      <c r="M78" t="s">
        <v>251</v>
      </c>
      <c r="N78" t="s">
        <v>330</v>
      </c>
      <c r="O78" t="s">
        <v>739</v>
      </c>
      <c r="P78" t="s">
        <v>1046</v>
      </c>
      <c r="Q78" t="s">
        <v>966</v>
      </c>
    </row>
    <row r="79" spans="1:17">
      <c r="A79" s="2" t="s">
        <v>363</v>
      </c>
      <c r="B79" s="2" t="s">
        <v>363</v>
      </c>
      <c r="C79" s="2" t="s">
        <v>358</v>
      </c>
      <c r="D79" s="11">
        <v>45963.356944444444</v>
      </c>
      <c r="E79" s="11">
        <v>45963.356944444444</v>
      </c>
      <c r="F79" s="11">
        <v>45963.736111111109</v>
      </c>
      <c r="G79" s="12">
        <v>0.37916666666569654</v>
      </c>
      <c r="H79" s="2" t="s">
        <v>248</v>
      </c>
      <c r="J79" s="2" t="s">
        <v>249</v>
      </c>
      <c r="K79" s="2" t="s">
        <v>349</v>
      </c>
      <c r="L79" s="2" t="s">
        <v>1043</v>
      </c>
      <c r="M79" t="s">
        <v>251</v>
      </c>
      <c r="N79" t="s">
        <v>330</v>
      </c>
      <c r="O79" t="s">
        <v>739</v>
      </c>
      <c r="P79" t="s">
        <v>1047</v>
      </c>
      <c r="Q79" t="s">
        <v>966</v>
      </c>
    </row>
    <row r="80" spans="1:17">
      <c r="A80" s="2" t="s">
        <v>369</v>
      </c>
      <c r="B80" s="2" t="s">
        <v>369</v>
      </c>
      <c r="C80" s="2" t="s">
        <v>359</v>
      </c>
      <c r="D80" s="11">
        <v>45963.356944444444</v>
      </c>
      <c r="E80" s="11">
        <v>45963.356944444444</v>
      </c>
      <c r="F80" s="11">
        <v>45963.736111111109</v>
      </c>
      <c r="G80" s="12">
        <v>0.37916666666569654</v>
      </c>
      <c r="H80" s="2" t="s">
        <v>248</v>
      </c>
      <c r="J80" s="2" t="s">
        <v>249</v>
      </c>
      <c r="K80" s="2" t="s">
        <v>349</v>
      </c>
      <c r="L80" s="2" t="s">
        <v>1043</v>
      </c>
      <c r="M80" t="s">
        <v>251</v>
      </c>
      <c r="N80" t="s">
        <v>330</v>
      </c>
      <c r="O80" t="s">
        <v>739</v>
      </c>
      <c r="P80" t="s">
        <v>1048</v>
      </c>
      <c r="Q80" t="s">
        <v>966</v>
      </c>
    </row>
    <row r="81" spans="1:17">
      <c r="A81" s="2" t="s">
        <v>369</v>
      </c>
      <c r="B81" s="2" t="s">
        <v>369</v>
      </c>
      <c r="C81" s="2" t="s">
        <v>357</v>
      </c>
      <c r="D81" s="11">
        <v>45963.356944444444</v>
      </c>
      <c r="E81" s="11">
        <v>45963.356944444444</v>
      </c>
      <c r="F81" s="11">
        <v>45963.736111111109</v>
      </c>
      <c r="G81" s="12">
        <v>0.37916666666569654</v>
      </c>
      <c r="H81" s="2" t="s">
        <v>248</v>
      </c>
      <c r="J81" s="2" t="s">
        <v>249</v>
      </c>
      <c r="K81" s="2" t="s">
        <v>349</v>
      </c>
      <c r="L81" s="2" t="s">
        <v>1043</v>
      </c>
      <c r="M81" t="s">
        <v>251</v>
      </c>
      <c r="N81" t="s">
        <v>330</v>
      </c>
      <c r="O81" t="s">
        <v>739</v>
      </c>
      <c r="P81" t="s">
        <v>1049</v>
      </c>
      <c r="Q81" t="s">
        <v>966</v>
      </c>
    </row>
    <row r="82" spans="1:17">
      <c r="A82" s="2" t="s">
        <v>369</v>
      </c>
      <c r="B82" s="2" t="s">
        <v>369</v>
      </c>
      <c r="C82" s="2" t="s">
        <v>358</v>
      </c>
      <c r="D82" s="11">
        <v>45963.356944444444</v>
      </c>
      <c r="E82" s="11">
        <v>45963.356944444444</v>
      </c>
      <c r="F82" s="11">
        <v>45963.736111111109</v>
      </c>
      <c r="G82" s="12">
        <v>0.37916666666569654</v>
      </c>
      <c r="H82" s="2" t="s">
        <v>248</v>
      </c>
      <c r="J82" s="2" t="s">
        <v>249</v>
      </c>
      <c r="K82" s="2" t="s">
        <v>349</v>
      </c>
      <c r="L82" s="2" t="s">
        <v>1043</v>
      </c>
      <c r="M82" t="s">
        <v>251</v>
      </c>
      <c r="N82" t="s">
        <v>330</v>
      </c>
      <c r="O82" t="s">
        <v>739</v>
      </c>
      <c r="P82" t="s">
        <v>1050</v>
      </c>
      <c r="Q82" t="s">
        <v>966</v>
      </c>
    </row>
    <row r="83" spans="1:17">
      <c r="A83" s="2" t="s">
        <v>369</v>
      </c>
      <c r="B83" s="2" t="s">
        <v>369</v>
      </c>
      <c r="C83" s="2" t="s">
        <v>354</v>
      </c>
      <c r="D83" s="11">
        <v>45963.356944444444</v>
      </c>
      <c r="E83" s="11">
        <v>45963.356944444444</v>
      </c>
      <c r="F83" s="11">
        <v>45963.736111111109</v>
      </c>
      <c r="G83" s="12">
        <v>0.37916666666569654</v>
      </c>
      <c r="H83" s="2" t="s">
        <v>248</v>
      </c>
      <c r="J83" s="2" t="s">
        <v>249</v>
      </c>
      <c r="K83" s="2" t="s">
        <v>349</v>
      </c>
      <c r="L83" s="2" t="s">
        <v>1043</v>
      </c>
      <c r="M83" t="s">
        <v>251</v>
      </c>
      <c r="N83" t="s">
        <v>330</v>
      </c>
      <c r="O83" t="s">
        <v>739</v>
      </c>
      <c r="P83" t="s">
        <v>1051</v>
      </c>
      <c r="Q83" t="s">
        <v>966</v>
      </c>
    </row>
    <row r="84" spans="1:17">
      <c r="A84" s="2" t="s">
        <v>780</v>
      </c>
      <c r="B84" s="2" t="s">
        <v>268</v>
      </c>
      <c r="C84" s="2" t="s">
        <v>269</v>
      </c>
      <c r="D84" s="11">
        <v>45963.461805555555</v>
      </c>
      <c r="E84" s="11">
        <v>45963.461805555555</v>
      </c>
      <c r="F84" s="11">
        <v>45963.541666666664</v>
      </c>
      <c r="G84" s="12">
        <v>7.9861111109494232E-2</v>
      </c>
      <c r="H84" s="2" t="s">
        <v>248</v>
      </c>
      <c r="J84" s="2" t="s">
        <v>249</v>
      </c>
      <c r="K84" s="2" t="s">
        <v>349</v>
      </c>
      <c r="L84" s="2" t="s">
        <v>677</v>
      </c>
      <c r="M84" t="s">
        <v>251</v>
      </c>
      <c r="N84" t="s">
        <v>330</v>
      </c>
      <c r="O84" t="s">
        <v>331</v>
      </c>
      <c r="P84" t="s">
        <v>1052</v>
      </c>
      <c r="Q84" t="s">
        <v>966</v>
      </c>
    </row>
    <row r="85" spans="1:17">
      <c r="A85" s="2" t="s">
        <v>780</v>
      </c>
      <c r="B85" s="2" t="s">
        <v>268</v>
      </c>
      <c r="C85" s="2" t="s">
        <v>270</v>
      </c>
      <c r="D85" s="11">
        <v>45963.461805555555</v>
      </c>
      <c r="E85" s="11">
        <v>45963.461805555555</v>
      </c>
      <c r="F85" s="11">
        <v>45963.541666666664</v>
      </c>
      <c r="G85" s="12">
        <v>7.9861111109494232E-2</v>
      </c>
      <c r="H85" s="2" t="s">
        <v>248</v>
      </c>
      <c r="J85" s="2" t="s">
        <v>249</v>
      </c>
      <c r="K85" s="2" t="s">
        <v>349</v>
      </c>
      <c r="L85" s="2" t="s">
        <v>677</v>
      </c>
      <c r="M85" t="s">
        <v>251</v>
      </c>
      <c r="N85" t="s">
        <v>330</v>
      </c>
      <c r="O85" t="s">
        <v>331</v>
      </c>
      <c r="P85" t="s">
        <v>1053</v>
      </c>
      <c r="Q85" t="s">
        <v>966</v>
      </c>
    </row>
    <row r="86" spans="1:17">
      <c r="A86" s="2" t="s">
        <v>780</v>
      </c>
      <c r="B86" s="2" t="s">
        <v>268</v>
      </c>
      <c r="C86" s="2" t="s">
        <v>271</v>
      </c>
      <c r="D86" s="11">
        <v>45963.461805555555</v>
      </c>
      <c r="E86" s="11">
        <v>45963.461805555555</v>
      </c>
      <c r="F86" s="11">
        <v>45963.541666666664</v>
      </c>
      <c r="G86" s="12">
        <v>7.9861111109494232E-2</v>
      </c>
      <c r="H86" s="2" t="s">
        <v>248</v>
      </c>
      <c r="J86" s="2" t="s">
        <v>249</v>
      </c>
      <c r="K86" s="2" t="s">
        <v>349</v>
      </c>
      <c r="L86" s="2" t="s">
        <v>677</v>
      </c>
      <c r="M86" t="s">
        <v>251</v>
      </c>
      <c r="N86" t="s">
        <v>330</v>
      </c>
      <c r="O86" t="s">
        <v>331</v>
      </c>
      <c r="P86" t="s">
        <v>1054</v>
      </c>
      <c r="Q86" t="s">
        <v>966</v>
      </c>
    </row>
    <row r="87" spans="1:17">
      <c r="A87" s="2" t="s">
        <v>780</v>
      </c>
      <c r="B87" s="2" t="s">
        <v>268</v>
      </c>
      <c r="C87" s="2" t="s">
        <v>272</v>
      </c>
      <c r="D87" s="11">
        <v>45963.461805555555</v>
      </c>
      <c r="E87" s="11">
        <v>45963.461805555555</v>
      </c>
      <c r="F87" s="11">
        <v>45963.541666666664</v>
      </c>
      <c r="G87" s="12">
        <v>7.9861111109494232E-2</v>
      </c>
      <c r="H87" s="2" t="s">
        <v>248</v>
      </c>
      <c r="J87" s="2" t="s">
        <v>249</v>
      </c>
      <c r="K87" s="2" t="s">
        <v>349</v>
      </c>
      <c r="L87" s="2" t="s">
        <v>677</v>
      </c>
      <c r="M87" t="s">
        <v>251</v>
      </c>
      <c r="N87" t="s">
        <v>330</v>
      </c>
      <c r="O87" t="s">
        <v>331</v>
      </c>
      <c r="P87" t="s">
        <v>1055</v>
      </c>
      <c r="Q87" t="s">
        <v>966</v>
      </c>
    </row>
    <row r="88" spans="1:17">
      <c r="A88" s="2" t="s">
        <v>780</v>
      </c>
      <c r="B88" s="2" t="s">
        <v>268</v>
      </c>
      <c r="C88" s="2" t="s">
        <v>273</v>
      </c>
      <c r="D88" s="11">
        <v>45963.461805555555</v>
      </c>
      <c r="E88" s="11">
        <v>45963.461805555555</v>
      </c>
      <c r="F88" s="11">
        <v>45963.541666666664</v>
      </c>
      <c r="G88" s="12">
        <v>7.9861111109494232E-2</v>
      </c>
      <c r="H88" s="2" t="s">
        <v>248</v>
      </c>
      <c r="J88" s="2" t="s">
        <v>249</v>
      </c>
      <c r="K88" s="2" t="s">
        <v>349</v>
      </c>
      <c r="L88" s="2" t="s">
        <v>677</v>
      </c>
      <c r="M88" t="s">
        <v>251</v>
      </c>
      <c r="N88" t="s">
        <v>330</v>
      </c>
      <c r="O88" t="s">
        <v>331</v>
      </c>
      <c r="P88" t="s">
        <v>1056</v>
      </c>
      <c r="Q88" t="s">
        <v>966</v>
      </c>
    </row>
    <row r="89" spans="1:17">
      <c r="A89" s="2" t="s">
        <v>780</v>
      </c>
      <c r="B89" s="2" t="s">
        <v>268</v>
      </c>
      <c r="C89" s="2" t="s">
        <v>274</v>
      </c>
      <c r="D89" s="11">
        <v>45963.461805555555</v>
      </c>
      <c r="E89" s="11">
        <v>45963.461805555555</v>
      </c>
      <c r="F89" s="11">
        <v>45963.541666666664</v>
      </c>
      <c r="G89" s="12">
        <v>7.9861111109494232E-2</v>
      </c>
      <c r="H89" s="2" t="s">
        <v>248</v>
      </c>
      <c r="J89" s="2" t="s">
        <v>249</v>
      </c>
      <c r="K89" s="2" t="s">
        <v>349</v>
      </c>
      <c r="L89" s="2" t="s">
        <v>677</v>
      </c>
      <c r="M89" t="s">
        <v>251</v>
      </c>
      <c r="N89" t="s">
        <v>330</v>
      </c>
      <c r="O89" t="s">
        <v>331</v>
      </c>
      <c r="P89" t="s">
        <v>1057</v>
      </c>
      <c r="Q89" t="s">
        <v>966</v>
      </c>
    </row>
    <row r="90" spans="1:17">
      <c r="A90" s="2" t="s">
        <v>780</v>
      </c>
      <c r="B90" s="2" t="s">
        <v>268</v>
      </c>
      <c r="C90" s="2" t="s">
        <v>275</v>
      </c>
      <c r="D90" s="11">
        <v>45963.461805555555</v>
      </c>
      <c r="E90" s="11">
        <v>45963.461805555555</v>
      </c>
      <c r="F90" s="11">
        <v>45963.541666666664</v>
      </c>
      <c r="G90" s="12">
        <v>7.9861111109494232E-2</v>
      </c>
      <c r="H90" s="2" t="s">
        <v>248</v>
      </c>
      <c r="J90" s="2" t="s">
        <v>249</v>
      </c>
      <c r="K90" s="2" t="s">
        <v>349</v>
      </c>
      <c r="L90" s="2" t="s">
        <v>677</v>
      </c>
      <c r="M90" t="s">
        <v>251</v>
      </c>
      <c r="N90" t="s">
        <v>330</v>
      </c>
      <c r="O90" t="s">
        <v>331</v>
      </c>
      <c r="P90" t="s">
        <v>1058</v>
      </c>
      <c r="Q90" t="s">
        <v>966</v>
      </c>
    </row>
    <row r="91" spans="1:17">
      <c r="A91" s="2" t="s">
        <v>780</v>
      </c>
      <c r="B91" s="2" t="s">
        <v>268</v>
      </c>
      <c r="C91" s="2" t="s">
        <v>276</v>
      </c>
      <c r="D91" s="11">
        <v>45963.461805555555</v>
      </c>
      <c r="E91" s="11">
        <v>45963.461805555555</v>
      </c>
      <c r="F91" s="11">
        <v>45963.541666666664</v>
      </c>
      <c r="G91" s="12">
        <v>7.9861111109494232E-2</v>
      </c>
      <c r="H91" s="2" t="s">
        <v>248</v>
      </c>
      <c r="J91" s="2" t="s">
        <v>249</v>
      </c>
      <c r="K91" s="2" t="s">
        <v>349</v>
      </c>
      <c r="L91" s="2" t="s">
        <v>677</v>
      </c>
      <c r="M91" t="s">
        <v>251</v>
      </c>
      <c r="N91" t="s">
        <v>330</v>
      </c>
      <c r="O91" t="s">
        <v>331</v>
      </c>
      <c r="P91" t="s">
        <v>1059</v>
      </c>
      <c r="Q91" t="s">
        <v>966</v>
      </c>
    </row>
    <row r="92" spans="1:17">
      <c r="A92" s="2" t="s">
        <v>781</v>
      </c>
      <c r="B92" s="2" t="s">
        <v>268</v>
      </c>
      <c r="C92" s="2" t="s">
        <v>277</v>
      </c>
      <c r="D92" s="11">
        <v>45963.461805555555</v>
      </c>
      <c r="E92" s="11">
        <v>45963.461805555555</v>
      </c>
      <c r="F92" s="11">
        <v>45963.541666666664</v>
      </c>
      <c r="G92" s="12">
        <v>7.9861111109494232E-2</v>
      </c>
      <c r="H92" s="2" t="s">
        <v>248</v>
      </c>
      <c r="J92" s="2" t="s">
        <v>249</v>
      </c>
      <c r="K92" s="2" t="s">
        <v>349</v>
      </c>
      <c r="L92" s="2" t="s">
        <v>677</v>
      </c>
      <c r="M92" t="s">
        <v>251</v>
      </c>
      <c r="N92" t="s">
        <v>330</v>
      </c>
      <c r="O92" t="s">
        <v>331</v>
      </c>
      <c r="P92" t="s">
        <v>1060</v>
      </c>
      <c r="Q92" t="s">
        <v>966</v>
      </c>
    </row>
    <row r="93" spans="1:17">
      <c r="A93" s="2" t="s">
        <v>781</v>
      </c>
      <c r="B93" s="2" t="s">
        <v>268</v>
      </c>
      <c r="C93" s="2" t="s">
        <v>278</v>
      </c>
      <c r="D93" s="11">
        <v>45963.461805555555</v>
      </c>
      <c r="E93" s="11">
        <v>45963.461805555555</v>
      </c>
      <c r="F93" s="11">
        <v>45963.541666666664</v>
      </c>
      <c r="G93" s="12">
        <v>7.9861111109494232E-2</v>
      </c>
      <c r="H93" s="2" t="s">
        <v>248</v>
      </c>
      <c r="J93" s="2" t="s">
        <v>249</v>
      </c>
      <c r="K93" s="2" t="s">
        <v>349</v>
      </c>
      <c r="L93" s="2" t="s">
        <v>677</v>
      </c>
      <c r="M93" t="s">
        <v>251</v>
      </c>
      <c r="N93" t="s">
        <v>330</v>
      </c>
      <c r="O93" t="s">
        <v>331</v>
      </c>
      <c r="P93" t="s">
        <v>1061</v>
      </c>
      <c r="Q93" t="s">
        <v>966</v>
      </c>
    </row>
    <row r="94" spans="1:17">
      <c r="A94" s="2" t="s">
        <v>781</v>
      </c>
      <c r="B94" s="2" t="s">
        <v>268</v>
      </c>
      <c r="C94" s="2" t="s">
        <v>279</v>
      </c>
      <c r="D94" s="11">
        <v>45963.461805555555</v>
      </c>
      <c r="E94" s="11">
        <v>45963.461805555555</v>
      </c>
      <c r="F94" s="11">
        <v>45963.541666666664</v>
      </c>
      <c r="G94" s="12">
        <v>7.9861111109494232E-2</v>
      </c>
      <c r="H94" s="2" t="s">
        <v>248</v>
      </c>
      <c r="J94" s="2" t="s">
        <v>249</v>
      </c>
      <c r="K94" s="2" t="s">
        <v>349</v>
      </c>
      <c r="L94" s="2" t="s">
        <v>677</v>
      </c>
      <c r="M94" t="s">
        <v>251</v>
      </c>
      <c r="N94" t="s">
        <v>330</v>
      </c>
      <c r="O94" t="s">
        <v>331</v>
      </c>
      <c r="P94" t="s">
        <v>1062</v>
      </c>
      <c r="Q94" t="s">
        <v>966</v>
      </c>
    </row>
    <row r="95" spans="1:17">
      <c r="A95" s="2" t="s">
        <v>781</v>
      </c>
      <c r="B95" s="2" t="s">
        <v>268</v>
      </c>
      <c r="C95" s="2" t="s">
        <v>280</v>
      </c>
      <c r="D95" s="11">
        <v>45963.461805555555</v>
      </c>
      <c r="E95" s="11">
        <v>45963.461805555555</v>
      </c>
      <c r="F95" s="11">
        <v>45963.541666666664</v>
      </c>
      <c r="G95" s="12">
        <v>7.9861111109494232E-2</v>
      </c>
      <c r="H95" s="2" t="s">
        <v>248</v>
      </c>
      <c r="J95" s="2" t="s">
        <v>249</v>
      </c>
      <c r="K95" s="2" t="s">
        <v>349</v>
      </c>
      <c r="L95" s="2" t="s">
        <v>677</v>
      </c>
      <c r="M95" t="s">
        <v>251</v>
      </c>
      <c r="N95" t="s">
        <v>330</v>
      </c>
      <c r="O95" t="s">
        <v>331</v>
      </c>
      <c r="P95" t="s">
        <v>1063</v>
      </c>
      <c r="Q95" t="s">
        <v>966</v>
      </c>
    </row>
    <row r="96" spans="1:17">
      <c r="A96" s="2" t="s">
        <v>781</v>
      </c>
      <c r="B96" s="2" t="s">
        <v>268</v>
      </c>
      <c r="C96" s="2" t="s">
        <v>281</v>
      </c>
      <c r="D96" s="11">
        <v>45963.461805555555</v>
      </c>
      <c r="E96" s="11">
        <v>45963.461805555555</v>
      </c>
      <c r="F96" s="11">
        <v>45963.541666666664</v>
      </c>
      <c r="G96" s="12">
        <v>7.9861111109494232E-2</v>
      </c>
      <c r="H96" s="2" t="s">
        <v>248</v>
      </c>
      <c r="J96" s="2" t="s">
        <v>249</v>
      </c>
      <c r="K96" s="2" t="s">
        <v>349</v>
      </c>
      <c r="L96" s="2" t="s">
        <v>677</v>
      </c>
      <c r="M96" t="s">
        <v>251</v>
      </c>
      <c r="N96" t="s">
        <v>330</v>
      </c>
      <c r="O96" t="s">
        <v>331</v>
      </c>
      <c r="P96" t="s">
        <v>1064</v>
      </c>
      <c r="Q96" t="s">
        <v>966</v>
      </c>
    </row>
    <row r="97" spans="1:17">
      <c r="A97" s="2" t="s">
        <v>781</v>
      </c>
      <c r="B97" s="2" t="s">
        <v>268</v>
      </c>
      <c r="C97" s="2" t="s">
        <v>282</v>
      </c>
      <c r="D97" s="11">
        <v>45963.461805555555</v>
      </c>
      <c r="E97" s="11">
        <v>45963.461805555555</v>
      </c>
      <c r="F97" s="11">
        <v>45963.541666666664</v>
      </c>
      <c r="G97" s="12">
        <v>7.9861111109494232E-2</v>
      </c>
      <c r="H97" s="2" t="s">
        <v>248</v>
      </c>
      <c r="J97" s="2" t="s">
        <v>249</v>
      </c>
      <c r="K97" s="2" t="s">
        <v>349</v>
      </c>
      <c r="L97" s="2" t="s">
        <v>677</v>
      </c>
      <c r="M97" t="s">
        <v>251</v>
      </c>
      <c r="N97" t="s">
        <v>330</v>
      </c>
      <c r="O97" t="s">
        <v>331</v>
      </c>
      <c r="P97" t="s">
        <v>1065</v>
      </c>
      <c r="Q97" t="s">
        <v>966</v>
      </c>
    </row>
    <row r="98" spans="1:17">
      <c r="A98" s="2" t="s">
        <v>781</v>
      </c>
      <c r="B98" s="2" t="s">
        <v>268</v>
      </c>
      <c r="C98" s="2" t="s">
        <v>283</v>
      </c>
      <c r="D98" s="11">
        <v>45963.461805555555</v>
      </c>
      <c r="E98" s="11">
        <v>45963.461805555555</v>
      </c>
      <c r="F98" s="11">
        <v>45963.541666666664</v>
      </c>
      <c r="G98" s="12">
        <v>7.9861111109494232E-2</v>
      </c>
      <c r="H98" s="2" t="s">
        <v>248</v>
      </c>
      <c r="J98" s="2" t="s">
        <v>249</v>
      </c>
      <c r="K98" s="2" t="s">
        <v>349</v>
      </c>
      <c r="L98" s="2" t="s">
        <v>677</v>
      </c>
      <c r="M98" t="s">
        <v>251</v>
      </c>
      <c r="N98" t="s">
        <v>330</v>
      </c>
      <c r="O98" t="s">
        <v>331</v>
      </c>
      <c r="P98" t="s">
        <v>1066</v>
      </c>
      <c r="Q98" t="s">
        <v>966</v>
      </c>
    </row>
    <row r="99" spans="1:17">
      <c r="A99" s="2" t="s">
        <v>794</v>
      </c>
      <c r="B99" s="2" t="s">
        <v>268</v>
      </c>
      <c r="C99" s="2" t="s">
        <v>284</v>
      </c>
      <c r="D99" s="11">
        <v>45963.461805555555</v>
      </c>
      <c r="E99" s="11">
        <v>45963.461805555555</v>
      </c>
      <c r="F99" s="11">
        <v>45963.541666666664</v>
      </c>
      <c r="G99" s="12">
        <v>7.9861111109494232E-2</v>
      </c>
      <c r="H99" s="2" t="s">
        <v>248</v>
      </c>
      <c r="J99" s="2" t="s">
        <v>249</v>
      </c>
      <c r="K99" s="2" t="s">
        <v>349</v>
      </c>
      <c r="L99" s="2" t="s">
        <v>677</v>
      </c>
      <c r="M99" t="s">
        <v>251</v>
      </c>
      <c r="N99" t="s">
        <v>330</v>
      </c>
      <c r="O99" t="s">
        <v>331</v>
      </c>
      <c r="P99" t="s">
        <v>1067</v>
      </c>
      <c r="Q99" t="s">
        <v>966</v>
      </c>
    </row>
    <row r="100" spans="1:17">
      <c r="A100" s="2" t="s">
        <v>794</v>
      </c>
      <c r="B100" s="2" t="s">
        <v>268</v>
      </c>
      <c r="C100" s="2" t="s">
        <v>285</v>
      </c>
      <c r="D100" s="11">
        <v>45963.461805555555</v>
      </c>
      <c r="E100" s="11">
        <v>45963.461805555555</v>
      </c>
      <c r="F100" s="11">
        <v>45963.541666666664</v>
      </c>
      <c r="G100" s="12">
        <v>7.9861111109494232E-2</v>
      </c>
      <c r="H100" s="2" t="s">
        <v>248</v>
      </c>
      <c r="J100" s="2" t="s">
        <v>249</v>
      </c>
      <c r="K100" s="2" t="s">
        <v>349</v>
      </c>
      <c r="L100" s="2" t="s">
        <v>677</v>
      </c>
      <c r="M100" t="s">
        <v>251</v>
      </c>
      <c r="N100" t="s">
        <v>330</v>
      </c>
      <c r="O100" t="s">
        <v>331</v>
      </c>
      <c r="P100" t="s">
        <v>1068</v>
      </c>
      <c r="Q100" t="s">
        <v>966</v>
      </c>
    </row>
    <row r="101" spans="1:17">
      <c r="A101" s="2" t="s">
        <v>794</v>
      </c>
      <c r="B101" s="2" t="s">
        <v>268</v>
      </c>
      <c r="C101" s="2" t="s">
        <v>286</v>
      </c>
      <c r="D101" s="11">
        <v>45963.461805555555</v>
      </c>
      <c r="E101" s="11">
        <v>45963.461805555555</v>
      </c>
      <c r="F101" s="11">
        <v>45963.541666666664</v>
      </c>
      <c r="G101" s="12">
        <v>7.9861111109494232E-2</v>
      </c>
      <c r="H101" s="2" t="s">
        <v>248</v>
      </c>
      <c r="J101" s="2" t="s">
        <v>249</v>
      </c>
      <c r="K101" s="2" t="s">
        <v>349</v>
      </c>
      <c r="L101" s="2" t="s">
        <v>677</v>
      </c>
      <c r="M101" t="s">
        <v>251</v>
      </c>
      <c r="N101" t="s">
        <v>330</v>
      </c>
      <c r="O101" t="s">
        <v>331</v>
      </c>
      <c r="P101" t="s">
        <v>1069</v>
      </c>
      <c r="Q101" t="s">
        <v>966</v>
      </c>
    </row>
    <row r="102" spans="1:17">
      <c r="A102" s="2" t="s">
        <v>794</v>
      </c>
      <c r="B102" s="2" t="s">
        <v>268</v>
      </c>
      <c r="C102" s="2" t="s">
        <v>287</v>
      </c>
      <c r="D102" s="11">
        <v>45963.461805555555</v>
      </c>
      <c r="E102" s="11">
        <v>45963.461805555555</v>
      </c>
      <c r="F102" s="11">
        <v>45963.541666666664</v>
      </c>
      <c r="G102" s="12">
        <v>7.9861111109494232E-2</v>
      </c>
      <c r="H102" s="2" t="s">
        <v>248</v>
      </c>
      <c r="J102" s="2" t="s">
        <v>249</v>
      </c>
      <c r="K102" s="2" t="s">
        <v>349</v>
      </c>
      <c r="L102" s="2" t="s">
        <v>677</v>
      </c>
      <c r="M102" t="s">
        <v>251</v>
      </c>
      <c r="N102" t="s">
        <v>330</v>
      </c>
      <c r="O102" t="s">
        <v>331</v>
      </c>
      <c r="P102" t="s">
        <v>1070</v>
      </c>
      <c r="Q102" t="s">
        <v>966</v>
      </c>
    </row>
    <row r="103" spans="1:17">
      <c r="A103" s="2" t="s">
        <v>794</v>
      </c>
      <c r="B103" s="2" t="s">
        <v>268</v>
      </c>
      <c r="C103" s="2" t="s">
        <v>288</v>
      </c>
      <c r="D103" s="11">
        <v>45963.461805555555</v>
      </c>
      <c r="E103" s="11">
        <v>45963.461805555555</v>
      </c>
      <c r="F103" s="11">
        <v>45963.541666666664</v>
      </c>
      <c r="G103" s="12">
        <v>7.9861111109494232E-2</v>
      </c>
      <c r="H103" s="2" t="s">
        <v>248</v>
      </c>
      <c r="J103" s="2" t="s">
        <v>249</v>
      </c>
      <c r="K103" s="2" t="s">
        <v>349</v>
      </c>
      <c r="L103" s="2" t="s">
        <v>677</v>
      </c>
      <c r="M103" t="s">
        <v>251</v>
      </c>
      <c r="N103" t="s">
        <v>330</v>
      </c>
      <c r="O103" t="s">
        <v>331</v>
      </c>
      <c r="P103" t="s">
        <v>1071</v>
      </c>
      <c r="Q103" t="s">
        <v>966</v>
      </c>
    </row>
    <row r="104" spans="1:17">
      <c r="A104" s="2" t="s">
        <v>795</v>
      </c>
      <c r="B104" s="2" t="s">
        <v>268</v>
      </c>
      <c r="C104" s="2" t="s">
        <v>289</v>
      </c>
      <c r="D104" s="11">
        <v>45963.461805555555</v>
      </c>
      <c r="E104" s="11">
        <v>45963.461805555555</v>
      </c>
      <c r="F104" s="11">
        <v>45963.541666666664</v>
      </c>
      <c r="G104" s="12">
        <v>7.9861111109494232E-2</v>
      </c>
      <c r="H104" s="2" t="s">
        <v>248</v>
      </c>
      <c r="J104" s="2" t="s">
        <v>249</v>
      </c>
      <c r="K104" s="2" t="s">
        <v>349</v>
      </c>
      <c r="L104" s="2" t="s">
        <v>677</v>
      </c>
      <c r="M104" t="s">
        <v>251</v>
      </c>
      <c r="N104" t="s">
        <v>330</v>
      </c>
      <c r="O104" t="s">
        <v>331</v>
      </c>
      <c r="P104" t="s">
        <v>1072</v>
      </c>
      <c r="Q104" t="s">
        <v>966</v>
      </c>
    </row>
    <row r="105" spans="1:17">
      <c r="A105" s="2" t="s">
        <v>795</v>
      </c>
      <c r="B105" s="2" t="s">
        <v>268</v>
      </c>
      <c r="C105" s="2" t="s">
        <v>290</v>
      </c>
      <c r="D105" s="11">
        <v>45963.461805555555</v>
      </c>
      <c r="E105" s="11">
        <v>45963.461805555555</v>
      </c>
      <c r="F105" s="11">
        <v>45963.541666666664</v>
      </c>
      <c r="G105" s="12">
        <v>7.9861111109494232E-2</v>
      </c>
      <c r="H105" s="2" t="s">
        <v>248</v>
      </c>
      <c r="J105" s="2" t="s">
        <v>249</v>
      </c>
      <c r="K105" s="2" t="s">
        <v>349</v>
      </c>
      <c r="L105" s="2" t="s">
        <v>677</v>
      </c>
      <c r="M105" t="s">
        <v>251</v>
      </c>
      <c r="N105" t="s">
        <v>330</v>
      </c>
      <c r="O105" t="s">
        <v>331</v>
      </c>
      <c r="P105" t="s">
        <v>1073</v>
      </c>
      <c r="Q105" t="s">
        <v>966</v>
      </c>
    </row>
    <row r="106" spans="1:17">
      <c r="A106" s="2" t="s">
        <v>795</v>
      </c>
      <c r="B106" s="2" t="s">
        <v>268</v>
      </c>
      <c r="C106" s="2" t="s">
        <v>291</v>
      </c>
      <c r="D106" s="11">
        <v>45963.461805555555</v>
      </c>
      <c r="E106" s="11">
        <v>45963.461805555555</v>
      </c>
      <c r="F106" s="11">
        <v>45963.541666666664</v>
      </c>
      <c r="G106" s="12">
        <v>7.9861111109494232E-2</v>
      </c>
      <c r="H106" s="2" t="s">
        <v>248</v>
      </c>
      <c r="J106" s="2" t="s">
        <v>249</v>
      </c>
      <c r="K106" s="2" t="s">
        <v>349</v>
      </c>
      <c r="L106" s="2" t="s">
        <v>677</v>
      </c>
      <c r="M106" t="s">
        <v>251</v>
      </c>
      <c r="N106" t="s">
        <v>330</v>
      </c>
      <c r="O106" t="s">
        <v>331</v>
      </c>
      <c r="P106" t="s">
        <v>1074</v>
      </c>
      <c r="Q106" t="s">
        <v>966</v>
      </c>
    </row>
    <row r="107" spans="1:17">
      <c r="A107" s="2" t="s">
        <v>795</v>
      </c>
      <c r="B107" s="2" t="s">
        <v>268</v>
      </c>
      <c r="C107" s="2" t="s">
        <v>292</v>
      </c>
      <c r="D107" s="11">
        <v>45963.461805555555</v>
      </c>
      <c r="E107" s="11">
        <v>45963.461805555555</v>
      </c>
      <c r="F107" s="11">
        <v>45963.541666666664</v>
      </c>
      <c r="G107" s="12">
        <v>7.9861111109494232E-2</v>
      </c>
      <c r="H107" s="2" t="s">
        <v>248</v>
      </c>
      <c r="J107" s="2" t="s">
        <v>249</v>
      </c>
      <c r="K107" s="2" t="s">
        <v>349</v>
      </c>
      <c r="L107" s="2" t="s">
        <v>677</v>
      </c>
      <c r="M107" t="s">
        <v>251</v>
      </c>
      <c r="N107" t="s">
        <v>330</v>
      </c>
      <c r="O107" t="s">
        <v>331</v>
      </c>
      <c r="P107" t="s">
        <v>1075</v>
      </c>
      <c r="Q107" t="s">
        <v>966</v>
      </c>
    </row>
    <row r="108" spans="1:17">
      <c r="A108" s="2" t="s">
        <v>796</v>
      </c>
      <c r="B108" s="2" t="s">
        <v>268</v>
      </c>
      <c r="C108" s="2" t="s">
        <v>293</v>
      </c>
      <c r="D108" s="11">
        <v>45963.461805555555</v>
      </c>
      <c r="E108" s="11">
        <v>45963.461805555555</v>
      </c>
      <c r="F108" s="11">
        <v>45963.541666666664</v>
      </c>
      <c r="G108" s="12">
        <v>7.9861111109494232E-2</v>
      </c>
      <c r="H108" s="2" t="s">
        <v>248</v>
      </c>
      <c r="J108" s="2" t="s">
        <v>249</v>
      </c>
      <c r="K108" s="2" t="s">
        <v>349</v>
      </c>
      <c r="L108" s="2" t="s">
        <v>677</v>
      </c>
      <c r="M108" t="s">
        <v>251</v>
      </c>
      <c r="N108" t="s">
        <v>330</v>
      </c>
      <c r="O108" t="s">
        <v>331</v>
      </c>
      <c r="P108" t="s">
        <v>1076</v>
      </c>
      <c r="Q108" t="s">
        <v>966</v>
      </c>
    </row>
    <row r="109" spans="1:17">
      <c r="A109" s="2" t="s">
        <v>796</v>
      </c>
      <c r="B109" s="2" t="s">
        <v>268</v>
      </c>
      <c r="C109" s="2" t="s">
        <v>294</v>
      </c>
      <c r="D109" s="11">
        <v>45963.461805555555</v>
      </c>
      <c r="E109" s="11">
        <v>45963.461805555555</v>
      </c>
      <c r="F109" s="11">
        <v>45963.541666666664</v>
      </c>
      <c r="G109" s="12">
        <v>7.9861111109494232E-2</v>
      </c>
      <c r="H109" s="2" t="s">
        <v>248</v>
      </c>
      <c r="J109" s="2" t="s">
        <v>249</v>
      </c>
      <c r="K109" s="2" t="s">
        <v>349</v>
      </c>
      <c r="L109" s="2" t="s">
        <v>677</v>
      </c>
      <c r="M109" t="s">
        <v>251</v>
      </c>
      <c r="N109" t="s">
        <v>330</v>
      </c>
      <c r="O109" t="s">
        <v>331</v>
      </c>
      <c r="P109" t="s">
        <v>1077</v>
      </c>
      <c r="Q109" t="s">
        <v>966</v>
      </c>
    </row>
    <row r="110" spans="1:17">
      <c r="A110" s="2" t="s">
        <v>796</v>
      </c>
      <c r="B110" s="2" t="s">
        <v>268</v>
      </c>
      <c r="C110" s="2" t="s">
        <v>295</v>
      </c>
      <c r="D110" s="11">
        <v>45963.461805555555</v>
      </c>
      <c r="E110" s="11">
        <v>45963.461805555555</v>
      </c>
      <c r="F110" s="11">
        <v>45963.541666666664</v>
      </c>
      <c r="G110" s="12">
        <v>7.9861111109494232E-2</v>
      </c>
      <c r="H110" s="2" t="s">
        <v>248</v>
      </c>
      <c r="J110" s="2" t="s">
        <v>249</v>
      </c>
      <c r="K110" s="2" t="s">
        <v>349</v>
      </c>
      <c r="L110" s="2" t="s">
        <v>677</v>
      </c>
      <c r="M110" t="s">
        <v>251</v>
      </c>
      <c r="N110" t="s">
        <v>330</v>
      </c>
      <c r="O110" t="s">
        <v>331</v>
      </c>
      <c r="P110" t="s">
        <v>1078</v>
      </c>
      <c r="Q110" t="s">
        <v>966</v>
      </c>
    </row>
    <row r="111" spans="1:17">
      <c r="A111" s="2" t="s">
        <v>796</v>
      </c>
      <c r="B111" s="2" t="s">
        <v>268</v>
      </c>
      <c r="C111" s="2" t="s">
        <v>296</v>
      </c>
      <c r="D111" s="11">
        <v>45963.461805555555</v>
      </c>
      <c r="E111" s="11">
        <v>45963.461805555555</v>
      </c>
      <c r="F111" s="11">
        <v>45963.541666666664</v>
      </c>
      <c r="G111" s="12">
        <v>7.9861111109494232E-2</v>
      </c>
      <c r="H111" s="2" t="s">
        <v>248</v>
      </c>
      <c r="J111" s="2" t="s">
        <v>249</v>
      </c>
      <c r="K111" s="2" t="s">
        <v>349</v>
      </c>
      <c r="L111" s="2" t="s">
        <v>677</v>
      </c>
      <c r="M111" t="s">
        <v>251</v>
      </c>
      <c r="N111" t="s">
        <v>330</v>
      </c>
      <c r="O111" t="s">
        <v>331</v>
      </c>
      <c r="P111" t="s">
        <v>1079</v>
      </c>
      <c r="Q111" t="s">
        <v>966</v>
      </c>
    </row>
    <row r="112" spans="1:17">
      <c r="A112" s="2" t="s">
        <v>796</v>
      </c>
      <c r="B112" s="2" t="s">
        <v>268</v>
      </c>
      <c r="C112" s="2" t="s">
        <v>297</v>
      </c>
      <c r="D112" s="11">
        <v>45963.461805555555</v>
      </c>
      <c r="E112" s="11">
        <v>45963.461805555555</v>
      </c>
      <c r="F112" s="11">
        <v>45963.541666666664</v>
      </c>
      <c r="G112" s="12">
        <v>7.9861111109494232E-2</v>
      </c>
      <c r="H112" s="2" t="s">
        <v>248</v>
      </c>
      <c r="J112" s="2" t="s">
        <v>249</v>
      </c>
      <c r="K112" s="2" t="s">
        <v>349</v>
      </c>
      <c r="L112" s="2" t="s">
        <v>677</v>
      </c>
      <c r="M112" t="s">
        <v>251</v>
      </c>
      <c r="N112" t="s">
        <v>330</v>
      </c>
      <c r="O112" t="s">
        <v>331</v>
      </c>
      <c r="P112" t="s">
        <v>1080</v>
      </c>
      <c r="Q112" t="s">
        <v>966</v>
      </c>
    </row>
    <row r="113" spans="1:17">
      <c r="A113" s="2" t="s">
        <v>246</v>
      </c>
      <c r="B113" s="2" t="s">
        <v>246</v>
      </c>
      <c r="C113" s="2" t="s">
        <v>247</v>
      </c>
      <c r="D113" s="11">
        <v>45963.461805555555</v>
      </c>
      <c r="E113" s="11">
        <v>45963.461805555555</v>
      </c>
      <c r="F113" s="11">
        <v>45963.541666666664</v>
      </c>
      <c r="G113" s="12">
        <v>7.9861111109494232E-2</v>
      </c>
      <c r="H113" s="2" t="s">
        <v>248</v>
      </c>
      <c r="J113" s="2" t="s">
        <v>249</v>
      </c>
      <c r="K113" s="2" t="s">
        <v>349</v>
      </c>
      <c r="L113" s="2" t="s">
        <v>677</v>
      </c>
      <c r="M113" t="s">
        <v>251</v>
      </c>
      <c r="N113" t="s">
        <v>330</v>
      </c>
      <c r="O113" t="s">
        <v>331</v>
      </c>
      <c r="P113" t="s">
        <v>1081</v>
      </c>
      <c r="Q113" t="s">
        <v>966</v>
      </c>
    </row>
    <row r="114" spans="1:17">
      <c r="A114" s="2" t="s">
        <v>246</v>
      </c>
      <c r="B114" s="2" t="s">
        <v>246</v>
      </c>
      <c r="C114" s="2" t="s">
        <v>254</v>
      </c>
      <c r="D114" s="11">
        <v>45963.461805555555</v>
      </c>
      <c r="E114" s="11">
        <v>45963.461805555555</v>
      </c>
      <c r="F114" s="11">
        <v>45963.541666666664</v>
      </c>
      <c r="G114" s="12">
        <v>7.9861111109494232E-2</v>
      </c>
      <c r="H114" s="2" t="s">
        <v>248</v>
      </c>
      <c r="J114" s="2" t="s">
        <v>249</v>
      </c>
      <c r="K114" s="2" t="s">
        <v>349</v>
      </c>
      <c r="L114" s="2" t="s">
        <v>677</v>
      </c>
      <c r="M114" t="s">
        <v>251</v>
      </c>
      <c r="N114" t="s">
        <v>330</v>
      </c>
      <c r="O114" t="s">
        <v>331</v>
      </c>
      <c r="P114" t="s">
        <v>1082</v>
      </c>
      <c r="Q114" t="s">
        <v>966</v>
      </c>
    </row>
    <row r="115" spans="1:17">
      <c r="A115" s="2" t="s">
        <v>246</v>
      </c>
      <c r="B115" s="2" t="s">
        <v>246</v>
      </c>
      <c r="C115" s="2" t="s">
        <v>255</v>
      </c>
      <c r="D115" s="11">
        <v>45963.461805555555</v>
      </c>
      <c r="E115" s="11">
        <v>45963.461805555555</v>
      </c>
      <c r="F115" s="11">
        <v>45963.541666666664</v>
      </c>
      <c r="G115" s="12">
        <v>7.9861111109494232E-2</v>
      </c>
      <c r="H115" s="2" t="s">
        <v>248</v>
      </c>
      <c r="J115" s="2" t="s">
        <v>249</v>
      </c>
      <c r="K115" s="2" t="s">
        <v>349</v>
      </c>
      <c r="L115" s="2" t="s">
        <v>677</v>
      </c>
      <c r="M115" t="s">
        <v>251</v>
      </c>
      <c r="N115" t="s">
        <v>330</v>
      </c>
      <c r="O115" t="s">
        <v>331</v>
      </c>
      <c r="P115" t="s">
        <v>1083</v>
      </c>
      <c r="Q115" t="s">
        <v>966</v>
      </c>
    </row>
    <row r="116" spans="1:17">
      <c r="A116" s="2" t="s">
        <v>246</v>
      </c>
      <c r="B116" s="2" t="s">
        <v>246</v>
      </c>
      <c r="C116" s="2" t="s">
        <v>256</v>
      </c>
      <c r="D116" s="11">
        <v>45963.461805555555</v>
      </c>
      <c r="E116" s="11">
        <v>45963.461805555555</v>
      </c>
      <c r="F116" s="11">
        <v>45963.541666666664</v>
      </c>
      <c r="G116" s="12">
        <v>7.9861111109494232E-2</v>
      </c>
      <c r="H116" s="2" t="s">
        <v>248</v>
      </c>
      <c r="J116" s="2" t="s">
        <v>249</v>
      </c>
      <c r="K116" s="2" t="s">
        <v>349</v>
      </c>
      <c r="L116" s="2" t="s">
        <v>677</v>
      </c>
      <c r="M116" t="s">
        <v>251</v>
      </c>
      <c r="N116" t="s">
        <v>330</v>
      </c>
      <c r="O116" t="s">
        <v>331</v>
      </c>
      <c r="P116" t="s">
        <v>1084</v>
      </c>
      <c r="Q116" t="s">
        <v>966</v>
      </c>
    </row>
    <row r="117" spans="1:17">
      <c r="A117" s="2" t="s">
        <v>246</v>
      </c>
      <c r="B117" s="2" t="s">
        <v>246</v>
      </c>
      <c r="C117" s="2" t="s">
        <v>257</v>
      </c>
      <c r="D117" s="11">
        <v>45963.461805555555</v>
      </c>
      <c r="E117" s="11">
        <v>45963.461805555555</v>
      </c>
      <c r="F117" s="11">
        <v>45963.541666666664</v>
      </c>
      <c r="G117" s="12">
        <v>7.9861111109494232E-2</v>
      </c>
      <c r="H117" s="2" t="s">
        <v>248</v>
      </c>
      <c r="J117" s="2" t="s">
        <v>249</v>
      </c>
      <c r="K117" s="2" t="s">
        <v>349</v>
      </c>
      <c r="L117" s="2" t="s">
        <v>677</v>
      </c>
      <c r="M117" t="s">
        <v>251</v>
      </c>
      <c r="N117" t="s">
        <v>330</v>
      </c>
      <c r="O117" t="s">
        <v>331</v>
      </c>
      <c r="P117" t="s">
        <v>1085</v>
      </c>
      <c r="Q117" t="s">
        <v>966</v>
      </c>
    </row>
    <row r="118" spans="1:17">
      <c r="A118" s="2" t="s">
        <v>258</v>
      </c>
      <c r="B118" s="2" t="s">
        <v>258</v>
      </c>
      <c r="C118" s="2" t="s">
        <v>247</v>
      </c>
      <c r="D118" s="11">
        <v>45963.461805555555</v>
      </c>
      <c r="E118" s="11">
        <v>45963.461805555555</v>
      </c>
      <c r="F118" s="11">
        <v>45963.541666666664</v>
      </c>
      <c r="G118" s="12">
        <v>7.9861111109494232E-2</v>
      </c>
      <c r="H118" s="2" t="s">
        <v>248</v>
      </c>
      <c r="J118" s="2" t="s">
        <v>249</v>
      </c>
      <c r="K118" s="2" t="s">
        <v>349</v>
      </c>
      <c r="L118" s="2" t="s">
        <v>677</v>
      </c>
      <c r="M118" t="s">
        <v>251</v>
      </c>
      <c r="N118" t="s">
        <v>330</v>
      </c>
      <c r="O118" t="s">
        <v>331</v>
      </c>
      <c r="P118" t="s">
        <v>1086</v>
      </c>
      <c r="Q118" t="s">
        <v>966</v>
      </c>
    </row>
    <row r="119" spans="1:17">
      <c r="A119" s="2" t="s">
        <v>258</v>
      </c>
      <c r="B119" s="2" t="s">
        <v>258</v>
      </c>
      <c r="C119" s="2" t="s">
        <v>254</v>
      </c>
      <c r="D119" s="11">
        <v>45963.461805555555</v>
      </c>
      <c r="E119" s="11">
        <v>45963.461805555555</v>
      </c>
      <c r="F119" s="11">
        <v>45963.541666666664</v>
      </c>
      <c r="G119" s="12">
        <v>7.9861111109494232E-2</v>
      </c>
      <c r="H119" s="2" t="s">
        <v>248</v>
      </c>
      <c r="J119" s="2" t="s">
        <v>249</v>
      </c>
      <c r="K119" s="2" t="s">
        <v>349</v>
      </c>
      <c r="L119" s="2" t="s">
        <v>677</v>
      </c>
      <c r="M119" t="s">
        <v>251</v>
      </c>
      <c r="N119" t="s">
        <v>330</v>
      </c>
      <c r="O119" t="s">
        <v>331</v>
      </c>
      <c r="P119" t="s">
        <v>1087</v>
      </c>
      <c r="Q119" t="s">
        <v>966</v>
      </c>
    </row>
    <row r="120" spans="1:17">
      <c r="A120" s="2" t="s">
        <v>258</v>
      </c>
      <c r="B120" s="2" t="s">
        <v>258</v>
      </c>
      <c r="C120" s="2" t="s">
        <v>255</v>
      </c>
      <c r="D120" s="11">
        <v>45963.461805555555</v>
      </c>
      <c r="E120" s="11">
        <v>45963.461805555555</v>
      </c>
      <c r="F120" s="11">
        <v>45963.541666666664</v>
      </c>
      <c r="G120" s="12">
        <v>7.9861111109494232E-2</v>
      </c>
      <c r="H120" s="2" t="s">
        <v>248</v>
      </c>
      <c r="J120" s="2" t="s">
        <v>249</v>
      </c>
      <c r="K120" s="2" t="s">
        <v>349</v>
      </c>
      <c r="L120" s="2" t="s">
        <v>677</v>
      </c>
      <c r="M120" t="s">
        <v>251</v>
      </c>
      <c r="N120" t="s">
        <v>330</v>
      </c>
      <c r="O120" t="s">
        <v>331</v>
      </c>
      <c r="P120" t="s">
        <v>1088</v>
      </c>
      <c r="Q120" t="s">
        <v>966</v>
      </c>
    </row>
    <row r="121" spans="1:17">
      <c r="A121" s="2" t="s">
        <v>258</v>
      </c>
      <c r="B121" s="2" t="s">
        <v>258</v>
      </c>
      <c r="C121" s="2" t="s">
        <v>256</v>
      </c>
      <c r="D121" s="11">
        <v>45963.461805555555</v>
      </c>
      <c r="E121" s="11">
        <v>45963.461805555555</v>
      </c>
      <c r="F121" s="11">
        <v>45963.541666666664</v>
      </c>
      <c r="G121" s="12">
        <v>7.9861111109494232E-2</v>
      </c>
      <c r="H121" s="2" t="s">
        <v>248</v>
      </c>
      <c r="J121" s="2" t="s">
        <v>249</v>
      </c>
      <c r="K121" s="2" t="s">
        <v>349</v>
      </c>
      <c r="L121" s="2" t="s">
        <v>677</v>
      </c>
      <c r="M121" t="s">
        <v>251</v>
      </c>
      <c r="N121" t="s">
        <v>330</v>
      </c>
      <c r="O121" t="s">
        <v>331</v>
      </c>
      <c r="P121" t="s">
        <v>1089</v>
      </c>
      <c r="Q121" t="s">
        <v>966</v>
      </c>
    </row>
    <row r="122" spans="1:17">
      <c r="A122" s="2" t="s">
        <v>258</v>
      </c>
      <c r="B122" s="2" t="s">
        <v>258</v>
      </c>
      <c r="C122" s="2" t="s">
        <v>257</v>
      </c>
      <c r="D122" s="11">
        <v>45963.461805555555</v>
      </c>
      <c r="E122" s="11">
        <v>45963.461805555555</v>
      </c>
      <c r="F122" s="11">
        <v>45963.541666666664</v>
      </c>
      <c r="G122" s="12">
        <v>7.9861111109494232E-2</v>
      </c>
      <c r="H122" s="2" t="s">
        <v>248</v>
      </c>
      <c r="J122" s="2" t="s">
        <v>249</v>
      </c>
      <c r="K122" s="2" t="s">
        <v>349</v>
      </c>
      <c r="L122" s="2" t="s">
        <v>677</v>
      </c>
      <c r="M122" t="s">
        <v>251</v>
      </c>
      <c r="N122" t="s">
        <v>330</v>
      </c>
      <c r="O122" t="s">
        <v>331</v>
      </c>
      <c r="P122" t="s">
        <v>1090</v>
      </c>
      <c r="Q122" t="s">
        <v>966</v>
      </c>
    </row>
    <row r="123" spans="1:17">
      <c r="A123" s="2" t="s">
        <v>259</v>
      </c>
      <c r="B123" s="2" t="s">
        <v>259</v>
      </c>
      <c r="C123" s="2" t="s">
        <v>247</v>
      </c>
      <c r="D123" s="11">
        <v>45963.461805555555</v>
      </c>
      <c r="E123" s="11">
        <v>45963.461805555555</v>
      </c>
      <c r="F123" s="11">
        <v>45963.541666666664</v>
      </c>
      <c r="G123" s="12">
        <v>7.9861111109494232E-2</v>
      </c>
      <c r="H123" s="2" t="s">
        <v>248</v>
      </c>
      <c r="J123" s="2" t="s">
        <v>249</v>
      </c>
      <c r="K123" s="2" t="s">
        <v>349</v>
      </c>
      <c r="L123" s="2" t="s">
        <v>677</v>
      </c>
      <c r="M123" t="s">
        <v>251</v>
      </c>
      <c r="N123" t="s">
        <v>330</v>
      </c>
      <c r="O123" t="s">
        <v>331</v>
      </c>
      <c r="P123" t="s">
        <v>1091</v>
      </c>
      <c r="Q123" t="s">
        <v>966</v>
      </c>
    </row>
    <row r="124" spans="1:17">
      <c r="A124" s="2" t="s">
        <v>259</v>
      </c>
      <c r="B124" s="2" t="s">
        <v>259</v>
      </c>
      <c r="C124" s="2" t="s">
        <v>254</v>
      </c>
      <c r="D124" s="11">
        <v>45963.461805555555</v>
      </c>
      <c r="E124" s="11">
        <v>45963.461805555555</v>
      </c>
      <c r="F124" s="11">
        <v>45963.541666666664</v>
      </c>
      <c r="G124" s="12">
        <v>7.9861111109494232E-2</v>
      </c>
      <c r="H124" s="2" t="s">
        <v>248</v>
      </c>
      <c r="J124" s="2" t="s">
        <v>249</v>
      </c>
      <c r="K124" s="2" t="s">
        <v>349</v>
      </c>
      <c r="L124" s="2" t="s">
        <v>677</v>
      </c>
      <c r="M124" t="s">
        <v>251</v>
      </c>
      <c r="N124" t="s">
        <v>330</v>
      </c>
      <c r="O124" t="s">
        <v>331</v>
      </c>
      <c r="P124" t="s">
        <v>1092</v>
      </c>
      <c r="Q124" t="s">
        <v>966</v>
      </c>
    </row>
    <row r="125" spans="1:17">
      <c r="A125" s="2" t="s">
        <v>259</v>
      </c>
      <c r="B125" s="2" t="s">
        <v>259</v>
      </c>
      <c r="C125" s="2" t="s">
        <v>255</v>
      </c>
      <c r="D125" s="11">
        <v>45963.461805555555</v>
      </c>
      <c r="E125" s="11">
        <v>45963.461805555555</v>
      </c>
      <c r="F125" s="11">
        <v>45963.541666666664</v>
      </c>
      <c r="G125" s="12">
        <v>7.9861111109494232E-2</v>
      </c>
      <c r="H125" s="2" t="s">
        <v>248</v>
      </c>
      <c r="J125" s="2" t="s">
        <v>249</v>
      </c>
      <c r="K125" s="2" t="s">
        <v>349</v>
      </c>
      <c r="L125" s="2" t="s">
        <v>677</v>
      </c>
      <c r="M125" t="s">
        <v>251</v>
      </c>
      <c r="N125" t="s">
        <v>330</v>
      </c>
      <c r="O125" t="s">
        <v>331</v>
      </c>
      <c r="P125" t="s">
        <v>1093</v>
      </c>
      <c r="Q125" t="s">
        <v>966</v>
      </c>
    </row>
    <row r="126" spans="1:17">
      <c r="A126" s="2" t="s">
        <v>259</v>
      </c>
      <c r="B126" s="2" t="s">
        <v>259</v>
      </c>
      <c r="C126" s="2" t="s">
        <v>256</v>
      </c>
      <c r="D126" s="11">
        <v>45963.461805555555</v>
      </c>
      <c r="E126" s="11">
        <v>45963.461805555555</v>
      </c>
      <c r="F126" s="11">
        <v>45963.541666666664</v>
      </c>
      <c r="G126" s="12">
        <v>7.9861111109494232E-2</v>
      </c>
      <c r="H126" s="2" t="s">
        <v>248</v>
      </c>
      <c r="J126" s="2" t="s">
        <v>249</v>
      </c>
      <c r="K126" s="2" t="s">
        <v>349</v>
      </c>
      <c r="L126" s="2" t="s">
        <v>677</v>
      </c>
      <c r="M126" t="s">
        <v>251</v>
      </c>
      <c r="N126" t="s">
        <v>330</v>
      </c>
      <c r="O126" t="s">
        <v>331</v>
      </c>
      <c r="P126" t="s">
        <v>1094</v>
      </c>
      <c r="Q126" t="s">
        <v>966</v>
      </c>
    </row>
    <row r="127" spans="1:17">
      <c r="A127" s="2" t="s">
        <v>259</v>
      </c>
      <c r="B127" s="2" t="s">
        <v>259</v>
      </c>
      <c r="C127" s="2" t="s">
        <v>257</v>
      </c>
      <c r="D127" s="11">
        <v>45963.461805555555</v>
      </c>
      <c r="E127" s="11">
        <v>45963.461805555555</v>
      </c>
      <c r="F127" s="11">
        <v>45963.541666666664</v>
      </c>
      <c r="G127" s="12">
        <v>7.9861111109494232E-2</v>
      </c>
      <c r="H127" s="2" t="s">
        <v>248</v>
      </c>
      <c r="J127" s="2" t="s">
        <v>249</v>
      </c>
      <c r="K127" s="2" t="s">
        <v>349</v>
      </c>
      <c r="L127" s="2" t="s">
        <v>677</v>
      </c>
      <c r="M127" t="s">
        <v>251</v>
      </c>
      <c r="N127" t="s">
        <v>330</v>
      </c>
      <c r="O127" t="s">
        <v>331</v>
      </c>
      <c r="P127" t="s">
        <v>1095</v>
      </c>
      <c r="Q127" t="s">
        <v>966</v>
      </c>
    </row>
    <row r="128" spans="1:17">
      <c r="A128" s="2" t="s">
        <v>771</v>
      </c>
      <c r="B128" s="2" t="s">
        <v>477</v>
      </c>
      <c r="C128" s="2" t="s">
        <v>634</v>
      </c>
      <c r="D128" s="11">
        <v>45963.465277777781</v>
      </c>
      <c r="E128" s="11">
        <v>45963.465277777781</v>
      </c>
      <c r="F128" s="11">
        <v>45963.503472222219</v>
      </c>
      <c r="G128" s="12">
        <v>3.8194444437976927E-2</v>
      </c>
      <c r="H128" s="2" t="s">
        <v>248</v>
      </c>
      <c r="J128" s="2" t="s">
        <v>249</v>
      </c>
      <c r="K128" s="2" t="s">
        <v>349</v>
      </c>
      <c r="L128" s="2" t="s">
        <v>971</v>
      </c>
      <c r="M128" t="s">
        <v>251</v>
      </c>
      <c r="N128" t="s">
        <v>330</v>
      </c>
      <c r="O128" t="s">
        <v>331</v>
      </c>
      <c r="P128" t="s">
        <v>1096</v>
      </c>
      <c r="Q128" t="s">
        <v>966</v>
      </c>
    </row>
    <row r="129" spans="1:17">
      <c r="A129" s="2" t="s">
        <v>773</v>
      </c>
      <c r="B129" s="2" t="s">
        <v>477</v>
      </c>
      <c r="C129" s="2" t="s">
        <v>628</v>
      </c>
      <c r="D129" s="11">
        <v>45963.465277777781</v>
      </c>
      <c r="E129" s="11">
        <v>45963.465277777781</v>
      </c>
      <c r="F129" s="11">
        <v>45963.503472222219</v>
      </c>
      <c r="G129" s="12">
        <v>3.8194444437976927E-2</v>
      </c>
      <c r="H129" s="2" t="s">
        <v>248</v>
      </c>
      <c r="J129" s="2" t="s">
        <v>249</v>
      </c>
      <c r="K129" s="2" t="s">
        <v>349</v>
      </c>
      <c r="L129" s="2" t="s">
        <v>971</v>
      </c>
      <c r="M129" t="s">
        <v>251</v>
      </c>
      <c r="N129" t="s">
        <v>330</v>
      </c>
      <c r="O129" t="s">
        <v>331</v>
      </c>
      <c r="P129" t="s">
        <v>1097</v>
      </c>
      <c r="Q129" t="s">
        <v>966</v>
      </c>
    </row>
    <row r="130" spans="1:17">
      <c r="A130" s="2" t="s">
        <v>773</v>
      </c>
      <c r="B130" s="2" t="s">
        <v>477</v>
      </c>
      <c r="C130" s="2" t="s">
        <v>491</v>
      </c>
      <c r="D130" s="11">
        <v>45963.465277777781</v>
      </c>
      <c r="E130" s="11">
        <v>45963.465277777781</v>
      </c>
      <c r="F130" s="11">
        <v>45963.503472222219</v>
      </c>
      <c r="G130" s="12">
        <v>3.8194444437976927E-2</v>
      </c>
      <c r="H130" s="2" t="s">
        <v>248</v>
      </c>
      <c r="J130" s="2" t="s">
        <v>249</v>
      </c>
      <c r="K130" s="2" t="s">
        <v>349</v>
      </c>
      <c r="L130" s="2" t="s">
        <v>971</v>
      </c>
      <c r="M130" t="s">
        <v>251</v>
      </c>
      <c r="N130" t="s">
        <v>330</v>
      </c>
      <c r="O130" t="s">
        <v>331</v>
      </c>
      <c r="P130" t="s">
        <v>1098</v>
      </c>
      <c r="Q130" t="s">
        <v>966</v>
      </c>
    </row>
    <row r="131" spans="1:17">
      <c r="A131" s="2" t="s">
        <v>773</v>
      </c>
      <c r="B131" s="2" t="s">
        <v>477</v>
      </c>
      <c r="C131" s="2" t="s">
        <v>488</v>
      </c>
      <c r="D131" s="11">
        <v>45963.465277777781</v>
      </c>
      <c r="E131" s="11">
        <v>45963.465277777781</v>
      </c>
      <c r="F131" s="11">
        <v>45963.503472222219</v>
      </c>
      <c r="G131" s="12">
        <v>3.8194444437976927E-2</v>
      </c>
      <c r="H131" s="2" t="s">
        <v>248</v>
      </c>
      <c r="J131" s="2" t="s">
        <v>249</v>
      </c>
      <c r="K131" s="2" t="s">
        <v>349</v>
      </c>
      <c r="L131" s="2" t="s">
        <v>971</v>
      </c>
      <c r="M131" t="s">
        <v>251</v>
      </c>
      <c r="N131" t="s">
        <v>330</v>
      </c>
      <c r="O131" t="s">
        <v>331</v>
      </c>
      <c r="P131" t="s">
        <v>1099</v>
      </c>
      <c r="Q131" t="s">
        <v>966</v>
      </c>
    </row>
    <row r="132" spans="1:17">
      <c r="A132" s="2" t="s">
        <v>773</v>
      </c>
      <c r="B132" s="2" t="s">
        <v>477</v>
      </c>
      <c r="C132" s="2" t="s">
        <v>492</v>
      </c>
      <c r="D132" s="11">
        <v>45963.465277777781</v>
      </c>
      <c r="E132" s="11">
        <v>45963.465277777781</v>
      </c>
      <c r="F132" s="11">
        <v>45963.503472222219</v>
      </c>
      <c r="G132" s="12">
        <v>3.8194444437976927E-2</v>
      </c>
      <c r="H132" s="2" t="s">
        <v>248</v>
      </c>
      <c r="J132" s="2" t="s">
        <v>249</v>
      </c>
      <c r="K132" s="2" t="s">
        <v>349</v>
      </c>
      <c r="L132" s="2" t="s">
        <v>971</v>
      </c>
      <c r="M132" t="s">
        <v>251</v>
      </c>
      <c r="N132" t="s">
        <v>330</v>
      </c>
      <c r="O132" t="s">
        <v>331</v>
      </c>
      <c r="P132" t="s">
        <v>1100</v>
      </c>
      <c r="Q132" t="s">
        <v>966</v>
      </c>
    </row>
    <row r="133" spans="1:17">
      <c r="A133" s="2" t="s">
        <v>773</v>
      </c>
      <c r="B133" s="2" t="s">
        <v>477</v>
      </c>
      <c r="C133" s="2" t="s">
        <v>490</v>
      </c>
      <c r="D133" s="11">
        <v>45963.465277777781</v>
      </c>
      <c r="E133" s="11">
        <v>45963.465277777781</v>
      </c>
      <c r="F133" s="11">
        <v>45963.503472222219</v>
      </c>
      <c r="G133" s="12">
        <v>3.8194444437976927E-2</v>
      </c>
      <c r="H133" s="2" t="s">
        <v>248</v>
      </c>
      <c r="J133" s="2" t="s">
        <v>249</v>
      </c>
      <c r="K133" s="2" t="s">
        <v>349</v>
      </c>
      <c r="L133" s="2" t="s">
        <v>971</v>
      </c>
      <c r="M133" t="s">
        <v>251</v>
      </c>
      <c r="N133" t="s">
        <v>330</v>
      </c>
      <c r="O133" t="s">
        <v>331</v>
      </c>
      <c r="P133" t="s">
        <v>1101</v>
      </c>
      <c r="Q133" t="s">
        <v>966</v>
      </c>
    </row>
    <row r="134" spans="1:17">
      <c r="A134" s="2" t="s">
        <v>773</v>
      </c>
      <c r="B134" s="2" t="s">
        <v>477</v>
      </c>
      <c r="C134" s="2" t="s">
        <v>978</v>
      </c>
      <c r="D134" s="11">
        <v>45963.465277777781</v>
      </c>
      <c r="E134" s="11">
        <v>45963.465277777781</v>
      </c>
      <c r="F134" s="11">
        <v>45963.503472222219</v>
      </c>
      <c r="G134" s="12">
        <v>3.8194444437976927E-2</v>
      </c>
      <c r="H134" s="2" t="s">
        <v>248</v>
      </c>
      <c r="J134" s="2" t="s">
        <v>249</v>
      </c>
      <c r="K134" s="2" t="s">
        <v>349</v>
      </c>
      <c r="L134" s="2" t="s">
        <v>971</v>
      </c>
      <c r="M134" t="s">
        <v>251</v>
      </c>
      <c r="N134" t="s">
        <v>330</v>
      </c>
      <c r="O134" t="s">
        <v>331</v>
      </c>
      <c r="P134" t="s">
        <v>1102</v>
      </c>
      <c r="Q134" t="s">
        <v>966</v>
      </c>
    </row>
    <row r="135" spans="1:17">
      <c r="A135" s="2" t="s">
        <v>782</v>
      </c>
      <c r="B135" s="2" t="s">
        <v>477</v>
      </c>
      <c r="C135" s="2" t="s">
        <v>489</v>
      </c>
      <c r="D135" s="11">
        <v>45963.465277777781</v>
      </c>
      <c r="E135" s="11">
        <v>45963.465277777781</v>
      </c>
      <c r="F135" s="11">
        <v>45963.503472222219</v>
      </c>
      <c r="G135" s="12">
        <v>3.8194444437976927E-2</v>
      </c>
      <c r="H135" s="2" t="s">
        <v>248</v>
      </c>
      <c r="J135" s="2" t="s">
        <v>249</v>
      </c>
      <c r="K135" s="2" t="s">
        <v>349</v>
      </c>
      <c r="L135" s="2" t="s">
        <v>971</v>
      </c>
      <c r="M135" t="s">
        <v>251</v>
      </c>
      <c r="N135" t="s">
        <v>330</v>
      </c>
      <c r="O135" t="s">
        <v>331</v>
      </c>
      <c r="P135" t="s">
        <v>1103</v>
      </c>
      <c r="Q135" t="s">
        <v>966</v>
      </c>
    </row>
    <row r="136" spans="1:17">
      <c r="A136" s="2" t="s">
        <v>782</v>
      </c>
      <c r="B136" s="2" t="s">
        <v>477</v>
      </c>
      <c r="C136" s="2" t="s">
        <v>713</v>
      </c>
      <c r="D136" s="11">
        <v>45963.465277777781</v>
      </c>
      <c r="E136" s="11">
        <v>45963.465277777781</v>
      </c>
      <c r="F136" s="11">
        <v>45963.503472222219</v>
      </c>
      <c r="G136" s="12">
        <v>3.8194444437976927E-2</v>
      </c>
      <c r="H136" s="2" t="s">
        <v>248</v>
      </c>
      <c r="J136" s="2" t="s">
        <v>249</v>
      </c>
      <c r="K136" s="2" t="s">
        <v>349</v>
      </c>
      <c r="L136" s="2" t="s">
        <v>971</v>
      </c>
      <c r="M136" t="s">
        <v>251</v>
      </c>
      <c r="N136" t="s">
        <v>330</v>
      </c>
      <c r="O136" t="s">
        <v>331</v>
      </c>
      <c r="P136" t="s">
        <v>1104</v>
      </c>
      <c r="Q136" t="s">
        <v>966</v>
      </c>
    </row>
    <row r="137" spans="1:17">
      <c r="A137" s="2" t="s">
        <v>782</v>
      </c>
      <c r="B137" s="2" t="s">
        <v>477</v>
      </c>
      <c r="C137" s="2" t="s">
        <v>486</v>
      </c>
      <c r="D137" s="11">
        <v>45963.465277777781</v>
      </c>
      <c r="E137" s="11">
        <v>45963.465277777781</v>
      </c>
      <c r="F137" s="11">
        <v>45963.503472222219</v>
      </c>
      <c r="G137" s="12">
        <v>3.8194444437976927E-2</v>
      </c>
      <c r="H137" s="2" t="s">
        <v>248</v>
      </c>
      <c r="J137" s="2" t="s">
        <v>249</v>
      </c>
      <c r="K137" s="2" t="s">
        <v>349</v>
      </c>
      <c r="L137" s="2" t="s">
        <v>971</v>
      </c>
      <c r="M137" t="s">
        <v>251</v>
      </c>
      <c r="N137" t="s">
        <v>330</v>
      </c>
      <c r="O137" t="s">
        <v>331</v>
      </c>
      <c r="P137" t="s">
        <v>1105</v>
      </c>
      <c r="Q137" t="s">
        <v>966</v>
      </c>
    </row>
    <row r="138" spans="1:17">
      <c r="A138" s="2" t="s">
        <v>782</v>
      </c>
      <c r="B138" s="2" t="s">
        <v>477</v>
      </c>
      <c r="C138" s="2" t="s">
        <v>478</v>
      </c>
      <c r="D138" s="11">
        <v>45963.465277777781</v>
      </c>
      <c r="E138" s="11">
        <v>45963.465277777781</v>
      </c>
      <c r="F138" s="11">
        <v>45963.503472222219</v>
      </c>
      <c r="G138" s="12">
        <v>3.8194444437976927E-2</v>
      </c>
      <c r="H138" s="2" t="s">
        <v>248</v>
      </c>
      <c r="J138" s="2" t="s">
        <v>249</v>
      </c>
      <c r="K138" s="2" t="s">
        <v>349</v>
      </c>
      <c r="L138" s="2" t="s">
        <v>971</v>
      </c>
      <c r="M138" t="s">
        <v>251</v>
      </c>
      <c r="N138" t="s">
        <v>330</v>
      </c>
      <c r="O138" t="s">
        <v>331</v>
      </c>
      <c r="P138" t="s">
        <v>1106</v>
      </c>
      <c r="Q138" t="s">
        <v>966</v>
      </c>
    </row>
    <row r="139" spans="1:17">
      <c r="A139" s="2" t="s">
        <v>782</v>
      </c>
      <c r="B139" s="2" t="s">
        <v>477</v>
      </c>
      <c r="C139" s="2" t="s">
        <v>632</v>
      </c>
      <c r="D139" s="11">
        <v>45963.465277777781</v>
      </c>
      <c r="E139" s="11">
        <v>45963.465277777781</v>
      </c>
      <c r="F139" s="11">
        <v>45963.503472222219</v>
      </c>
      <c r="G139" s="12">
        <v>3.8194444437976927E-2</v>
      </c>
      <c r="H139" s="2" t="s">
        <v>248</v>
      </c>
      <c r="J139" s="2" t="s">
        <v>249</v>
      </c>
      <c r="K139" s="2" t="s">
        <v>349</v>
      </c>
      <c r="L139" s="2" t="s">
        <v>971</v>
      </c>
      <c r="M139" t="s">
        <v>251</v>
      </c>
      <c r="N139" t="s">
        <v>330</v>
      </c>
      <c r="O139" t="s">
        <v>331</v>
      </c>
      <c r="P139" t="s">
        <v>1107</v>
      </c>
      <c r="Q139" t="s">
        <v>966</v>
      </c>
    </row>
    <row r="140" spans="1:17">
      <c r="A140" s="2" t="s">
        <v>782</v>
      </c>
      <c r="B140" s="2" t="s">
        <v>477</v>
      </c>
      <c r="C140" s="2" t="s">
        <v>629</v>
      </c>
      <c r="D140" s="11">
        <v>45963.465277777781</v>
      </c>
      <c r="E140" s="11">
        <v>45963.465277777781</v>
      </c>
      <c r="F140" s="11">
        <v>45963.503472222219</v>
      </c>
      <c r="G140" s="12">
        <v>3.8194444437976927E-2</v>
      </c>
      <c r="H140" s="2" t="s">
        <v>248</v>
      </c>
      <c r="J140" s="2" t="s">
        <v>249</v>
      </c>
      <c r="K140" s="2" t="s">
        <v>349</v>
      </c>
      <c r="L140" s="2" t="s">
        <v>971</v>
      </c>
      <c r="M140" t="s">
        <v>251</v>
      </c>
      <c r="N140" t="s">
        <v>330</v>
      </c>
      <c r="O140" t="s">
        <v>331</v>
      </c>
      <c r="P140" t="s">
        <v>1108</v>
      </c>
      <c r="Q140" t="s">
        <v>966</v>
      </c>
    </row>
    <row r="141" spans="1:17">
      <c r="A141" s="2" t="s">
        <v>782</v>
      </c>
      <c r="B141" s="2" t="s">
        <v>477</v>
      </c>
      <c r="C141" s="2" t="s">
        <v>631</v>
      </c>
      <c r="D141" s="11">
        <v>45963.465277777781</v>
      </c>
      <c r="E141" s="11">
        <v>45963.465277777781</v>
      </c>
      <c r="F141" s="11">
        <v>45963.503472222219</v>
      </c>
      <c r="G141" s="12">
        <v>3.8194444437976927E-2</v>
      </c>
      <c r="H141" s="2" t="s">
        <v>248</v>
      </c>
      <c r="J141" s="2" t="s">
        <v>249</v>
      </c>
      <c r="K141" s="2" t="s">
        <v>349</v>
      </c>
      <c r="L141" s="2" t="s">
        <v>971</v>
      </c>
      <c r="M141" t="s">
        <v>251</v>
      </c>
      <c r="N141" t="s">
        <v>330</v>
      </c>
      <c r="O141" t="s">
        <v>331</v>
      </c>
      <c r="P141" t="s">
        <v>1109</v>
      </c>
      <c r="Q141" t="s">
        <v>966</v>
      </c>
    </row>
    <row r="142" spans="1:17">
      <c r="A142" s="2" t="s">
        <v>782</v>
      </c>
      <c r="B142" s="2" t="s">
        <v>477</v>
      </c>
      <c r="C142" s="2" t="s">
        <v>635</v>
      </c>
      <c r="D142" s="11">
        <v>45963.465277777781</v>
      </c>
      <c r="E142" s="11">
        <v>45963.465277777781</v>
      </c>
      <c r="F142" s="11">
        <v>45963.503472222219</v>
      </c>
      <c r="G142" s="12">
        <v>3.8194444437976927E-2</v>
      </c>
      <c r="H142" s="2" t="s">
        <v>248</v>
      </c>
      <c r="J142" s="2" t="s">
        <v>249</v>
      </c>
      <c r="K142" s="2" t="s">
        <v>349</v>
      </c>
      <c r="L142" s="2" t="s">
        <v>971</v>
      </c>
      <c r="M142" t="s">
        <v>251</v>
      </c>
      <c r="N142" t="s">
        <v>330</v>
      </c>
      <c r="O142" t="s">
        <v>331</v>
      </c>
      <c r="P142" t="s">
        <v>1110</v>
      </c>
      <c r="Q142" t="s">
        <v>966</v>
      </c>
    </row>
    <row r="143" spans="1:17">
      <c r="A143" s="2" t="s">
        <v>782</v>
      </c>
      <c r="B143" s="2" t="s">
        <v>477</v>
      </c>
      <c r="C143" s="2" t="s">
        <v>487</v>
      </c>
      <c r="D143" s="11">
        <v>45963.465277777781</v>
      </c>
      <c r="E143" s="11">
        <v>45963.465277777781</v>
      </c>
      <c r="F143" s="11">
        <v>45963.503472222219</v>
      </c>
      <c r="G143" s="12">
        <v>3.8194444437976927E-2</v>
      </c>
      <c r="H143" s="2" t="s">
        <v>248</v>
      </c>
      <c r="J143" s="2" t="s">
        <v>249</v>
      </c>
      <c r="K143" s="2" t="s">
        <v>349</v>
      </c>
      <c r="L143" s="2" t="s">
        <v>971</v>
      </c>
      <c r="M143" t="s">
        <v>251</v>
      </c>
      <c r="N143" t="s">
        <v>330</v>
      </c>
      <c r="O143" t="s">
        <v>331</v>
      </c>
      <c r="P143" t="s">
        <v>1111</v>
      </c>
      <c r="Q143" t="s">
        <v>966</v>
      </c>
    </row>
    <row r="144" spans="1:17">
      <c r="A144" s="2" t="s">
        <v>782</v>
      </c>
      <c r="B144" s="2" t="s">
        <v>477</v>
      </c>
      <c r="C144" s="2" t="s">
        <v>627</v>
      </c>
      <c r="D144" s="11">
        <v>45963.465277777781</v>
      </c>
      <c r="E144" s="11">
        <v>45963.465277777781</v>
      </c>
      <c r="F144" s="11">
        <v>45963.503472222219</v>
      </c>
      <c r="G144" s="12">
        <v>3.8194444437976927E-2</v>
      </c>
      <c r="H144" s="2" t="s">
        <v>248</v>
      </c>
      <c r="J144" s="2" t="s">
        <v>249</v>
      </c>
      <c r="K144" s="2" t="s">
        <v>349</v>
      </c>
      <c r="L144" s="2" t="s">
        <v>971</v>
      </c>
      <c r="M144" t="s">
        <v>251</v>
      </c>
      <c r="N144" t="s">
        <v>330</v>
      </c>
      <c r="O144" t="s">
        <v>331</v>
      </c>
      <c r="P144" t="s">
        <v>1112</v>
      </c>
      <c r="Q144" t="s">
        <v>966</v>
      </c>
    </row>
    <row r="145" spans="1:17">
      <c r="A145" s="2" t="s">
        <v>1113</v>
      </c>
      <c r="B145" s="2" t="s">
        <v>850</v>
      </c>
      <c r="C145" s="2" t="s">
        <v>851</v>
      </c>
      <c r="D145" s="11">
        <v>45963.506249999999</v>
      </c>
      <c r="E145" s="11">
        <v>45963.506249999999</v>
      </c>
      <c r="F145" s="11">
        <v>45964.25</v>
      </c>
      <c r="G145" s="12">
        <v>0.74375000000145519</v>
      </c>
      <c r="H145" s="2" t="s">
        <v>248</v>
      </c>
      <c r="J145" s="2" t="s">
        <v>249</v>
      </c>
      <c r="K145" s="2" t="s">
        <v>349</v>
      </c>
      <c r="L145" s="2" t="s">
        <v>250</v>
      </c>
      <c r="M145" t="s">
        <v>251</v>
      </c>
      <c r="N145" t="s">
        <v>330</v>
      </c>
      <c r="O145" t="s">
        <v>852</v>
      </c>
      <c r="P145" t="s">
        <v>1114</v>
      </c>
      <c r="Q145" t="s">
        <v>966</v>
      </c>
    </row>
    <row r="146" spans="1:17">
      <c r="A146" s="2" t="s">
        <v>823</v>
      </c>
      <c r="B146" s="2" t="s">
        <v>850</v>
      </c>
      <c r="C146" s="2" t="s">
        <v>824</v>
      </c>
      <c r="D146" s="11">
        <v>45963.506249999999</v>
      </c>
      <c r="E146" s="11">
        <v>45963.506249999999</v>
      </c>
      <c r="F146" s="11">
        <v>45964.25</v>
      </c>
      <c r="G146" s="12">
        <v>0.74375000000145519</v>
      </c>
      <c r="H146" s="2" t="s">
        <v>248</v>
      </c>
      <c r="J146" s="2" t="s">
        <v>249</v>
      </c>
      <c r="K146" s="2" t="s">
        <v>349</v>
      </c>
      <c r="L146" s="2" t="s">
        <v>250</v>
      </c>
      <c r="M146" t="s">
        <v>251</v>
      </c>
      <c r="N146" t="s">
        <v>330</v>
      </c>
      <c r="O146" t="s">
        <v>852</v>
      </c>
      <c r="P146" t="s">
        <v>1115</v>
      </c>
      <c r="Q146" t="s">
        <v>966</v>
      </c>
    </row>
    <row r="147" spans="1:17">
      <c r="A147" s="2" t="s">
        <v>1116</v>
      </c>
      <c r="B147" s="2" t="s">
        <v>850</v>
      </c>
      <c r="C147" s="2" t="s">
        <v>853</v>
      </c>
      <c r="D147" s="11">
        <v>45963.506249999999</v>
      </c>
      <c r="E147" s="11">
        <v>45963.506249999999</v>
      </c>
      <c r="F147" s="11">
        <v>45964.25</v>
      </c>
      <c r="G147" s="12">
        <v>0.74375000000145519</v>
      </c>
      <c r="H147" s="2" t="s">
        <v>248</v>
      </c>
      <c r="J147" s="2" t="s">
        <v>249</v>
      </c>
      <c r="K147" s="2" t="s">
        <v>349</v>
      </c>
      <c r="L147" s="2" t="s">
        <v>250</v>
      </c>
      <c r="M147" t="s">
        <v>251</v>
      </c>
      <c r="N147" t="s">
        <v>330</v>
      </c>
      <c r="O147" t="s">
        <v>852</v>
      </c>
      <c r="P147" t="s">
        <v>1117</v>
      </c>
      <c r="Q147" t="s">
        <v>966</v>
      </c>
    </row>
    <row r="148" spans="1:17">
      <c r="A148" s="2" t="s">
        <v>1118</v>
      </c>
      <c r="B148" s="2" t="s">
        <v>854</v>
      </c>
      <c r="C148" s="2" t="s">
        <v>855</v>
      </c>
      <c r="D148" s="11">
        <v>45963.506249999999</v>
      </c>
      <c r="E148" s="11">
        <v>45963.506249999999</v>
      </c>
      <c r="F148" s="11">
        <v>45964.25</v>
      </c>
      <c r="G148" s="12">
        <v>0.74375000000145519</v>
      </c>
      <c r="H148" s="2" t="s">
        <v>248</v>
      </c>
      <c r="J148" s="2" t="s">
        <v>249</v>
      </c>
      <c r="K148" s="2" t="s">
        <v>349</v>
      </c>
      <c r="L148" s="2" t="s">
        <v>250</v>
      </c>
      <c r="M148" t="s">
        <v>251</v>
      </c>
      <c r="N148" t="s">
        <v>330</v>
      </c>
      <c r="O148" t="s">
        <v>852</v>
      </c>
      <c r="P148" t="s">
        <v>1119</v>
      </c>
      <c r="Q148" t="s">
        <v>966</v>
      </c>
    </row>
    <row r="149" spans="1:17">
      <c r="A149" s="2" t="s">
        <v>1120</v>
      </c>
      <c r="B149" s="2" t="s">
        <v>854</v>
      </c>
      <c r="C149" s="2" t="s">
        <v>856</v>
      </c>
      <c r="D149" s="11">
        <v>45963.506249999999</v>
      </c>
      <c r="E149" s="11">
        <v>45963.506249999999</v>
      </c>
      <c r="F149" s="11">
        <v>45964.25</v>
      </c>
      <c r="G149" s="12">
        <v>0.74375000000145519</v>
      </c>
      <c r="H149" s="2" t="s">
        <v>248</v>
      </c>
      <c r="J149" s="2" t="s">
        <v>249</v>
      </c>
      <c r="K149" s="2" t="s">
        <v>349</v>
      </c>
      <c r="L149" s="2" t="s">
        <v>250</v>
      </c>
      <c r="M149" t="s">
        <v>251</v>
      </c>
      <c r="N149" t="s">
        <v>330</v>
      </c>
      <c r="O149" t="s">
        <v>852</v>
      </c>
      <c r="P149" t="s">
        <v>1121</v>
      </c>
      <c r="Q149" t="s">
        <v>966</v>
      </c>
    </row>
    <row r="150" spans="1:17">
      <c r="A150" s="2" t="s">
        <v>1122</v>
      </c>
      <c r="B150" s="2" t="s">
        <v>854</v>
      </c>
      <c r="C150" s="2" t="s">
        <v>857</v>
      </c>
      <c r="D150" s="11">
        <v>45963.506249999999</v>
      </c>
      <c r="E150" s="11">
        <v>45963.506249999999</v>
      </c>
      <c r="F150" s="11">
        <v>45964.25</v>
      </c>
      <c r="G150" s="12">
        <v>0.74375000000145519</v>
      </c>
      <c r="H150" s="2" t="s">
        <v>248</v>
      </c>
      <c r="J150" s="2" t="s">
        <v>249</v>
      </c>
      <c r="K150" s="2" t="s">
        <v>349</v>
      </c>
      <c r="L150" s="2" t="s">
        <v>250</v>
      </c>
      <c r="M150" t="s">
        <v>251</v>
      </c>
      <c r="N150" t="s">
        <v>330</v>
      </c>
      <c r="O150" t="s">
        <v>852</v>
      </c>
      <c r="P150" t="s">
        <v>1123</v>
      </c>
      <c r="Q150" t="s">
        <v>966</v>
      </c>
    </row>
    <row r="151" spans="1:17">
      <c r="A151" s="2" t="s">
        <v>1124</v>
      </c>
      <c r="B151" s="2" t="s">
        <v>854</v>
      </c>
      <c r="C151" s="2" t="s">
        <v>858</v>
      </c>
      <c r="D151" s="11">
        <v>45963.506249999999</v>
      </c>
      <c r="E151" s="11">
        <v>45963.506249999999</v>
      </c>
      <c r="F151" s="11">
        <v>45964.25</v>
      </c>
      <c r="G151" s="12">
        <v>0.74375000000145519</v>
      </c>
      <c r="H151" s="2" t="s">
        <v>248</v>
      </c>
      <c r="J151" s="2" t="s">
        <v>249</v>
      </c>
      <c r="K151" s="2" t="s">
        <v>349</v>
      </c>
      <c r="L151" s="2" t="s">
        <v>250</v>
      </c>
      <c r="M151" t="s">
        <v>251</v>
      </c>
      <c r="N151" t="s">
        <v>330</v>
      </c>
      <c r="O151" t="s">
        <v>852</v>
      </c>
      <c r="P151" t="s">
        <v>1125</v>
      </c>
      <c r="Q151" t="s">
        <v>966</v>
      </c>
    </row>
    <row r="152" spans="1:17">
      <c r="A152" s="2" t="s">
        <v>1126</v>
      </c>
      <c r="B152" s="2" t="s">
        <v>493</v>
      </c>
      <c r="C152" s="2" t="s">
        <v>494</v>
      </c>
      <c r="D152" s="11">
        <v>45963.531944444447</v>
      </c>
      <c r="E152" s="11">
        <v>45963.531944444447</v>
      </c>
      <c r="F152" s="11">
        <v>45963.645833333336</v>
      </c>
      <c r="G152" s="12">
        <v>0.11388888888905058</v>
      </c>
      <c r="H152" s="2" t="s">
        <v>248</v>
      </c>
      <c r="J152" s="2" t="s">
        <v>249</v>
      </c>
      <c r="K152" s="2" t="s">
        <v>349</v>
      </c>
      <c r="L152" s="2" t="s">
        <v>971</v>
      </c>
      <c r="M152" t="s">
        <v>251</v>
      </c>
      <c r="N152" t="s">
        <v>330</v>
      </c>
      <c r="O152" t="s">
        <v>331</v>
      </c>
      <c r="P152" t="s">
        <v>1127</v>
      </c>
      <c r="Q152" t="s">
        <v>966</v>
      </c>
    </row>
    <row r="153" spans="1:17">
      <c r="A153" s="2" t="s">
        <v>1126</v>
      </c>
      <c r="B153" s="2" t="s">
        <v>493</v>
      </c>
      <c r="C153" s="2" t="s">
        <v>497</v>
      </c>
      <c r="D153" s="11">
        <v>45963.531944444447</v>
      </c>
      <c r="E153" s="11">
        <v>45963.531944444447</v>
      </c>
      <c r="F153" s="11">
        <v>45963.645833333336</v>
      </c>
      <c r="G153" s="12">
        <v>0.11388888888905058</v>
      </c>
      <c r="H153" s="2" t="s">
        <v>248</v>
      </c>
      <c r="J153" s="2" t="s">
        <v>249</v>
      </c>
      <c r="K153" s="2" t="s">
        <v>349</v>
      </c>
      <c r="L153" s="2" t="s">
        <v>971</v>
      </c>
      <c r="M153" t="s">
        <v>251</v>
      </c>
      <c r="N153" t="s">
        <v>330</v>
      </c>
      <c r="O153" t="s">
        <v>331</v>
      </c>
      <c r="P153" t="s">
        <v>1128</v>
      </c>
      <c r="Q153" t="s">
        <v>966</v>
      </c>
    </row>
    <row r="154" spans="1:17">
      <c r="A154" s="2" t="s">
        <v>1126</v>
      </c>
      <c r="B154" s="2" t="s">
        <v>493</v>
      </c>
      <c r="C154" s="2" t="s">
        <v>498</v>
      </c>
      <c r="D154" s="11">
        <v>45963.531944444447</v>
      </c>
      <c r="E154" s="11">
        <v>45963.531944444447</v>
      </c>
      <c r="F154" s="11">
        <v>45963.645833333336</v>
      </c>
      <c r="G154" s="12">
        <v>0.11388888888905058</v>
      </c>
      <c r="H154" s="2" t="s">
        <v>248</v>
      </c>
      <c r="J154" s="2" t="s">
        <v>249</v>
      </c>
      <c r="K154" s="2" t="s">
        <v>349</v>
      </c>
      <c r="L154" s="2" t="s">
        <v>971</v>
      </c>
      <c r="M154" t="s">
        <v>251</v>
      </c>
      <c r="N154" t="s">
        <v>330</v>
      </c>
      <c r="O154" t="s">
        <v>331</v>
      </c>
      <c r="P154" t="s">
        <v>1129</v>
      </c>
      <c r="Q154" t="s">
        <v>966</v>
      </c>
    </row>
    <row r="155" spans="1:17">
      <c r="A155" s="2" t="s">
        <v>1126</v>
      </c>
      <c r="B155" s="2" t="s">
        <v>493</v>
      </c>
      <c r="C155" s="2" t="s">
        <v>499</v>
      </c>
      <c r="D155" s="11">
        <v>45963.531944444447</v>
      </c>
      <c r="E155" s="11">
        <v>45963.531944444447</v>
      </c>
      <c r="F155" s="11">
        <v>45963.645833333336</v>
      </c>
      <c r="G155" s="12">
        <v>0.11388888888905058</v>
      </c>
      <c r="H155" s="2" t="s">
        <v>248</v>
      </c>
      <c r="J155" s="2" t="s">
        <v>249</v>
      </c>
      <c r="K155" s="2" t="s">
        <v>349</v>
      </c>
      <c r="L155" s="2" t="s">
        <v>971</v>
      </c>
      <c r="M155" t="s">
        <v>251</v>
      </c>
      <c r="N155" t="s">
        <v>330</v>
      </c>
      <c r="O155" t="s">
        <v>331</v>
      </c>
      <c r="P155" t="s">
        <v>1130</v>
      </c>
      <c r="Q155" t="s">
        <v>966</v>
      </c>
    </row>
    <row r="156" spans="1:17">
      <c r="A156" s="2" t="s">
        <v>869</v>
      </c>
      <c r="B156" s="2" t="s">
        <v>746</v>
      </c>
      <c r="C156" s="2" t="s">
        <v>747</v>
      </c>
      <c r="D156" s="11">
        <v>45963.531944444447</v>
      </c>
      <c r="E156" s="11">
        <v>45963.531944444447</v>
      </c>
      <c r="F156" s="11">
        <v>45963.645833333336</v>
      </c>
      <c r="G156" s="12">
        <v>0.11388888888905058</v>
      </c>
      <c r="H156" s="2" t="s">
        <v>248</v>
      </c>
      <c r="J156" s="2" t="s">
        <v>249</v>
      </c>
      <c r="K156" s="2" t="s">
        <v>349</v>
      </c>
      <c r="L156" s="2" t="s">
        <v>971</v>
      </c>
      <c r="M156" t="s">
        <v>251</v>
      </c>
      <c r="N156" t="s">
        <v>330</v>
      </c>
      <c r="O156" t="s">
        <v>331</v>
      </c>
      <c r="P156" t="s">
        <v>1131</v>
      </c>
      <c r="Q156" t="s">
        <v>966</v>
      </c>
    </row>
    <row r="157" spans="1:17">
      <c r="A157" s="2" t="s">
        <v>869</v>
      </c>
      <c r="B157" s="2" t="s">
        <v>746</v>
      </c>
      <c r="C157" s="2" t="s">
        <v>748</v>
      </c>
      <c r="D157" s="11">
        <v>45963.531944444447</v>
      </c>
      <c r="E157" s="11">
        <v>45963.531944444447</v>
      </c>
      <c r="F157" s="11">
        <v>45963.645833333336</v>
      </c>
      <c r="G157" s="12">
        <v>0.11388888888905058</v>
      </c>
      <c r="H157" s="2" t="s">
        <v>248</v>
      </c>
      <c r="J157" s="2" t="s">
        <v>249</v>
      </c>
      <c r="K157" s="2" t="s">
        <v>349</v>
      </c>
      <c r="L157" s="2" t="s">
        <v>971</v>
      </c>
      <c r="M157" t="s">
        <v>251</v>
      </c>
      <c r="N157" t="s">
        <v>330</v>
      </c>
      <c r="O157" t="s">
        <v>331</v>
      </c>
      <c r="P157" t="s">
        <v>1132</v>
      </c>
      <c r="Q157" t="s">
        <v>966</v>
      </c>
    </row>
    <row r="158" spans="1:17">
      <c r="A158" s="2" t="s">
        <v>869</v>
      </c>
      <c r="B158" s="2" t="s">
        <v>746</v>
      </c>
      <c r="C158" s="2" t="s">
        <v>749</v>
      </c>
      <c r="D158" s="11">
        <v>45963.531944444447</v>
      </c>
      <c r="E158" s="11">
        <v>45963.531944444447</v>
      </c>
      <c r="F158" s="11">
        <v>45963.645833333336</v>
      </c>
      <c r="G158" s="12">
        <v>0.11388888888905058</v>
      </c>
      <c r="H158" s="2" t="s">
        <v>248</v>
      </c>
      <c r="J158" s="2" t="s">
        <v>249</v>
      </c>
      <c r="K158" s="2" t="s">
        <v>349</v>
      </c>
      <c r="L158" s="2" t="s">
        <v>971</v>
      </c>
      <c r="M158" t="s">
        <v>251</v>
      </c>
      <c r="N158" t="s">
        <v>330</v>
      </c>
      <c r="O158" t="s">
        <v>331</v>
      </c>
      <c r="P158" t="s">
        <v>1133</v>
      </c>
      <c r="Q158" t="s">
        <v>966</v>
      </c>
    </row>
    <row r="159" spans="1:17">
      <c r="A159" s="2" t="s">
        <v>869</v>
      </c>
      <c r="B159" s="2" t="s">
        <v>746</v>
      </c>
      <c r="C159" s="2" t="s">
        <v>750</v>
      </c>
      <c r="D159" s="11">
        <v>45963.531944444447</v>
      </c>
      <c r="E159" s="11">
        <v>45963.531944444447</v>
      </c>
      <c r="F159" s="11">
        <v>45963.645833333336</v>
      </c>
      <c r="G159" s="12">
        <v>0.11388888888905058</v>
      </c>
      <c r="H159" s="2" t="s">
        <v>248</v>
      </c>
      <c r="J159" s="2" t="s">
        <v>249</v>
      </c>
      <c r="K159" s="2" t="s">
        <v>349</v>
      </c>
      <c r="L159" s="2" t="s">
        <v>971</v>
      </c>
      <c r="M159" t="s">
        <v>251</v>
      </c>
      <c r="N159" t="s">
        <v>330</v>
      </c>
      <c r="O159" t="s">
        <v>331</v>
      </c>
      <c r="P159" t="s">
        <v>1134</v>
      </c>
      <c r="Q159" t="s">
        <v>966</v>
      </c>
    </row>
    <row r="160" spans="1:17">
      <c r="A160" s="2" t="s">
        <v>869</v>
      </c>
      <c r="B160" s="2" t="s">
        <v>746</v>
      </c>
      <c r="C160" s="2" t="s">
        <v>751</v>
      </c>
      <c r="D160" s="11">
        <v>45963.531944444447</v>
      </c>
      <c r="E160" s="11">
        <v>45963.531944444447</v>
      </c>
      <c r="F160" s="11">
        <v>45963.645833333336</v>
      </c>
      <c r="G160" s="12">
        <v>0.11388888888905058</v>
      </c>
      <c r="H160" s="2" t="s">
        <v>248</v>
      </c>
      <c r="J160" s="2" t="s">
        <v>249</v>
      </c>
      <c r="K160" s="2" t="s">
        <v>349</v>
      </c>
      <c r="L160" s="2" t="s">
        <v>971</v>
      </c>
      <c r="M160" t="s">
        <v>251</v>
      </c>
      <c r="N160" t="s">
        <v>330</v>
      </c>
      <c r="O160" t="s">
        <v>331</v>
      </c>
      <c r="P160" t="s">
        <v>1135</v>
      </c>
      <c r="Q160" t="s">
        <v>966</v>
      </c>
    </row>
    <row r="161" spans="1:17">
      <c r="A161" s="2" t="s">
        <v>869</v>
      </c>
      <c r="B161" s="2" t="s">
        <v>746</v>
      </c>
      <c r="C161" s="2" t="s">
        <v>752</v>
      </c>
      <c r="D161" s="11">
        <v>45963.531944444447</v>
      </c>
      <c r="E161" s="11">
        <v>45963.531944444447</v>
      </c>
      <c r="F161" s="11">
        <v>45963.645833333336</v>
      </c>
      <c r="G161" s="12">
        <v>0.11388888888905058</v>
      </c>
      <c r="H161" s="2" t="s">
        <v>248</v>
      </c>
      <c r="J161" s="2" t="s">
        <v>249</v>
      </c>
      <c r="K161" s="2" t="s">
        <v>349</v>
      </c>
      <c r="L161" s="2" t="s">
        <v>971</v>
      </c>
      <c r="M161" t="s">
        <v>251</v>
      </c>
      <c r="N161" t="s">
        <v>330</v>
      </c>
      <c r="O161" t="s">
        <v>331</v>
      </c>
      <c r="P161" t="s">
        <v>1136</v>
      </c>
      <c r="Q161" t="s">
        <v>966</v>
      </c>
    </row>
    <row r="162" spans="1:17">
      <c r="A162" s="2" t="s">
        <v>869</v>
      </c>
      <c r="B162" s="2" t="s">
        <v>746</v>
      </c>
      <c r="C162" s="2" t="s">
        <v>753</v>
      </c>
      <c r="D162" s="11">
        <v>45963.531944444447</v>
      </c>
      <c r="E162" s="11">
        <v>45963.531944444447</v>
      </c>
      <c r="F162" s="11">
        <v>45963.645833333336</v>
      </c>
      <c r="G162" s="12">
        <v>0.11388888888905058</v>
      </c>
      <c r="H162" s="2" t="s">
        <v>248</v>
      </c>
      <c r="J162" s="2" t="s">
        <v>249</v>
      </c>
      <c r="K162" s="2" t="s">
        <v>349</v>
      </c>
      <c r="L162" s="2" t="s">
        <v>971</v>
      </c>
      <c r="M162" t="s">
        <v>251</v>
      </c>
      <c r="N162" t="s">
        <v>330</v>
      </c>
      <c r="O162" t="s">
        <v>331</v>
      </c>
      <c r="P162" t="s">
        <v>1137</v>
      </c>
      <c r="Q162" t="s">
        <v>966</v>
      </c>
    </row>
    <row r="163" spans="1:17">
      <c r="A163" s="2" t="s">
        <v>869</v>
      </c>
      <c r="B163" s="2" t="s">
        <v>746</v>
      </c>
      <c r="C163" s="2" t="s">
        <v>754</v>
      </c>
      <c r="D163" s="11">
        <v>45963.531944444447</v>
      </c>
      <c r="E163" s="11">
        <v>45963.531944444447</v>
      </c>
      <c r="F163" s="11">
        <v>45963.645833333336</v>
      </c>
      <c r="G163" s="12">
        <v>0.11388888888905058</v>
      </c>
      <c r="H163" s="2" t="s">
        <v>248</v>
      </c>
      <c r="J163" s="2" t="s">
        <v>249</v>
      </c>
      <c r="K163" s="2" t="s">
        <v>349</v>
      </c>
      <c r="L163" s="2" t="s">
        <v>971</v>
      </c>
      <c r="M163" t="s">
        <v>251</v>
      </c>
      <c r="N163" t="s">
        <v>330</v>
      </c>
      <c r="O163" t="s">
        <v>331</v>
      </c>
      <c r="P163" t="s">
        <v>1138</v>
      </c>
      <c r="Q163" t="s">
        <v>966</v>
      </c>
    </row>
    <row r="164" spans="1:17">
      <c r="A164" s="2" t="s">
        <v>869</v>
      </c>
      <c r="B164" s="2" t="s">
        <v>746</v>
      </c>
      <c r="C164" s="2" t="s">
        <v>755</v>
      </c>
      <c r="D164" s="11">
        <v>45963.531944444447</v>
      </c>
      <c r="E164" s="11">
        <v>45963.531944444447</v>
      </c>
      <c r="F164" s="11">
        <v>45963.645833333336</v>
      </c>
      <c r="G164" s="12">
        <v>0.11388888888905058</v>
      </c>
      <c r="H164" s="2" t="s">
        <v>248</v>
      </c>
      <c r="J164" s="2" t="s">
        <v>249</v>
      </c>
      <c r="K164" s="2" t="s">
        <v>349</v>
      </c>
      <c r="L164" s="2" t="s">
        <v>971</v>
      </c>
      <c r="M164" t="s">
        <v>251</v>
      </c>
      <c r="N164" t="s">
        <v>330</v>
      </c>
      <c r="O164" t="s">
        <v>331</v>
      </c>
      <c r="P164" t="s">
        <v>1139</v>
      </c>
      <c r="Q164" t="s">
        <v>966</v>
      </c>
    </row>
    <row r="165" spans="1:17">
      <c r="A165" s="2" t="s">
        <v>869</v>
      </c>
      <c r="B165" s="2" t="s">
        <v>746</v>
      </c>
      <c r="C165" s="2" t="s">
        <v>756</v>
      </c>
      <c r="D165" s="11">
        <v>45963.531944444447</v>
      </c>
      <c r="E165" s="11">
        <v>45963.531944444447</v>
      </c>
      <c r="F165" s="11">
        <v>45963.645833333336</v>
      </c>
      <c r="G165" s="12">
        <v>0.11388888888905058</v>
      </c>
      <c r="H165" s="2" t="s">
        <v>248</v>
      </c>
      <c r="J165" s="2" t="s">
        <v>249</v>
      </c>
      <c r="K165" s="2" t="s">
        <v>349</v>
      </c>
      <c r="L165" s="2" t="s">
        <v>971</v>
      </c>
      <c r="M165" t="s">
        <v>251</v>
      </c>
      <c r="N165" t="s">
        <v>330</v>
      </c>
      <c r="O165" t="s">
        <v>331</v>
      </c>
      <c r="P165" t="s">
        <v>1140</v>
      </c>
      <c r="Q165" t="s">
        <v>966</v>
      </c>
    </row>
    <row r="166" spans="1:17">
      <c r="A166" s="2" t="s">
        <v>869</v>
      </c>
      <c r="B166" s="2" t="s">
        <v>746</v>
      </c>
      <c r="C166" s="2" t="s">
        <v>757</v>
      </c>
      <c r="D166" s="11">
        <v>45963.531944444447</v>
      </c>
      <c r="E166" s="11">
        <v>45963.531944444447</v>
      </c>
      <c r="F166" s="11">
        <v>45963.645833333336</v>
      </c>
      <c r="G166" s="12">
        <v>0.11388888888905058</v>
      </c>
      <c r="H166" s="2" t="s">
        <v>248</v>
      </c>
      <c r="J166" s="2" t="s">
        <v>249</v>
      </c>
      <c r="K166" s="2" t="s">
        <v>349</v>
      </c>
      <c r="L166" s="2" t="s">
        <v>971</v>
      </c>
      <c r="M166" t="s">
        <v>251</v>
      </c>
      <c r="N166" t="s">
        <v>330</v>
      </c>
      <c r="O166" t="s">
        <v>331</v>
      </c>
      <c r="P166" t="s">
        <v>1141</v>
      </c>
      <c r="Q166" t="s">
        <v>966</v>
      </c>
    </row>
    <row r="167" spans="1:17">
      <c r="A167" s="2" t="s">
        <v>869</v>
      </c>
      <c r="B167" s="2" t="s">
        <v>746</v>
      </c>
      <c r="C167" s="2" t="s">
        <v>758</v>
      </c>
      <c r="D167" s="11">
        <v>45963.531944444447</v>
      </c>
      <c r="E167" s="11">
        <v>45963.531944444447</v>
      </c>
      <c r="F167" s="11">
        <v>45963.645833333336</v>
      </c>
      <c r="G167" s="12">
        <v>0.11388888888905058</v>
      </c>
      <c r="H167" s="2" t="s">
        <v>248</v>
      </c>
      <c r="J167" s="2" t="s">
        <v>249</v>
      </c>
      <c r="K167" s="2" t="s">
        <v>349</v>
      </c>
      <c r="L167" s="2" t="s">
        <v>971</v>
      </c>
      <c r="M167" t="s">
        <v>251</v>
      </c>
      <c r="N167" t="s">
        <v>330</v>
      </c>
      <c r="O167" t="s">
        <v>331</v>
      </c>
      <c r="P167" t="s">
        <v>1142</v>
      </c>
      <c r="Q167" t="s">
        <v>966</v>
      </c>
    </row>
    <row r="168" spans="1:17">
      <c r="A168" s="2" t="s">
        <v>869</v>
      </c>
      <c r="B168" s="2" t="s">
        <v>746</v>
      </c>
      <c r="C168" s="2" t="s">
        <v>759</v>
      </c>
      <c r="D168" s="11">
        <v>45963.531944444447</v>
      </c>
      <c r="E168" s="11">
        <v>45963.531944444447</v>
      </c>
      <c r="F168" s="11">
        <v>45963.645833333336</v>
      </c>
      <c r="G168" s="12">
        <v>0.11388888888905058</v>
      </c>
      <c r="H168" s="2" t="s">
        <v>248</v>
      </c>
      <c r="J168" s="2" t="s">
        <v>249</v>
      </c>
      <c r="K168" s="2" t="s">
        <v>349</v>
      </c>
      <c r="L168" s="2" t="s">
        <v>971</v>
      </c>
      <c r="M168" t="s">
        <v>251</v>
      </c>
      <c r="N168" t="s">
        <v>330</v>
      </c>
      <c r="O168" t="s">
        <v>331</v>
      </c>
      <c r="P168" t="s">
        <v>1143</v>
      </c>
      <c r="Q168" t="s">
        <v>966</v>
      </c>
    </row>
    <row r="169" spans="1:17">
      <c r="A169" s="2" t="s">
        <v>869</v>
      </c>
      <c r="B169" s="2" t="s">
        <v>746</v>
      </c>
      <c r="C169" s="2" t="s">
        <v>760</v>
      </c>
      <c r="D169" s="11">
        <v>45963.531944444447</v>
      </c>
      <c r="E169" s="11">
        <v>45963.531944444447</v>
      </c>
      <c r="F169" s="11">
        <v>45963.645833333336</v>
      </c>
      <c r="G169" s="12">
        <v>0.11388888888905058</v>
      </c>
      <c r="H169" s="2" t="s">
        <v>248</v>
      </c>
      <c r="J169" s="2" t="s">
        <v>249</v>
      </c>
      <c r="K169" s="2" t="s">
        <v>349</v>
      </c>
      <c r="L169" s="2" t="s">
        <v>971</v>
      </c>
      <c r="M169" t="s">
        <v>251</v>
      </c>
      <c r="N169" t="s">
        <v>330</v>
      </c>
      <c r="O169" t="s">
        <v>331</v>
      </c>
      <c r="P169" t="s">
        <v>1144</v>
      </c>
      <c r="Q169" t="s">
        <v>966</v>
      </c>
    </row>
    <row r="170" spans="1:17">
      <c r="A170" s="2" t="s">
        <v>869</v>
      </c>
      <c r="B170" s="2" t="s">
        <v>746</v>
      </c>
      <c r="C170" s="2" t="s">
        <v>761</v>
      </c>
      <c r="D170" s="11">
        <v>45963.531944444447</v>
      </c>
      <c r="E170" s="11">
        <v>45963.531944444447</v>
      </c>
      <c r="F170" s="11">
        <v>45963.645833333336</v>
      </c>
      <c r="G170" s="12">
        <v>0.11388888888905058</v>
      </c>
      <c r="H170" s="2" t="s">
        <v>248</v>
      </c>
      <c r="J170" s="2" t="s">
        <v>249</v>
      </c>
      <c r="K170" s="2" t="s">
        <v>349</v>
      </c>
      <c r="L170" s="2" t="s">
        <v>971</v>
      </c>
      <c r="M170" t="s">
        <v>251</v>
      </c>
      <c r="N170" t="s">
        <v>330</v>
      </c>
      <c r="O170" t="s">
        <v>331</v>
      </c>
      <c r="P170" t="s">
        <v>1145</v>
      </c>
      <c r="Q170" t="s">
        <v>966</v>
      </c>
    </row>
    <row r="171" spans="1:17">
      <c r="A171" s="2" t="s">
        <v>869</v>
      </c>
      <c r="B171" s="2" t="s">
        <v>746</v>
      </c>
      <c r="C171" s="2" t="s">
        <v>762</v>
      </c>
      <c r="D171" s="11">
        <v>45963.531944444447</v>
      </c>
      <c r="E171" s="11">
        <v>45963.531944444447</v>
      </c>
      <c r="F171" s="11">
        <v>45963.645833333336</v>
      </c>
      <c r="G171" s="12">
        <v>0.11388888888905058</v>
      </c>
      <c r="H171" s="2" t="s">
        <v>248</v>
      </c>
      <c r="J171" s="2" t="s">
        <v>249</v>
      </c>
      <c r="K171" s="2" t="s">
        <v>349</v>
      </c>
      <c r="L171" s="2" t="s">
        <v>971</v>
      </c>
      <c r="M171" t="s">
        <v>251</v>
      </c>
      <c r="N171" t="s">
        <v>330</v>
      </c>
      <c r="O171" t="s">
        <v>331</v>
      </c>
      <c r="P171" t="s">
        <v>1146</v>
      </c>
      <c r="Q171" t="s">
        <v>966</v>
      </c>
    </row>
    <row r="172" spans="1:17">
      <c r="A172" s="2" t="s">
        <v>869</v>
      </c>
      <c r="B172" s="2" t="s">
        <v>746</v>
      </c>
      <c r="C172" s="2" t="s">
        <v>763</v>
      </c>
      <c r="D172" s="11">
        <v>45963.531944444447</v>
      </c>
      <c r="E172" s="11">
        <v>45963.531944444447</v>
      </c>
      <c r="F172" s="11">
        <v>45963.645833333336</v>
      </c>
      <c r="G172" s="12">
        <v>0.11388888888905058</v>
      </c>
      <c r="H172" s="2" t="s">
        <v>248</v>
      </c>
      <c r="J172" s="2" t="s">
        <v>249</v>
      </c>
      <c r="K172" s="2" t="s">
        <v>349</v>
      </c>
      <c r="L172" s="2" t="s">
        <v>971</v>
      </c>
      <c r="M172" t="s">
        <v>251</v>
      </c>
      <c r="N172" t="s">
        <v>330</v>
      </c>
      <c r="O172" t="s">
        <v>331</v>
      </c>
      <c r="P172" t="s">
        <v>1147</v>
      </c>
      <c r="Q172" t="s">
        <v>966</v>
      </c>
    </row>
    <row r="173" spans="1:17">
      <c r="A173" s="2" t="s">
        <v>909</v>
      </c>
      <c r="B173" s="2" t="s">
        <v>678</v>
      </c>
      <c r="C173" s="2" t="s">
        <v>679</v>
      </c>
      <c r="D173" s="11">
        <v>45964.229166666664</v>
      </c>
      <c r="E173" s="11">
        <v>45964.229166666664</v>
      </c>
      <c r="F173" s="11">
        <v>45965.625</v>
      </c>
      <c r="G173" s="12">
        <v>1.3958333333357587</v>
      </c>
      <c r="H173" s="2" t="s">
        <v>248</v>
      </c>
      <c r="J173" s="2" t="s">
        <v>249</v>
      </c>
      <c r="K173" s="2" t="s">
        <v>349</v>
      </c>
      <c r="L173" s="2" t="s">
        <v>1148</v>
      </c>
      <c r="M173" t="s">
        <v>251</v>
      </c>
      <c r="N173" t="s">
        <v>330</v>
      </c>
      <c r="O173" t="s">
        <v>1149</v>
      </c>
      <c r="P173" t="s">
        <v>1150</v>
      </c>
      <c r="Q173" t="s">
        <v>966</v>
      </c>
    </row>
    <row r="174" spans="1:17">
      <c r="A174" s="2" t="s">
        <v>909</v>
      </c>
      <c r="B174" s="2" t="s">
        <v>678</v>
      </c>
      <c r="C174" s="2" t="s">
        <v>682</v>
      </c>
      <c r="D174" s="11">
        <v>45964.229166666664</v>
      </c>
      <c r="E174" s="11">
        <v>45964.229166666664</v>
      </c>
      <c r="F174" s="11">
        <v>45965.625</v>
      </c>
      <c r="G174" s="12">
        <v>1.3958333333357587</v>
      </c>
      <c r="H174" s="2" t="s">
        <v>248</v>
      </c>
      <c r="J174" s="2" t="s">
        <v>249</v>
      </c>
      <c r="K174" s="2" t="s">
        <v>349</v>
      </c>
      <c r="L174" s="2" t="s">
        <v>1148</v>
      </c>
      <c r="M174" t="s">
        <v>251</v>
      </c>
      <c r="N174" t="s">
        <v>330</v>
      </c>
      <c r="O174" t="s">
        <v>1149</v>
      </c>
      <c r="P174" t="s">
        <v>1151</v>
      </c>
      <c r="Q174" t="s">
        <v>966</v>
      </c>
    </row>
    <row r="175" spans="1:17">
      <c r="A175" s="2" t="s">
        <v>909</v>
      </c>
      <c r="B175" s="2" t="s">
        <v>678</v>
      </c>
      <c r="C175" s="2" t="s">
        <v>683</v>
      </c>
      <c r="D175" s="11">
        <v>45964.229166666664</v>
      </c>
      <c r="E175" s="11">
        <v>45964.229166666664</v>
      </c>
      <c r="F175" s="11">
        <v>45965.625</v>
      </c>
      <c r="G175" s="12">
        <v>1.3958333333357587</v>
      </c>
      <c r="H175" s="2" t="s">
        <v>248</v>
      </c>
      <c r="J175" s="2" t="s">
        <v>249</v>
      </c>
      <c r="K175" s="2" t="s">
        <v>349</v>
      </c>
      <c r="L175" s="2" t="s">
        <v>1148</v>
      </c>
      <c r="M175" t="s">
        <v>251</v>
      </c>
      <c r="N175" t="s">
        <v>330</v>
      </c>
      <c r="O175" t="s">
        <v>1149</v>
      </c>
      <c r="P175" t="s">
        <v>1152</v>
      </c>
      <c r="Q175" t="s">
        <v>966</v>
      </c>
    </row>
    <row r="176" spans="1:17">
      <c r="A176" s="2" t="s">
        <v>909</v>
      </c>
      <c r="B176" s="2" t="s">
        <v>678</v>
      </c>
      <c r="C176" s="2" t="s">
        <v>684</v>
      </c>
      <c r="D176" s="11">
        <v>45964.229166666664</v>
      </c>
      <c r="E176" s="11">
        <v>45964.229166666664</v>
      </c>
      <c r="F176" s="11">
        <v>45965.625</v>
      </c>
      <c r="G176" s="12">
        <v>1.3958333333357587</v>
      </c>
      <c r="H176" s="2" t="s">
        <v>248</v>
      </c>
      <c r="J176" s="2" t="s">
        <v>249</v>
      </c>
      <c r="K176" s="2" t="s">
        <v>349</v>
      </c>
      <c r="L176" s="2" t="s">
        <v>1148</v>
      </c>
      <c r="M176" t="s">
        <v>251</v>
      </c>
      <c r="N176" t="s">
        <v>330</v>
      </c>
      <c r="O176" t="s">
        <v>1149</v>
      </c>
      <c r="P176" t="s">
        <v>1153</v>
      </c>
      <c r="Q176" t="s">
        <v>966</v>
      </c>
    </row>
    <row r="177" spans="1:17">
      <c r="A177" s="2" t="s">
        <v>909</v>
      </c>
      <c r="B177" s="2" t="s">
        <v>678</v>
      </c>
      <c r="C177" s="2" t="s">
        <v>685</v>
      </c>
      <c r="D177" s="11">
        <v>45964.229166666664</v>
      </c>
      <c r="E177" s="11">
        <v>45964.229166666664</v>
      </c>
      <c r="F177" s="11">
        <v>45965.625</v>
      </c>
      <c r="G177" s="12">
        <v>1.3958333333357587</v>
      </c>
      <c r="H177" s="2" t="s">
        <v>248</v>
      </c>
      <c r="J177" s="2" t="s">
        <v>249</v>
      </c>
      <c r="K177" s="2" t="s">
        <v>349</v>
      </c>
      <c r="L177" s="2" t="s">
        <v>1148</v>
      </c>
      <c r="M177" t="s">
        <v>251</v>
      </c>
      <c r="N177" t="s">
        <v>330</v>
      </c>
      <c r="O177" t="s">
        <v>1149</v>
      </c>
      <c r="P177" t="s">
        <v>1154</v>
      </c>
      <c r="Q177" t="s">
        <v>966</v>
      </c>
    </row>
    <row r="178" spans="1:17">
      <c r="A178" s="2" t="s">
        <v>909</v>
      </c>
      <c r="B178" s="2" t="s">
        <v>678</v>
      </c>
      <c r="C178" s="2" t="s">
        <v>686</v>
      </c>
      <c r="D178" s="11">
        <v>45964.229166666664</v>
      </c>
      <c r="E178" s="11">
        <v>45964.229166666664</v>
      </c>
      <c r="F178" s="11">
        <v>45965.625</v>
      </c>
      <c r="G178" s="12">
        <v>1.3958333333357587</v>
      </c>
      <c r="H178" s="2" t="s">
        <v>248</v>
      </c>
      <c r="J178" s="2" t="s">
        <v>249</v>
      </c>
      <c r="K178" s="2" t="s">
        <v>349</v>
      </c>
      <c r="L178" s="2" t="s">
        <v>1148</v>
      </c>
      <c r="M178" t="s">
        <v>251</v>
      </c>
      <c r="N178" t="s">
        <v>330</v>
      </c>
      <c r="O178" t="s">
        <v>1149</v>
      </c>
      <c r="P178" t="s">
        <v>1155</v>
      </c>
      <c r="Q178" t="s">
        <v>966</v>
      </c>
    </row>
    <row r="179" spans="1:17">
      <c r="A179" s="2" t="s">
        <v>909</v>
      </c>
      <c r="B179" s="2" t="s">
        <v>678</v>
      </c>
      <c r="C179" s="2" t="s">
        <v>687</v>
      </c>
      <c r="D179" s="11">
        <v>45964.229166666664</v>
      </c>
      <c r="E179" s="11">
        <v>45964.229166666664</v>
      </c>
      <c r="F179" s="11">
        <v>45965.625</v>
      </c>
      <c r="G179" s="12">
        <v>1.3958333333357587</v>
      </c>
      <c r="H179" s="2" t="s">
        <v>248</v>
      </c>
      <c r="J179" s="2" t="s">
        <v>249</v>
      </c>
      <c r="K179" s="2" t="s">
        <v>349</v>
      </c>
      <c r="L179" s="2" t="s">
        <v>1148</v>
      </c>
      <c r="M179" t="s">
        <v>251</v>
      </c>
      <c r="N179" t="s">
        <v>330</v>
      </c>
      <c r="O179" t="s">
        <v>1149</v>
      </c>
      <c r="P179" t="s">
        <v>1156</v>
      </c>
      <c r="Q179" t="s">
        <v>966</v>
      </c>
    </row>
    <row r="180" spans="1:17">
      <c r="A180" s="2" t="s">
        <v>909</v>
      </c>
      <c r="B180" s="2" t="s">
        <v>678</v>
      </c>
      <c r="C180" s="2" t="s">
        <v>688</v>
      </c>
      <c r="D180" s="11">
        <v>45964.229166666664</v>
      </c>
      <c r="E180" s="11">
        <v>45964.229166666664</v>
      </c>
      <c r="F180" s="11">
        <v>45965.625</v>
      </c>
      <c r="G180" s="12">
        <v>1.3958333333357587</v>
      </c>
      <c r="H180" s="2" t="s">
        <v>248</v>
      </c>
      <c r="J180" s="2" t="s">
        <v>249</v>
      </c>
      <c r="K180" s="2" t="s">
        <v>349</v>
      </c>
      <c r="L180" s="2" t="s">
        <v>1148</v>
      </c>
      <c r="M180" t="s">
        <v>251</v>
      </c>
      <c r="N180" t="s">
        <v>330</v>
      </c>
      <c r="O180" t="s">
        <v>1149</v>
      </c>
      <c r="P180" t="s">
        <v>1157</v>
      </c>
      <c r="Q180" t="s">
        <v>966</v>
      </c>
    </row>
    <row r="181" spans="1:17">
      <c r="A181" s="2" t="s">
        <v>909</v>
      </c>
      <c r="B181" s="2" t="s">
        <v>678</v>
      </c>
      <c r="C181" s="2" t="s">
        <v>689</v>
      </c>
      <c r="D181" s="11">
        <v>45964.229166666664</v>
      </c>
      <c r="E181" s="11">
        <v>45964.229166666664</v>
      </c>
      <c r="F181" s="11">
        <v>45965.625</v>
      </c>
      <c r="G181" s="12">
        <v>1.3958333333357587</v>
      </c>
      <c r="H181" s="2" t="s">
        <v>248</v>
      </c>
      <c r="J181" s="2" t="s">
        <v>249</v>
      </c>
      <c r="K181" s="2" t="s">
        <v>349</v>
      </c>
      <c r="L181" s="2" t="s">
        <v>1148</v>
      </c>
      <c r="M181" t="s">
        <v>251</v>
      </c>
      <c r="N181" t="s">
        <v>330</v>
      </c>
      <c r="O181" t="s">
        <v>1149</v>
      </c>
      <c r="P181" t="s">
        <v>1158</v>
      </c>
      <c r="Q181" t="s">
        <v>966</v>
      </c>
    </row>
    <row r="182" spans="1:17">
      <c r="A182" s="2" t="s">
        <v>909</v>
      </c>
      <c r="B182" s="2" t="s">
        <v>678</v>
      </c>
      <c r="C182" s="2" t="s">
        <v>690</v>
      </c>
      <c r="D182" s="11">
        <v>45964.229166666664</v>
      </c>
      <c r="E182" s="11">
        <v>45964.229166666664</v>
      </c>
      <c r="F182" s="11">
        <v>45965.625</v>
      </c>
      <c r="G182" s="12">
        <v>1.3958333333357587</v>
      </c>
      <c r="H182" s="2" t="s">
        <v>248</v>
      </c>
      <c r="J182" s="2" t="s">
        <v>249</v>
      </c>
      <c r="K182" s="2" t="s">
        <v>349</v>
      </c>
      <c r="L182" s="2" t="s">
        <v>1148</v>
      </c>
      <c r="M182" t="s">
        <v>251</v>
      </c>
      <c r="N182" t="s">
        <v>330</v>
      </c>
      <c r="O182" t="s">
        <v>1149</v>
      </c>
      <c r="P182" t="s">
        <v>1159</v>
      </c>
      <c r="Q182" t="s">
        <v>966</v>
      </c>
    </row>
    <row r="183" spans="1:17">
      <c r="A183" s="2" t="s">
        <v>909</v>
      </c>
      <c r="B183" s="2" t="s">
        <v>678</v>
      </c>
      <c r="C183" s="2" t="s">
        <v>691</v>
      </c>
      <c r="D183" s="11">
        <v>45964.229166666664</v>
      </c>
      <c r="E183" s="11">
        <v>45964.229166666664</v>
      </c>
      <c r="F183" s="11">
        <v>45965.625</v>
      </c>
      <c r="G183" s="12">
        <v>1.3958333333357587</v>
      </c>
      <c r="H183" s="2" t="s">
        <v>248</v>
      </c>
      <c r="J183" s="2" t="s">
        <v>249</v>
      </c>
      <c r="K183" s="2" t="s">
        <v>349</v>
      </c>
      <c r="L183" s="2" t="s">
        <v>1148</v>
      </c>
      <c r="M183" t="s">
        <v>251</v>
      </c>
      <c r="N183" t="s">
        <v>330</v>
      </c>
      <c r="O183" t="s">
        <v>1149</v>
      </c>
      <c r="P183" t="s">
        <v>1160</v>
      </c>
      <c r="Q183" t="s">
        <v>966</v>
      </c>
    </row>
    <row r="184" spans="1:17">
      <c r="A184" s="2" t="s">
        <v>909</v>
      </c>
      <c r="B184" s="2" t="s">
        <v>678</v>
      </c>
      <c r="C184" s="2" t="s">
        <v>654</v>
      </c>
      <c r="D184" s="11">
        <v>45964.229166666664</v>
      </c>
      <c r="E184" s="11">
        <v>45964.229166666664</v>
      </c>
      <c r="F184" s="11">
        <v>45965.625</v>
      </c>
      <c r="G184" s="12">
        <v>1.3958333333357587</v>
      </c>
      <c r="H184" s="2" t="s">
        <v>248</v>
      </c>
      <c r="J184" s="2" t="s">
        <v>249</v>
      </c>
      <c r="K184" s="2" t="s">
        <v>349</v>
      </c>
      <c r="L184" s="2" t="s">
        <v>1148</v>
      </c>
      <c r="M184" t="s">
        <v>251</v>
      </c>
      <c r="N184" t="s">
        <v>330</v>
      </c>
      <c r="O184" t="s">
        <v>1149</v>
      </c>
      <c r="P184" t="s">
        <v>1161</v>
      </c>
      <c r="Q184" t="s">
        <v>966</v>
      </c>
    </row>
    <row r="185" spans="1:17">
      <c r="A185" s="2" t="s">
        <v>909</v>
      </c>
      <c r="B185" s="2" t="s">
        <v>678</v>
      </c>
      <c r="C185" s="2" t="s">
        <v>557</v>
      </c>
      <c r="D185" s="11">
        <v>45964.229166666664</v>
      </c>
      <c r="E185" s="11">
        <v>45964.229166666664</v>
      </c>
      <c r="F185" s="11">
        <v>45965.625</v>
      </c>
      <c r="G185" s="12">
        <v>1.3958333333357587</v>
      </c>
      <c r="H185" s="2" t="s">
        <v>248</v>
      </c>
      <c r="J185" s="2" t="s">
        <v>249</v>
      </c>
      <c r="K185" s="2" t="s">
        <v>349</v>
      </c>
      <c r="L185" s="2" t="s">
        <v>1148</v>
      </c>
      <c r="M185" t="s">
        <v>251</v>
      </c>
      <c r="N185" t="s">
        <v>330</v>
      </c>
      <c r="O185" t="s">
        <v>1149</v>
      </c>
      <c r="P185" t="s">
        <v>1162</v>
      </c>
      <c r="Q185" t="s">
        <v>966</v>
      </c>
    </row>
    <row r="186" spans="1:17">
      <c r="A186" s="2" t="s">
        <v>909</v>
      </c>
      <c r="B186" s="2" t="s">
        <v>678</v>
      </c>
      <c r="C186" s="2" t="s">
        <v>692</v>
      </c>
      <c r="D186" s="11">
        <v>45964.229166666664</v>
      </c>
      <c r="E186" s="11">
        <v>45964.229166666664</v>
      </c>
      <c r="F186" s="11">
        <v>45965.625</v>
      </c>
      <c r="G186" s="12">
        <v>1.3958333333357587</v>
      </c>
      <c r="H186" s="2" t="s">
        <v>248</v>
      </c>
      <c r="J186" s="2" t="s">
        <v>249</v>
      </c>
      <c r="K186" s="2" t="s">
        <v>349</v>
      </c>
      <c r="L186" s="2" t="s">
        <v>1148</v>
      </c>
      <c r="M186" t="s">
        <v>251</v>
      </c>
      <c r="N186" t="s">
        <v>330</v>
      </c>
      <c r="O186" t="s">
        <v>1149</v>
      </c>
      <c r="P186" t="s">
        <v>1163</v>
      </c>
      <c r="Q186" t="s">
        <v>966</v>
      </c>
    </row>
    <row r="187" spans="1:17">
      <c r="A187" s="2" t="s">
        <v>909</v>
      </c>
      <c r="B187" s="2" t="s">
        <v>678</v>
      </c>
      <c r="C187" s="2" t="s">
        <v>693</v>
      </c>
      <c r="D187" s="11">
        <v>45964.229166666664</v>
      </c>
      <c r="E187" s="11">
        <v>45964.229166666664</v>
      </c>
      <c r="F187" s="11">
        <v>45965.625</v>
      </c>
      <c r="G187" s="12">
        <v>1.3958333333357587</v>
      </c>
      <c r="H187" s="2" t="s">
        <v>248</v>
      </c>
      <c r="J187" s="2" t="s">
        <v>249</v>
      </c>
      <c r="K187" s="2" t="s">
        <v>349</v>
      </c>
      <c r="L187" s="2" t="s">
        <v>1148</v>
      </c>
      <c r="M187" t="s">
        <v>251</v>
      </c>
      <c r="N187" t="s">
        <v>330</v>
      </c>
      <c r="O187" t="s">
        <v>1149</v>
      </c>
      <c r="P187" t="s">
        <v>1164</v>
      </c>
      <c r="Q187" t="s">
        <v>966</v>
      </c>
    </row>
    <row r="188" spans="1:17">
      <c r="A188" s="2" t="s">
        <v>909</v>
      </c>
      <c r="B188" s="2" t="s">
        <v>678</v>
      </c>
      <c r="C188" s="2" t="s">
        <v>694</v>
      </c>
      <c r="D188" s="11">
        <v>45964.229166666664</v>
      </c>
      <c r="E188" s="11">
        <v>45964.229166666664</v>
      </c>
      <c r="F188" s="11">
        <v>45965.625</v>
      </c>
      <c r="G188" s="12">
        <v>1.3958333333357587</v>
      </c>
      <c r="H188" s="2" t="s">
        <v>248</v>
      </c>
      <c r="J188" s="2" t="s">
        <v>249</v>
      </c>
      <c r="K188" s="2" t="s">
        <v>349</v>
      </c>
      <c r="L188" s="2" t="s">
        <v>1148</v>
      </c>
      <c r="M188" t="s">
        <v>251</v>
      </c>
      <c r="N188" t="s">
        <v>330</v>
      </c>
      <c r="O188" t="s">
        <v>1149</v>
      </c>
      <c r="P188" t="s">
        <v>1165</v>
      </c>
      <c r="Q188" t="s">
        <v>966</v>
      </c>
    </row>
    <row r="189" spans="1:17">
      <c r="A189" s="2" t="s">
        <v>909</v>
      </c>
      <c r="B189" s="2" t="s">
        <v>678</v>
      </c>
      <c r="C189" s="2" t="s">
        <v>695</v>
      </c>
      <c r="D189" s="11">
        <v>45964.229166666664</v>
      </c>
      <c r="E189" s="11">
        <v>45964.229166666664</v>
      </c>
      <c r="F189" s="11">
        <v>45965.625</v>
      </c>
      <c r="G189" s="12">
        <v>1.3958333333357587</v>
      </c>
      <c r="H189" s="2" t="s">
        <v>248</v>
      </c>
      <c r="J189" s="2" t="s">
        <v>249</v>
      </c>
      <c r="K189" s="2" t="s">
        <v>349</v>
      </c>
      <c r="L189" s="2" t="s">
        <v>1148</v>
      </c>
      <c r="M189" t="s">
        <v>251</v>
      </c>
      <c r="N189" t="s">
        <v>330</v>
      </c>
      <c r="O189" t="s">
        <v>1149</v>
      </c>
      <c r="P189" t="s">
        <v>1166</v>
      </c>
      <c r="Q189" t="s">
        <v>966</v>
      </c>
    </row>
    <row r="190" spans="1:17">
      <c r="A190" s="2" t="s">
        <v>912</v>
      </c>
      <c r="B190" s="2" t="s">
        <v>1167</v>
      </c>
      <c r="C190" s="2" t="s">
        <v>913</v>
      </c>
      <c r="D190" s="11">
        <v>45964.229166666664</v>
      </c>
      <c r="E190" s="11">
        <v>45964.229166666664</v>
      </c>
      <c r="F190" s="11">
        <v>45965.625</v>
      </c>
      <c r="G190" s="12">
        <v>1.3958333333357587</v>
      </c>
      <c r="H190" s="2" t="s">
        <v>248</v>
      </c>
      <c r="J190" s="2" t="s">
        <v>249</v>
      </c>
      <c r="K190" s="2" t="s">
        <v>349</v>
      </c>
      <c r="L190" s="2" t="s">
        <v>1148</v>
      </c>
      <c r="M190" t="s">
        <v>251</v>
      </c>
      <c r="N190" t="s">
        <v>330</v>
      </c>
      <c r="O190" t="s">
        <v>1149</v>
      </c>
      <c r="P190" t="s">
        <v>1168</v>
      </c>
      <c r="Q190" t="s">
        <v>966</v>
      </c>
    </row>
    <row r="191" spans="1:17">
      <c r="A191" s="2" t="s">
        <v>912</v>
      </c>
      <c r="B191" s="2" t="s">
        <v>1167</v>
      </c>
      <c r="C191" s="2" t="s">
        <v>914</v>
      </c>
      <c r="D191" s="11">
        <v>45964.229166666664</v>
      </c>
      <c r="E191" s="11">
        <v>45964.229166666664</v>
      </c>
      <c r="F191" s="11">
        <v>45965.625</v>
      </c>
      <c r="G191" s="12">
        <v>1.3958333333357587</v>
      </c>
      <c r="H191" s="2" t="s">
        <v>248</v>
      </c>
      <c r="J191" s="2" t="s">
        <v>249</v>
      </c>
      <c r="K191" s="2" t="s">
        <v>349</v>
      </c>
      <c r="L191" s="2" t="s">
        <v>1148</v>
      </c>
      <c r="M191" t="s">
        <v>251</v>
      </c>
      <c r="N191" t="s">
        <v>330</v>
      </c>
      <c r="O191" t="s">
        <v>1149</v>
      </c>
      <c r="P191" t="s">
        <v>1169</v>
      </c>
      <c r="Q191" t="s">
        <v>966</v>
      </c>
    </row>
    <row r="192" spans="1:17">
      <c r="A192" s="2" t="s">
        <v>912</v>
      </c>
      <c r="B192" s="2" t="s">
        <v>1167</v>
      </c>
      <c r="C192" s="2" t="s">
        <v>915</v>
      </c>
      <c r="D192" s="11">
        <v>45964.229166666664</v>
      </c>
      <c r="E192" s="11">
        <v>45964.229166666664</v>
      </c>
      <c r="F192" s="11">
        <v>45965.625</v>
      </c>
      <c r="G192" s="12">
        <v>1.3958333333357587</v>
      </c>
      <c r="H192" s="2" t="s">
        <v>248</v>
      </c>
      <c r="J192" s="2" t="s">
        <v>249</v>
      </c>
      <c r="K192" s="2" t="s">
        <v>349</v>
      </c>
      <c r="L192" s="2" t="s">
        <v>1148</v>
      </c>
      <c r="M192" t="s">
        <v>251</v>
      </c>
      <c r="N192" t="s">
        <v>330</v>
      </c>
      <c r="O192" t="s">
        <v>1149</v>
      </c>
      <c r="P192" t="s">
        <v>1170</v>
      </c>
      <c r="Q192" t="s">
        <v>966</v>
      </c>
    </row>
    <row r="193" spans="1:17">
      <c r="A193" s="2" t="s">
        <v>912</v>
      </c>
      <c r="B193" s="2" t="s">
        <v>1167</v>
      </c>
      <c r="C193" s="2" t="s">
        <v>916</v>
      </c>
      <c r="D193" s="11">
        <v>45964.229166666664</v>
      </c>
      <c r="E193" s="11">
        <v>45964.229166666664</v>
      </c>
      <c r="F193" s="11">
        <v>45965.625</v>
      </c>
      <c r="G193" s="12">
        <v>1.3958333333357587</v>
      </c>
      <c r="H193" s="2" t="s">
        <v>248</v>
      </c>
      <c r="J193" s="2" t="s">
        <v>249</v>
      </c>
      <c r="K193" s="2" t="s">
        <v>349</v>
      </c>
      <c r="L193" s="2" t="s">
        <v>1148</v>
      </c>
      <c r="M193" t="s">
        <v>251</v>
      </c>
      <c r="N193" t="s">
        <v>330</v>
      </c>
      <c r="O193" t="s">
        <v>1149</v>
      </c>
      <c r="P193" t="s">
        <v>1171</v>
      </c>
      <c r="Q193" t="s">
        <v>966</v>
      </c>
    </row>
    <row r="194" spans="1:17">
      <c r="A194" s="2" t="s">
        <v>912</v>
      </c>
      <c r="B194" s="2" t="s">
        <v>1167</v>
      </c>
      <c r="C194" s="2" t="s">
        <v>917</v>
      </c>
      <c r="D194" s="11">
        <v>45964.229166666664</v>
      </c>
      <c r="E194" s="11">
        <v>45964.229166666664</v>
      </c>
      <c r="F194" s="11">
        <v>45965.625</v>
      </c>
      <c r="G194" s="12">
        <v>1.3958333333357587</v>
      </c>
      <c r="H194" s="2" t="s">
        <v>248</v>
      </c>
      <c r="J194" s="2" t="s">
        <v>249</v>
      </c>
      <c r="K194" s="2" t="s">
        <v>349</v>
      </c>
      <c r="L194" s="2" t="s">
        <v>1148</v>
      </c>
      <c r="M194" t="s">
        <v>251</v>
      </c>
      <c r="N194" t="s">
        <v>330</v>
      </c>
      <c r="O194" t="s">
        <v>1149</v>
      </c>
      <c r="P194" t="s">
        <v>1172</v>
      </c>
      <c r="Q194" t="s">
        <v>966</v>
      </c>
    </row>
    <row r="195" spans="1:17">
      <c r="A195" s="2" t="s">
        <v>912</v>
      </c>
      <c r="B195" s="2" t="s">
        <v>1167</v>
      </c>
      <c r="C195" s="2" t="s">
        <v>918</v>
      </c>
      <c r="D195" s="11">
        <v>45964.229166666664</v>
      </c>
      <c r="E195" s="11">
        <v>45964.229166666664</v>
      </c>
      <c r="F195" s="11">
        <v>45965.625</v>
      </c>
      <c r="G195" s="12">
        <v>1.3958333333357587</v>
      </c>
      <c r="H195" s="2" t="s">
        <v>248</v>
      </c>
      <c r="J195" s="2" t="s">
        <v>249</v>
      </c>
      <c r="K195" s="2" t="s">
        <v>349</v>
      </c>
      <c r="L195" s="2" t="s">
        <v>1148</v>
      </c>
      <c r="M195" t="s">
        <v>251</v>
      </c>
      <c r="N195" t="s">
        <v>330</v>
      </c>
      <c r="O195" t="s">
        <v>1149</v>
      </c>
      <c r="P195" t="s">
        <v>1173</v>
      </c>
      <c r="Q195" t="s">
        <v>966</v>
      </c>
    </row>
    <row r="196" spans="1:17">
      <c r="A196" s="2" t="s">
        <v>912</v>
      </c>
      <c r="B196" s="2" t="s">
        <v>1167</v>
      </c>
      <c r="C196" s="2" t="s">
        <v>919</v>
      </c>
      <c r="D196" s="11">
        <v>45964.229166666664</v>
      </c>
      <c r="E196" s="11">
        <v>45964.229166666664</v>
      </c>
      <c r="F196" s="11">
        <v>45965.625</v>
      </c>
      <c r="G196" s="12">
        <v>1.3958333333357587</v>
      </c>
      <c r="H196" s="2" t="s">
        <v>248</v>
      </c>
      <c r="J196" s="2" t="s">
        <v>249</v>
      </c>
      <c r="K196" s="2" t="s">
        <v>349</v>
      </c>
      <c r="L196" s="2" t="s">
        <v>1148</v>
      </c>
      <c r="M196" t="s">
        <v>251</v>
      </c>
      <c r="N196" t="s">
        <v>330</v>
      </c>
      <c r="O196" t="s">
        <v>1149</v>
      </c>
      <c r="P196" t="s">
        <v>1174</v>
      </c>
      <c r="Q196" t="s">
        <v>966</v>
      </c>
    </row>
    <row r="197" spans="1:17">
      <c r="A197" s="2" t="s">
        <v>912</v>
      </c>
      <c r="B197" s="2" t="s">
        <v>1167</v>
      </c>
      <c r="C197" s="2" t="s">
        <v>920</v>
      </c>
      <c r="D197" s="11">
        <v>45964.229166666664</v>
      </c>
      <c r="E197" s="11">
        <v>45964.229166666664</v>
      </c>
      <c r="F197" s="11">
        <v>45965.625</v>
      </c>
      <c r="G197" s="12">
        <v>1.3958333333357587</v>
      </c>
      <c r="H197" s="2" t="s">
        <v>248</v>
      </c>
      <c r="J197" s="2" t="s">
        <v>249</v>
      </c>
      <c r="K197" s="2" t="s">
        <v>349</v>
      </c>
      <c r="L197" s="2" t="s">
        <v>1148</v>
      </c>
      <c r="M197" t="s">
        <v>251</v>
      </c>
      <c r="N197" t="s">
        <v>330</v>
      </c>
      <c r="O197" t="s">
        <v>1149</v>
      </c>
      <c r="P197" t="s">
        <v>1175</v>
      </c>
      <c r="Q197" t="s">
        <v>966</v>
      </c>
    </row>
    <row r="198" spans="1:17">
      <c r="A198" s="2" t="s">
        <v>912</v>
      </c>
      <c r="B198" s="2" t="s">
        <v>1167</v>
      </c>
      <c r="C198" s="2" t="s">
        <v>921</v>
      </c>
      <c r="D198" s="11">
        <v>45964.229166666664</v>
      </c>
      <c r="E198" s="11">
        <v>45964.229166666664</v>
      </c>
      <c r="F198" s="11">
        <v>45965.625</v>
      </c>
      <c r="G198" s="12">
        <v>1.3958333333357587</v>
      </c>
      <c r="H198" s="2" t="s">
        <v>248</v>
      </c>
      <c r="J198" s="2" t="s">
        <v>249</v>
      </c>
      <c r="K198" s="2" t="s">
        <v>349</v>
      </c>
      <c r="L198" s="2" t="s">
        <v>1148</v>
      </c>
      <c r="M198" t="s">
        <v>251</v>
      </c>
      <c r="N198" t="s">
        <v>330</v>
      </c>
      <c r="O198" t="s">
        <v>1149</v>
      </c>
      <c r="P198" t="s">
        <v>1176</v>
      </c>
      <c r="Q198" t="s">
        <v>966</v>
      </c>
    </row>
    <row r="199" spans="1:17">
      <c r="A199" s="2" t="s">
        <v>912</v>
      </c>
      <c r="B199" s="2" t="s">
        <v>1167</v>
      </c>
      <c r="C199" s="2" t="s">
        <v>922</v>
      </c>
      <c r="D199" s="11">
        <v>45964.229166666664</v>
      </c>
      <c r="E199" s="11">
        <v>45964.229166666664</v>
      </c>
      <c r="F199" s="11">
        <v>45965.625</v>
      </c>
      <c r="G199" s="12">
        <v>1.3958333333357587</v>
      </c>
      <c r="H199" s="2" t="s">
        <v>248</v>
      </c>
      <c r="J199" s="2" t="s">
        <v>249</v>
      </c>
      <c r="K199" s="2" t="s">
        <v>349</v>
      </c>
      <c r="L199" s="2" t="s">
        <v>1148</v>
      </c>
      <c r="M199" t="s">
        <v>251</v>
      </c>
      <c r="N199" t="s">
        <v>330</v>
      </c>
      <c r="O199" t="s">
        <v>1149</v>
      </c>
      <c r="P199" t="s">
        <v>1177</v>
      </c>
      <c r="Q199" t="s">
        <v>966</v>
      </c>
    </row>
    <row r="200" spans="1:17">
      <c r="A200" s="2" t="s">
        <v>912</v>
      </c>
      <c r="B200" s="2" t="s">
        <v>1167</v>
      </c>
      <c r="C200" s="2" t="s">
        <v>923</v>
      </c>
      <c r="D200" s="11">
        <v>45964.229166666664</v>
      </c>
      <c r="E200" s="11">
        <v>45964.229166666664</v>
      </c>
      <c r="F200" s="11">
        <v>45965.625</v>
      </c>
      <c r="G200" s="12">
        <v>1.3958333333357587</v>
      </c>
      <c r="H200" s="2" t="s">
        <v>248</v>
      </c>
      <c r="J200" s="2" t="s">
        <v>249</v>
      </c>
      <c r="K200" s="2" t="s">
        <v>349</v>
      </c>
      <c r="L200" s="2" t="s">
        <v>1148</v>
      </c>
      <c r="M200" t="s">
        <v>251</v>
      </c>
      <c r="N200" t="s">
        <v>330</v>
      </c>
      <c r="O200" t="s">
        <v>1149</v>
      </c>
      <c r="P200" t="s">
        <v>1178</v>
      </c>
      <c r="Q200" t="s">
        <v>966</v>
      </c>
    </row>
    <row r="201" spans="1:17">
      <c r="A201" s="2" t="s">
        <v>912</v>
      </c>
      <c r="B201" s="2" t="s">
        <v>1167</v>
      </c>
      <c r="C201" s="2" t="s">
        <v>924</v>
      </c>
      <c r="D201" s="11">
        <v>45964.229166666664</v>
      </c>
      <c r="E201" s="11">
        <v>45964.229166666664</v>
      </c>
      <c r="F201" s="11">
        <v>45965.625</v>
      </c>
      <c r="G201" s="12">
        <v>1.3958333333357587</v>
      </c>
      <c r="H201" s="2" t="s">
        <v>248</v>
      </c>
      <c r="J201" s="2" t="s">
        <v>249</v>
      </c>
      <c r="K201" s="2" t="s">
        <v>349</v>
      </c>
      <c r="L201" s="2" t="s">
        <v>1148</v>
      </c>
      <c r="M201" t="s">
        <v>251</v>
      </c>
      <c r="N201" t="s">
        <v>330</v>
      </c>
      <c r="O201" t="s">
        <v>1149</v>
      </c>
      <c r="P201" t="s">
        <v>1179</v>
      </c>
      <c r="Q201" t="s">
        <v>966</v>
      </c>
    </row>
    <row r="202" spans="1:17">
      <c r="A202" s="2" t="s">
        <v>912</v>
      </c>
      <c r="B202" s="2" t="s">
        <v>1167</v>
      </c>
      <c r="C202" s="2" t="s">
        <v>925</v>
      </c>
      <c r="D202" s="11">
        <v>45964.229166666664</v>
      </c>
      <c r="E202" s="11">
        <v>45964.229166666664</v>
      </c>
      <c r="F202" s="11">
        <v>45965.625</v>
      </c>
      <c r="G202" s="12">
        <v>1.3958333333357587</v>
      </c>
      <c r="H202" s="2" t="s">
        <v>248</v>
      </c>
      <c r="J202" s="2" t="s">
        <v>249</v>
      </c>
      <c r="K202" s="2" t="s">
        <v>349</v>
      </c>
      <c r="L202" s="2" t="s">
        <v>1148</v>
      </c>
      <c r="M202" t="s">
        <v>251</v>
      </c>
      <c r="N202" t="s">
        <v>330</v>
      </c>
      <c r="O202" t="s">
        <v>1149</v>
      </c>
      <c r="P202" t="s">
        <v>1180</v>
      </c>
      <c r="Q202" t="s">
        <v>966</v>
      </c>
    </row>
    <row r="203" spans="1:17">
      <c r="A203" s="2" t="s">
        <v>912</v>
      </c>
      <c r="B203" s="2" t="s">
        <v>1167</v>
      </c>
      <c r="C203" s="2" t="s">
        <v>926</v>
      </c>
      <c r="D203" s="11">
        <v>45964.229166666664</v>
      </c>
      <c r="E203" s="11">
        <v>45964.229166666664</v>
      </c>
      <c r="F203" s="11">
        <v>45965.625</v>
      </c>
      <c r="G203" s="12">
        <v>1.3958333333357587</v>
      </c>
      <c r="H203" s="2" t="s">
        <v>248</v>
      </c>
      <c r="J203" s="2" t="s">
        <v>249</v>
      </c>
      <c r="K203" s="2" t="s">
        <v>349</v>
      </c>
      <c r="L203" s="2" t="s">
        <v>1148</v>
      </c>
      <c r="M203" t="s">
        <v>251</v>
      </c>
      <c r="N203" t="s">
        <v>330</v>
      </c>
      <c r="O203" t="s">
        <v>1149</v>
      </c>
      <c r="P203" t="s">
        <v>1181</v>
      </c>
      <c r="Q203" t="s">
        <v>966</v>
      </c>
    </row>
    <row r="204" spans="1:17">
      <c r="A204" s="2" t="s">
        <v>912</v>
      </c>
      <c r="B204" s="2" t="s">
        <v>1167</v>
      </c>
      <c r="C204" s="2" t="s">
        <v>927</v>
      </c>
      <c r="D204" s="11">
        <v>45964.229166666664</v>
      </c>
      <c r="E204" s="11">
        <v>45964.229166666664</v>
      </c>
      <c r="F204" s="11">
        <v>45965.625</v>
      </c>
      <c r="G204" s="12">
        <v>1.3958333333357587</v>
      </c>
      <c r="H204" s="2" t="s">
        <v>248</v>
      </c>
      <c r="J204" s="2" t="s">
        <v>249</v>
      </c>
      <c r="K204" s="2" t="s">
        <v>349</v>
      </c>
      <c r="L204" s="2" t="s">
        <v>1148</v>
      </c>
      <c r="M204" t="s">
        <v>251</v>
      </c>
      <c r="N204" t="s">
        <v>330</v>
      </c>
      <c r="O204" t="s">
        <v>1149</v>
      </c>
      <c r="P204" t="s">
        <v>1182</v>
      </c>
      <c r="Q204" t="s">
        <v>966</v>
      </c>
    </row>
    <row r="205" spans="1:17">
      <c r="A205" s="2" t="s">
        <v>912</v>
      </c>
      <c r="B205" s="2" t="s">
        <v>1167</v>
      </c>
      <c r="C205" s="2" t="s">
        <v>928</v>
      </c>
      <c r="D205" s="11">
        <v>45964.229166666664</v>
      </c>
      <c r="E205" s="11">
        <v>45964.229166666664</v>
      </c>
      <c r="F205" s="11">
        <v>45965.625</v>
      </c>
      <c r="G205" s="12">
        <v>1.3958333333357587</v>
      </c>
      <c r="H205" s="2" t="s">
        <v>248</v>
      </c>
      <c r="J205" s="2" t="s">
        <v>249</v>
      </c>
      <c r="K205" s="2" t="s">
        <v>349</v>
      </c>
      <c r="L205" s="2" t="s">
        <v>1148</v>
      </c>
      <c r="M205" t="s">
        <v>251</v>
      </c>
      <c r="N205" t="s">
        <v>330</v>
      </c>
      <c r="O205" t="s">
        <v>1149</v>
      </c>
      <c r="P205" t="s">
        <v>1183</v>
      </c>
      <c r="Q205" t="s">
        <v>966</v>
      </c>
    </row>
    <row r="206" spans="1:17">
      <c r="A206" s="2" t="s">
        <v>912</v>
      </c>
      <c r="B206" s="2" t="s">
        <v>1167</v>
      </c>
      <c r="C206" s="2" t="s">
        <v>929</v>
      </c>
      <c r="D206" s="11">
        <v>45964.229166666664</v>
      </c>
      <c r="E206" s="11">
        <v>45964.229166666664</v>
      </c>
      <c r="F206" s="11">
        <v>45965.625</v>
      </c>
      <c r="G206" s="12">
        <v>1.3958333333357587</v>
      </c>
      <c r="H206" s="2" t="s">
        <v>248</v>
      </c>
      <c r="J206" s="2" t="s">
        <v>249</v>
      </c>
      <c r="K206" s="2" t="s">
        <v>349</v>
      </c>
      <c r="L206" s="2" t="s">
        <v>1148</v>
      </c>
      <c r="M206" t="s">
        <v>251</v>
      </c>
      <c r="N206" t="s">
        <v>330</v>
      </c>
      <c r="O206" t="s">
        <v>1149</v>
      </c>
      <c r="P206" t="s">
        <v>1184</v>
      </c>
      <c r="Q206" t="s">
        <v>966</v>
      </c>
    </row>
    <row r="207" spans="1:17">
      <c r="A207" s="2" t="s">
        <v>930</v>
      </c>
      <c r="B207" s="2" t="s">
        <v>448</v>
      </c>
      <c r="C207" s="2" t="s">
        <v>449</v>
      </c>
      <c r="D207" s="11">
        <v>45964.229166666664</v>
      </c>
      <c r="E207" s="11">
        <v>45964.229166666664</v>
      </c>
      <c r="F207" s="11">
        <v>45965.625</v>
      </c>
      <c r="G207" s="12">
        <v>1.3958333333357587</v>
      </c>
      <c r="H207" s="2" t="s">
        <v>248</v>
      </c>
      <c r="J207" s="2" t="s">
        <v>249</v>
      </c>
      <c r="K207" s="2" t="s">
        <v>349</v>
      </c>
      <c r="L207" s="2" t="s">
        <v>1148</v>
      </c>
      <c r="M207" t="s">
        <v>251</v>
      </c>
      <c r="N207" t="s">
        <v>330</v>
      </c>
      <c r="O207" t="s">
        <v>1149</v>
      </c>
      <c r="P207" t="s">
        <v>1185</v>
      </c>
      <c r="Q207" t="s">
        <v>966</v>
      </c>
    </row>
    <row r="208" spans="1:17">
      <c r="A208" s="2" t="s">
        <v>930</v>
      </c>
      <c r="B208" s="2" t="s">
        <v>448</v>
      </c>
      <c r="C208" s="2" t="s">
        <v>451</v>
      </c>
      <c r="D208" s="11">
        <v>45964.229166666664</v>
      </c>
      <c r="E208" s="11">
        <v>45964.229166666664</v>
      </c>
      <c r="F208" s="11">
        <v>45965.625</v>
      </c>
      <c r="G208" s="12">
        <v>1.3958333333357587</v>
      </c>
      <c r="H208" s="2" t="s">
        <v>248</v>
      </c>
      <c r="J208" s="2" t="s">
        <v>249</v>
      </c>
      <c r="K208" s="2" t="s">
        <v>349</v>
      </c>
      <c r="L208" s="2" t="s">
        <v>1148</v>
      </c>
      <c r="M208" t="s">
        <v>251</v>
      </c>
      <c r="N208" t="s">
        <v>330</v>
      </c>
      <c r="O208" t="s">
        <v>1149</v>
      </c>
      <c r="P208" t="s">
        <v>1186</v>
      </c>
      <c r="Q208" t="s">
        <v>966</v>
      </c>
    </row>
    <row r="209" spans="1:17">
      <c r="A209" s="2" t="s">
        <v>930</v>
      </c>
      <c r="B209" s="2" t="s">
        <v>448</v>
      </c>
      <c r="C209" s="2" t="s">
        <v>452</v>
      </c>
      <c r="D209" s="11">
        <v>45964.229166666664</v>
      </c>
      <c r="E209" s="11">
        <v>45964.229166666664</v>
      </c>
      <c r="F209" s="11">
        <v>45965.625</v>
      </c>
      <c r="G209" s="12">
        <v>1.3958333333357587</v>
      </c>
      <c r="H209" s="2" t="s">
        <v>248</v>
      </c>
      <c r="J209" s="2" t="s">
        <v>249</v>
      </c>
      <c r="K209" s="2" t="s">
        <v>349</v>
      </c>
      <c r="L209" s="2" t="s">
        <v>1148</v>
      </c>
      <c r="M209" t="s">
        <v>251</v>
      </c>
      <c r="N209" t="s">
        <v>330</v>
      </c>
      <c r="O209" t="s">
        <v>1149</v>
      </c>
      <c r="P209" t="s">
        <v>1187</v>
      </c>
      <c r="Q209" t="s">
        <v>966</v>
      </c>
    </row>
    <row r="210" spans="1:17">
      <c r="A210" s="2" t="s">
        <v>930</v>
      </c>
      <c r="B210" s="2" t="s">
        <v>448</v>
      </c>
      <c r="C210" s="2" t="s">
        <v>453</v>
      </c>
      <c r="D210" s="11">
        <v>45964.229166666664</v>
      </c>
      <c r="E210" s="11">
        <v>45964.229166666664</v>
      </c>
      <c r="F210" s="11">
        <v>45965.625</v>
      </c>
      <c r="G210" s="12">
        <v>1.3958333333357587</v>
      </c>
      <c r="H210" s="2" t="s">
        <v>248</v>
      </c>
      <c r="J210" s="2" t="s">
        <v>249</v>
      </c>
      <c r="K210" s="2" t="s">
        <v>349</v>
      </c>
      <c r="L210" s="2" t="s">
        <v>1148</v>
      </c>
      <c r="M210" t="s">
        <v>251</v>
      </c>
      <c r="N210" t="s">
        <v>330</v>
      </c>
      <c r="O210" t="s">
        <v>1149</v>
      </c>
      <c r="P210" t="s">
        <v>1188</v>
      </c>
      <c r="Q210" t="s">
        <v>966</v>
      </c>
    </row>
    <row r="211" spans="1:17">
      <c r="A211" s="2" t="s">
        <v>930</v>
      </c>
      <c r="B211" s="2" t="s">
        <v>448</v>
      </c>
      <c r="C211" s="2" t="s">
        <v>454</v>
      </c>
      <c r="D211" s="11">
        <v>45964.229166666664</v>
      </c>
      <c r="E211" s="11">
        <v>45964.229166666664</v>
      </c>
      <c r="F211" s="11">
        <v>45965.625</v>
      </c>
      <c r="G211" s="12">
        <v>1.3958333333357587</v>
      </c>
      <c r="H211" s="2" t="s">
        <v>248</v>
      </c>
      <c r="J211" s="2" t="s">
        <v>249</v>
      </c>
      <c r="K211" s="2" t="s">
        <v>349</v>
      </c>
      <c r="L211" s="2" t="s">
        <v>1148</v>
      </c>
      <c r="M211" t="s">
        <v>251</v>
      </c>
      <c r="N211" t="s">
        <v>330</v>
      </c>
      <c r="O211" t="s">
        <v>1149</v>
      </c>
      <c r="P211" t="s">
        <v>1189</v>
      </c>
      <c r="Q211" t="s">
        <v>966</v>
      </c>
    </row>
    <row r="212" spans="1:17">
      <c r="A212" s="2" t="s">
        <v>930</v>
      </c>
      <c r="B212" s="2" t="s">
        <v>448</v>
      </c>
      <c r="C212" s="2" t="s">
        <v>455</v>
      </c>
      <c r="D212" s="11">
        <v>45964.229166666664</v>
      </c>
      <c r="E212" s="11">
        <v>45964.229166666664</v>
      </c>
      <c r="F212" s="11">
        <v>45965.625</v>
      </c>
      <c r="G212" s="12">
        <v>1.3958333333357587</v>
      </c>
      <c r="H212" s="2" t="s">
        <v>248</v>
      </c>
      <c r="J212" s="2" t="s">
        <v>249</v>
      </c>
      <c r="K212" s="2" t="s">
        <v>349</v>
      </c>
      <c r="L212" s="2" t="s">
        <v>1148</v>
      </c>
      <c r="M212" t="s">
        <v>251</v>
      </c>
      <c r="N212" t="s">
        <v>330</v>
      </c>
      <c r="O212" t="s">
        <v>1149</v>
      </c>
      <c r="P212" t="s">
        <v>1190</v>
      </c>
      <c r="Q212" t="s">
        <v>966</v>
      </c>
    </row>
    <row r="213" spans="1:17">
      <c r="A213" s="2" t="s">
        <v>930</v>
      </c>
      <c r="B213" s="2" t="s">
        <v>448</v>
      </c>
      <c r="C213" s="2" t="s">
        <v>456</v>
      </c>
      <c r="D213" s="11">
        <v>45964.229166666664</v>
      </c>
      <c r="E213" s="11">
        <v>45964.229166666664</v>
      </c>
      <c r="F213" s="11">
        <v>45965.625</v>
      </c>
      <c r="G213" s="12">
        <v>1.3958333333357587</v>
      </c>
      <c r="H213" s="2" t="s">
        <v>248</v>
      </c>
      <c r="J213" s="2" t="s">
        <v>249</v>
      </c>
      <c r="K213" s="2" t="s">
        <v>349</v>
      </c>
      <c r="L213" s="2" t="s">
        <v>1148</v>
      </c>
      <c r="M213" t="s">
        <v>251</v>
      </c>
      <c r="N213" t="s">
        <v>330</v>
      </c>
      <c r="O213" t="s">
        <v>1149</v>
      </c>
      <c r="P213" t="s">
        <v>1191</v>
      </c>
      <c r="Q213" t="s">
        <v>966</v>
      </c>
    </row>
    <row r="214" spans="1:17">
      <c r="A214" s="2" t="s">
        <v>930</v>
      </c>
      <c r="B214" s="2" t="s">
        <v>448</v>
      </c>
      <c r="C214" s="2" t="s">
        <v>457</v>
      </c>
      <c r="D214" s="11">
        <v>45964.229166666664</v>
      </c>
      <c r="E214" s="11">
        <v>45964.229166666664</v>
      </c>
      <c r="F214" s="11">
        <v>45965.625</v>
      </c>
      <c r="G214" s="12">
        <v>1.3958333333357587</v>
      </c>
      <c r="H214" s="2" t="s">
        <v>248</v>
      </c>
      <c r="J214" s="2" t="s">
        <v>249</v>
      </c>
      <c r="K214" s="2" t="s">
        <v>349</v>
      </c>
      <c r="L214" s="2" t="s">
        <v>1148</v>
      </c>
      <c r="M214" t="s">
        <v>251</v>
      </c>
      <c r="N214" t="s">
        <v>330</v>
      </c>
      <c r="O214" t="s">
        <v>1149</v>
      </c>
      <c r="P214" t="s">
        <v>1192</v>
      </c>
      <c r="Q214" t="s">
        <v>966</v>
      </c>
    </row>
    <row r="215" spans="1:17">
      <c r="A215" s="2" t="s">
        <v>930</v>
      </c>
      <c r="B215" s="2" t="s">
        <v>448</v>
      </c>
      <c r="C215" s="2" t="s">
        <v>458</v>
      </c>
      <c r="D215" s="11">
        <v>45964.229166666664</v>
      </c>
      <c r="E215" s="11">
        <v>45964.229166666664</v>
      </c>
      <c r="F215" s="11">
        <v>45965.625</v>
      </c>
      <c r="G215" s="12">
        <v>1.3958333333357587</v>
      </c>
      <c r="H215" s="2" t="s">
        <v>248</v>
      </c>
      <c r="J215" s="2" t="s">
        <v>249</v>
      </c>
      <c r="K215" s="2" t="s">
        <v>349</v>
      </c>
      <c r="L215" s="2" t="s">
        <v>1148</v>
      </c>
      <c r="M215" t="s">
        <v>251</v>
      </c>
      <c r="N215" t="s">
        <v>330</v>
      </c>
      <c r="O215" t="s">
        <v>1149</v>
      </c>
      <c r="P215" t="s">
        <v>1193</v>
      </c>
      <c r="Q215" t="s">
        <v>966</v>
      </c>
    </row>
    <row r="216" spans="1:17">
      <c r="A216" s="2" t="s">
        <v>696</v>
      </c>
      <c r="B216" s="2" t="s">
        <v>696</v>
      </c>
      <c r="C216" s="2" t="s">
        <v>328</v>
      </c>
      <c r="D216" s="11">
        <v>45964.229166666664</v>
      </c>
      <c r="E216" s="11">
        <v>45964.229166666664</v>
      </c>
      <c r="F216" s="11">
        <v>45965.625</v>
      </c>
      <c r="G216" s="12">
        <v>1.3958333333357587</v>
      </c>
      <c r="H216" s="2" t="s">
        <v>248</v>
      </c>
      <c r="J216" s="2" t="s">
        <v>249</v>
      </c>
      <c r="K216" s="2" t="s">
        <v>349</v>
      </c>
      <c r="L216" s="2" t="s">
        <v>1148</v>
      </c>
      <c r="M216" t="s">
        <v>251</v>
      </c>
      <c r="N216" t="s">
        <v>330</v>
      </c>
      <c r="O216" t="s">
        <v>1149</v>
      </c>
      <c r="P216" t="s">
        <v>1194</v>
      </c>
      <c r="Q216" t="s">
        <v>966</v>
      </c>
    </row>
    <row r="217" spans="1:17">
      <c r="A217" s="2" t="s">
        <v>696</v>
      </c>
      <c r="B217" s="2" t="s">
        <v>696</v>
      </c>
      <c r="C217" s="2" t="s">
        <v>699</v>
      </c>
      <c r="D217" s="11">
        <v>45964.229166666664</v>
      </c>
      <c r="E217" s="11">
        <v>45964.229166666664</v>
      </c>
      <c r="F217" s="11">
        <v>45965.625</v>
      </c>
      <c r="G217" s="12">
        <v>1.3958333333357587</v>
      </c>
      <c r="H217" s="2" t="s">
        <v>248</v>
      </c>
      <c r="J217" s="2" t="s">
        <v>249</v>
      </c>
      <c r="K217" s="2" t="s">
        <v>349</v>
      </c>
      <c r="L217" s="2" t="s">
        <v>1148</v>
      </c>
      <c r="M217" t="s">
        <v>251</v>
      </c>
      <c r="N217" t="s">
        <v>330</v>
      </c>
      <c r="O217" t="s">
        <v>1149</v>
      </c>
      <c r="P217" t="s">
        <v>1195</v>
      </c>
      <c r="Q217" t="s">
        <v>966</v>
      </c>
    </row>
    <row r="218" spans="1:17">
      <c r="A218" s="2" t="s">
        <v>696</v>
      </c>
      <c r="B218" s="2" t="s">
        <v>696</v>
      </c>
      <c r="C218" s="2" t="s">
        <v>700</v>
      </c>
      <c r="D218" s="11">
        <v>45964.229166666664</v>
      </c>
      <c r="E218" s="11">
        <v>45964.229166666664</v>
      </c>
      <c r="F218" s="11">
        <v>45965.625</v>
      </c>
      <c r="G218" s="12">
        <v>1.3958333333357587</v>
      </c>
      <c r="H218" s="2" t="s">
        <v>248</v>
      </c>
      <c r="J218" s="2" t="s">
        <v>249</v>
      </c>
      <c r="K218" s="2" t="s">
        <v>349</v>
      </c>
      <c r="L218" s="2" t="s">
        <v>1148</v>
      </c>
      <c r="M218" t="s">
        <v>251</v>
      </c>
      <c r="N218" t="s">
        <v>330</v>
      </c>
      <c r="O218" t="s">
        <v>1149</v>
      </c>
      <c r="P218" t="s">
        <v>1196</v>
      </c>
      <c r="Q218" t="s">
        <v>966</v>
      </c>
    </row>
    <row r="219" spans="1:17">
      <c r="A219" s="2" t="s">
        <v>696</v>
      </c>
      <c r="B219" s="2" t="s">
        <v>696</v>
      </c>
      <c r="C219" s="2" t="s">
        <v>701</v>
      </c>
      <c r="D219" s="11">
        <v>45964.229166666664</v>
      </c>
      <c r="E219" s="11">
        <v>45964.229166666664</v>
      </c>
      <c r="F219" s="11">
        <v>45965.625</v>
      </c>
      <c r="G219" s="12">
        <v>1.3958333333357587</v>
      </c>
      <c r="H219" s="2" t="s">
        <v>248</v>
      </c>
      <c r="J219" s="2" t="s">
        <v>249</v>
      </c>
      <c r="K219" s="2" t="s">
        <v>349</v>
      </c>
      <c r="L219" s="2" t="s">
        <v>1148</v>
      </c>
      <c r="M219" t="s">
        <v>251</v>
      </c>
      <c r="N219" t="s">
        <v>330</v>
      </c>
      <c r="O219" t="s">
        <v>1149</v>
      </c>
      <c r="P219" t="s">
        <v>1197</v>
      </c>
      <c r="Q219" t="s">
        <v>966</v>
      </c>
    </row>
    <row r="220" spans="1:17">
      <c r="A220" s="2" t="s">
        <v>696</v>
      </c>
      <c r="B220" s="2" t="s">
        <v>696</v>
      </c>
      <c r="C220" s="2" t="s">
        <v>354</v>
      </c>
      <c r="D220" s="11">
        <v>45964.229166666664</v>
      </c>
      <c r="E220" s="11">
        <v>45964.229166666664</v>
      </c>
      <c r="F220" s="11">
        <v>45965.625</v>
      </c>
      <c r="G220" s="12">
        <v>1.3958333333357587</v>
      </c>
      <c r="H220" s="2" t="s">
        <v>248</v>
      </c>
      <c r="J220" s="2" t="s">
        <v>249</v>
      </c>
      <c r="K220" s="2" t="s">
        <v>349</v>
      </c>
      <c r="L220" s="2" t="s">
        <v>1148</v>
      </c>
      <c r="M220" t="s">
        <v>251</v>
      </c>
      <c r="N220" t="s">
        <v>330</v>
      </c>
      <c r="O220" t="s">
        <v>1149</v>
      </c>
      <c r="P220" t="s">
        <v>1198</v>
      </c>
      <c r="Q220" t="s">
        <v>966</v>
      </c>
    </row>
    <row r="221" spans="1:17">
      <c r="A221" s="2" t="s">
        <v>644</v>
      </c>
      <c r="B221" s="2" t="s">
        <v>644</v>
      </c>
      <c r="C221" s="2" t="s">
        <v>328</v>
      </c>
      <c r="D221" s="11">
        <v>45964.229166666664</v>
      </c>
      <c r="E221" s="11">
        <v>45964.229166666664</v>
      </c>
      <c r="F221" s="11">
        <v>45965.625</v>
      </c>
      <c r="G221" s="12">
        <v>1.3958333333357587</v>
      </c>
      <c r="H221" s="2" t="s">
        <v>248</v>
      </c>
      <c r="J221" s="2" t="s">
        <v>249</v>
      </c>
      <c r="K221" s="2" t="s">
        <v>349</v>
      </c>
      <c r="L221" s="2" t="s">
        <v>1148</v>
      </c>
      <c r="M221" t="s">
        <v>251</v>
      </c>
      <c r="N221" t="s">
        <v>330</v>
      </c>
      <c r="O221" t="s">
        <v>1149</v>
      </c>
      <c r="P221" t="s">
        <v>1199</v>
      </c>
      <c r="Q221" t="s">
        <v>966</v>
      </c>
    </row>
    <row r="222" spans="1:17">
      <c r="A222" s="2" t="s">
        <v>644</v>
      </c>
      <c r="B222" s="2" t="s">
        <v>644</v>
      </c>
      <c r="C222" s="2" t="s">
        <v>717</v>
      </c>
      <c r="D222" s="11">
        <v>45964.229166666664</v>
      </c>
      <c r="E222" s="11">
        <v>45964.229166666664</v>
      </c>
      <c r="F222" s="11">
        <v>45965.625</v>
      </c>
      <c r="G222" s="12">
        <v>1.3958333333357587</v>
      </c>
      <c r="H222" s="2" t="s">
        <v>248</v>
      </c>
      <c r="J222" s="2" t="s">
        <v>249</v>
      </c>
      <c r="K222" s="2" t="s">
        <v>349</v>
      </c>
      <c r="L222" s="2" t="s">
        <v>1148</v>
      </c>
      <c r="M222" t="s">
        <v>251</v>
      </c>
      <c r="N222" t="s">
        <v>330</v>
      </c>
      <c r="O222" t="s">
        <v>1149</v>
      </c>
      <c r="P222" t="s">
        <v>1200</v>
      </c>
      <c r="Q222" t="s">
        <v>966</v>
      </c>
    </row>
    <row r="223" spans="1:17">
      <c r="A223" s="2" t="s">
        <v>644</v>
      </c>
      <c r="B223" s="2" t="s">
        <v>644</v>
      </c>
      <c r="C223" s="2" t="s">
        <v>718</v>
      </c>
      <c r="D223" s="11">
        <v>45964.229166666664</v>
      </c>
      <c r="E223" s="11">
        <v>45964.229166666664</v>
      </c>
      <c r="F223" s="11">
        <v>45965.625</v>
      </c>
      <c r="G223" s="12">
        <v>1.3958333333357587</v>
      </c>
      <c r="H223" s="2" t="s">
        <v>248</v>
      </c>
      <c r="J223" s="2" t="s">
        <v>249</v>
      </c>
      <c r="K223" s="2" t="s">
        <v>349</v>
      </c>
      <c r="L223" s="2" t="s">
        <v>1148</v>
      </c>
      <c r="M223" t="s">
        <v>251</v>
      </c>
      <c r="N223" t="s">
        <v>330</v>
      </c>
      <c r="O223" t="s">
        <v>1149</v>
      </c>
      <c r="P223" t="s">
        <v>1201</v>
      </c>
      <c r="Q223" t="s">
        <v>966</v>
      </c>
    </row>
    <row r="224" spans="1:17">
      <c r="A224" s="2" t="s">
        <v>644</v>
      </c>
      <c r="B224" s="2" t="s">
        <v>644</v>
      </c>
      <c r="C224" s="2" t="s">
        <v>719</v>
      </c>
      <c r="D224" s="11">
        <v>45964.229166666664</v>
      </c>
      <c r="E224" s="11">
        <v>45964.229166666664</v>
      </c>
      <c r="F224" s="11">
        <v>45965.625</v>
      </c>
      <c r="G224" s="12">
        <v>1.3958333333357587</v>
      </c>
      <c r="H224" s="2" t="s">
        <v>248</v>
      </c>
      <c r="J224" s="2" t="s">
        <v>249</v>
      </c>
      <c r="K224" s="2" t="s">
        <v>349</v>
      </c>
      <c r="L224" s="2" t="s">
        <v>1148</v>
      </c>
      <c r="M224" t="s">
        <v>251</v>
      </c>
      <c r="N224" t="s">
        <v>330</v>
      </c>
      <c r="O224" t="s">
        <v>1149</v>
      </c>
      <c r="P224" t="s">
        <v>1202</v>
      </c>
      <c r="Q224" t="s">
        <v>966</v>
      </c>
    </row>
    <row r="225" spans="1:17">
      <c r="A225" s="2" t="s">
        <v>644</v>
      </c>
      <c r="B225" s="2" t="s">
        <v>644</v>
      </c>
      <c r="C225" s="2" t="s">
        <v>720</v>
      </c>
      <c r="D225" s="11">
        <v>45964.229166666664</v>
      </c>
      <c r="E225" s="11">
        <v>45964.229166666664</v>
      </c>
      <c r="F225" s="11">
        <v>45965.625</v>
      </c>
      <c r="G225" s="12">
        <v>1.3958333333357587</v>
      </c>
      <c r="H225" s="2" t="s">
        <v>248</v>
      </c>
      <c r="J225" s="2" t="s">
        <v>249</v>
      </c>
      <c r="K225" s="2" t="s">
        <v>349</v>
      </c>
      <c r="L225" s="2" t="s">
        <v>1148</v>
      </c>
      <c r="M225" t="s">
        <v>251</v>
      </c>
      <c r="N225" t="s">
        <v>330</v>
      </c>
      <c r="O225" t="s">
        <v>1149</v>
      </c>
      <c r="P225" t="s">
        <v>1203</v>
      </c>
      <c r="Q225" t="s">
        <v>966</v>
      </c>
    </row>
    <row r="226" spans="1:17">
      <c r="A226" s="2" t="s">
        <v>615</v>
      </c>
      <c r="B226" s="2" t="s">
        <v>615</v>
      </c>
      <c r="C226" s="2" t="s">
        <v>616</v>
      </c>
      <c r="D226" s="11">
        <v>45964.229166666664</v>
      </c>
      <c r="E226" s="11">
        <v>45964.229166666664</v>
      </c>
      <c r="F226" s="11">
        <v>45965.625</v>
      </c>
      <c r="G226" s="12">
        <v>1.3958333333357587</v>
      </c>
      <c r="H226" s="2" t="s">
        <v>248</v>
      </c>
      <c r="J226" s="2" t="s">
        <v>249</v>
      </c>
      <c r="K226" s="2" t="s">
        <v>349</v>
      </c>
      <c r="L226" s="2" t="s">
        <v>1148</v>
      </c>
      <c r="M226" t="s">
        <v>251</v>
      </c>
      <c r="N226" t="s">
        <v>330</v>
      </c>
      <c r="O226" t="s">
        <v>1149</v>
      </c>
      <c r="P226" t="s">
        <v>1204</v>
      </c>
      <c r="Q226" t="s">
        <v>966</v>
      </c>
    </row>
    <row r="227" spans="1:17">
      <c r="A227" s="2" t="s">
        <v>615</v>
      </c>
      <c r="B227" s="2" t="s">
        <v>615</v>
      </c>
      <c r="C227" s="2" t="s">
        <v>354</v>
      </c>
      <c r="D227" s="11">
        <v>45964.229166666664</v>
      </c>
      <c r="E227" s="11">
        <v>45964.229166666664</v>
      </c>
      <c r="F227" s="11">
        <v>45965.625</v>
      </c>
      <c r="G227" s="12">
        <v>1.3958333333357587</v>
      </c>
      <c r="H227" s="2" t="s">
        <v>248</v>
      </c>
      <c r="J227" s="2" t="s">
        <v>249</v>
      </c>
      <c r="K227" s="2" t="s">
        <v>349</v>
      </c>
      <c r="L227" s="2" t="s">
        <v>1148</v>
      </c>
      <c r="M227" t="s">
        <v>251</v>
      </c>
      <c r="N227" t="s">
        <v>330</v>
      </c>
      <c r="O227" t="s">
        <v>1149</v>
      </c>
      <c r="P227" t="s">
        <v>1205</v>
      </c>
      <c r="Q227" t="s">
        <v>966</v>
      </c>
    </row>
    <row r="228" spans="1:17">
      <c r="A228" s="2" t="s">
        <v>615</v>
      </c>
      <c r="B228" s="2" t="s">
        <v>615</v>
      </c>
      <c r="C228" s="2" t="s">
        <v>357</v>
      </c>
      <c r="D228" s="11">
        <v>45964.229166666664</v>
      </c>
      <c r="E228" s="11">
        <v>45964.229166666664</v>
      </c>
      <c r="F228" s="11">
        <v>45965.625</v>
      </c>
      <c r="G228" s="12">
        <v>1.3958333333357587</v>
      </c>
      <c r="H228" s="2" t="s">
        <v>248</v>
      </c>
      <c r="J228" s="2" t="s">
        <v>249</v>
      </c>
      <c r="K228" s="2" t="s">
        <v>349</v>
      </c>
      <c r="L228" s="2" t="s">
        <v>1148</v>
      </c>
      <c r="M228" t="s">
        <v>251</v>
      </c>
      <c r="N228" t="s">
        <v>330</v>
      </c>
      <c r="O228" t="s">
        <v>1149</v>
      </c>
      <c r="P228" t="s">
        <v>1206</v>
      </c>
      <c r="Q228" t="s">
        <v>966</v>
      </c>
    </row>
    <row r="229" spans="1:17">
      <c r="A229" s="2" t="s">
        <v>327</v>
      </c>
      <c r="B229" s="2" t="s">
        <v>327</v>
      </c>
      <c r="C229" s="2" t="s">
        <v>328</v>
      </c>
      <c r="D229" s="11">
        <v>45964.25</v>
      </c>
      <c r="E229" s="11">
        <v>45964.25</v>
      </c>
      <c r="F229" s="11">
        <v>45964.333333333336</v>
      </c>
      <c r="G229" s="12">
        <v>8.3333333335758653E-2</v>
      </c>
      <c r="H229" s="2" t="s">
        <v>248</v>
      </c>
      <c r="J229" s="2" t="s">
        <v>249</v>
      </c>
      <c r="K229" s="2" t="s">
        <v>349</v>
      </c>
      <c r="L229" s="2" t="s">
        <v>422</v>
      </c>
      <c r="M229" t="s">
        <v>736</v>
      </c>
      <c r="N229" t="s">
        <v>330</v>
      </c>
      <c r="O229" t="s">
        <v>739</v>
      </c>
      <c r="P229" t="s">
        <v>1207</v>
      </c>
      <c r="Q229" t="s">
        <v>966</v>
      </c>
    </row>
    <row r="230" spans="1:17">
      <c r="A230" s="2" t="s">
        <v>332</v>
      </c>
      <c r="B230" s="2" t="s">
        <v>332</v>
      </c>
      <c r="C230" s="2" t="s">
        <v>328</v>
      </c>
      <c r="D230" s="11">
        <v>45964.25</v>
      </c>
      <c r="E230" s="11">
        <v>45964.25</v>
      </c>
      <c r="F230" s="11">
        <v>45964.333333333336</v>
      </c>
      <c r="G230" s="12">
        <v>8.3333333335758653E-2</v>
      </c>
      <c r="H230" s="2" t="s">
        <v>248</v>
      </c>
      <c r="J230" s="2" t="s">
        <v>249</v>
      </c>
      <c r="K230" s="2" t="s">
        <v>349</v>
      </c>
      <c r="L230" s="2" t="s">
        <v>422</v>
      </c>
      <c r="M230" t="s">
        <v>736</v>
      </c>
      <c r="N230" t="s">
        <v>330</v>
      </c>
      <c r="O230" t="s">
        <v>739</v>
      </c>
      <c r="P230" t="s">
        <v>1208</v>
      </c>
      <c r="Q230" t="s">
        <v>966</v>
      </c>
    </row>
    <row r="231" spans="1:17">
      <c r="A231" s="2" t="s">
        <v>333</v>
      </c>
      <c r="B231" s="2" t="s">
        <v>333</v>
      </c>
      <c r="C231" s="2" t="s">
        <v>328</v>
      </c>
      <c r="D231" s="11">
        <v>45964.25</v>
      </c>
      <c r="E231" s="11">
        <v>45964.25</v>
      </c>
      <c r="F231" s="11">
        <v>45964.333333333336</v>
      </c>
      <c r="G231" s="12">
        <v>8.3333333335758653E-2</v>
      </c>
      <c r="H231" s="2" t="s">
        <v>248</v>
      </c>
      <c r="J231" s="2" t="s">
        <v>249</v>
      </c>
      <c r="K231" s="2" t="s">
        <v>349</v>
      </c>
      <c r="L231" s="2" t="s">
        <v>422</v>
      </c>
      <c r="M231" t="s">
        <v>736</v>
      </c>
      <c r="N231" t="s">
        <v>330</v>
      </c>
      <c r="O231" t="s">
        <v>739</v>
      </c>
      <c r="P231" t="s">
        <v>1209</v>
      </c>
      <c r="Q231" t="s">
        <v>966</v>
      </c>
    </row>
    <row r="232" spans="1:17">
      <c r="A232" s="2" t="s">
        <v>334</v>
      </c>
      <c r="B232" s="2" t="s">
        <v>334</v>
      </c>
      <c r="C232" s="2" t="s">
        <v>328</v>
      </c>
      <c r="D232" s="11">
        <v>45964.25</v>
      </c>
      <c r="E232" s="11">
        <v>45964.25</v>
      </c>
      <c r="F232" s="11">
        <v>45964.333333333336</v>
      </c>
      <c r="G232" s="12">
        <v>8.3333333335758653E-2</v>
      </c>
      <c r="H232" s="2" t="s">
        <v>248</v>
      </c>
      <c r="J232" s="2" t="s">
        <v>249</v>
      </c>
      <c r="K232" s="2" t="s">
        <v>349</v>
      </c>
      <c r="L232" s="2" t="s">
        <v>422</v>
      </c>
      <c r="M232" t="s">
        <v>736</v>
      </c>
      <c r="N232" t="s">
        <v>330</v>
      </c>
      <c r="O232" t="s">
        <v>739</v>
      </c>
      <c r="P232" t="s">
        <v>1210</v>
      </c>
      <c r="Q232" t="s">
        <v>966</v>
      </c>
    </row>
    <row r="233" spans="1:17">
      <c r="A233" s="2" t="s">
        <v>335</v>
      </c>
      <c r="B233" s="2" t="s">
        <v>335</v>
      </c>
      <c r="C233" s="2" t="s">
        <v>328</v>
      </c>
      <c r="D233" s="11">
        <v>45964.25</v>
      </c>
      <c r="E233" s="11">
        <v>45964.25</v>
      </c>
      <c r="F233" s="11">
        <v>45964.333333333336</v>
      </c>
      <c r="G233" s="12">
        <v>8.3333333335758653E-2</v>
      </c>
      <c r="H233" s="2" t="s">
        <v>248</v>
      </c>
      <c r="J233" s="2" t="s">
        <v>249</v>
      </c>
      <c r="K233" s="2" t="s">
        <v>349</v>
      </c>
      <c r="L233" s="2" t="s">
        <v>422</v>
      </c>
      <c r="M233" t="s">
        <v>736</v>
      </c>
      <c r="N233" t="s">
        <v>330</v>
      </c>
      <c r="O233" t="s">
        <v>739</v>
      </c>
      <c r="P233" t="s">
        <v>1211</v>
      </c>
      <c r="Q233" t="s">
        <v>966</v>
      </c>
    </row>
    <row r="234" spans="1:17">
      <c r="A234" s="2" t="s">
        <v>888</v>
      </c>
      <c r="B234" s="2" t="s">
        <v>566</v>
      </c>
      <c r="C234" s="2" t="s">
        <v>567</v>
      </c>
      <c r="D234" s="11">
        <v>45964.25</v>
      </c>
      <c r="E234" s="11">
        <v>45964.25</v>
      </c>
      <c r="F234" s="11">
        <v>45964.333333333336</v>
      </c>
      <c r="G234" s="12">
        <v>8.3333333335758653E-2</v>
      </c>
      <c r="H234" s="2" t="s">
        <v>248</v>
      </c>
      <c r="J234" s="2" t="s">
        <v>249</v>
      </c>
      <c r="K234" s="2" t="s">
        <v>349</v>
      </c>
      <c r="L234" s="2" t="s">
        <v>1212</v>
      </c>
      <c r="M234" t="s">
        <v>736</v>
      </c>
      <c r="N234" t="s">
        <v>330</v>
      </c>
      <c r="O234" t="s">
        <v>1213</v>
      </c>
      <c r="P234" t="s">
        <v>1214</v>
      </c>
      <c r="Q234" t="s">
        <v>966</v>
      </c>
    </row>
    <row r="235" spans="1:17">
      <c r="A235" s="2" t="s">
        <v>888</v>
      </c>
      <c r="B235" s="2" t="s">
        <v>566</v>
      </c>
      <c r="C235" s="2" t="s">
        <v>1215</v>
      </c>
      <c r="D235" s="11">
        <v>45964.25</v>
      </c>
      <c r="E235" s="11">
        <v>45964.25</v>
      </c>
      <c r="F235" s="11">
        <v>45964.333333333336</v>
      </c>
      <c r="G235" s="12">
        <v>8.3333333335758653E-2</v>
      </c>
      <c r="H235" s="2" t="s">
        <v>248</v>
      </c>
      <c r="J235" s="2" t="s">
        <v>249</v>
      </c>
      <c r="K235" s="2" t="s">
        <v>349</v>
      </c>
      <c r="L235" s="2" t="s">
        <v>1212</v>
      </c>
      <c r="M235" t="s">
        <v>736</v>
      </c>
      <c r="N235" t="s">
        <v>330</v>
      </c>
      <c r="O235" t="s">
        <v>1213</v>
      </c>
      <c r="P235" t="s">
        <v>1216</v>
      </c>
      <c r="Q235" t="s">
        <v>966</v>
      </c>
    </row>
    <row r="236" spans="1:17">
      <c r="A236" s="2" t="s">
        <v>888</v>
      </c>
      <c r="B236" s="2" t="s">
        <v>566</v>
      </c>
      <c r="C236" s="2" t="s">
        <v>1217</v>
      </c>
      <c r="D236" s="11">
        <v>45964.25</v>
      </c>
      <c r="E236" s="11">
        <v>45964.25</v>
      </c>
      <c r="F236" s="11">
        <v>45964.333333333336</v>
      </c>
      <c r="G236" s="12">
        <v>8.3333333335758653E-2</v>
      </c>
      <c r="H236" s="2" t="s">
        <v>248</v>
      </c>
      <c r="J236" s="2" t="s">
        <v>249</v>
      </c>
      <c r="K236" s="2" t="s">
        <v>349</v>
      </c>
      <c r="L236" s="2" t="s">
        <v>1212</v>
      </c>
      <c r="M236" t="s">
        <v>736</v>
      </c>
      <c r="N236" t="s">
        <v>330</v>
      </c>
      <c r="O236" t="s">
        <v>1213</v>
      </c>
      <c r="P236" t="s">
        <v>1218</v>
      </c>
      <c r="Q236" t="s">
        <v>966</v>
      </c>
    </row>
    <row r="237" spans="1:17">
      <c r="A237" s="2" t="s">
        <v>888</v>
      </c>
      <c r="B237" s="2" t="s">
        <v>566</v>
      </c>
      <c r="C237" s="2" t="s">
        <v>1219</v>
      </c>
      <c r="D237" s="11">
        <v>45964.25</v>
      </c>
      <c r="E237" s="11">
        <v>45964.25</v>
      </c>
      <c r="F237" s="11">
        <v>45964.333333333336</v>
      </c>
      <c r="G237" s="12">
        <v>8.3333333335758653E-2</v>
      </c>
      <c r="H237" s="2" t="s">
        <v>248</v>
      </c>
      <c r="J237" s="2" t="s">
        <v>249</v>
      </c>
      <c r="K237" s="2" t="s">
        <v>349</v>
      </c>
      <c r="L237" s="2" t="s">
        <v>1212</v>
      </c>
      <c r="M237" t="s">
        <v>736</v>
      </c>
      <c r="N237" t="s">
        <v>330</v>
      </c>
      <c r="O237" t="s">
        <v>1213</v>
      </c>
      <c r="P237" t="s">
        <v>1220</v>
      </c>
      <c r="Q237" t="s">
        <v>966</v>
      </c>
    </row>
    <row r="238" spans="1:17">
      <c r="A238" s="2" t="s">
        <v>846</v>
      </c>
      <c r="B238" s="2" t="s">
        <v>602</v>
      </c>
      <c r="C238" s="2" t="s">
        <v>1221</v>
      </c>
      <c r="D238" s="11">
        <v>45964.29892361111</v>
      </c>
      <c r="E238" s="11">
        <v>45964.29892361111</v>
      </c>
      <c r="F238" s="11">
        <v>45964.305162037039</v>
      </c>
      <c r="G238" s="12">
        <v>6.2384259290411137E-3</v>
      </c>
      <c r="H238" s="2" t="s">
        <v>248</v>
      </c>
      <c r="J238" s="2" t="s">
        <v>300</v>
      </c>
      <c r="K238" s="2" t="s">
        <v>350</v>
      </c>
      <c r="L238" s="2" t="s">
        <v>1222</v>
      </c>
      <c r="M238" t="s">
        <v>375</v>
      </c>
      <c r="N238" t="s">
        <v>828</v>
      </c>
      <c r="P238" t="s">
        <v>1223</v>
      </c>
      <c r="Q238" t="s">
        <v>1224</v>
      </c>
    </row>
    <row r="239" spans="1:17">
      <c r="A239" s="2" t="s">
        <v>382</v>
      </c>
      <c r="B239" s="2" t="s">
        <v>382</v>
      </c>
      <c r="C239" s="2" t="s">
        <v>328</v>
      </c>
      <c r="D239" s="11">
        <v>45964.319444444445</v>
      </c>
      <c r="E239" s="11">
        <v>45964.319444444445</v>
      </c>
      <c r="F239" s="11">
        <v>45964.625</v>
      </c>
      <c r="G239" s="12">
        <v>0.30555555555474712</v>
      </c>
      <c r="H239" s="2" t="s">
        <v>248</v>
      </c>
      <c r="J239" s="2" t="s">
        <v>249</v>
      </c>
      <c r="K239" s="2" t="s">
        <v>349</v>
      </c>
      <c r="L239" s="2" t="s">
        <v>1225</v>
      </c>
      <c r="M239" t="s">
        <v>302</v>
      </c>
      <c r="N239" t="s">
        <v>303</v>
      </c>
      <c r="O239" t="s">
        <v>1226</v>
      </c>
      <c r="P239" t="s">
        <v>1227</v>
      </c>
      <c r="Q239" t="s">
        <v>966</v>
      </c>
    </row>
    <row r="240" spans="1:17">
      <c r="A240" s="2" t="s">
        <v>382</v>
      </c>
      <c r="B240" s="2" t="s">
        <v>382</v>
      </c>
      <c r="C240" s="2" t="s">
        <v>247</v>
      </c>
      <c r="D240" s="11">
        <v>45964.319444444445</v>
      </c>
      <c r="E240" s="11">
        <v>45964.319444444445</v>
      </c>
      <c r="F240" s="11">
        <v>45964.625</v>
      </c>
      <c r="G240" s="12">
        <v>0.30555555555474712</v>
      </c>
      <c r="H240" s="2" t="s">
        <v>248</v>
      </c>
      <c r="J240" s="2" t="s">
        <v>249</v>
      </c>
      <c r="K240" s="2" t="s">
        <v>349</v>
      </c>
      <c r="L240" s="2" t="s">
        <v>1225</v>
      </c>
      <c r="M240" t="s">
        <v>302</v>
      </c>
      <c r="N240" t="s">
        <v>303</v>
      </c>
      <c r="O240" t="s">
        <v>1226</v>
      </c>
      <c r="P240" t="s">
        <v>1228</v>
      </c>
      <c r="Q240" t="s">
        <v>966</v>
      </c>
    </row>
    <row r="241" spans="1:17">
      <c r="A241" s="2" t="s">
        <v>382</v>
      </c>
      <c r="B241" s="2" t="s">
        <v>382</v>
      </c>
      <c r="C241" s="2" t="s">
        <v>254</v>
      </c>
      <c r="D241" s="11">
        <v>45964.319444444445</v>
      </c>
      <c r="E241" s="11">
        <v>45964.319444444445</v>
      </c>
      <c r="F241" s="11">
        <v>45964.625</v>
      </c>
      <c r="G241" s="12">
        <v>0.30555555555474712</v>
      </c>
      <c r="H241" s="2" t="s">
        <v>248</v>
      </c>
      <c r="J241" s="2" t="s">
        <v>249</v>
      </c>
      <c r="K241" s="2" t="s">
        <v>349</v>
      </c>
      <c r="L241" s="2" t="s">
        <v>1225</v>
      </c>
      <c r="M241" t="s">
        <v>302</v>
      </c>
      <c r="N241" t="s">
        <v>303</v>
      </c>
      <c r="O241" t="s">
        <v>1226</v>
      </c>
      <c r="P241" t="s">
        <v>1229</v>
      </c>
      <c r="Q241" t="s">
        <v>966</v>
      </c>
    </row>
    <row r="242" spans="1:17">
      <c r="A242" s="2" t="s">
        <v>382</v>
      </c>
      <c r="B242" s="2" t="s">
        <v>382</v>
      </c>
      <c r="C242" s="2" t="s">
        <v>257</v>
      </c>
      <c r="D242" s="11">
        <v>45964.319444444445</v>
      </c>
      <c r="E242" s="11">
        <v>45964.319444444445</v>
      </c>
      <c r="F242" s="11">
        <v>45964.625</v>
      </c>
      <c r="G242" s="12">
        <v>0.30555555555474712</v>
      </c>
      <c r="H242" s="2" t="s">
        <v>248</v>
      </c>
      <c r="J242" s="2" t="s">
        <v>249</v>
      </c>
      <c r="K242" s="2" t="s">
        <v>349</v>
      </c>
      <c r="L242" s="2" t="s">
        <v>1225</v>
      </c>
      <c r="M242" t="s">
        <v>302</v>
      </c>
      <c r="N242" t="s">
        <v>303</v>
      </c>
      <c r="O242" t="s">
        <v>1226</v>
      </c>
      <c r="P242" t="s">
        <v>1230</v>
      </c>
      <c r="Q242" t="s">
        <v>966</v>
      </c>
    </row>
    <row r="243" spans="1:17">
      <c r="A243" s="2" t="s">
        <v>382</v>
      </c>
      <c r="B243" s="2" t="s">
        <v>382</v>
      </c>
      <c r="C243" s="2" t="s">
        <v>256</v>
      </c>
      <c r="D243" s="11">
        <v>45964.319444444445</v>
      </c>
      <c r="E243" s="11">
        <v>45964.319444444445</v>
      </c>
      <c r="F243" s="11">
        <v>45964.625</v>
      </c>
      <c r="G243" s="12">
        <v>0.30555555555474712</v>
      </c>
      <c r="H243" s="2" t="s">
        <v>248</v>
      </c>
      <c r="J243" s="2" t="s">
        <v>249</v>
      </c>
      <c r="K243" s="2" t="s">
        <v>349</v>
      </c>
      <c r="L243" s="2" t="s">
        <v>1225</v>
      </c>
      <c r="M243" t="s">
        <v>302</v>
      </c>
      <c r="N243" t="s">
        <v>303</v>
      </c>
      <c r="O243" t="s">
        <v>1226</v>
      </c>
      <c r="P243" t="s">
        <v>1231</v>
      </c>
      <c r="Q243" t="s">
        <v>966</v>
      </c>
    </row>
    <row r="244" spans="1:17">
      <c r="A244" s="2" t="s">
        <v>383</v>
      </c>
      <c r="B244" s="2" t="s">
        <v>383</v>
      </c>
      <c r="C244" s="2" t="s">
        <v>385</v>
      </c>
      <c r="D244" s="11">
        <v>45964.319444444445</v>
      </c>
      <c r="E244" s="11">
        <v>45964.319444444445</v>
      </c>
      <c r="F244" s="11">
        <v>45964.625</v>
      </c>
      <c r="G244" s="12">
        <v>0.30555555555474712</v>
      </c>
      <c r="H244" s="2" t="s">
        <v>248</v>
      </c>
      <c r="J244" s="2" t="s">
        <v>249</v>
      </c>
      <c r="K244" s="2" t="s">
        <v>349</v>
      </c>
      <c r="L244" s="2" t="s">
        <v>1225</v>
      </c>
      <c r="M244" t="s">
        <v>302</v>
      </c>
      <c r="N244" t="s">
        <v>303</v>
      </c>
      <c r="O244" t="s">
        <v>1226</v>
      </c>
      <c r="P244" t="s">
        <v>1232</v>
      </c>
      <c r="Q244" t="s">
        <v>966</v>
      </c>
    </row>
    <row r="245" spans="1:17">
      <c r="A245" s="2" t="s">
        <v>383</v>
      </c>
      <c r="B245" s="2" t="s">
        <v>383</v>
      </c>
      <c r="C245" s="2" t="s">
        <v>386</v>
      </c>
      <c r="D245" s="11">
        <v>45964.319444444445</v>
      </c>
      <c r="E245" s="11">
        <v>45964.319444444445</v>
      </c>
      <c r="F245" s="11">
        <v>45964.625</v>
      </c>
      <c r="G245" s="12">
        <v>0.30555555555474712</v>
      </c>
      <c r="H245" s="2" t="s">
        <v>248</v>
      </c>
      <c r="J245" s="2" t="s">
        <v>249</v>
      </c>
      <c r="K245" s="2" t="s">
        <v>349</v>
      </c>
      <c r="L245" s="2" t="s">
        <v>1225</v>
      </c>
      <c r="M245" t="s">
        <v>302</v>
      </c>
      <c r="N245" t="s">
        <v>303</v>
      </c>
      <c r="O245" t="s">
        <v>1226</v>
      </c>
      <c r="P245" t="s">
        <v>1233</v>
      </c>
      <c r="Q245" t="s">
        <v>966</v>
      </c>
    </row>
    <row r="246" spans="1:17">
      <c r="A246" s="2" t="s">
        <v>383</v>
      </c>
      <c r="B246" s="2" t="s">
        <v>383</v>
      </c>
      <c r="C246" s="2" t="s">
        <v>354</v>
      </c>
      <c r="D246" s="11">
        <v>45964.319444444445</v>
      </c>
      <c r="E246" s="11">
        <v>45964.319444444445</v>
      </c>
      <c r="F246" s="11">
        <v>45964.625</v>
      </c>
      <c r="G246" s="12">
        <v>0.30555555555474712</v>
      </c>
      <c r="H246" s="2" t="s">
        <v>248</v>
      </c>
      <c r="J246" s="2" t="s">
        <v>249</v>
      </c>
      <c r="K246" s="2" t="s">
        <v>349</v>
      </c>
      <c r="L246" s="2" t="s">
        <v>1225</v>
      </c>
      <c r="M246" t="s">
        <v>302</v>
      </c>
      <c r="N246" t="s">
        <v>303</v>
      </c>
      <c r="O246" t="s">
        <v>1226</v>
      </c>
      <c r="P246" t="s">
        <v>1234</v>
      </c>
      <c r="Q246" t="s">
        <v>966</v>
      </c>
    </row>
    <row r="247" spans="1:17">
      <c r="A247" s="2" t="s">
        <v>383</v>
      </c>
      <c r="B247" s="2" t="s">
        <v>383</v>
      </c>
      <c r="C247" s="2" t="s">
        <v>384</v>
      </c>
      <c r="D247" s="11">
        <v>45964.319444444445</v>
      </c>
      <c r="E247" s="11">
        <v>45964.319444444445</v>
      </c>
      <c r="F247" s="11">
        <v>45964.625</v>
      </c>
      <c r="G247" s="12">
        <v>0.30555555555474712</v>
      </c>
      <c r="H247" s="2" t="s">
        <v>248</v>
      </c>
      <c r="J247" s="2" t="s">
        <v>249</v>
      </c>
      <c r="K247" s="2" t="s">
        <v>349</v>
      </c>
      <c r="L247" s="2" t="s">
        <v>1225</v>
      </c>
      <c r="M247" t="s">
        <v>302</v>
      </c>
      <c r="N247" t="s">
        <v>303</v>
      </c>
      <c r="O247" t="s">
        <v>1226</v>
      </c>
      <c r="P247" t="s">
        <v>1235</v>
      </c>
      <c r="Q247" t="s">
        <v>966</v>
      </c>
    </row>
    <row r="248" spans="1:17">
      <c r="A248" s="2" t="s">
        <v>383</v>
      </c>
      <c r="B248" s="2" t="s">
        <v>383</v>
      </c>
      <c r="C248" s="2" t="s">
        <v>328</v>
      </c>
      <c r="D248" s="11">
        <v>45964.319444444445</v>
      </c>
      <c r="E248" s="11">
        <v>45964.319444444445</v>
      </c>
      <c r="F248" s="11">
        <v>45964.625</v>
      </c>
      <c r="G248" s="12">
        <v>0.30555555555474712</v>
      </c>
      <c r="H248" s="2" t="s">
        <v>248</v>
      </c>
      <c r="J248" s="2" t="s">
        <v>249</v>
      </c>
      <c r="K248" s="2" t="s">
        <v>349</v>
      </c>
      <c r="L248" s="2" t="s">
        <v>1225</v>
      </c>
      <c r="M248" t="s">
        <v>302</v>
      </c>
      <c r="N248" t="s">
        <v>303</v>
      </c>
      <c r="O248" t="s">
        <v>1226</v>
      </c>
      <c r="P248" t="s">
        <v>1236</v>
      </c>
      <c r="Q248" t="s">
        <v>966</v>
      </c>
    </row>
    <row r="249" spans="1:17">
      <c r="A249" s="2" t="s">
        <v>387</v>
      </c>
      <c r="B249" s="2" t="s">
        <v>387</v>
      </c>
      <c r="C249" s="2" t="s">
        <v>257</v>
      </c>
      <c r="D249" s="11">
        <v>45964.319444444445</v>
      </c>
      <c r="E249" s="11">
        <v>45964.319444444445</v>
      </c>
      <c r="F249" s="11">
        <v>45964.625</v>
      </c>
      <c r="G249" s="12">
        <v>0.30555555555474712</v>
      </c>
      <c r="H249" s="2" t="s">
        <v>248</v>
      </c>
      <c r="J249" s="2" t="s">
        <v>249</v>
      </c>
      <c r="K249" s="2" t="s">
        <v>349</v>
      </c>
      <c r="L249" s="2" t="s">
        <v>1225</v>
      </c>
      <c r="M249" t="s">
        <v>302</v>
      </c>
      <c r="N249" t="s">
        <v>303</v>
      </c>
      <c r="O249" t="s">
        <v>1226</v>
      </c>
      <c r="P249" t="s">
        <v>1237</v>
      </c>
      <c r="Q249" t="s">
        <v>966</v>
      </c>
    </row>
    <row r="250" spans="1:17">
      <c r="A250" s="2" t="s">
        <v>387</v>
      </c>
      <c r="B250" s="2" t="s">
        <v>387</v>
      </c>
      <c r="C250" s="2" t="s">
        <v>255</v>
      </c>
      <c r="D250" s="11">
        <v>45964.319444444445</v>
      </c>
      <c r="E250" s="11">
        <v>45964.319444444445</v>
      </c>
      <c r="F250" s="11">
        <v>45964.625</v>
      </c>
      <c r="G250" s="12">
        <v>0.30555555555474712</v>
      </c>
      <c r="H250" s="2" t="s">
        <v>248</v>
      </c>
      <c r="J250" s="2" t="s">
        <v>249</v>
      </c>
      <c r="K250" s="2" t="s">
        <v>349</v>
      </c>
      <c r="L250" s="2" t="s">
        <v>1225</v>
      </c>
      <c r="M250" t="s">
        <v>302</v>
      </c>
      <c r="N250" t="s">
        <v>303</v>
      </c>
      <c r="O250" t="s">
        <v>1226</v>
      </c>
      <c r="P250" t="s">
        <v>1238</v>
      </c>
      <c r="Q250" t="s">
        <v>966</v>
      </c>
    </row>
    <row r="251" spans="1:17">
      <c r="A251" s="2" t="s">
        <v>387</v>
      </c>
      <c r="B251" s="2" t="s">
        <v>387</v>
      </c>
      <c r="C251" s="2" t="s">
        <v>256</v>
      </c>
      <c r="D251" s="11">
        <v>45964.319444444445</v>
      </c>
      <c r="E251" s="11">
        <v>45964.319444444445</v>
      </c>
      <c r="F251" s="11">
        <v>45964.625</v>
      </c>
      <c r="G251" s="12">
        <v>0.30555555555474712</v>
      </c>
      <c r="H251" s="2" t="s">
        <v>248</v>
      </c>
      <c r="J251" s="2" t="s">
        <v>249</v>
      </c>
      <c r="K251" s="2" t="s">
        <v>349</v>
      </c>
      <c r="L251" s="2" t="s">
        <v>1225</v>
      </c>
      <c r="M251" t="s">
        <v>302</v>
      </c>
      <c r="N251" t="s">
        <v>303</v>
      </c>
      <c r="O251" t="s">
        <v>1226</v>
      </c>
      <c r="P251" t="s">
        <v>1239</v>
      </c>
      <c r="Q251" t="s">
        <v>966</v>
      </c>
    </row>
    <row r="252" spans="1:17">
      <c r="A252" s="2" t="s">
        <v>387</v>
      </c>
      <c r="B252" s="2" t="s">
        <v>387</v>
      </c>
      <c r="C252" s="2" t="s">
        <v>247</v>
      </c>
      <c r="D252" s="11">
        <v>45964.319444444445</v>
      </c>
      <c r="E252" s="11">
        <v>45964.319444444445</v>
      </c>
      <c r="F252" s="11">
        <v>45964.625</v>
      </c>
      <c r="G252" s="12">
        <v>0.30555555555474712</v>
      </c>
      <c r="H252" s="2" t="s">
        <v>248</v>
      </c>
      <c r="J252" s="2" t="s">
        <v>249</v>
      </c>
      <c r="K252" s="2" t="s">
        <v>349</v>
      </c>
      <c r="L252" s="2" t="s">
        <v>1225</v>
      </c>
      <c r="M252" t="s">
        <v>302</v>
      </c>
      <c r="N252" t="s">
        <v>303</v>
      </c>
      <c r="O252" t="s">
        <v>1226</v>
      </c>
      <c r="P252" t="s">
        <v>1240</v>
      </c>
      <c r="Q252" t="s">
        <v>966</v>
      </c>
    </row>
    <row r="253" spans="1:17">
      <c r="A253" s="2" t="s">
        <v>387</v>
      </c>
      <c r="B253" s="2" t="s">
        <v>387</v>
      </c>
      <c r="C253" s="2" t="s">
        <v>254</v>
      </c>
      <c r="D253" s="11">
        <v>45964.319444444445</v>
      </c>
      <c r="E253" s="11">
        <v>45964.319444444445</v>
      </c>
      <c r="F253" s="11">
        <v>45964.625</v>
      </c>
      <c r="G253" s="12">
        <v>0.30555555555474712</v>
      </c>
      <c r="H253" s="2" t="s">
        <v>248</v>
      </c>
      <c r="J253" s="2" t="s">
        <v>249</v>
      </c>
      <c r="K253" s="2" t="s">
        <v>349</v>
      </c>
      <c r="L253" s="2" t="s">
        <v>1225</v>
      </c>
      <c r="M253" t="s">
        <v>302</v>
      </c>
      <c r="N253" t="s">
        <v>303</v>
      </c>
      <c r="O253" t="s">
        <v>1226</v>
      </c>
      <c r="P253" t="s">
        <v>1241</v>
      </c>
      <c r="Q253" t="s">
        <v>966</v>
      </c>
    </row>
    <row r="254" spans="1:17">
      <c r="A254" s="2" t="s">
        <v>379</v>
      </c>
      <c r="B254" s="2" t="s">
        <v>379</v>
      </c>
      <c r="C254" s="2" t="s">
        <v>674</v>
      </c>
      <c r="D254" s="11">
        <v>45964.319444444445</v>
      </c>
      <c r="E254" s="11">
        <v>45964.319444444445</v>
      </c>
      <c r="F254" s="11">
        <v>45964.625</v>
      </c>
      <c r="G254" s="12">
        <v>0.30555555555474712</v>
      </c>
      <c r="H254" s="2" t="s">
        <v>248</v>
      </c>
      <c r="J254" s="2" t="s">
        <v>249</v>
      </c>
      <c r="K254" s="2" t="s">
        <v>349</v>
      </c>
      <c r="L254" s="2" t="s">
        <v>1225</v>
      </c>
      <c r="M254" t="s">
        <v>302</v>
      </c>
      <c r="N254" t="s">
        <v>303</v>
      </c>
      <c r="O254" t="s">
        <v>1226</v>
      </c>
      <c r="P254" t="s">
        <v>1242</v>
      </c>
      <c r="Q254" t="s">
        <v>966</v>
      </c>
    </row>
    <row r="255" spans="1:17">
      <c r="A255" s="2" t="s">
        <v>379</v>
      </c>
      <c r="B255" s="2" t="s">
        <v>379</v>
      </c>
      <c r="C255" s="2" t="s">
        <v>255</v>
      </c>
      <c r="D255" s="11">
        <v>45964.319444444445</v>
      </c>
      <c r="E255" s="11">
        <v>45964.319444444445</v>
      </c>
      <c r="F255" s="11">
        <v>45964.625</v>
      </c>
      <c r="G255" s="12">
        <v>0.30555555555474712</v>
      </c>
      <c r="H255" s="2" t="s">
        <v>248</v>
      </c>
      <c r="J255" s="2" t="s">
        <v>249</v>
      </c>
      <c r="K255" s="2" t="s">
        <v>349</v>
      </c>
      <c r="L255" s="2" t="s">
        <v>1225</v>
      </c>
      <c r="M255" t="s">
        <v>302</v>
      </c>
      <c r="N255" t="s">
        <v>303</v>
      </c>
      <c r="O255" t="s">
        <v>1226</v>
      </c>
      <c r="P255" t="s">
        <v>1243</v>
      </c>
      <c r="Q255" t="s">
        <v>966</v>
      </c>
    </row>
    <row r="256" spans="1:17">
      <c r="A256" s="2" t="s">
        <v>379</v>
      </c>
      <c r="B256" s="2" t="s">
        <v>379</v>
      </c>
      <c r="C256" s="2" t="s">
        <v>254</v>
      </c>
      <c r="D256" s="11">
        <v>45964.319444444445</v>
      </c>
      <c r="E256" s="11">
        <v>45964.319444444445</v>
      </c>
      <c r="F256" s="11">
        <v>45964.625</v>
      </c>
      <c r="G256" s="12">
        <v>0.30555555555474712</v>
      </c>
      <c r="H256" s="2" t="s">
        <v>248</v>
      </c>
      <c r="J256" s="2" t="s">
        <v>249</v>
      </c>
      <c r="K256" s="2" t="s">
        <v>349</v>
      </c>
      <c r="L256" s="2" t="s">
        <v>1225</v>
      </c>
      <c r="M256" t="s">
        <v>302</v>
      </c>
      <c r="N256" t="s">
        <v>303</v>
      </c>
      <c r="O256" t="s">
        <v>1226</v>
      </c>
      <c r="P256" t="s">
        <v>1244</v>
      </c>
      <c r="Q256" t="s">
        <v>966</v>
      </c>
    </row>
    <row r="257" spans="1:17">
      <c r="A257" s="2" t="s">
        <v>379</v>
      </c>
      <c r="B257" s="2" t="s">
        <v>379</v>
      </c>
      <c r="C257" s="2" t="s">
        <v>257</v>
      </c>
      <c r="D257" s="11">
        <v>45964.319444444445</v>
      </c>
      <c r="E257" s="11">
        <v>45964.319444444445</v>
      </c>
      <c r="F257" s="11">
        <v>45964.625</v>
      </c>
      <c r="G257" s="12">
        <v>0.30555555555474712</v>
      </c>
      <c r="H257" s="2" t="s">
        <v>248</v>
      </c>
      <c r="J257" s="2" t="s">
        <v>249</v>
      </c>
      <c r="K257" s="2" t="s">
        <v>349</v>
      </c>
      <c r="L257" s="2" t="s">
        <v>1225</v>
      </c>
      <c r="M257" t="s">
        <v>302</v>
      </c>
      <c r="N257" t="s">
        <v>303</v>
      </c>
      <c r="O257" t="s">
        <v>1226</v>
      </c>
      <c r="P257" t="s">
        <v>1245</v>
      </c>
      <c r="Q257" t="s">
        <v>966</v>
      </c>
    </row>
    <row r="258" spans="1:17">
      <c r="A258" s="2" t="s">
        <v>379</v>
      </c>
      <c r="B258" s="2" t="s">
        <v>379</v>
      </c>
      <c r="C258" s="2" t="s">
        <v>256</v>
      </c>
      <c r="D258" s="11">
        <v>45964.319444444445</v>
      </c>
      <c r="E258" s="11">
        <v>45964.319444444445</v>
      </c>
      <c r="F258" s="11">
        <v>45964.625</v>
      </c>
      <c r="G258" s="12">
        <v>0.30555555555474712</v>
      </c>
      <c r="H258" s="2" t="s">
        <v>248</v>
      </c>
      <c r="J258" s="2" t="s">
        <v>249</v>
      </c>
      <c r="K258" s="2" t="s">
        <v>349</v>
      </c>
      <c r="L258" s="2" t="s">
        <v>1225</v>
      </c>
      <c r="M258" t="s">
        <v>302</v>
      </c>
      <c r="N258" t="s">
        <v>303</v>
      </c>
      <c r="O258" t="s">
        <v>1226</v>
      </c>
      <c r="P258" t="s">
        <v>1246</v>
      </c>
      <c r="Q258" t="s">
        <v>966</v>
      </c>
    </row>
    <row r="259" spans="1:17">
      <c r="A259" s="2" t="s">
        <v>388</v>
      </c>
      <c r="B259" s="2" t="s">
        <v>388</v>
      </c>
      <c r="C259" s="2" t="s">
        <v>256</v>
      </c>
      <c r="D259" s="11">
        <v>45964.319444444445</v>
      </c>
      <c r="E259" s="11">
        <v>45964.319444444445</v>
      </c>
      <c r="F259" s="11">
        <v>45964.625</v>
      </c>
      <c r="G259" s="12">
        <v>0.30555555555474712</v>
      </c>
      <c r="H259" s="2" t="s">
        <v>248</v>
      </c>
      <c r="J259" s="2" t="s">
        <v>249</v>
      </c>
      <c r="K259" s="2" t="s">
        <v>349</v>
      </c>
      <c r="L259" s="2" t="s">
        <v>1225</v>
      </c>
      <c r="M259" t="s">
        <v>302</v>
      </c>
      <c r="N259" t="s">
        <v>303</v>
      </c>
      <c r="O259" t="s">
        <v>1226</v>
      </c>
      <c r="P259" t="s">
        <v>1247</v>
      </c>
      <c r="Q259" t="s">
        <v>966</v>
      </c>
    </row>
    <row r="260" spans="1:17">
      <c r="A260" s="2" t="s">
        <v>388</v>
      </c>
      <c r="B260" s="2" t="s">
        <v>388</v>
      </c>
      <c r="C260" s="2" t="s">
        <v>328</v>
      </c>
      <c r="D260" s="11">
        <v>45964.319444444445</v>
      </c>
      <c r="E260" s="11">
        <v>45964.319444444445</v>
      </c>
      <c r="F260" s="11">
        <v>45964.625</v>
      </c>
      <c r="G260" s="12">
        <v>0.30555555555474712</v>
      </c>
      <c r="H260" s="2" t="s">
        <v>248</v>
      </c>
      <c r="J260" s="2" t="s">
        <v>249</v>
      </c>
      <c r="K260" s="2" t="s">
        <v>349</v>
      </c>
      <c r="L260" s="2" t="s">
        <v>1225</v>
      </c>
      <c r="M260" t="s">
        <v>302</v>
      </c>
      <c r="N260" t="s">
        <v>303</v>
      </c>
      <c r="O260" t="s">
        <v>1226</v>
      </c>
      <c r="P260" t="s">
        <v>1248</v>
      </c>
      <c r="Q260" t="s">
        <v>966</v>
      </c>
    </row>
    <row r="261" spans="1:17">
      <c r="A261" s="2" t="s">
        <v>388</v>
      </c>
      <c r="B261" s="2" t="s">
        <v>388</v>
      </c>
      <c r="C261" s="2" t="s">
        <v>254</v>
      </c>
      <c r="D261" s="11">
        <v>45964.319444444445</v>
      </c>
      <c r="E261" s="11">
        <v>45964.319444444445</v>
      </c>
      <c r="F261" s="11">
        <v>45964.625</v>
      </c>
      <c r="G261" s="12">
        <v>0.30555555555474712</v>
      </c>
      <c r="H261" s="2" t="s">
        <v>248</v>
      </c>
      <c r="J261" s="2" t="s">
        <v>249</v>
      </c>
      <c r="K261" s="2" t="s">
        <v>349</v>
      </c>
      <c r="L261" s="2" t="s">
        <v>1225</v>
      </c>
      <c r="M261" t="s">
        <v>302</v>
      </c>
      <c r="N261" t="s">
        <v>303</v>
      </c>
      <c r="O261" t="s">
        <v>1226</v>
      </c>
      <c r="P261" t="s">
        <v>1249</v>
      </c>
      <c r="Q261" t="s">
        <v>966</v>
      </c>
    </row>
    <row r="262" spans="1:17">
      <c r="A262" s="2" t="s">
        <v>388</v>
      </c>
      <c r="B262" s="2" t="s">
        <v>388</v>
      </c>
      <c r="C262" s="2" t="s">
        <v>247</v>
      </c>
      <c r="D262" s="11">
        <v>45964.319444444445</v>
      </c>
      <c r="E262" s="11">
        <v>45964.319444444445</v>
      </c>
      <c r="F262" s="11">
        <v>45964.625</v>
      </c>
      <c r="G262" s="12">
        <v>0.30555555555474712</v>
      </c>
      <c r="H262" s="2" t="s">
        <v>248</v>
      </c>
      <c r="J262" s="2" t="s">
        <v>249</v>
      </c>
      <c r="K262" s="2" t="s">
        <v>349</v>
      </c>
      <c r="L262" s="2" t="s">
        <v>1225</v>
      </c>
      <c r="M262" t="s">
        <v>302</v>
      </c>
      <c r="N262" t="s">
        <v>303</v>
      </c>
      <c r="O262" t="s">
        <v>1226</v>
      </c>
      <c r="P262" t="s">
        <v>1250</v>
      </c>
      <c r="Q262" t="s">
        <v>966</v>
      </c>
    </row>
    <row r="263" spans="1:17">
      <c r="A263" s="2" t="s">
        <v>388</v>
      </c>
      <c r="B263" s="2" t="s">
        <v>388</v>
      </c>
      <c r="C263" s="2" t="s">
        <v>358</v>
      </c>
      <c r="D263" s="11">
        <v>45964.319444444445</v>
      </c>
      <c r="E263" s="11">
        <v>45964.319444444445</v>
      </c>
      <c r="F263" s="11">
        <v>45964.625</v>
      </c>
      <c r="G263" s="12">
        <v>0.30555555555474712</v>
      </c>
      <c r="H263" s="2" t="s">
        <v>248</v>
      </c>
      <c r="J263" s="2" t="s">
        <v>249</v>
      </c>
      <c r="K263" s="2" t="s">
        <v>349</v>
      </c>
      <c r="L263" s="2" t="s">
        <v>1225</v>
      </c>
      <c r="M263" t="s">
        <v>302</v>
      </c>
      <c r="N263" t="s">
        <v>303</v>
      </c>
      <c r="O263" t="s">
        <v>1226</v>
      </c>
      <c r="P263" t="s">
        <v>1251</v>
      </c>
      <c r="Q263" t="s">
        <v>966</v>
      </c>
    </row>
    <row r="264" spans="1:17">
      <c r="A264" s="2" t="s">
        <v>846</v>
      </c>
      <c r="B264" s="2" t="s">
        <v>602</v>
      </c>
      <c r="C264" s="2" t="s">
        <v>1221</v>
      </c>
      <c r="D264" s="11">
        <v>45964.326770833337</v>
      </c>
      <c r="E264" s="11">
        <v>45964.326770833337</v>
      </c>
      <c r="F264" s="11">
        <v>45964.333715277775</v>
      </c>
      <c r="G264" s="12">
        <v>6.9444444379769266E-3</v>
      </c>
      <c r="H264" s="2" t="s">
        <v>248</v>
      </c>
      <c r="J264" s="2" t="s">
        <v>300</v>
      </c>
      <c r="K264" s="2" t="s">
        <v>350</v>
      </c>
      <c r="L264" s="2" t="s">
        <v>1222</v>
      </c>
      <c r="M264" t="s">
        <v>375</v>
      </c>
      <c r="N264" t="s">
        <v>828</v>
      </c>
      <c r="P264" t="s">
        <v>1252</v>
      </c>
      <c r="Q264" t="s">
        <v>1224</v>
      </c>
    </row>
    <row r="265" spans="1:17">
      <c r="A265" s="2" t="s">
        <v>363</v>
      </c>
      <c r="B265" s="2" t="s">
        <v>363</v>
      </c>
      <c r="C265" s="2" t="s">
        <v>357</v>
      </c>
      <c r="D265" s="11">
        <v>45964.384722222225</v>
      </c>
      <c r="E265" s="11">
        <v>45964.384722222225</v>
      </c>
      <c r="F265" s="11">
        <v>45965.239583333336</v>
      </c>
      <c r="G265" s="12">
        <v>0.85486111111094942</v>
      </c>
      <c r="H265" s="2" t="s">
        <v>248</v>
      </c>
      <c r="J265" s="2" t="s">
        <v>249</v>
      </c>
      <c r="K265" s="2" t="s">
        <v>349</v>
      </c>
      <c r="L265" s="2" t="s">
        <v>1043</v>
      </c>
      <c r="M265" t="s">
        <v>251</v>
      </c>
      <c r="N265" t="s">
        <v>330</v>
      </c>
      <c r="O265" t="s">
        <v>739</v>
      </c>
      <c r="P265" t="s">
        <v>1253</v>
      </c>
      <c r="Q265" t="s">
        <v>966</v>
      </c>
    </row>
    <row r="266" spans="1:17">
      <c r="A266" s="2" t="s">
        <v>363</v>
      </c>
      <c r="B266" s="2" t="s">
        <v>363</v>
      </c>
      <c r="C266" s="2" t="s">
        <v>354</v>
      </c>
      <c r="D266" s="11">
        <v>45964.384722222225</v>
      </c>
      <c r="E266" s="11">
        <v>45964.384722222225</v>
      </c>
      <c r="F266" s="11">
        <v>45965.239583333336</v>
      </c>
      <c r="G266" s="12">
        <v>0.85486111111094942</v>
      </c>
      <c r="H266" s="2" t="s">
        <v>248</v>
      </c>
      <c r="J266" s="2" t="s">
        <v>249</v>
      </c>
      <c r="K266" s="2" t="s">
        <v>349</v>
      </c>
      <c r="L266" s="2" t="s">
        <v>1043</v>
      </c>
      <c r="M266" t="s">
        <v>251</v>
      </c>
      <c r="N266" t="s">
        <v>330</v>
      </c>
      <c r="O266" t="s">
        <v>739</v>
      </c>
      <c r="P266" t="s">
        <v>1254</v>
      </c>
      <c r="Q266" t="s">
        <v>966</v>
      </c>
    </row>
    <row r="267" spans="1:17">
      <c r="A267" s="2" t="s">
        <v>363</v>
      </c>
      <c r="B267" s="2" t="s">
        <v>363</v>
      </c>
      <c r="C267" s="2" t="s">
        <v>359</v>
      </c>
      <c r="D267" s="11">
        <v>45964.384722222225</v>
      </c>
      <c r="E267" s="11">
        <v>45964.384722222225</v>
      </c>
      <c r="F267" s="11">
        <v>45965.239583333336</v>
      </c>
      <c r="G267" s="12">
        <v>0.85486111111094942</v>
      </c>
      <c r="H267" s="2" t="s">
        <v>248</v>
      </c>
      <c r="J267" s="2" t="s">
        <v>249</v>
      </c>
      <c r="K267" s="2" t="s">
        <v>349</v>
      </c>
      <c r="L267" s="2" t="s">
        <v>1043</v>
      </c>
      <c r="M267" t="s">
        <v>251</v>
      </c>
      <c r="N267" t="s">
        <v>330</v>
      </c>
      <c r="O267" t="s">
        <v>739</v>
      </c>
      <c r="P267" t="s">
        <v>1255</v>
      </c>
      <c r="Q267" t="s">
        <v>966</v>
      </c>
    </row>
    <row r="268" spans="1:17">
      <c r="A268" s="2" t="s">
        <v>363</v>
      </c>
      <c r="B268" s="2" t="s">
        <v>363</v>
      </c>
      <c r="C268" s="2" t="s">
        <v>358</v>
      </c>
      <c r="D268" s="11">
        <v>45964.384722222225</v>
      </c>
      <c r="E268" s="11">
        <v>45964.384722222225</v>
      </c>
      <c r="F268" s="11">
        <v>45965.239583333336</v>
      </c>
      <c r="G268" s="12">
        <v>0.85486111111094942</v>
      </c>
      <c r="H268" s="2" t="s">
        <v>248</v>
      </c>
      <c r="J268" s="2" t="s">
        <v>249</v>
      </c>
      <c r="K268" s="2" t="s">
        <v>349</v>
      </c>
      <c r="L268" s="2" t="s">
        <v>1043</v>
      </c>
      <c r="M268" t="s">
        <v>251</v>
      </c>
      <c r="N268" t="s">
        <v>330</v>
      </c>
      <c r="O268" t="s">
        <v>739</v>
      </c>
      <c r="P268" t="s">
        <v>1256</v>
      </c>
      <c r="Q268" t="s">
        <v>966</v>
      </c>
    </row>
    <row r="269" spans="1:17">
      <c r="A269" s="2" t="s">
        <v>369</v>
      </c>
      <c r="B269" s="2" t="s">
        <v>369</v>
      </c>
      <c r="C269" s="2" t="s">
        <v>359</v>
      </c>
      <c r="D269" s="11">
        <v>45964.384722222225</v>
      </c>
      <c r="E269" s="11">
        <v>45964.384722222225</v>
      </c>
      <c r="F269" s="11">
        <v>45965.239583333336</v>
      </c>
      <c r="G269" s="12">
        <v>0.85486111111094942</v>
      </c>
      <c r="H269" s="2" t="s">
        <v>248</v>
      </c>
      <c r="J269" s="2" t="s">
        <v>249</v>
      </c>
      <c r="K269" s="2" t="s">
        <v>349</v>
      </c>
      <c r="L269" s="2" t="s">
        <v>1043</v>
      </c>
      <c r="M269" t="s">
        <v>251</v>
      </c>
      <c r="N269" t="s">
        <v>330</v>
      </c>
      <c r="O269" t="s">
        <v>739</v>
      </c>
      <c r="P269" t="s">
        <v>1257</v>
      </c>
      <c r="Q269" t="s">
        <v>966</v>
      </c>
    </row>
    <row r="270" spans="1:17">
      <c r="A270" s="2" t="s">
        <v>369</v>
      </c>
      <c r="B270" s="2" t="s">
        <v>369</v>
      </c>
      <c r="C270" s="2" t="s">
        <v>357</v>
      </c>
      <c r="D270" s="11">
        <v>45964.384722222225</v>
      </c>
      <c r="E270" s="11">
        <v>45964.384722222225</v>
      </c>
      <c r="F270" s="11">
        <v>45965.239583333336</v>
      </c>
      <c r="G270" s="12">
        <v>0.85486111111094942</v>
      </c>
      <c r="H270" s="2" t="s">
        <v>248</v>
      </c>
      <c r="J270" s="2" t="s">
        <v>249</v>
      </c>
      <c r="K270" s="2" t="s">
        <v>349</v>
      </c>
      <c r="L270" s="2" t="s">
        <v>1043</v>
      </c>
      <c r="M270" t="s">
        <v>251</v>
      </c>
      <c r="N270" t="s">
        <v>330</v>
      </c>
      <c r="O270" t="s">
        <v>739</v>
      </c>
      <c r="P270" t="s">
        <v>1258</v>
      </c>
      <c r="Q270" t="s">
        <v>966</v>
      </c>
    </row>
    <row r="271" spans="1:17">
      <c r="A271" s="2" t="s">
        <v>369</v>
      </c>
      <c r="B271" s="2" t="s">
        <v>369</v>
      </c>
      <c r="C271" s="2" t="s">
        <v>358</v>
      </c>
      <c r="D271" s="11">
        <v>45964.384722222225</v>
      </c>
      <c r="E271" s="11">
        <v>45964.384722222225</v>
      </c>
      <c r="F271" s="11">
        <v>45965.239583333336</v>
      </c>
      <c r="G271" s="12">
        <v>0.85486111111094942</v>
      </c>
      <c r="H271" s="2" t="s">
        <v>248</v>
      </c>
      <c r="J271" s="2" t="s">
        <v>249</v>
      </c>
      <c r="K271" s="2" t="s">
        <v>349</v>
      </c>
      <c r="L271" s="2" t="s">
        <v>1043</v>
      </c>
      <c r="M271" t="s">
        <v>251</v>
      </c>
      <c r="N271" t="s">
        <v>330</v>
      </c>
      <c r="O271" t="s">
        <v>739</v>
      </c>
      <c r="P271" t="s">
        <v>1259</v>
      </c>
      <c r="Q271" t="s">
        <v>966</v>
      </c>
    </row>
    <row r="272" spans="1:17">
      <c r="A272" s="2" t="s">
        <v>369</v>
      </c>
      <c r="B272" s="2" t="s">
        <v>369</v>
      </c>
      <c r="C272" s="2" t="s">
        <v>354</v>
      </c>
      <c r="D272" s="11">
        <v>45964.384722222225</v>
      </c>
      <c r="E272" s="11">
        <v>45964.384722222225</v>
      </c>
      <c r="F272" s="11">
        <v>45965.239583333336</v>
      </c>
      <c r="G272" s="12">
        <v>0.85486111111094942</v>
      </c>
      <c r="H272" s="2" t="s">
        <v>248</v>
      </c>
      <c r="J272" s="2" t="s">
        <v>249</v>
      </c>
      <c r="K272" s="2" t="s">
        <v>349</v>
      </c>
      <c r="L272" s="2" t="s">
        <v>1043</v>
      </c>
      <c r="M272" t="s">
        <v>251</v>
      </c>
      <c r="N272" t="s">
        <v>330</v>
      </c>
      <c r="O272" t="s">
        <v>739</v>
      </c>
      <c r="P272" t="s">
        <v>1260</v>
      </c>
      <c r="Q272" t="s">
        <v>966</v>
      </c>
    </row>
    <row r="273" spans="1:17">
      <c r="A273" s="2" t="s">
        <v>782</v>
      </c>
      <c r="B273" s="2" t="s">
        <v>477</v>
      </c>
      <c r="C273" s="2" t="s">
        <v>489</v>
      </c>
      <c r="D273" s="11">
        <v>45964.386111111111</v>
      </c>
      <c r="E273" s="11">
        <v>45964.386111111111</v>
      </c>
      <c r="F273" s="11">
        <v>45964.436805555553</v>
      </c>
      <c r="G273" s="12">
        <v>5.0694444442342501E-2</v>
      </c>
      <c r="H273" s="2" t="s">
        <v>248</v>
      </c>
      <c r="J273" s="2" t="s">
        <v>249</v>
      </c>
      <c r="K273" s="2" t="s">
        <v>349</v>
      </c>
      <c r="L273" s="2" t="s">
        <v>735</v>
      </c>
      <c r="M273" t="s">
        <v>736</v>
      </c>
      <c r="N273" t="s">
        <v>330</v>
      </c>
      <c r="O273" t="s">
        <v>712</v>
      </c>
      <c r="P273" t="s">
        <v>1261</v>
      </c>
      <c r="Q273" t="s">
        <v>966</v>
      </c>
    </row>
    <row r="274" spans="1:17">
      <c r="A274" s="2" t="s">
        <v>782</v>
      </c>
      <c r="B274" s="2" t="s">
        <v>477</v>
      </c>
      <c r="C274" s="2" t="s">
        <v>713</v>
      </c>
      <c r="D274" s="11">
        <v>45964.386111111111</v>
      </c>
      <c r="E274" s="11">
        <v>45964.386111111111</v>
      </c>
      <c r="F274" s="11">
        <v>45964.436805555553</v>
      </c>
      <c r="G274" s="12">
        <v>5.0694444442342501E-2</v>
      </c>
      <c r="H274" s="2" t="s">
        <v>248</v>
      </c>
      <c r="J274" s="2" t="s">
        <v>249</v>
      </c>
      <c r="K274" s="2" t="s">
        <v>349</v>
      </c>
      <c r="L274" s="2" t="s">
        <v>735</v>
      </c>
      <c r="M274" t="s">
        <v>736</v>
      </c>
      <c r="N274" t="s">
        <v>330</v>
      </c>
      <c r="O274" t="s">
        <v>712</v>
      </c>
      <c r="P274" t="s">
        <v>1262</v>
      </c>
      <c r="Q274" t="s">
        <v>966</v>
      </c>
    </row>
    <row r="275" spans="1:17">
      <c r="A275" s="2" t="s">
        <v>782</v>
      </c>
      <c r="B275" s="2" t="s">
        <v>477</v>
      </c>
      <c r="C275" s="2" t="s">
        <v>486</v>
      </c>
      <c r="D275" s="11">
        <v>45964.386111111111</v>
      </c>
      <c r="E275" s="11">
        <v>45964.386111111111</v>
      </c>
      <c r="F275" s="11">
        <v>45964.436805555553</v>
      </c>
      <c r="G275" s="12">
        <v>5.0694444442342501E-2</v>
      </c>
      <c r="H275" s="2" t="s">
        <v>248</v>
      </c>
      <c r="J275" s="2" t="s">
        <v>249</v>
      </c>
      <c r="K275" s="2" t="s">
        <v>349</v>
      </c>
      <c r="L275" s="2" t="s">
        <v>735</v>
      </c>
      <c r="M275" t="s">
        <v>736</v>
      </c>
      <c r="N275" t="s">
        <v>330</v>
      </c>
      <c r="O275" t="s">
        <v>712</v>
      </c>
      <c r="P275" t="s">
        <v>1263</v>
      </c>
      <c r="Q275" t="s">
        <v>966</v>
      </c>
    </row>
    <row r="276" spans="1:17">
      <c r="A276" s="2" t="s">
        <v>782</v>
      </c>
      <c r="B276" s="2" t="s">
        <v>477</v>
      </c>
      <c r="C276" s="2" t="s">
        <v>478</v>
      </c>
      <c r="D276" s="11">
        <v>45964.386111111111</v>
      </c>
      <c r="E276" s="11">
        <v>45964.386111111111</v>
      </c>
      <c r="F276" s="11">
        <v>45964.436805555553</v>
      </c>
      <c r="G276" s="12">
        <v>5.0694444442342501E-2</v>
      </c>
      <c r="H276" s="2" t="s">
        <v>248</v>
      </c>
      <c r="J276" s="2" t="s">
        <v>249</v>
      </c>
      <c r="K276" s="2" t="s">
        <v>349</v>
      </c>
      <c r="L276" s="2" t="s">
        <v>735</v>
      </c>
      <c r="M276" t="s">
        <v>736</v>
      </c>
      <c r="N276" t="s">
        <v>330</v>
      </c>
      <c r="O276" t="s">
        <v>712</v>
      </c>
      <c r="P276" t="s">
        <v>1264</v>
      </c>
      <c r="Q276" t="s">
        <v>966</v>
      </c>
    </row>
    <row r="277" spans="1:17">
      <c r="A277" s="2" t="s">
        <v>782</v>
      </c>
      <c r="B277" s="2" t="s">
        <v>477</v>
      </c>
      <c r="C277" s="2" t="s">
        <v>632</v>
      </c>
      <c r="D277" s="11">
        <v>45964.386111111111</v>
      </c>
      <c r="E277" s="11">
        <v>45964.386111111111</v>
      </c>
      <c r="F277" s="11">
        <v>45964.436805555553</v>
      </c>
      <c r="G277" s="12">
        <v>5.0694444442342501E-2</v>
      </c>
      <c r="H277" s="2" t="s">
        <v>248</v>
      </c>
      <c r="J277" s="2" t="s">
        <v>249</v>
      </c>
      <c r="K277" s="2" t="s">
        <v>349</v>
      </c>
      <c r="L277" s="2" t="s">
        <v>735</v>
      </c>
      <c r="M277" t="s">
        <v>736</v>
      </c>
      <c r="N277" t="s">
        <v>330</v>
      </c>
      <c r="O277" t="s">
        <v>712</v>
      </c>
      <c r="P277" t="s">
        <v>1265</v>
      </c>
      <c r="Q277" t="s">
        <v>966</v>
      </c>
    </row>
    <row r="278" spans="1:17">
      <c r="A278" s="2" t="s">
        <v>782</v>
      </c>
      <c r="B278" s="2" t="s">
        <v>477</v>
      </c>
      <c r="C278" s="2" t="s">
        <v>629</v>
      </c>
      <c r="D278" s="11">
        <v>45964.386111111111</v>
      </c>
      <c r="E278" s="11">
        <v>45964.386111111111</v>
      </c>
      <c r="F278" s="11">
        <v>45964.436805555553</v>
      </c>
      <c r="G278" s="12">
        <v>5.0694444442342501E-2</v>
      </c>
      <c r="H278" s="2" t="s">
        <v>248</v>
      </c>
      <c r="J278" s="2" t="s">
        <v>249</v>
      </c>
      <c r="K278" s="2" t="s">
        <v>349</v>
      </c>
      <c r="L278" s="2" t="s">
        <v>735</v>
      </c>
      <c r="M278" t="s">
        <v>736</v>
      </c>
      <c r="N278" t="s">
        <v>330</v>
      </c>
      <c r="O278" t="s">
        <v>712</v>
      </c>
      <c r="P278" t="s">
        <v>1266</v>
      </c>
      <c r="Q278" t="s">
        <v>966</v>
      </c>
    </row>
    <row r="279" spans="1:17">
      <c r="A279" s="2" t="s">
        <v>782</v>
      </c>
      <c r="B279" s="2" t="s">
        <v>477</v>
      </c>
      <c r="C279" s="2" t="s">
        <v>631</v>
      </c>
      <c r="D279" s="11">
        <v>45964.386111111111</v>
      </c>
      <c r="E279" s="11">
        <v>45964.386111111111</v>
      </c>
      <c r="F279" s="11">
        <v>45964.436805555553</v>
      </c>
      <c r="G279" s="12">
        <v>5.0694444442342501E-2</v>
      </c>
      <c r="H279" s="2" t="s">
        <v>248</v>
      </c>
      <c r="J279" s="2" t="s">
        <v>249</v>
      </c>
      <c r="K279" s="2" t="s">
        <v>349</v>
      </c>
      <c r="L279" s="2" t="s">
        <v>735</v>
      </c>
      <c r="M279" t="s">
        <v>736</v>
      </c>
      <c r="N279" t="s">
        <v>330</v>
      </c>
      <c r="O279" t="s">
        <v>712</v>
      </c>
      <c r="P279" t="s">
        <v>1267</v>
      </c>
      <c r="Q279" t="s">
        <v>966</v>
      </c>
    </row>
    <row r="280" spans="1:17">
      <c r="A280" s="2" t="s">
        <v>782</v>
      </c>
      <c r="B280" s="2" t="s">
        <v>477</v>
      </c>
      <c r="C280" s="2" t="s">
        <v>635</v>
      </c>
      <c r="D280" s="11">
        <v>45964.386111111111</v>
      </c>
      <c r="E280" s="11">
        <v>45964.386111111111</v>
      </c>
      <c r="F280" s="11">
        <v>45964.436805555553</v>
      </c>
      <c r="G280" s="12">
        <v>5.0694444442342501E-2</v>
      </c>
      <c r="H280" s="2" t="s">
        <v>248</v>
      </c>
      <c r="J280" s="2" t="s">
        <v>249</v>
      </c>
      <c r="K280" s="2" t="s">
        <v>349</v>
      </c>
      <c r="L280" s="2" t="s">
        <v>735</v>
      </c>
      <c r="M280" t="s">
        <v>736</v>
      </c>
      <c r="N280" t="s">
        <v>330</v>
      </c>
      <c r="O280" t="s">
        <v>712</v>
      </c>
      <c r="P280" t="s">
        <v>1268</v>
      </c>
      <c r="Q280" t="s">
        <v>966</v>
      </c>
    </row>
    <row r="281" spans="1:17">
      <c r="A281" s="2" t="s">
        <v>782</v>
      </c>
      <c r="B281" s="2" t="s">
        <v>477</v>
      </c>
      <c r="C281" s="2" t="s">
        <v>487</v>
      </c>
      <c r="D281" s="11">
        <v>45964.386111111111</v>
      </c>
      <c r="E281" s="11">
        <v>45964.386111111111</v>
      </c>
      <c r="F281" s="11">
        <v>45964.436805555553</v>
      </c>
      <c r="G281" s="12">
        <v>5.0694444442342501E-2</v>
      </c>
      <c r="H281" s="2" t="s">
        <v>248</v>
      </c>
      <c r="J281" s="2" t="s">
        <v>249</v>
      </c>
      <c r="K281" s="2" t="s">
        <v>349</v>
      </c>
      <c r="L281" s="2" t="s">
        <v>735</v>
      </c>
      <c r="M281" t="s">
        <v>736</v>
      </c>
      <c r="N281" t="s">
        <v>330</v>
      </c>
      <c r="O281" t="s">
        <v>712</v>
      </c>
      <c r="P281" t="s">
        <v>1269</v>
      </c>
      <c r="Q281" t="s">
        <v>966</v>
      </c>
    </row>
    <row r="282" spans="1:17">
      <c r="A282" s="2" t="s">
        <v>782</v>
      </c>
      <c r="B282" s="2" t="s">
        <v>477</v>
      </c>
      <c r="C282" s="2" t="s">
        <v>627</v>
      </c>
      <c r="D282" s="11">
        <v>45964.386111111111</v>
      </c>
      <c r="E282" s="11">
        <v>45964.386111111111</v>
      </c>
      <c r="F282" s="11">
        <v>45964.436805555553</v>
      </c>
      <c r="G282" s="12">
        <v>5.0694444442342501E-2</v>
      </c>
      <c r="H282" s="2" t="s">
        <v>248</v>
      </c>
      <c r="J282" s="2" t="s">
        <v>249</v>
      </c>
      <c r="K282" s="2" t="s">
        <v>349</v>
      </c>
      <c r="L282" s="2" t="s">
        <v>735</v>
      </c>
      <c r="M282" t="s">
        <v>736</v>
      </c>
      <c r="N282" t="s">
        <v>330</v>
      </c>
      <c r="O282" t="s">
        <v>712</v>
      </c>
      <c r="P282" t="s">
        <v>1270</v>
      </c>
      <c r="Q282" t="s">
        <v>966</v>
      </c>
    </row>
    <row r="283" spans="1:17">
      <c r="A283" s="2" t="s">
        <v>782</v>
      </c>
      <c r="B283" s="2" t="s">
        <v>477</v>
      </c>
      <c r="C283" s="2" t="s">
        <v>489</v>
      </c>
      <c r="D283" s="11">
        <v>45964.545138888891</v>
      </c>
      <c r="E283" s="11">
        <v>45964.545138888891</v>
      </c>
      <c r="F283" s="11">
        <v>45964.612500000003</v>
      </c>
      <c r="G283" s="12">
        <v>6.7361111112404615E-2</v>
      </c>
      <c r="H283" s="2" t="s">
        <v>248</v>
      </c>
      <c r="J283" s="2" t="s">
        <v>249</v>
      </c>
      <c r="K283" s="2" t="s">
        <v>349</v>
      </c>
      <c r="L283" s="2" t="s">
        <v>735</v>
      </c>
      <c r="M283" t="s">
        <v>736</v>
      </c>
      <c r="N283" t="s">
        <v>330</v>
      </c>
      <c r="O283" t="s">
        <v>712</v>
      </c>
      <c r="P283" t="s">
        <v>1271</v>
      </c>
      <c r="Q283" t="s">
        <v>966</v>
      </c>
    </row>
    <row r="284" spans="1:17">
      <c r="A284" s="2" t="s">
        <v>782</v>
      </c>
      <c r="B284" s="2" t="s">
        <v>477</v>
      </c>
      <c r="C284" s="2" t="s">
        <v>713</v>
      </c>
      <c r="D284" s="11">
        <v>45964.545138888891</v>
      </c>
      <c r="E284" s="11">
        <v>45964.545138888891</v>
      </c>
      <c r="F284" s="11">
        <v>45964.612500000003</v>
      </c>
      <c r="G284" s="12">
        <v>6.7361111112404615E-2</v>
      </c>
      <c r="H284" s="2" t="s">
        <v>248</v>
      </c>
      <c r="J284" s="2" t="s">
        <v>249</v>
      </c>
      <c r="K284" s="2" t="s">
        <v>349</v>
      </c>
      <c r="L284" s="2" t="s">
        <v>735</v>
      </c>
      <c r="M284" t="s">
        <v>736</v>
      </c>
      <c r="N284" t="s">
        <v>330</v>
      </c>
      <c r="O284" t="s">
        <v>712</v>
      </c>
      <c r="P284" t="s">
        <v>1272</v>
      </c>
      <c r="Q284" t="s">
        <v>966</v>
      </c>
    </row>
    <row r="285" spans="1:17">
      <c r="A285" s="2" t="s">
        <v>782</v>
      </c>
      <c r="B285" s="2" t="s">
        <v>477</v>
      </c>
      <c r="C285" s="2" t="s">
        <v>486</v>
      </c>
      <c r="D285" s="11">
        <v>45964.545138888891</v>
      </c>
      <c r="E285" s="11">
        <v>45964.545138888891</v>
      </c>
      <c r="F285" s="11">
        <v>45964.612500000003</v>
      </c>
      <c r="G285" s="12">
        <v>6.7361111112404615E-2</v>
      </c>
      <c r="H285" s="2" t="s">
        <v>248</v>
      </c>
      <c r="J285" s="2" t="s">
        <v>249</v>
      </c>
      <c r="K285" s="2" t="s">
        <v>349</v>
      </c>
      <c r="L285" s="2" t="s">
        <v>735</v>
      </c>
      <c r="M285" t="s">
        <v>736</v>
      </c>
      <c r="N285" t="s">
        <v>330</v>
      </c>
      <c r="O285" t="s">
        <v>712</v>
      </c>
      <c r="P285" t="s">
        <v>1273</v>
      </c>
      <c r="Q285" t="s">
        <v>966</v>
      </c>
    </row>
    <row r="286" spans="1:17">
      <c r="A286" s="2" t="s">
        <v>782</v>
      </c>
      <c r="B286" s="2" t="s">
        <v>477</v>
      </c>
      <c r="C286" s="2" t="s">
        <v>478</v>
      </c>
      <c r="D286" s="11">
        <v>45964.545138888891</v>
      </c>
      <c r="E286" s="11">
        <v>45964.545138888891</v>
      </c>
      <c r="F286" s="11">
        <v>45964.612500000003</v>
      </c>
      <c r="G286" s="12">
        <v>6.7361111112404615E-2</v>
      </c>
      <c r="H286" s="2" t="s">
        <v>248</v>
      </c>
      <c r="J286" s="2" t="s">
        <v>249</v>
      </c>
      <c r="K286" s="2" t="s">
        <v>349</v>
      </c>
      <c r="L286" s="2" t="s">
        <v>735</v>
      </c>
      <c r="M286" t="s">
        <v>736</v>
      </c>
      <c r="N286" t="s">
        <v>330</v>
      </c>
      <c r="O286" t="s">
        <v>712</v>
      </c>
      <c r="P286" t="s">
        <v>1274</v>
      </c>
      <c r="Q286" t="s">
        <v>966</v>
      </c>
    </row>
    <row r="287" spans="1:17">
      <c r="A287" s="2" t="s">
        <v>782</v>
      </c>
      <c r="B287" s="2" t="s">
        <v>477</v>
      </c>
      <c r="C287" s="2" t="s">
        <v>632</v>
      </c>
      <c r="D287" s="11">
        <v>45964.545138888891</v>
      </c>
      <c r="E287" s="11">
        <v>45964.545138888891</v>
      </c>
      <c r="F287" s="11">
        <v>45964.612500000003</v>
      </c>
      <c r="G287" s="12">
        <v>6.7361111112404615E-2</v>
      </c>
      <c r="H287" s="2" t="s">
        <v>248</v>
      </c>
      <c r="J287" s="2" t="s">
        <v>249</v>
      </c>
      <c r="K287" s="2" t="s">
        <v>349</v>
      </c>
      <c r="L287" s="2" t="s">
        <v>735</v>
      </c>
      <c r="M287" t="s">
        <v>736</v>
      </c>
      <c r="N287" t="s">
        <v>330</v>
      </c>
      <c r="O287" t="s">
        <v>712</v>
      </c>
      <c r="P287" t="s">
        <v>1275</v>
      </c>
      <c r="Q287" t="s">
        <v>966</v>
      </c>
    </row>
    <row r="288" spans="1:17">
      <c r="A288" s="2" t="s">
        <v>782</v>
      </c>
      <c r="B288" s="2" t="s">
        <v>477</v>
      </c>
      <c r="C288" s="2" t="s">
        <v>629</v>
      </c>
      <c r="D288" s="11">
        <v>45964.545138888891</v>
      </c>
      <c r="E288" s="11">
        <v>45964.545138888891</v>
      </c>
      <c r="F288" s="11">
        <v>45964.612500000003</v>
      </c>
      <c r="G288" s="12">
        <v>6.7361111112404615E-2</v>
      </c>
      <c r="H288" s="2" t="s">
        <v>248</v>
      </c>
      <c r="J288" s="2" t="s">
        <v>249</v>
      </c>
      <c r="K288" s="2" t="s">
        <v>349</v>
      </c>
      <c r="L288" s="2" t="s">
        <v>735</v>
      </c>
      <c r="M288" t="s">
        <v>736</v>
      </c>
      <c r="N288" t="s">
        <v>330</v>
      </c>
      <c r="O288" t="s">
        <v>712</v>
      </c>
      <c r="P288" t="s">
        <v>1276</v>
      </c>
      <c r="Q288" t="s">
        <v>966</v>
      </c>
    </row>
    <row r="289" spans="1:17">
      <c r="A289" s="2" t="s">
        <v>782</v>
      </c>
      <c r="B289" s="2" t="s">
        <v>477</v>
      </c>
      <c r="C289" s="2" t="s">
        <v>631</v>
      </c>
      <c r="D289" s="11">
        <v>45964.545138888891</v>
      </c>
      <c r="E289" s="11">
        <v>45964.545138888891</v>
      </c>
      <c r="F289" s="11">
        <v>45964.612500000003</v>
      </c>
      <c r="G289" s="12">
        <v>6.7361111112404615E-2</v>
      </c>
      <c r="H289" s="2" t="s">
        <v>248</v>
      </c>
      <c r="J289" s="2" t="s">
        <v>249</v>
      </c>
      <c r="K289" s="2" t="s">
        <v>349</v>
      </c>
      <c r="L289" s="2" t="s">
        <v>735</v>
      </c>
      <c r="M289" t="s">
        <v>736</v>
      </c>
      <c r="N289" t="s">
        <v>330</v>
      </c>
      <c r="O289" t="s">
        <v>712</v>
      </c>
      <c r="P289" t="s">
        <v>1277</v>
      </c>
      <c r="Q289" t="s">
        <v>966</v>
      </c>
    </row>
    <row r="290" spans="1:17">
      <c r="A290" s="2" t="s">
        <v>782</v>
      </c>
      <c r="B290" s="2" t="s">
        <v>477</v>
      </c>
      <c r="C290" s="2" t="s">
        <v>635</v>
      </c>
      <c r="D290" s="11">
        <v>45964.545138888891</v>
      </c>
      <c r="E290" s="11">
        <v>45964.545138888891</v>
      </c>
      <c r="F290" s="11">
        <v>45964.612500000003</v>
      </c>
      <c r="G290" s="12">
        <v>6.7361111112404615E-2</v>
      </c>
      <c r="H290" s="2" t="s">
        <v>248</v>
      </c>
      <c r="J290" s="2" t="s">
        <v>249</v>
      </c>
      <c r="K290" s="2" t="s">
        <v>349</v>
      </c>
      <c r="L290" s="2" t="s">
        <v>735</v>
      </c>
      <c r="M290" t="s">
        <v>736</v>
      </c>
      <c r="N290" t="s">
        <v>330</v>
      </c>
      <c r="O290" t="s">
        <v>712</v>
      </c>
      <c r="P290" t="s">
        <v>1278</v>
      </c>
      <c r="Q290" t="s">
        <v>966</v>
      </c>
    </row>
    <row r="291" spans="1:17">
      <c r="A291" s="2" t="s">
        <v>782</v>
      </c>
      <c r="B291" s="2" t="s">
        <v>477</v>
      </c>
      <c r="C291" s="2" t="s">
        <v>487</v>
      </c>
      <c r="D291" s="11">
        <v>45964.545138888891</v>
      </c>
      <c r="E291" s="11">
        <v>45964.545138888891</v>
      </c>
      <c r="F291" s="11">
        <v>45964.612500000003</v>
      </c>
      <c r="G291" s="12">
        <v>6.7361111112404615E-2</v>
      </c>
      <c r="H291" s="2" t="s">
        <v>248</v>
      </c>
      <c r="J291" s="2" t="s">
        <v>249</v>
      </c>
      <c r="K291" s="2" t="s">
        <v>349</v>
      </c>
      <c r="L291" s="2" t="s">
        <v>735</v>
      </c>
      <c r="M291" t="s">
        <v>736</v>
      </c>
      <c r="N291" t="s">
        <v>330</v>
      </c>
      <c r="O291" t="s">
        <v>712</v>
      </c>
      <c r="P291" t="s">
        <v>1279</v>
      </c>
      <c r="Q291" t="s">
        <v>966</v>
      </c>
    </row>
    <row r="292" spans="1:17">
      <c r="A292" s="2" t="s">
        <v>782</v>
      </c>
      <c r="B292" s="2" t="s">
        <v>477</v>
      </c>
      <c r="C292" s="2" t="s">
        <v>627</v>
      </c>
      <c r="D292" s="11">
        <v>45964.545138888891</v>
      </c>
      <c r="E292" s="11">
        <v>45964.545138888891</v>
      </c>
      <c r="F292" s="11">
        <v>45964.612500000003</v>
      </c>
      <c r="G292" s="12">
        <v>6.7361111112404615E-2</v>
      </c>
      <c r="H292" s="2" t="s">
        <v>248</v>
      </c>
      <c r="J292" s="2" t="s">
        <v>249</v>
      </c>
      <c r="K292" s="2" t="s">
        <v>349</v>
      </c>
      <c r="L292" s="2" t="s">
        <v>735</v>
      </c>
      <c r="M292" t="s">
        <v>736</v>
      </c>
      <c r="N292" t="s">
        <v>330</v>
      </c>
      <c r="O292" t="s">
        <v>712</v>
      </c>
      <c r="P292" t="s">
        <v>1280</v>
      </c>
      <c r="Q292" t="s">
        <v>966</v>
      </c>
    </row>
    <row r="293" spans="1:17">
      <c r="A293" s="2" t="s">
        <v>1126</v>
      </c>
      <c r="B293" s="2" t="s">
        <v>493</v>
      </c>
      <c r="C293" s="2" t="s">
        <v>494</v>
      </c>
      <c r="D293" s="11">
        <v>45964.581250000003</v>
      </c>
      <c r="E293" s="11">
        <v>45964.581250000003</v>
      </c>
      <c r="F293" s="11">
        <v>45964.604166666664</v>
      </c>
      <c r="G293" s="12">
        <v>2.2916666661330964E-2</v>
      </c>
      <c r="H293" s="2" t="s">
        <v>248</v>
      </c>
      <c r="J293" s="2" t="s">
        <v>249</v>
      </c>
      <c r="K293" s="2" t="s">
        <v>349</v>
      </c>
      <c r="L293" s="2" t="s">
        <v>971</v>
      </c>
      <c r="M293" t="s">
        <v>251</v>
      </c>
      <c r="N293" t="s">
        <v>330</v>
      </c>
      <c r="O293" t="s">
        <v>331</v>
      </c>
      <c r="P293" t="s">
        <v>1281</v>
      </c>
      <c r="Q293" t="s">
        <v>966</v>
      </c>
    </row>
    <row r="294" spans="1:17">
      <c r="A294" s="2" t="s">
        <v>1126</v>
      </c>
      <c r="B294" s="2" t="s">
        <v>493</v>
      </c>
      <c r="C294" s="2" t="s">
        <v>497</v>
      </c>
      <c r="D294" s="11">
        <v>45964.581250000003</v>
      </c>
      <c r="E294" s="11">
        <v>45964.581250000003</v>
      </c>
      <c r="F294" s="11">
        <v>45964.604166666664</v>
      </c>
      <c r="G294" s="12">
        <v>2.2916666661330964E-2</v>
      </c>
      <c r="H294" s="2" t="s">
        <v>248</v>
      </c>
      <c r="J294" s="2" t="s">
        <v>249</v>
      </c>
      <c r="K294" s="2" t="s">
        <v>349</v>
      </c>
      <c r="L294" s="2" t="s">
        <v>971</v>
      </c>
      <c r="M294" t="s">
        <v>251</v>
      </c>
      <c r="N294" t="s">
        <v>330</v>
      </c>
      <c r="O294" t="s">
        <v>331</v>
      </c>
      <c r="P294" t="s">
        <v>1282</v>
      </c>
      <c r="Q294" t="s">
        <v>966</v>
      </c>
    </row>
    <row r="295" spans="1:17">
      <c r="A295" s="2" t="s">
        <v>1126</v>
      </c>
      <c r="B295" s="2" t="s">
        <v>493</v>
      </c>
      <c r="C295" s="2" t="s">
        <v>498</v>
      </c>
      <c r="D295" s="11">
        <v>45964.581250000003</v>
      </c>
      <c r="E295" s="11">
        <v>45964.581250000003</v>
      </c>
      <c r="F295" s="11">
        <v>45964.604166666664</v>
      </c>
      <c r="G295" s="12">
        <v>2.2916666661330964E-2</v>
      </c>
      <c r="H295" s="2" t="s">
        <v>248</v>
      </c>
      <c r="J295" s="2" t="s">
        <v>249</v>
      </c>
      <c r="K295" s="2" t="s">
        <v>349</v>
      </c>
      <c r="L295" s="2" t="s">
        <v>971</v>
      </c>
      <c r="M295" t="s">
        <v>251</v>
      </c>
      <c r="N295" t="s">
        <v>330</v>
      </c>
      <c r="O295" t="s">
        <v>331</v>
      </c>
      <c r="P295" t="s">
        <v>1283</v>
      </c>
      <c r="Q295" t="s">
        <v>966</v>
      </c>
    </row>
    <row r="296" spans="1:17">
      <c r="A296" s="2" t="s">
        <v>1126</v>
      </c>
      <c r="B296" s="2" t="s">
        <v>493</v>
      </c>
      <c r="C296" s="2" t="s">
        <v>499</v>
      </c>
      <c r="D296" s="11">
        <v>45964.581250000003</v>
      </c>
      <c r="E296" s="11">
        <v>45964.581250000003</v>
      </c>
      <c r="F296" s="11">
        <v>45964.604166666664</v>
      </c>
      <c r="G296" s="12">
        <v>2.2916666661330964E-2</v>
      </c>
      <c r="H296" s="2" t="s">
        <v>248</v>
      </c>
      <c r="J296" s="2" t="s">
        <v>249</v>
      </c>
      <c r="K296" s="2" t="s">
        <v>349</v>
      </c>
      <c r="L296" s="2" t="s">
        <v>971</v>
      </c>
      <c r="M296" t="s">
        <v>251</v>
      </c>
      <c r="N296" t="s">
        <v>330</v>
      </c>
      <c r="O296" t="s">
        <v>331</v>
      </c>
      <c r="P296" t="s">
        <v>1284</v>
      </c>
      <c r="Q296" t="s">
        <v>966</v>
      </c>
    </row>
    <row r="297" spans="1:17">
      <c r="A297" s="2" t="s">
        <v>869</v>
      </c>
      <c r="B297" s="2" t="s">
        <v>746</v>
      </c>
      <c r="C297" s="2" t="s">
        <v>747</v>
      </c>
      <c r="D297" s="11">
        <v>45964.581250000003</v>
      </c>
      <c r="E297" s="11">
        <v>45964.581250000003</v>
      </c>
      <c r="F297" s="11">
        <v>45964.604166666664</v>
      </c>
      <c r="G297" s="12">
        <v>2.2916666661330964E-2</v>
      </c>
      <c r="H297" s="2" t="s">
        <v>248</v>
      </c>
      <c r="J297" s="2" t="s">
        <v>249</v>
      </c>
      <c r="K297" s="2" t="s">
        <v>349</v>
      </c>
      <c r="L297" s="2" t="s">
        <v>971</v>
      </c>
      <c r="M297" t="s">
        <v>251</v>
      </c>
      <c r="N297" t="s">
        <v>330</v>
      </c>
      <c r="O297" t="s">
        <v>331</v>
      </c>
      <c r="P297" t="s">
        <v>1285</v>
      </c>
      <c r="Q297" t="s">
        <v>966</v>
      </c>
    </row>
    <row r="298" spans="1:17">
      <c r="A298" s="2" t="s">
        <v>869</v>
      </c>
      <c r="B298" s="2" t="s">
        <v>746</v>
      </c>
      <c r="C298" s="2" t="s">
        <v>748</v>
      </c>
      <c r="D298" s="11">
        <v>45964.581250000003</v>
      </c>
      <c r="E298" s="11">
        <v>45964.581250000003</v>
      </c>
      <c r="F298" s="11">
        <v>45964.604166666664</v>
      </c>
      <c r="G298" s="12">
        <v>2.2916666661330964E-2</v>
      </c>
      <c r="H298" s="2" t="s">
        <v>248</v>
      </c>
      <c r="J298" s="2" t="s">
        <v>249</v>
      </c>
      <c r="K298" s="2" t="s">
        <v>349</v>
      </c>
      <c r="L298" s="2" t="s">
        <v>971</v>
      </c>
      <c r="M298" t="s">
        <v>251</v>
      </c>
      <c r="N298" t="s">
        <v>330</v>
      </c>
      <c r="O298" t="s">
        <v>331</v>
      </c>
      <c r="P298" t="s">
        <v>1286</v>
      </c>
      <c r="Q298" t="s">
        <v>966</v>
      </c>
    </row>
    <row r="299" spans="1:17">
      <c r="A299" s="2" t="s">
        <v>869</v>
      </c>
      <c r="B299" s="2" t="s">
        <v>746</v>
      </c>
      <c r="C299" s="2" t="s">
        <v>749</v>
      </c>
      <c r="D299" s="11">
        <v>45964.581250000003</v>
      </c>
      <c r="E299" s="11">
        <v>45964.581250000003</v>
      </c>
      <c r="F299" s="11">
        <v>45964.604166666664</v>
      </c>
      <c r="G299" s="12">
        <v>2.2916666661330964E-2</v>
      </c>
      <c r="H299" s="2" t="s">
        <v>248</v>
      </c>
      <c r="J299" s="2" t="s">
        <v>249</v>
      </c>
      <c r="K299" s="2" t="s">
        <v>349</v>
      </c>
      <c r="L299" s="2" t="s">
        <v>971</v>
      </c>
      <c r="M299" t="s">
        <v>251</v>
      </c>
      <c r="N299" t="s">
        <v>330</v>
      </c>
      <c r="O299" t="s">
        <v>331</v>
      </c>
      <c r="P299" t="s">
        <v>1287</v>
      </c>
      <c r="Q299" t="s">
        <v>966</v>
      </c>
    </row>
    <row r="300" spans="1:17">
      <c r="A300" s="2" t="s">
        <v>869</v>
      </c>
      <c r="B300" s="2" t="s">
        <v>746</v>
      </c>
      <c r="C300" s="2" t="s">
        <v>750</v>
      </c>
      <c r="D300" s="11">
        <v>45964.581250000003</v>
      </c>
      <c r="E300" s="11">
        <v>45964.581250000003</v>
      </c>
      <c r="F300" s="11">
        <v>45964.604166666664</v>
      </c>
      <c r="G300" s="12">
        <v>2.2916666661330964E-2</v>
      </c>
      <c r="H300" s="2" t="s">
        <v>248</v>
      </c>
      <c r="J300" s="2" t="s">
        <v>249</v>
      </c>
      <c r="K300" s="2" t="s">
        <v>349</v>
      </c>
      <c r="L300" s="2" t="s">
        <v>971</v>
      </c>
      <c r="M300" t="s">
        <v>251</v>
      </c>
      <c r="N300" t="s">
        <v>330</v>
      </c>
      <c r="O300" t="s">
        <v>331</v>
      </c>
      <c r="P300" t="s">
        <v>1288</v>
      </c>
      <c r="Q300" t="s">
        <v>966</v>
      </c>
    </row>
    <row r="301" spans="1:17">
      <c r="A301" s="2" t="s">
        <v>869</v>
      </c>
      <c r="B301" s="2" t="s">
        <v>746</v>
      </c>
      <c r="C301" s="2" t="s">
        <v>751</v>
      </c>
      <c r="D301" s="11">
        <v>45964.581250000003</v>
      </c>
      <c r="E301" s="11">
        <v>45964.581250000003</v>
      </c>
      <c r="F301" s="11">
        <v>45964.604166666664</v>
      </c>
      <c r="G301" s="12">
        <v>2.2916666661330964E-2</v>
      </c>
      <c r="H301" s="2" t="s">
        <v>248</v>
      </c>
      <c r="J301" s="2" t="s">
        <v>249</v>
      </c>
      <c r="K301" s="2" t="s">
        <v>349</v>
      </c>
      <c r="L301" s="2" t="s">
        <v>971</v>
      </c>
      <c r="M301" t="s">
        <v>251</v>
      </c>
      <c r="N301" t="s">
        <v>330</v>
      </c>
      <c r="O301" t="s">
        <v>331</v>
      </c>
      <c r="P301" t="s">
        <v>1289</v>
      </c>
      <c r="Q301" t="s">
        <v>966</v>
      </c>
    </row>
    <row r="302" spans="1:17">
      <c r="A302" s="2" t="s">
        <v>869</v>
      </c>
      <c r="B302" s="2" t="s">
        <v>746</v>
      </c>
      <c r="C302" s="2" t="s">
        <v>752</v>
      </c>
      <c r="D302" s="11">
        <v>45964.581250000003</v>
      </c>
      <c r="E302" s="11">
        <v>45964.581250000003</v>
      </c>
      <c r="F302" s="11">
        <v>45964.604166666664</v>
      </c>
      <c r="G302" s="12">
        <v>2.2916666661330964E-2</v>
      </c>
      <c r="H302" s="2" t="s">
        <v>248</v>
      </c>
      <c r="J302" s="2" t="s">
        <v>249</v>
      </c>
      <c r="K302" s="2" t="s">
        <v>349</v>
      </c>
      <c r="L302" s="2" t="s">
        <v>971</v>
      </c>
      <c r="M302" t="s">
        <v>251</v>
      </c>
      <c r="N302" t="s">
        <v>330</v>
      </c>
      <c r="O302" t="s">
        <v>331</v>
      </c>
      <c r="P302" t="s">
        <v>1290</v>
      </c>
      <c r="Q302" t="s">
        <v>966</v>
      </c>
    </row>
    <row r="303" spans="1:17">
      <c r="A303" s="2" t="s">
        <v>869</v>
      </c>
      <c r="B303" s="2" t="s">
        <v>746</v>
      </c>
      <c r="C303" s="2" t="s">
        <v>753</v>
      </c>
      <c r="D303" s="11">
        <v>45964.581250000003</v>
      </c>
      <c r="E303" s="11">
        <v>45964.581250000003</v>
      </c>
      <c r="F303" s="11">
        <v>45964.604166666664</v>
      </c>
      <c r="G303" s="12">
        <v>2.2916666661330964E-2</v>
      </c>
      <c r="H303" s="2" t="s">
        <v>248</v>
      </c>
      <c r="J303" s="2" t="s">
        <v>249</v>
      </c>
      <c r="K303" s="2" t="s">
        <v>349</v>
      </c>
      <c r="L303" s="2" t="s">
        <v>971</v>
      </c>
      <c r="M303" t="s">
        <v>251</v>
      </c>
      <c r="N303" t="s">
        <v>330</v>
      </c>
      <c r="O303" t="s">
        <v>331</v>
      </c>
      <c r="P303" t="s">
        <v>1291</v>
      </c>
      <c r="Q303" t="s">
        <v>966</v>
      </c>
    </row>
    <row r="304" spans="1:17">
      <c r="A304" s="2" t="s">
        <v>869</v>
      </c>
      <c r="B304" s="2" t="s">
        <v>746</v>
      </c>
      <c r="C304" s="2" t="s">
        <v>754</v>
      </c>
      <c r="D304" s="11">
        <v>45964.581250000003</v>
      </c>
      <c r="E304" s="11">
        <v>45964.581250000003</v>
      </c>
      <c r="F304" s="11">
        <v>45964.604166666664</v>
      </c>
      <c r="G304" s="12">
        <v>2.2916666661330964E-2</v>
      </c>
      <c r="H304" s="2" t="s">
        <v>248</v>
      </c>
      <c r="J304" s="2" t="s">
        <v>249</v>
      </c>
      <c r="K304" s="2" t="s">
        <v>349</v>
      </c>
      <c r="L304" s="2" t="s">
        <v>971</v>
      </c>
      <c r="M304" t="s">
        <v>251</v>
      </c>
      <c r="N304" t="s">
        <v>330</v>
      </c>
      <c r="O304" t="s">
        <v>331</v>
      </c>
      <c r="P304" t="s">
        <v>1292</v>
      </c>
      <c r="Q304" t="s">
        <v>966</v>
      </c>
    </row>
    <row r="305" spans="1:17">
      <c r="A305" s="2" t="s">
        <v>869</v>
      </c>
      <c r="B305" s="2" t="s">
        <v>746</v>
      </c>
      <c r="C305" s="2" t="s">
        <v>755</v>
      </c>
      <c r="D305" s="11">
        <v>45964.581250000003</v>
      </c>
      <c r="E305" s="11">
        <v>45964.581250000003</v>
      </c>
      <c r="F305" s="11">
        <v>45964.604166666664</v>
      </c>
      <c r="G305" s="12">
        <v>2.2916666661330964E-2</v>
      </c>
      <c r="H305" s="2" t="s">
        <v>248</v>
      </c>
      <c r="J305" s="2" t="s">
        <v>249</v>
      </c>
      <c r="K305" s="2" t="s">
        <v>349</v>
      </c>
      <c r="L305" s="2" t="s">
        <v>971</v>
      </c>
      <c r="M305" t="s">
        <v>251</v>
      </c>
      <c r="N305" t="s">
        <v>330</v>
      </c>
      <c r="O305" t="s">
        <v>331</v>
      </c>
      <c r="P305" t="s">
        <v>1293</v>
      </c>
      <c r="Q305" t="s">
        <v>966</v>
      </c>
    </row>
    <row r="306" spans="1:17">
      <c r="A306" s="2" t="s">
        <v>869</v>
      </c>
      <c r="B306" s="2" t="s">
        <v>746</v>
      </c>
      <c r="C306" s="2" t="s">
        <v>756</v>
      </c>
      <c r="D306" s="11">
        <v>45964.581250000003</v>
      </c>
      <c r="E306" s="11">
        <v>45964.581250000003</v>
      </c>
      <c r="F306" s="11">
        <v>45964.604166666664</v>
      </c>
      <c r="G306" s="12">
        <v>2.2916666661330964E-2</v>
      </c>
      <c r="H306" s="2" t="s">
        <v>248</v>
      </c>
      <c r="J306" s="2" t="s">
        <v>249</v>
      </c>
      <c r="K306" s="2" t="s">
        <v>349</v>
      </c>
      <c r="L306" s="2" t="s">
        <v>971</v>
      </c>
      <c r="M306" t="s">
        <v>251</v>
      </c>
      <c r="N306" t="s">
        <v>330</v>
      </c>
      <c r="O306" t="s">
        <v>331</v>
      </c>
      <c r="P306" t="s">
        <v>1294</v>
      </c>
      <c r="Q306" t="s">
        <v>966</v>
      </c>
    </row>
    <row r="307" spans="1:17">
      <c r="A307" s="2" t="s">
        <v>869</v>
      </c>
      <c r="B307" s="2" t="s">
        <v>746</v>
      </c>
      <c r="C307" s="2" t="s">
        <v>757</v>
      </c>
      <c r="D307" s="11">
        <v>45964.581250000003</v>
      </c>
      <c r="E307" s="11">
        <v>45964.581250000003</v>
      </c>
      <c r="F307" s="11">
        <v>45964.604166666664</v>
      </c>
      <c r="G307" s="12">
        <v>2.2916666661330964E-2</v>
      </c>
      <c r="H307" s="2" t="s">
        <v>248</v>
      </c>
      <c r="J307" s="2" t="s">
        <v>249</v>
      </c>
      <c r="K307" s="2" t="s">
        <v>349</v>
      </c>
      <c r="L307" s="2" t="s">
        <v>971</v>
      </c>
      <c r="M307" t="s">
        <v>251</v>
      </c>
      <c r="N307" t="s">
        <v>330</v>
      </c>
      <c r="O307" t="s">
        <v>331</v>
      </c>
      <c r="P307" t="s">
        <v>1295</v>
      </c>
      <c r="Q307" t="s">
        <v>966</v>
      </c>
    </row>
    <row r="308" spans="1:17">
      <c r="A308" s="2" t="s">
        <v>869</v>
      </c>
      <c r="B308" s="2" t="s">
        <v>746</v>
      </c>
      <c r="C308" s="2" t="s">
        <v>758</v>
      </c>
      <c r="D308" s="11">
        <v>45964.581250000003</v>
      </c>
      <c r="E308" s="11">
        <v>45964.581250000003</v>
      </c>
      <c r="F308" s="11">
        <v>45964.604166666664</v>
      </c>
      <c r="G308" s="12">
        <v>2.2916666661330964E-2</v>
      </c>
      <c r="H308" s="2" t="s">
        <v>248</v>
      </c>
      <c r="J308" s="2" t="s">
        <v>249</v>
      </c>
      <c r="K308" s="2" t="s">
        <v>349</v>
      </c>
      <c r="L308" s="2" t="s">
        <v>971</v>
      </c>
      <c r="M308" t="s">
        <v>251</v>
      </c>
      <c r="N308" t="s">
        <v>330</v>
      </c>
      <c r="O308" t="s">
        <v>331</v>
      </c>
      <c r="P308" t="s">
        <v>1296</v>
      </c>
      <c r="Q308" t="s">
        <v>966</v>
      </c>
    </row>
    <row r="309" spans="1:17">
      <c r="A309" s="2" t="s">
        <v>869</v>
      </c>
      <c r="B309" s="2" t="s">
        <v>746</v>
      </c>
      <c r="C309" s="2" t="s">
        <v>759</v>
      </c>
      <c r="D309" s="11">
        <v>45964.581250000003</v>
      </c>
      <c r="E309" s="11">
        <v>45964.581250000003</v>
      </c>
      <c r="F309" s="11">
        <v>45964.604166666664</v>
      </c>
      <c r="G309" s="12">
        <v>2.2916666661330964E-2</v>
      </c>
      <c r="H309" s="2" t="s">
        <v>248</v>
      </c>
      <c r="J309" s="2" t="s">
        <v>249</v>
      </c>
      <c r="K309" s="2" t="s">
        <v>349</v>
      </c>
      <c r="L309" s="2" t="s">
        <v>971</v>
      </c>
      <c r="M309" t="s">
        <v>251</v>
      </c>
      <c r="N309" t="s">
        <v>330</v>
      </c>
      <c r="O309" t="s">
        <v>331</v>
      </c>
      <c r="P309" t="s">
        <v>1297</v>
      </c>
      <c r="Q309" t="s">
        <v>966</v>
      </c>
    </row>
    <row r="310" spans="1:17">
      <c r="A310" s="2" t="s">
        <v>869</v>
      </c>
      <c r="B310" s="2" t="s">
        <v>746</v>
      </c>
      <c r="C310" s="2" t="s">
        <v>760</v>
      </c>
      <c r="D310" s="11">
        <v>45964.581250000003</v>
      </c>
      <c r="E310" s="11">
        <v>45964.581250000003</v>
      </c>
      <c r="F310" s="11">
        <v>45964.604166666664</v>
      </c>
      <c r="G310" s="12">
        <v>2.2916666661330964E-2</v>
      </c>
      <c r="H310" s="2" t="s">
        <v>248</v>
      </c>
      <c r="J310" s="2" t="s">
        <v>249</v>
      </c>
      <c r="K310" s="2" t="s">
        <v>349</v>
      </c>
      <c r="L310" s="2" t="s">
        <v>971</v>
      </c>
      <c r="M310" t="s">
        <v>251</v>
      </c>
      <c r="N310" t="s">
        <v>330</v>
      </c>
      <c r="O310" t="s">
        <v>331</v>
      </c>
      <c r="P310" t="s">
        <v>1298</v>
      </c>
      <c r="Q310" t="s">
        <v>966</v>
      </c>
    </row>
    <row r="311" spans="1:17">
      <c r="A311" s="2" t="s">
        <v>869</v>
      </c>
      <c r="B311" s="2" t="s">
        <v>746</v>
      </c>
      <c r="C311" s="2" t="s">
        <v>761</v>
      </c>
      <c r="D311" s="11">
        <v>45964.581250000003</v>
      </c>
      <c r="E311" s="11">
        <v>45964.581250000003</v>
      </c>
      <c r="F311" s="11">
        <v>45964.604166666664</v>
      </c>
      <c r="G311" s="12">
        <v>2.2916666661330964E-2</v>
      </c>
      <c r="H311" s="2" t="s">
        <v>248</v>
      </c>
      <c r="J311" s="2" t="s">
        <v>249</v>
      </c>
      <c r="K311" s="2" t="s">
        <v>349</v>
      </c>
      <c r="L311" s="2" t="s">
        <v>971</v>
      </c>
      <c r="M311" t="s">
        <v>251</v>
      </c>
      <c r="N311" t="s">
        <v>330</v>
      </c>
      <c r="O311" t="s">
        <v>331</v>
      </c>
      <c r="P311" t="s">
        <v>1299</v>
      </c>
      <c r="Q311" t="s">
        <v>966</v>
      </c>
    </row>
    <row r="312" spans="1:17">
      <c r="A312" s="2" t="s">
        <v>869</v>
      </c>
      <c r="B312" s="2" t="s">
        <v>746</v>
      </c>
      <c r="C312" s="2" t="s">
        <v>762</v>
      </c>
      <c r="D312" s="11">
        <v>45964.581250000003</v>
      </c>
      <c r="E312" s="11">
        <v>45964.581250000003</v>
      </c>
      <c r="F312" s="11">
        <v>45964.604166666664</v>
      </c>
      <c r="G312" s="12">
        <v>2.2916666661330964E-2</v>
      </c>
      <c r="H312" s="2" t="s">
        <v>248</v>
      </c>
      <c r="J312" s="2" t="s">
        <v>249</v>
      </c>
      <c r="K312" s="2" t="s">
        <v>349</v>
      </c>
      <c r="L312" s="2" t="s">
        <v>971</v>
      </c>
      <c r="M312" t="s">
        <v>251</v>
      </c>
      <c r="N312" t="s">
        <v>330</v>
      </c>
      <c r="O312" t="s">
        <v>331</v>
      </c>
      <c r="P312" t="s">
        <v>1300</v>
      </c>
      <c r="Q312" t="s">
        <v>966</v>
      </c>
    </row>
    <row r="313" spans="1:17">
      <c r="A313" s="2" t="s">
        <v>869</v>
      </c>
      <c r="B313" s="2" t="s">
        <v>746</v>
      </c>
      <c r="C313" s="2" t="s">
        <v>763</v>
      </c>
      <c r="D313" s="11">
        <v>45964.581250000003</v>
      </c>
      <c r="E313" s="11">
        <v>45964.581250000003</v>
      </c>
      <c r="F313" s="11">
        <v>45964.604166666664</v>
      </c>
      <c r="G313" s="12">
        <v>2.2916666661330964E-2</v>
      </c>
      <c r="H313" s="2" t="s">
        <v>248</v>
      </c>
      <c r="J313" s="2" t="s">
        <v>249</v>
      </c>
      <c r="K313" s="2" t="s">
        <v>349</v>
      </c>
      <c r="L313" s="2" t="s">
        <v>971</v>
      </c>
      <c r="M313" t="s">
        <v>251</v>
      </c>
      <c r="N313" t="s">
        <v>330</v>
      </c>
      <c r="O313" t="s">
        <v>331</v>
      </c>
      <c r="P313" t="s">
        <v>1301</v>
      </c>
      <c r="Q313" t="s">
        <v>966</v>
      </c>
    </row>
    <row r="314" spans="1:17">
      <c r="A314" s="2" t="s">
        <v>846</v>
      </c>
      <c r="B314" s="2" t="s">
        <v>602</v>
      </c>
      <c r="C314" s="2" t="s">
        <v>1221</v>
      </c>
      <c r="D314" s="11">
        <v>45965.26971064815</v>
      </c>
      <c r="E314" s="11">
        <v>45965.26971064815</v>
      </c>
      <c r="F314" s="11">
        <v>45965.276643518519</v>
      </c>
      <c r="G314" s="12">
        <v>6.9328703684732318E-3</v>
      </c>
      <c r="H314" s="2" t="s">
        <v>248</v>
      </c>
      <c r="J314" s="2" t="s">
        <v>300</v>
      </c>
      <c r="K314" s="2" t="s">
        <v>350</v>
      </c>
      <c r="L314" s="2" t="s">
        <v>1222</v>
      </c>
      <c r="M314" t="s">
        <v>375</v>
      </c>
      <c r="N314" t="s">
        <v>828</v>
      </c>
      <c r="P314" t="s">
        <v>1302</v>
      </c>
      <c r="Q314" t="s">
        <v>1224</v>
      </c>
    </row>
    <row r="315" spans="1:17">
      <c r="A315" s="2" t="s">
        <v>846</v>
      </c>
      <c r="B315" s="2" t="s">
        <v>602</v>
      </c>
      <c r="C315" s="2" t="s">
        <v>1303</v>
      </c>
      <c r="D315" s="11">
        <v>45965.269942129627</v>
      </c>
      <c r="E315" s="11">
        <v>45965.269942129627</v>
      </c>
      <c r="F315" s="11">
        <v>45965.276886574073</v>
      </c>
      <c r="G315" s="12">
        <v>6.9444444452528842E-3</v>
      </c>
      <c r="H315" s="2" t="s">
        <v>248</v>
      </c>
      <c r="J315" s="2" t="s">
        <v>300</v>
      </c>
      <c r="K315" s="2" t="s">
        <v>350</v>
      </c>
      <c r="L315" s="2" t="s">
        <v>1222</v>
      </c>
      <c r="M315" t="s">
        <v>375</v>
      </c>
      <c r="N315" t="s">
        <v>828</v>
      </c>
      <c r="P315" t="s">
        <v>1304</v>
      </c>
      <c r="Q315" t="s">
        <v>1224</v>
      </c>
    </row>
    <row r="316" spans="1:17">
      <c r="A316" s="2" t="s">
        <v>846</v>
      </c>
      <c r="B316" s="2" t="s">
        <v>602</v>
      </c>
      <c r="C316" s="2" t="s">
        <v>1305</v>
      </c>
      <c r="D316" s="11">
        <v>45965.27002314815</v>
      </c>
      <c r="E316" s="11">
        <v>45965.27002314815</v>
      </c>
      <c r="F316" s="11">
        <v>45965.276990740742</v>
      </c>
      <c r="G316" s="12">
        <v>6.9675925915362313E-3</v>
      </c>
      <c r="H316" s="2" t="s">
        <v>248</v>
      </c>
      <c r="J316" s="2" t="s">
        <v>300</v>
      </c>
      <c r="K316" s="2" t="s">
        <v>350</v>
      </c>
      <c r="L316" s="2" t="s">
        <v>1222</v>
      </c>
      <c r="M316" t="s">
        <v>375</v>
      </c>
      <c r="N316" t="s">
        <v>828</v>
      </c>
      <c r="P316" t="s">
        <v>1306</v>
      </c>
      <c r="Q316" t="s">
        <v>1224</v>
      </c>
    </row>
    <row r="317" spans="1:17">
      <c r="A317" s="2" t="s">
        <v>780</v>
      </c>
      <c r="B317" s="2" t="s">
        <v>268</v>
      </c>
      <c r="C317" s="2" t="s">
        <v>269</v>
      </c>
      <c r="D317" s="11">
        <v>45965.270833333336</v>
      </c>
      <c r="E317" s="11">
        <v>45965.270833333336</v>
      </c>
      <c r="F317" s="11">
        <v>45965.340277777781</v>
      </c>
      <c r="G317" s="12">
        <v>7.9861111109494232E-2</v>
      </c>
      <c r="H317" s="2" t="s">
        <v>248</v>
      </c>
      <c r="J317" s="2" t="s">
        <v>249</v>
      </c>
      <c r="K317" s="2" t="s">
        <v>349</v>
      </c>
      <c r="L317" s="2" t="s">
        <v>677</v>
      </c>
      <c r="M317" t="s">
        <v>251</v>
      </c>
      <c r="N317" t="s">
        <v>330</v>
      </c>
      <c r="O317" t="s">
        <v>331</v>
      </c>
      <c r="P317" t="s">
        <v>1307</v>
      </c>
      <c r="Q317" t="s">
        <v>966</v>
      </c>
    </row>
    <row r="318" spans="1:17">
      <c r="A318" s="2" t="s">
        <v>780</v>
      </c>
      <c r="B318" s="2" t="s">
        <v>268</v>
      </c>
      <c r="C318" s="2" t="s">
        <v>270</v>
      </c>
      <c r="D318" s="11">
        <v>45965.270833333336</v>
      </c>
      <c r="E318" s="11">
        <v>45965.270833333336</v>
      </c>
      <c r="F318" s="11">
        <v>45965.340277777781</v>
      </c>
      <c r="G318" s="12">
        <v>7.9861111109494232E-2</v>
      </c>
      <c r="H318" s="2" t="s">
        <v>248</v>
      </c>
      <c r="J318" s="2" t="s">
        <v>249</v>
      </c>
      <c r="K318" s="2" t="s">
        <v>349</v>
      </c>
      <c r="L318" s="2" t="s">
        <v>677</v>
      </c>
      <c r="M318" t="s">
        <v>251</v>
      </c>
      <c r="N318" t="s">
        <v>330</v>
      </c>
      <c r="O318" t="s">
        <v>331</v>
      </c>
      <c r="P318" t="s">
        <v>1308</v>
      </c>
      <c r="Q318" t="s">
        <v>966</v>
      </c>
    </row>
    <row r="319" spans="1:17">
      <c r="A319" s="2" t="s">
        <v>780</v>
      </c>
      <c r="B319" s="2" t="s">
        <v>268</v>
      </c>
      <c r="C319" s="2" t="s">
        <v>271</v>
      </c>
      <c r="D319" s="11">
        <v>45965.270833333336</v>
      </c>
      <c r="E319" s="11">
        <v>45965.270833333336</v>
      </c>
      <c r="F319" s="11">
        <v>45965.340277777781</v>
      </c>
      <c r="G319" s="12">
        <v>7.9861111109494232E-2</v>
      </c>
      <c r="H319" s="2" t="s">
        <v>248</v>
      </c>
      <c r="J319" s="2" t="s">
        <v>249</v>
      </c>
      <c r="K319" s="2" t="s">
        <v>349</v>
      </c>
      <c r="L319" s="2" t="s">
        <v>677</v>
      </c>
      <c r="M319" t="s">
        <v>251</v>
      </c>
      <c r="N319" t="s">
        <v>330</v>
      </c>
      <c r="O319" t="s">
        <v>331</v>
      </c>
      <c r="P319" t="s">
        <v>1309</v>
      </c>
      <c r="Q319" t="s">
        <v>966</v>
      </c>
    </row>
    <row r="320" spans="1:17">
      <c r="A320" s="2" t="s">
        <v>780</v>
      </c>
      <c r="B320" s="2" t="s">
        <v>268</v>
      </c>
      <c r="C320" s="2" t="s">
        <v>272</v>
      </c>
      <c r="D320" s="11">
        <v>45965.270833333336</v>
      </c>
      <c r="E320" s="11">
        <v>45965.270833333336</v>
      </c>
      <c r="F320" s="11">
        <v>45965.340277777781</v>
      </c>
      <c r="G320" s="12">
        <v>7.9861111109494232E-2</v>
      </c>
      <c r="H320" s="2" t="s">
        <v>248</v>
      </c>
      <c r="J320" s="2" t="s">
        <v>249</v>
      </c>
      <c r="K320" s="2" t="s">
        <v>349</v>
      </c>
      <c r="L320" s="2" t="s">
        <v>677</v>
      </c>
      <c r="M320" t="s">
        <v>251</v>
      </c>
      <c r="N320" t="s">
        <v>330</v>
      </c>
      <c r="O320" t="s">
        <v>331</v>
      </c>
      <c r="P320" t="s">
        <v>1310</v>
      </c>
      <c r="Q320" t="s">
        <v>966</v>
      </c>
    </row>
    <row r="321" spans="1:17">
      <c r="A321" s="2" t="s">
        <v>780</v>
      </c>
      <c r="B321" s="2" t="s">
        <v>268</v>
      </c>
      <c r="C321" s="2" t="s">
        <v>273</v>
      </c>
      <c r="D321" s="11">
        <v>45965.270833333336</v>
      </c>
      <c r="E321" s="11">
        <v>45965.270833333336</v>
      </c>
      <c r="F321" s="11">
        <v>45965.340277777781</v>
      </c>
      <c r="G321" s="12">
        <v>7.9861111109494232E-2</v>
      </c>
      <c r="H321" s="2" t="s">
        <v>248</v>
      </c>
      <c r="J321" s="2" t="s">
        <v>249</v>
      </c>
      <c r="K321" s="2" t="s">
        <v>349</v>
      </c>
      <c r="L321" s="2" t="s">
        <v>677</v>
      </c>
      <c r="M321" t="s">
        <v>251</v>
      </c>
      <c r="N321" t="s">
        <v>330</v>
      </c>
      <c r="O321" t="s">
        <v>331</v>
      </c>
      <c r="P321" t="s">
        <v>1311</v>
      </c>
      <c r="Q321" t="s">
        <v>966</v>
      </c>
    </row>
    <row r="322" spans="1:17">
      <c r="A322" s="2" t="s">
        <v>780</v>
      </c>
      <c r="B322" s="2" t="s">
        <v>268</v>
      </c>
      <c r="C322" s="2" t="s">
        <v>274</v>
      </c>
      <c r="D322" s="11">
        <v>45965.270833333336</v>
      </c>
      <c r="E322" s="11">
        <v>45965.270833333336</v>
      </c>
      <c r="F322" s="11">
        <v>45965.340277777781</v>
      </c>
      <c r="G322" s="12">
        <v>7.9861111109494232E-2</v>
      </c>
      <c r="H322" s="2" t="s">
        <v>248</v>
      </c>
      <c r="J322" s="2" t="s">
        <v>249</v>
      </c>
      <c r="K322" s="2" t="s">
        <v>349</v>
      </c>
      <c r="L322" s="2" t="s">
        <v>677</v>
      </c>
      <c r="M322" t="s">
        <v>251</v>
      </c>
      <c r="N322" t="s">
        <v>330</v>
      </c>
      <c r="O322" t="s">
        <v>331</v>
      </c>
      <c r="P322" t="s">
        <v>1312</v>
      </c>
      <c r="Q322" t="s">
        <v>966</v>
      </c>
    </row>
    <row r="323" spans="1:17">
      <c r="A323" s="2" t="s">
        <v>780</v>
      </c>
      <c r="B323" s="2" t="s">
        <v>268</v>
      </c>
      <c r="C323" s="2" t="s">
        <v>275</v>
      </c>
      <c r="D323" s="11">
        <v>45965.270833333336</v>
      </c>
      <c r="E323" s="11">
        <v>45965.270833333336</v>
      </c>
      <c r="F323" s="11">
        <v>45965.340277777781</v>
      </c>
      <c r="G323" s="12">
        <v>7.9861111109494232E-2</v>
      </c>
      <c r="H323" s="2" t="s">
        <v>248</v>
      </c>
      <c r="J323" s="2" t="s">
        <v>249</v>
      </c>
      <c r="K323" s="2" t="s">
        <v>349</v>
      </c>
      <c r="L323" s="2" t="s">
        <v>677</v>
      </c>
      <c r="M323" t="s">
        <v>251</v>
      </c>
      <c r="N323" t="s">
        <v>330</v>
      </c>
      <c r="O323" t="s">
        <v>331</v>
      </c>
      <c r="P323" t="s">
        <v>1313</v>
      </c>
      <c r="Q323" t="s">
        <v>966</v>
      </c>
    </row>
    <row r="324" spans="1:17">
      <c r="A324" s="2" t="s">
        <v>780</v>
      </c>
      <c r="B324" s="2" t="s">
        <v>268</v>
      </c>
      <c r="C324" s="2" t="s">
        <v>276</v>
      </c>
      <c r="D324" s="11">
        <v>45965.270833333336</v>
      </c>
      <c r="E324" s="11">
        <v>45965.270833333336</v>
      </c>
      <c r="F324" s="11">
        <v>45965.340277777781</v>
      </c>
      <c r="G324" s="12">
        <v>7.9861111109494232E-2</v>
      </c>
      <c r="H324" s="2" t="s">
        <v>248</v>
      </c>
      <c r="J324" s="2" t="s">
        <v>249</v>
      </c>
      <c r="K324" s="2" t="s">
        <v>349</v>
      </c>
      <c r="L324" s="2" t="s">
        <v>677</v>
      </c>
      <c r="M324" t="s">
        <v>251</v>
      </c>
      <c r="N324" t="s">
        <v>330</v>
      </c>
      <c r="O324" t="s">
        <v>331</v>
      </c>
      <c r="P324" t="s">
        <v>1314</v>
      </c>
      <c r="Q324" t="s">
        <v>966</v>
      </c>
    </row>
    <row r="325" spans="1:17">
      <c r="A325" s="2" t="s">
        <v>781</v>
      </c>
      <c r="B325" s="2" t="s">
        <v>268</v>
      </c>
      <c r="C325" s="2" t="s">
        <v>277</v>
      </c>
      <c r="D325" s="11">
        <v>45965.270833333336</v>
      </c>
      <c r="E325" s="11">
        <v>45965.270833333336</v>
      </c>
      <c r="F325" s="11">
        <v>45965.340277777781</v>
      </c>
      <c r="G325" s="12">
        <v>7.9861111109494232E-2</v>
      </c>
      <c r="H325" s="2" t="s">
        <v>248</v>
      </c>
      <c r="J325" s="2" t="s">
        <v>249</v>
      </c>
      <c r="K325" s="2" t="s">
        <v>349</v>
      </c>
      <c r="L325" s="2" t="s">
        <v>677</v>
      </c>
      <c r="M325" t="s">
        <v>251</v>
      </c>
      <c r="N325" t="s">
        <v>330</v>
      </c>
      <c r="O325" t="s">
        <v>331</v>
      </c>
      <c r="P325" t="s">
        <v>1315</v>
      </c>
      <c r="Q325" t="s">
        <v>966</v>
      </c>
    </row>
    <row r="326" spans="1:17">
      <c r="A326" s="2" t="s">
        <v>781</v>
      </c>
      <c r="B326" s="2" t="s">
        <v>268</v>
      </c>
      <c r="C326" s="2" t="s">
        <v>278</v>
      </c>
      <c r="D326" s="11">
        <v>45965.270833333336</v>
      </c>
      <c r="E326" s="11">
        <v>45965.270833333336</v>
      </c>
      <c r="F326" s="11">
        <v>45965.340277777781</v>
      </c>
      <c r="G326" s="12">
        <v>7.9861111109494232E-2</v>
      </c>
      <c r="H326" s="2" t="s">
        <v>248</v>
      </c>
      <c r="J326" s="2" t="s">
        <v>249</v>
      </c>
      <c r="K326" s="2" t="s">
        <v>349</v>
      </c>
      <c r="L326" s="2" t="s">
        <v>677</v>
      </c>
      <c r="M326" t="s">
        <v>251</v>
      </c>
      <c r="N326" t="s">
        <v>330</v>
      </c>
      <c r="O326" t="s">
        <v>331</v>
      </c>
      <c r="P326" t="s">
        <v>1316</v>
      </c>
      <c r="Q326" t="s">
        <v>966</v>
      </c>
    </row>
    <row r="327" spans="1:17">
      <c r="A327" s="2" t="s">
        <v>781</v>
      </c>
      <c r="B327" s="2" t="s">
        <v>268</v>
      </c>
      <c r="C327" s="2" t="s">
        <v>279</v>
      </c>
      <c r="D327" s="11">
        <v>45965.270833333336</v>
      </c>
      <c r="E327" s="11">
        <v>45965.270833333336</v>
      </c>
      <c r="F327" s="11">
        <v>45965.340277777781</v>
      </c>
      <c r="G327" s="12">
        <v>7.9861111109494232E-2</v>
      </c>
      <c r="H327" s="2" t="s">
        <v>248</v>
      </c>
      <c r="J327" s="2" t="s">
        <v>249</v>
      </c>
      <c r="K327" s="2" t="s">
        <v>349</v>
      </c>
      <c r="L327" s="2" t="s">
        <v>677</v>
      </c>
      <c r="M327" t="s">
        <v>251</v>
      </c>
      <c r="N327" t="s">
        <v>330</v>
      </c>
      <c r="O327" t="s">
        <v>331</v>
      </c>
      <c r="P327" t="s">
        <v>1317</v>
      </c>
      <c r="Q327" t="s">
        <v>966</v>
      </c>
    </row>
    <row r="328" spans="1:17">
      <c r="A328" s="2" t="s">
        <v>781</v>
      </c>
      <c r="B328" s="2" t="s">
        <v>268</v>
      </c>
      <c r="C328" s="2" t="s">
        <v>280</v>
      </c>
      <c r="D328" s="11">
        <v>45965.270833333336</v>
      </c>
      <c r="E328" s="11">
        <v>45965.270833333336</v>
      </c>
      <c r="F328" s="11">
        <v>45965.340277777781</v>
      </c>
      <c r="G328" s="12">
        <v>7.9861111109494232E-2</v>
      </c>
      <c r="H328" s="2" t="s">
        <v>248</v>
      </c>
      <c r="J328" s="2" t="s">
        <v>249</v>
      </c>
      <c r="K328" s="2" t="s">
        <v>349</v>
      </c>
      <c r="L328" s="2" t="s">
        <v>677</v>
      </c>
      <c r="M328" t="s">
        <v>251</v>
      </c>
      <c r="N328" t="s">
        <v>330</v>
      </c>
      <c r="O328" t="s">
        <v>331</v>
      </c>
      <c r="P328" t="s">
        <v>1318</v>
      </c>
      <c r="Q328" t="s">
        <v>966</v>
      </c>
    </row>
    <row r="329" spans="1:17">
      <c r="A329" s="2" t="s">
        <v>781</v>
      </c>
      <c r="B329" s="2" t="s">
        <v>268</v>
      </c>
      <c r="C329" s="2" t="s">
        <v>281</v>
      </c>
      <c r="D329" s="11">
        <v>45965.270833333336</v>
      </c>
      <c r="E329" s="11">
        <v>45965.270833333336</v>
      </c>
      <c r="F329" s="11">
        <v>45965.340277777781</v>
      </c>
      <c r="G329" s="12">
        <v>7.9861111109494232E-2</v>
      </c>
      <c r="H329" s="2" t="s">
        <v>248</v>
      </c>
      <c r="J329" s="2" t="s">
        <v>249</v>
      </c>
      <c r="K329" s="2" t="s">
        <v>349</v>
      </c>
      <c r="L329" s="2" t="s">
        <v>677</v>
      </c>
      <c r="M329" t="s">
        <v>251</v>
      </c>
      <c r="N329" t="s">
        <v>330</v>
      </c>
      <c r="O329" t="s">
        <v>331</v>
      </c>
      <c r="P329" t="s">
        <v>1319</v>
      </c>
      <c r="Q329" t="s">
        <v>966</v>
      </c>
    </row>
    <row r="330" spans="1:17">
      <c r="A330" s="2" t="s">
        <v>781</v>
      </c>
      <c r="B330" s="2" t="s">
        <v>268</v>
      </c>
      <c r="C330" s="2" t="s">
        <v>282</v>
      </c>
      <c r="D330" s="11">
        <v>45965.270833333336</v>
      </c>
      <c r="E330" s="11">
        <v>45965.270833333336</v>
      </c>
      <c r="F330" s="11">
        <v>45965.340277777781</v>
      </c>
      <c r="G330" s="12">
        <v>7.9861111109494232E-2</v>
      </c>
      <c r="H330" s="2" t="s">
        <v>248</v>
      </c>
      <c r="J330" s="2" t="s">
        <v>249</v>
      </c>
      <c r="K330" s="2" t="s">
        <v>349</v>
      </c>
      <c r="L330" s="2" t="s">
        <v>677</v>
      </c>
      <c r="M330" t="s">
        <v>251</v>
      </c>
      <c r="N330" t="s">
        <v>330</v>
      </c>
      <c r="O330" t="s">
        <v>331</v>
      </c>
      <c r="P330" t="s">
        <v>1320</v>
      </c>
      <c r="Q330" t="s">
        <v>966</v>
      </c>
    </row>
    <row r="331" spans="1:17">
      <c r="A331" s="2" t="s">
        <v>781</v>
      </c>
      <c r="B331" s="2" t="s">
        <v>268</v>
      </c>
      <c r="C331" s="2" t="s">
        <v>283</v>
      </c>
      <c r="D331" s="11">
        <v>45965.270833333336</v>
      </c>
      <c r="E331" s="11">
        <v>45965.270833333336</v>
      </c>
      <c r="F331" s="11">
        <v>45965.340277777781</v>
      </c>
      <c r="G331" s="12">
        <v>7.9861111109494232E-2</v>
      </c>
      <c r="H331" s="2" t="s">
        <v>248</v>
      </c>
      <c r="J331" s="2" t="s">
        <v>249</v>
      </c>
      <c r="K331" s="2" t="s">
        <v>349</v>
      </c>
      <c r="L331" s="2" t="s">
        <v>677</v>
      </c>
      <c r="M331" t="s">
        <v>251</v>
      </c>
      <c r="N331" t="s">
        <v>330</v>
      </c>
      <c r="O331" t="s">
        <v>331</v>
      </c>
      <c r="P331" t="s">
        <v>1321</v>
      </c>
      <c r="Q331" t="s">
        <v>966</v>
      </c>
    </row>
    <row r="332" spans="1:17">
      <c r="A332" s="2" t="s">
        <v>794</v>
      </c>
      <c r="B332" s="2" t="s">
        <v>268</v>
      </c>
      <c r="C332" s="2" t="s">
        <v>284</v>
      </c>
      <c r="D332" s="11">
        <v>45965.270833333336</v>
      </c>
      <c r="E332" s="11">
        <v>45965.270833333336</v>
      </c>
      <c r="F332" s="11">
        <v>45965.340277777781</v>
      </c>
      <c r="G332" s="12">
        <v>7.9861111109494232E-2</v>
      </c>
      <c r="H332" s="2" t="s">
        <v>248</v>
      </c>
      <c r="J332" s="2" t="s">
        <v>249</v>
      </c>
      <c r="K332" s="2" t="s">
        <v>349</v>
      </c>
      <c r="L332" s="2" t="s">
        <v>677</v>
      </c>
      <c r="M332" t="s">
        <v>251</v>
      </c>
      <c r="N332" t="s">
        <v>330</v>
      </c>
      <c r="O332" t="s">
        <v>331</v>
      </c>
      <c r="P332" t="s">
        <v>1322</v>
      </c>
      <c r="Q332" t="s">
        <v>966</v>
      </c>
    </row>
    <row r="333" spans="1:17">
      <c r="A333" s="2" t="s">
        <v>794</v>
      </c>
      <c r="B333" s="2" t="s">
        <v>268</v>
      </c>
      <c r="C333" s="2" t="s">
        <v>285</v>
      </c>
      <c r="D333" s="11">
        <v>45965.270833333336</v>
      </c>
      <c r="E333" s="11">
        <v>45965.270833333336</v>
      </c>
      <c r="F333" s="11">
        <v>45965.340277777781</v>
      </c>
      <c r="G333" s="12">
        <v>7.9861111109494232E-2</v>
      </c>
      <c r="H333" s="2" t="s">
        <v>248</v>
      </c>
      <c r="J333" s="2" t="s">
        <v>249</v>
      </c>
      <c r="K333" s="2" t="s">
        <v>349</v>
      </c>
      <c r="L333" s="2" t="s">
        <v>677</v>
      </c>
      <c r="M333" t="s">
        <v>251</v>
      </c>
      <c r="N333" t="s">
        <v>330</v>
      </c>
      <c r="O333" t="s">
        <v>331</v>
      </c>
      <c r="P333" t="s">
        <v>1323</v>
      </c>
      <c r="Q333" t="s">
        <v>966</v>
      </c>
    </row>
    <row r="334" spans="1:17">
      <c r="A334" s="2" t="s">
        <v>794</v>
      </c>
      <c r="B334" s="2" t="s">
        <v>268</v>
      </c>
      <c r="C334" s="2" t="s">
        <v>286</v>
      </c>
      <c r="D334" s="11">
        <v>45965.270833333336</v>
      </c>
      <c r="E334" s="11">
        <v>45965.270833333336</v>
      </c>
      <c r="F334" s="11">
        <v>45965.340277777781</v>
      </c>
      <c r="G334" s="12">
        <v>7.9861111109494232E-2</v>
      </c>
      <c r="H334" s="2" t="s">
        <v>248</v>
      </c>
      <c r="J334" s="2" t="s">
        <v>249</v>
      </c>
      <c r="K334" s="2" t="s">
        <v>349</v>
      </c>
      <c r="L334" s="2" t="s">
        <v>677</v>
      </c>
      <c r="M334" t="s">
        <v>251</v>
      </c>
      <c r="N334" t="s">
        <v>330</v>
      </c>
      <c r="O334" t="s">
        <v>331</v>
      </c>
      <c r="P334" t="s">
        <v>1324</v>
      </c>
      <c r="Q334" t="s">
        <v>966</v>
      </c>
    </row>
    <row r="335" spans="1:17">
      <c r="A335" s="2" t="s">
        <v>794</v>
      </c>
      <c r="B335" s="2" t="s">
        <v>268</v>
      </c>
      <c r="C335" s="2" t="s">
        <v>287</v>
      </c>
      <c r="D335" s="11">
        <v>45965.270833333336</v>
      </c>
      <c r="E335" s="11">
        <v>45965.270833333336</v>
      </c>
      <c r="F335" s="11">
        <v>45965.340277777781</v>
      </c>
      <c r="G335" s="12">
        <v>7.9861111109494232E-2</v>
      </c>
      <c r="H335" s="2" t="s">
        <v>248</v>
      </c>
      <c r="J335" s="2" t="s">
        <v>249</v>
      </c>
      <c r="K335" s="2" t="s">
        <v>349</v>
      </c>
      <c r="L335" s="2" t="s">
        <v>677</v>
      </c>
      <c r="M335" t="s">
        <v>251</v>
      </c>
      <c r="N335" t="s">
        <v>330</v>
      </c>
      <c r="O335" t="s">
        <v>331</v>
      </c>
      <c r="P335" t="s">
        <v>1325</v>
      </c>
      <c r="Q335" t="s">
        <v>966</v>
      </c>
    </row>
    <row r="336" spans="1:17">
      <c r="A336" s="2" t="s">
        <v>794</v>
      </c>
      <c r="B336" s="2" t="s">
        <v>268</v>
      </c>
      <c r="C336" s="2" t="s">
        <v>288</v>
      </c>
      <c r="D336" s="11">
        <v>45965.270833333336</v>
      </c>
      <c r="E336" s="11">
        <v>45965.270833333336</v>
      </c>
      <c r="F336" s="11">
        <v>45965.340277777781</v>
      </c>
      <c r="G336" s="12">
        <v>7.9861111109494232E-2</v>
      </c>
      <c r="H336" s="2" t="s">
        <v>248</v>
      </c>
      <c r="J336" s="2" t="s">
        <v>249</v>
      </c>
      <c r="K336" s="2" t="s">
        <v>349</v>
      </c>
      <c r="L336" s="2" t="s">
        <v>677</v>
      </c>
      <c r="M336" t="s">
        <v>251</v>
      </c>
      <c r="N336" t="s">
        <v>330</v>
      </c>
      <c r="O336" t="s">
        <v>331</v>
      </c>
      <c r="P336" t="s">
        <v>1326</v>
      </c>
      <c r="Q336" t="s">
        <v>966</v>
      </c>
    </row>
    <row r="337" spans="1:17">
      <c r="A337" s="2" t="s">
        <v>795</v>
      </c>
      <c r="B337" s="2" t="s">
        <v>268</v>
      </c>
      <c r="C337" s="2" t="s">
        <v>289</v>
      </c>
      <c r="D337" s="11">
        <v>45965.270833333336</v>
      </c>
      <c r="E337" s="11">
        <v>45965.270833333336</v>
      </c>
      <c r="F337" s="11">
        <v>45965.340277777781</v>
      </c>
      <c r="G337" s="12">
        <v>7.9861111109494232E-2</v>
      </c>
      <c r="H337" s="2" t="s">
        <v>248</v>
      </c>
      <c r="J337" s="2" t="s">
        <v>249</v>
      </c>
      <c r="K337" s="2" t="s">
        <v>349</v>
      </c>
      <c r="L337" s="2" t="s">
        <v>677</v>
      </c>
      <c r="M337" t="s">
        <v>251</v>
      </c>
      <c r="N337" t="s">
        <v>330</v>
      </c>
      <c r="O337" t="s">
        <v>331</v>
      </c>
      <c r="P337" t="s">
        <v>1327</v>
      </c>
      <c r="Q337" t="s">
        <v>966</v>
      </c>
    </row>
    <row r="338" spans="1:17">
      <c r="A338" s="2" t="s">
        <v>795</v>
      </c>
      <c r="B338" s="2" t="s">
        <v>268</v>
      </c>
      <c r="C338" s="2" t="s">
        <v>290</v>
      </c>
      <c r="D338" s="11">
        <v>45965.270833333336</v>
      </c>
      <c r="E338" s="11">
        <v>45965.270833333336</v>
      </c>
      <c r="F338" s="11">
        <v>45965.340277777781</v>
      </c>
      <c r="G338" s="12">
        <v>7.9861111109494232E-2</v>
      </c>
      <c r="H338" s="2" t="s">
        <v>248</v>
      </c>
      <c r="J338" s="2" t="s">
        <v>249</v>
      </c>
      <c r="K338" s="2" t="s">
        <v>349</v>
      </c>
      <c r="L338" s="2" t="s">
        <v>677</v>
      </c>
      <c r="M338" t="s">
        <v>251</v>
      </c>
      <c r="N338" t="s">
        <v>330</v>
      </c>
      <c r="O338" t="s">
        <v>331</v>
      </c>
      <c r="P338" t="s">
        <v>1328</v>
      </c>
      <c r="Q338" t="s">
        <v>966</v>
      </c>
    </row>
    <row r="339" spans="1:17">
      <c r="A339" s="2" t="s">
        <v>795</v>
      </c>
      <c r="B339" s="2" t="s">
        <v>268</v>
      </c>
      <c r="C339" s="2" t="s">
        <v>291</v>
      </c>
      <c r="D339" s="11">
        <v>45965.270833333336</v>
      </c>
      <c r="E339" s="11">
        <v>45965.270833333336</v>
      </c>
      <c r="F339" s="11">
        <v>45965.340277777781</v>
      </c>
      <c r="G339" s="12">
        <v>7.9861111109494232E-2</v>
      </c>
      <c r="H339" s="2" t="s">
        <v>248</v>
      </c>
      <c r="J339" s="2" t="s">
        <v>249</v>
      </c>
      <c r="K339" s="2" t="s">
        <v>349</v>
      </c>
      <c r="L339" s="2" t="s">
        <v>677</v>
      </c>
      <c r="M339" t="s">
        <v>251</v>
      </c>
      <c r="N339" t="s">
        <v>330</v>
      </c>
      <c r="O339" t="s">
        <v>331</v>
      </c>
      <c r="P339" t="s">
        <v>1329</v>
      </c>
      <c r="Q339" t="s">
        <v>966</v>
      </c>
    </row>
    <row r="340" spans="1:17">
      <c r="A340" s="2" t="s">
        <v>795</v>
      </c>
      <c r="B340" s="2" t="s">
        <v>268</v>
      </c>
      <c r="C340" s="2" t="s">
        <v>292</v>
      </c>
      <c r="D340" s="11">
        <v>45965.270833333336</v>
      </c>
      <c r="E340" s="11">
        <v>45965.270833333336</v>
      </c>
      <c r="F340" s="11">
        <v>45965.340277777781</v>
      </c>
      <c r="G340" s="12">
        <v>7.9861111109494232E-2</v>
      </c>
      <c r="H340" s="2" t="s">
        <v>248</v>
      </c>
      <c r="J340" s="2" t="s">
        <v>249</v>
      </c>
      <c r="K340" s="2" t="s">
        <v>349</v>
      </c>
      <c r="L340" s="2" t="s">
        <v>677</v>
      </c>
      <c r="M340" t="s">
        <v>251</v>
      </c>
      <c r="N340" t="s">
        <v>330</v>
      </c>
      <c r="O340" t="s">
        <v>331</v>
      </c>
      <c r="P340" t="s">
        <v>1330</v>
      </c>
      <c r="Q340" t="s">
        <v>966</v>
      </c>
    </row>
    <row r="341" spans="1:17">
      <c r="A341" s="2" t="s">
        <v>796</v>
      </c>
      <c r="B341" s="2" t="s">
        <v>268</v>
      </c>
      <c r="C341" s="2" t="s">
        <v>293</v>
      </c>
      <c r="D341" s="11">
        <v>45965.270833333336</v>
      </c>
      <c r="E341" s="11">
        <v>45965.270833333336</v>
      </c>
      <c r="F341" s="11">
        <v>45965.340277777781</v>
      </c>
      <c r="G341" s="12">
        <v>7.9861111109494232E-2</v>
      </c>
      <c r="H341" s="2" t="s">
        <v>248</v>
      </c>
      <c r="J341" s="2" t="s">
        <v>249</v>
      </c>
      <c r="K341" s="2" t="s">
        <v>349</v>
      </c>
      <c r="L341" s="2" t="s">
        <v>677</v>
      </c>
      <c r="M341" t="s">
        <v>251</v>
      </c>
      <c r="N341" t="s">
        <v>330</v>
      </c>
      <c r="O341" t="s">
        <v>331</v>
      </c>
      <c r="P341" t="s">
        <v>1331</v>
      </c>
      <c r="Q341" t="s">
        <v>966</v>
      </c>
    </row>
    <row r="342" spans="1:17">
      <c r="A342" s="2" t="s">
        <v>796</v>
      </c>
      <c r="B342" s="2" t="s">
        <v>268</v>
      </c>
      <c r="C342" s="2" t="s">
        <v>294</v>
      </c>
      <c r="D342" s="11">
        <v>45965.270833333336</v>
      </c>
      <c r="E342" s="11">
        <v>45965.270833333336</v>
      </c>
      <c r="F342" s="11">
        <v>45965.340277777781</v>
      </c>
      <c r="G342" s="12">
        <v>7.9861111109494232E-2</v>
      </c>
      <c r="H342" s="2" t="s">
        <v>248</v>
      </c>
      <c r="J342" s="2" t="s">
        <v>249</v>
      </c>
      <c r="K342" s="2" t="s">
        <v>349</v>
      </c>
      <c r="L342" s="2" t="s">
        <v>677</v>
      </c>
      <c r="M342" t="s">
        <v>251</v>
      </c>
      <c r="N342" t="s">
        <v>330</v>
      </c>
      <c r="O342" t="s">
        <v>331</v>
      </c>
      <c r="P342" t="s">
        <v>1332</v>
      </c>
      <c r="Q342" t="s">
        <v>966</v>
      </c>
    </row>
    <row r="343" spans="1:17">
      <c r="A343" s="2" t="s">
        <v>796</v>
      </c>
      <c r="B343" s="2" t="s">
        <v>268</v>
      </c>
      <c r="C343" s="2" t="s">
        <v>295</v>
      </c>
      <c r="D343" s="11">
        <v>45965.270833333336</v>
      </c>
      <c r="E343" s="11">
        <v>45965.270833333336</v>
      </c>
      <c r="F343" s="11">
        <v>45965.340277777781</v>
      </c>
      <c r="G343" s="12">
        <v>7.9861111109494232E-2</v>
      </c>
      <c r="H343" s="2" t="s">
        <v>248</v>
      </c>
      <c r="J343" s="2" t="s">
        <v>249</v>
      </c>
      <c r="K343" s="2" t="s">
        <v>349</v>
      </c>
      <c r="L343" s="2" t="s">
        <v>677</v>
      </c>
      <c r="M343" t="s">
        <v>251</v>
      </c>
      <c r="N343" t="s">
        <v>330</v>
      </c>
      <c r="O343" t="s">
        <v>331</v>
      </c>
      <c r="P343" t="s">
        <v>1333</v>
      </c>
      <c r="Q343" t="s">
        <v>966</v>
      </c>
    </row>
    <row r="344" spans="1:17">
      <c r="A344" s="2" t="s">
        <v>796</v>
      </c>
      <c r="B344" s="2" t="s">
        <v>268</v>
      </c>
      <c r="C344" s="2" t="s">
        <v>296</v>
      </c>
      <c r="D344" s="11">
        <v>45965.270833333336</v>
      </c>
      <c r="E344" s="11">
        <v>45965.270833333336</v>
      </c>
      <c r="F344" s="11">
        <v>45965.340277777781</v>
      </c>
      <c r="G344" s="12">
        <v>7.9861111109494232E-2</v>
      </c>
      <c r="H344" s="2" t="s">
        <v>248</v>
      </c>
      <c r="J344" s="2" t="s">
        <v>249</v>
      </c>
      <c r="K344" s="2" t="s">
        <v>349</v>
      </c>
      <c r="L344" s="2" t="s">
        <v>677</v>
      </c>
      <c r="M344" t="s">
        <v>251</v>
      </c>
      <c r="N344" t="s">
        <v>330</v>
      </c>
      <c r="O344" t="s">
        <v>331</v>
      </c>
      <c r="P344" t="s">
        <v>1334</v>
      </c>
      <c r="Q344" t="s">
        <v>966</v>
      </c>
    </row>
    <row r="345" spans="1:17">
      <c r="A345" s="2" t="s">
        <v>796</v>
      </c>
      <c r="B345" s="2" t="s">
        <v>268</v>
      </c>
      <c r="C345" s="2" t="s">
        <v>297</v>
      </c>
      <c r="D345" s="11">
        <v>45965.270833333336</v>
      </c>
      <c r="E345" s="11">
        <v>45965.270833333336</v>
      </c>
      <c r="F345" s="11">
        <v>45965.340277777781</v>
      </c>
      <c r="G345" s="12">
        <v>7.9861111109494232E-2</v>
      </c>
      <c r="H345" s="2" t="s">
        <v>248</v>
      </c>
      <c r="J345" s="2" t="s">
        <v>249</v>
      </c>
      <c r="K345" s="2" t="s">
        <v>349</v>
      </c>
      <c r="L345" s="2" t="s">
        <v>677</v>
      </c>
      <c r="M345" t="s">
        <v>251</v>
      </c>
      <c r="N345" t="s">
        <v>330</v>
      </c>
      <c r="O345" t="s">
        <v>331</v>
      </c>
      <c r="P345" t="s">
        <v>1335</v>
      </c>
      <c r="Q345" t="s">
        <v>966</v>
      </c>
    </row>
    <row r="346" spans="1:17">
      <c r="A346" s="2" t="s">
        <v>246</v>
      </c>
      <c r="B346" s="2" t="s">
        <v>246</v>
      </c>
      <c r="C346" s="2" t="s">
        <v>247</v>
      </c>
      <c r="D346" s="11">
        <v>45965.270833333336</v>
      </c>
      <c r="E346" s="11">
        <v>45965.270833333336</v>
      </c>
      <c r="F346" s="11">
        <v>45965.340277777781</v>
      </c>
      <c r="G346" s="12">
        <v>7.9861111109494232E-2</v>
      </c>
      <c r="H346" s="2" t="s">
        <v>248</v>
      </c>
      <c r="J346" s="2" t="s">
        <v>249</v>
      </c>
      <c r="K346" s="2" t="s">
        <v>349</v>
      </c>
      <c r="L346" s="2" t="s">
        <v>677</v>
      </c>
      <c r="M346" t="s">
        <v>251</v>
      </c>
      <c r="N346" t="s">
        <v>330</v>
      </c>
      <c r="O346" t="s">
        <v>331</v>
      </c>
      <c r="P346" t="s">
        <v>1336</v>
      </c>
      <c r="Q346" t="s">
        <v>966</v>
      </c>
    </row>
    <row r="347" spans="1:17">
      <c r="A347" s="2" t="s">
        <v>246</v>
      </c>
      <c r="B347" s="2" t="s">
        <v>246</v>
      </c>
      <c r="C347" s="2" t="s">
        <v>254</v>
      </c>
      <c r="D347" s="11">
        <v>45965.270833333336</v>
      </c>
      <c r="E347" s="11">
        <v>45965.270833333336</v>
      </c>
      <c r="F347" s="11">
        <v>45965.340277777781</v>
      </c>
      <c r="G347" s="12">
        <v>7.9861111109494232E-2</v>
      </c>
      <c r="H347" s="2" t="s">
        <v>248</v>
      </c>
      <c r="J347" s="2" t="s">
        <v>249</v>
      </c>
      <c r="K347" s="2" t="s">
        <v>349</v>
      </c>
      <c r="L347" s="2" t="s">
        <v>677</v>
      </c>
      <c r="M347" t="s">
        <v>251</v>
      </c>
      <c r="N347" t="s">
        <v>330</v>
      </c>
      <c r="O347" t="s">
        <v>331</v>
      </c>
      <c r="P347" t="s">
        <v>1337</v>
      </c>
      <c r="Q347" t="s">
        <v>966</v>
      </c>
    </row>
    <row r="348" spans="1:17">
      <c r="A348" s="2" t="s">
        <v>246</v>
      </c>
      <c r="B348" s="2" t="s">
        <v>246</v>
      </c>
      <c r="C348" s="2" t="s">
        <v>255</v>
      </c>
      <c r="D348" s="11">
        <v>45965.270833333336</v>
      </c>
      <c r="E348" s="11">
        <v>45965.270833333336</v>
      </c>
      <c r="F348" s="11">
        <v>45965.340277777781</v>
      </c>
      <c r="G348" s="12">
        <v>7.9861111109494232E-2</v>
      </c>
      <c r="H348" s="2" t="s">
        <v>248</v>
      </c>
      <c r="J348" s="2" t="s">
        <v>249</v>
      </c>
      <c r="K348" s="2" t="s">
        <v>349</v>
      </c>
      <c r="L348" s="2" t="s">
        <v>677</v>
      </c>
      <c r="M348" t="s">
        <v>251</v>
      </c>
      <c r="N348" t="s">
        <v>330</v>
      </c>
      <c r="O348" t="s">
        <v>331</v>
      </c>
      <c r="P348" t="s">
        <v>1338</v>
      </c>
      <c r="Q348" t="s">
        <v>966</v>
      </c>
    </row>
    <row r="349" spans="1:17">
      <c r="A349" s="2" t="s">
        <v>246</v>
      </c>
      <c r="B349" s="2" t="s">
        <v>246</v>
      </c>
      <c r="C349" s="2" t="s">
        <v>256</v>
      </c>
      <c r="D349" s="11">
        <v>45965.270833333336</v>
      </c>
      <c r="E349" s="11">
        <v>45965.270833333336</v>
      </c>
      <c r="F349" s="11">
        <v>45965.340277777781</v>
      </c>
      <c r="G349" s="12">
        <v>7.9861111109494232E-2</v>
      </c>
      <c r="H349" s="2" t="s">
        <v>248</v>
      </c>
      <c r="J349" s="2" t="s">
        <v>249</v>
      </c>
      <c r="K349" s="2" t="s">
        <v>349</v>
      </c>
      <c r="L349" s="2" t="s">
        <v>677</v>
      </c>
      <c r="M349" t="s">
        <v>251</v>
      </c>
      <c r="N349" t="s">
        <v>330</v>
      </c>
      <c r="O349" t="s">
        <v>331</v>
      </c>
      <c r="P349" t="s">
        <v>1339</v>
      </c>
      <c r="Q349" t="s">
        <v>966</v>
      </c>
    </row>
    <row r="350" spans="1:17">
      <c r="A350" s="2" t="s">
        <v>246</v>
      </c>
      <c r="B350" s="2" t="s">
        <v>246</v>
      </c>
      <c r="C350" s="2" t="s">
        <v>257</v>
      </c>
      <c r="D350" s="11">
        <v>45965.270833333336</v>
      </c>
      <c r="E350" s="11">
        <v>45965.270833333336</v>
      </c>
      <c r="F350" s="11">
        <v>45965.340277777781</v>
      </c>
      <c r="G350" s="12">
        <v>7.9861111109494232E-2</v>
      </c>
      <c r="H350" s="2" t="s">
        <v>248</v>
      </c>
      <c r="J350" s="2" t="s">
        <v>249</v>
      </c>
      <c r="K350" s="2" t="s">
        <v>349</v>
      </c>
      <c r="L350" s="2" t="s">
        <v>677</v>
      </c>
      <c r="M350" t="s">
        <v>251</v>
      </c>
      <c r="N350" t="s">
        <v>330</v>
      </c>
      <c r="O350" t="s">
        <v>331</v>
      </c>
      <c r="P350" t="s">
        <v>1340</v>
      </c>
      <c r="Q350" t="s">
        <v>966</v>
      </c>
    </row>
    <row r="351" spans="1:17">
      <c r="A351" s="2" t="s">
        <v>258</v>
      </c>
      <c r="B351" s="2" t="s">
        <v>258</v>
      </c>
      <c r="C351" s="2" t="s">
        <v>247</v>
      </c>
      <c r="D351" s="11">
        <v>45965.270833333336</v>
      </c>
      <c r="E351" s="11">
        <v>45965.270833333336</v>
      </c>
      <c r="F351" s="11">
        <v>45965.340277777781</v>
      </c>
      <c r="G351" s="12">
        <v>7.9861111109494232E-2</v>
      </c>
      <c r="H351" s="2" t="s">
        <v>248</v>
      </c>
      <c r="J351" s="2" t="s">
        <v>249</v>
      </c>
      <c r="K351" s="2" t="s">
        <v>349</v>
      </c>
      <c r="L351" s="2" t="s">
        <v>677</v>
      </c>
      <c r="M351" t="s">
        <v>251</v>
      </c>
      <c r="N351" t="s">
        <v>330</v>
      </c>
      <c r="O351" t="s">
        <v>331</v>
      </c>
      <c r="P351" t="s">
        <v>1341</v>
      </c>
      <c r="Q351" t="s">
        <v>966</v>
      </c>
    </row>
    <row r="352" spans="1:17">
      <c r="A352" s="2" t="s">
        <v>258</v>
      </c>
      <c r="B352" s="2" t="s">
        <v>258</v>
      </c>
      <c r="C352" s="2" t="s">
        <v>254</v>
      </c>
      <c r="D352" s="11">
        <v>45965.270833333336</v>
      </c>
      <c r="E352" s="11">
        <v>45965.270833333336</v>
      </c>
      <c r="F352" s="11">
        <v>45965.340277777781</v>
      </c>
      <c r="G352" s="12">
        <v>7.9861111109494232E-2</v>
      </c>
      <c r="H352" s="2" t="s">
        <v>248</v>
      </c>
      <c r="J352" s="2" t="s">
        <v>249</v>
      </c>
      <c r="K352" s="2" t="s">
        <v>349</v>
      </c>
      <c r="L352" s="2" t="s">
        <v>677</v>
      </c>
      <c r="M352" t="s">
        <v>251</v>
      </c>
      <c r="N352" t="s">
        <v>330</v>
      </c>
      <c r="O352" t="s">
        <v>331</v>
      </c>
      <c r="P352" t="s">
        <v>1342</v>
      </c>
      <c r="Q352" t="s">
        <v>966</v>
      </c>
    </row>
    <row r="353" spans="1:17">
      <c r="A353" s="2" t="s">
        <v>258</v>
      </c>
      <c r="B353" s="2" t="s">
        <v>258</v>
      </c>
      <c r="C353" s="2" t="s">
        <v>255</v>
      </c>
      <c r="D353" s="11">
        <v>45965.270833333336</v>
      </c>
      <c r="E353" s="11">
        <v>45965.270833333336</v>
      </c>
      <c r="F353" s="11">
        <v>45965.340277777781</v>
      </c>
      <c r="G353" s="12">
        <v>7.9861111109494232E-2</v>
      </c>
      <c r="H353" s="2" t="s">
        <v>248</v>
      </c>
      <c r="J353" s="2" t="s">
        <v>249</v>
      </c>
      <c r="K353" s="2" t="s">
        <v>349</v>
      </c>
      <c r="L353" s="2" t="s">
        <v>677</v>
      </c>
      <c r="M353" t="s">
        <v>251</v>
      </c>
      <c r="N353" t="s">
        <v>330</v>
      </c>
      <c r="O353" t="s">
        <v>331</v>
      </c>
      <c r="P353" t="s">
        <v>1343</v>
      </c>
      <c r="Q353" t="s">
        <v>966</v>
      </c>
    </row>
    <row r="354" spans="1:17">
      <c r="A354" s="2" t="s">
        <v>258</v>
      </c>
      <c r="B354" s="2" t="s">
        <v>258</v>
      </c>
      <c r="C354" s="2" t="s">
        <v>256</v>
      </c>
      <c r="D354" s="11">
        <v>45965.270833333336</v>
      </c>
      <c r="E354" s="11">
        <v>45965.270833333336</v>
      </c>
      <c r="F354" s="11">
        <v>45965.340277777781</v>
      </c>
      <c r="G354" s="12">
        <v>7.9861111109494232E-2</v>
      </c>
      <c r="H354" s="2" t="s">
        <v>248</v>
      </c>
      <c r="J354" s="2" t="s">
        <v>249</v>
      </c>
      <c r="K354" s="2" t="s">
        <v>349</v>
      </c>
      <c r="L354" s="2" t="s">
        <v>677</v>
      </c>
      <c r="M354" t="s">
        <v>251</v>
      </c>
      <c r="N354" t="s">
        <v>330</v>
      </c>
      <c r="O354" t="s">
        <v>331</v>
      </c>
      <c r="P354" t="s">
        <v>1344</v>
      </c>
      <c r="Q354" t="s">
        <v>966</v>
      </c>
    </row>
    <row r="355" spans="1:17">
      <c r="A355" s="2" t="s">
        <v>258</v>
      </c>
      <c r="B355" s="2" t="s">
        <v>258</v>
      </c>
      <c r="C355" s="2" t="s">
        <v>257</v>
      </c>
      <c r="D355" s="11">
        <v>45965.270833333336</v>
      </c>
      <c r="E355" s="11">
        <v>45965.270833333336</v>
      </c>
      <c r="F355" s="11">
        <v>45965.340277777781</v>
      </c>
      <c r="G355" s="12">
        <v>7.9861111109494232E-2</v>
      </c>
      <c r="H355" s="2" t="s">
        <v>248</v>
      </c>
      <c r="J355" s="2" t="s">
        <v>249</v>
      </c>
      <c r="K355" s="2" t="s">
        <v>349</v>
      </c>
      <c r="L355" s="2" t="s">
        <v>677</v>
      </c>
      <c r="M355" t="s">
        <v>251</v>
      </c>
      <c r="N355" t="s">
        <v>330</v>
      </c>
      <c r="O355" t="s">
        <v>331</v>
      </c>
      <c r="P355" t="s">
        <v>1345</v>
      </c>
      <c r="Q355" t="s">
        <v>966</v>
      </c>
    </row>
    <row r="356" spans="1:17">
      <c r="A356" s="2" t="s">
        <v>259</v>
      </c>
      <c r="B356" s="2" t="s">
        <v>259</v>
      </c>
      <c r="C356" s="2" t="s">
        <v>247</v>
      </c>
      <c r="D356" s="11">
        <v>45965.270833333336</v>
      </c>
      <c r="E356" s="11">
        <v>45965.270833333336</v>
      </c>
      <c r="F356" s="11">
        <v>45965.340277777781</v>
      </c>
      <c r="G356" s="12">
        <v>7.9861111109494232E-2</v>
      </c>
      <c r="H356" s="2" t="s">
        <v>248</v>
      </c>
      <c r="J356" s="2" t="s">
        <v>249</v>
      </c>
      <c r="K356" s="2" t="s">
        <v>349</v>
      </c>
      <c r="L356" s="2" t="s">
        <v>677</v>
      </c>
      <c r="M356" t="s">
        <v>251</v>
      </c>
      <c r="N356" t="s">
        <v>330</v>
      </c>
      <c r="O356" t="s">
        <v>331</v>
      </c>
      <c r="P356" t="s">
        <v>1346</v>
      </c>
      <c r="Q356" t="s">
        <v>966</v>
      </c>
    </row>
    <row r="357" spans="1:17">
      <c r="A357" s="2" t="s">
        <v>259</v>
      </c>
      <c r="B357" s="2" t="s">
        <v>259</v>
      </c>
      <c r="C357" s="2" t="s">
        <v>254</v>
      </c>
      <c r="D357" s="11">
        <v>45965.270833333336</v>
      </c>
      <c r="E357" s="11">
        <v>45965.270833333336</v>
      </c>
      <c r="F357" s="11">
        <v>45965.340277777781</v>
      </c>
      <c r="G357" s="12">
        <v>7.9861111109494232E-2</v>
      </c>
      <c r="H357" s="2" t="s">
        <v>248</v>
      </c>
      <c r="J357" s="2" t="s">
        <v>249</v>
      </c>
      <c r="K357" s="2" t="s">
        <v>349</v>
      </c>
      <c r="L357" s="2" t="s">
        <v>677</v>
      </c>
      <c r="M357" t="s">
        <v>251</v>
      </c>
      <c r="N357" t="s">
        <v>330</v>
      </c>
      <c r="O357" t="s">
        <v>331</v>
      </c>
      <c r="P357" t="s">
        <v>1347</v>
      </c>
      <c r="Q357" t="s">
        <v>966</v>
      </c>
    </row>
    <row r="358" spans="1:17">
      <c r="A358" s="2" t="s">
        <v>259</v>
      </c>
      <c r="B358" s="2" t="s">
        <v>259</v>
      </c>
      <c r="C358" s="2" t="s">
        <v>255</v>
      </c>
      <c r="D358" s="11">
        <v>45965.270833333336</v>
      </c>
      <c r="E358" s="11">
        <v>45965.270833333336</v>
      </c>
      <c r="F358" s="11">
        <v>45965.340277777781</v>
      </c>
      <c r="G358" s="12">
        <v>7.9861111109494232E-2</v>
      </c>
      <c r="H358" s="2" t="s">
        <v>248</v>
      </c>
      <c r="J358" s="2" t="s">
        <v>249</v>
      </c>
      <c r="K358" s="2" t="s">
        <v>349</v>
      </c>
      <c r="L358" s="2" t="s">
        <v>677</v>
      </c>
      <c r="M358" t="s">
        <v>251</v>
      </c>
      <c r="N358" t="s">
        <v>330</v>
      </c>
      <c r="O358" t="s">
        <v>331</v>
      </c>
      <c r="P358" t="s">
        <v>1348</v>
      </c>
      <c r="Q358" t="s">
        <v>966</v>
      </c>
    </row>
    <row r="359" spans="1:17">
      <c r="A359" s="2" t="s">
        <v>259</v>
      </c>
      <c r="B359" s="2" t="s">
        <v>259</v>
      </c>
      <c r="C359" s="2" t="s">
        <v>256</v>
      </c>
      <c r="D359" s="11">
        <v>45965.270833333336</v>
      </c>
      <c r="E359" s="11">
        <v>45965.270833333336</v>
      </c>
      <c r="F359" s="11">
        <v>45965.340277777781</v>
      </c>
      <c r="G359" s="12">
        <v>7.9861111109494232E-2</v>
      </c>
      <c r="H359" s="2" t="s">
        <v>248</v>
      </c>
      <c r="J359" s="2" t="s">
        <v>249</v>
      </c>
      <c r="K359" s="2" t="s">
        <v>349</v>
      </c>
      <c r="L359" s="2" t="s">
        <v>677</v>
      </c>
      <c r="M359" t="s">
        <v>251</v>
      </c>
      <c r="N359" t="s">
        <v>330</v>
      </c>
      <c r="O359" t="s">
        <v>331</v>
      </c>
      <c r="P359" t="s">
        <v>1349</v>
      </c>
      <c r="Q359" t="s">
        <v>966</v>
      </c>
    </row>
    <row r="360" spans="1:17">
      <c r="A360" s="2" t="s">
        <v>259</v>
      </c>
      <c r="B360" s="2" t="s">
        <v>259</v>
      </c>
      <c r="C360" s="2" t="s">
        <v>257</v>
      </c>
      <c r="D360" s="11">
        <v>45965.270833333336</v>
      </c>
      <c r="E360" s="11">
        <v>45965.270833333336</v>
      </c>
      <c r="F360" s="11">
        <v>45965.340277777781</v>
      </c>
      <c r="G360" s="12">
        <v>7.9861111109494232E-2</v>
      </c>
      <c r="H360" s="2" t="s">
        <v>248</v>
      </c>
      <c r="J360" s="2" t="s">
        <v>249</v>
      </c>
      <c r="K360" s="2" t="s">
        <v>349</v>
      </c>
      <c r="L360" s="2" t="s">
        <v>677</v>
      </c>
      <c r="M360" t="s">
        <v>251</v>
      </c>
      <c r="N360" t="s">
        <v>330</v>
      </c>
      <c r="O360" t="s">
        <v>331</v>
      </c>
      <c r="P360" t="s">
        <v>1350</v>
      </c>
      <c r="Q360" t="s">
        <v>966</v>
      </c>
    </row>
    <row r="361" spans="1:17">
      <c r="A361" s="2" t="s">
        <v>782</v>
      </c>
      <c r="B361" s="2" t="s">
        <v>477</v>
      </c>
      <c r="C361" s="2" t="s">
        <v>489</v>
      </c>
      <c r="D361" s="11">
        <v>45965.270833333336</v>
      </c>
      <c r="E361" s="11">
        <v>45965.270833333336</v>
      </c>
      <c r="F361" s="11">
        <v>45965.355555555558</v>
      </c>
      <c r="G361" s="12">
        <v>6.7361111112404615E-2</v>
      </c>
      <c r="H361" s="2" t="s">
        <v>248</v>
      </c>
      <c r="J361" s="2" t="s">
        <v>249</v>
      </c>
      <c r="K361" s="2" t="s">
        <v>349</v>
      </c>
      <c r="L361" s="2" t="s">
        <v>735</v>
      </c>
      <c r="M361" t="s">
        <v>736</v>
      </c>
      <c r="N361" t="s">
        <v>330</v>
      </c>
      <c r="O361" t="s">
        <v>712</v>
      </c>
      <c r="P361" t="s">
        <v>1351</v>
      </c>
      <c r="Q361" t="s">
        <v>966</v>
      </c>
    </row>
    <row r="362" spans="1:17">
      <c r="A362" s="2" t="s">
        <v>782</v>
      </c>
      <c r="B362" s="2" t="s">
        <v>477</v>
      </c>
      <c r="C362" s="2" t="s">
        <v>713</v>
      </c>
      <c r="D362" s="11">
        <v>45965.270833333336</v>
      </c>
      <c r="E362" s="11">
        <v>45965.270833333336</v>
      </c>
      <c r="F362" s="11">
        <v>45965.355555555558</v>
      </c>
      <c r="G362" s="12">
        <v>6.7361111112404615E-2</v>
      </c>
      <c r="H362" s="2" t="s">
        <v>248</v>
      </c>
      <c r="J362" s="2" t="s">
        <v>249</v>
      </c>
      <c r="K362" s="2" t="s">
        <v>349</v>
      </c>
      <c r="L362" s="2" t="s">
        <v>735</v>
      </c>
      <c r="M362" t="s">
        <v>736</v>
      </c>
      <c r="N362" t="s">
        <v>330</v>
      </c>
      <c r="O362" t="s">
        <v>712</v>
      </c>
      <c r="P362" t="s">
        <v>1352</v>
      </c>
      <c r="Q362" t="s">
        <v>966</v>
      </c>
    </row>
    <row r="363" spans="1:17">
      <c r="A363" s="2" t="s">
        <v>782</v>
      </c>
      <c r="B363" s="2" t="s">
        <v>477</v>
      </c>
      <c r="C363" s="2" t="s">
        <v>486</v>
      </c>
      <c r="D363" s="11">
        <v>45965.270833333336</v>
      </c>
      <c r="E363" s="11">
        <v>45965.270833333336</v>
      </c>
      <c r="F363" s="11">
        <v>45965.355555555558</v>
      </c>
      <c r="G363" s="12">
        <v>6.7361111112404615E-2</v>
      </c>
      <c r="H363" s="2" t="s">
        <v>248</v>
      </c>
      <c r="J363" s="2" t="s">
        <v>249</v>
      </c>
      <c r="K363" s="2" t="s">
        <v>349</v>
      </c>
      <c r="L363" s="2" t="s">
        <v>735</v>
      </c>
      <c r="M363" t="s">
        <v>736</v>
      </c>
      <c r="N363" t="s">
        <v>330</v>
      </c>
      <c r="O363" t="s">
        <v>712</v>
      </c>
      <c r="P363" t="s">
        <v>1353</v>
      </c>
      <c r="Q363" t="s">
        <v>966</v>
      </c>
    </row>
    <row r="364" spans="1:17">
      <c r="A364" s="2" t="s">
        <v>782</v>
      </c>
      <c r="B364" s="2" t="s">
        <v>477</v>
      </c>
      <c r="C364" s="2" t="s">
        <v>478</v>
      </c>
      <c r="D364" s="11">
        <v>45965.270833333336</v>
      </c>
      <c r="E364" s="11">
        <v>45965.270833333336</v>
      </c>
      <c r="F364" s="11">
        <v>45965.355555555558</v>
      </c>
      <c r="G364" s="12">
        <v>6.7361111112404615E-2</v>
      </c>
      <c r="H364" s="2" t="s">
        <v>248</v>
      </c>
      <c r="J364" s="2" t="s">
        <v>249</v>
      </c>
      <c r="K364" s="2" t="s">
        <v>349</v>
      </c>
      <c r="L364" s="2" t="s">
        <v>735</v>
      </c>
      <c r="M364" t="s">
        <v>736</v>
      </c>
      <c r="N364" t="s">
        <v>330</v>
      </c>
      <c r="O364" t="s">
        <v>712</v>
      </c>
      <c r="P364" t="s">
        <v>1354</v>
      </c>
      <c r="Q364" t="s">
        <v>966</v>
      </c>
    </row>
    <row r="365" spans="1:17">
      <c r="A365" s="2" t="s">
        <v>782</v>
      </c>
      <c r="B365" s="2" t="s">
        <v>477</v>
      </c>
      <c r="C365" s="2" t="s">
        <v>632</v>
      </c>
      <c r="D365" s="11">
        <v>45965.270833333336</v>
      </c>
      <c r="E365" s="11">
        <v>45965.270833333336</v>
      </c>
      <c r="F365" s="11">
        <v>45965.355555555558</v>
      </c>
      <c r="G365" s="12">
        <v>6.7361111112404615E-2</v>
      </c>
      <c r="H365" s="2" t="s">
        <v>248</v>
      </c>
      <c r="J365" s="2" t="s">
        <v>249</v>
      </c>
      <c r="K365" s="2" t="s">
        <v>349</v>
      </c>
      <c r="L365" s="2" t="s">
        <v>735</v>
      </c>
      <c r="M365" t="s">
        <v>736</v>
      </c>
      <c r="N365" t="s">
        <v>330</v>
      </c>
      <c r="O365" t="s">
        <v>712</v>
      </c>
      <c r="P365" t="s">
        <v>1355</v>
      </c>
      <c r="Q365" t="s">
        <v>966</v>
      </c>
    </row>
    <row r="366" spans="1:17">
      <c r="A366" s="2" t="s">
        <v>782</v>
      </c>
      <c r="B366" s="2" t="s">
        <v>477</v>
      </c>
      <c r="C366" s="2" t="s">
        <v>629</v>
      </c>
      <c r="D366" s="11">
        <v>45965.270833333336</v>
      </c>
      <c r="E366" s="11">
        <v>45965.270833333336</v>
      </c>
      <c r="F366" s="11">
        <v>45965.355555555558</v>
      </c>
      <c r="G366" s="12">
        <v>6.7361111112404615E-2</v>
      </c>
      <c r="H366" s="2" t="s">
        <v>248</v>
      </c>
      <c r="J366" s="2" t="s">
        <v>249</v>
      </c>
      <c r="K366" s="2" t="s">
        <v>349</v>
      </c>
      <c r="L366" s="2" t="s">
        <v>735</v>
      </c>
      <c r="M366" t="s">
        <v>736</v>
      </c>
      <c r="N366" t="s">
        <v>330</v>
      </c>
      <c r="O366" t="s">
        <v>712</v>
      </c>
      <c r="P366" t="s">
        <v>1356</v>
      </c>
      <c r="Q366" t="s">
        <v>966</v>
      </c>
    </row>
    <row r="367" spans="1:17">
      <c r="A367" s="2" t="s">
        <v>782</v>
      </c>
      <c r="B367" s="2" t="s">
        <v>477</v>
      </c>
      <c r="C367" s="2" t="s">
        <v>631</v>
      </c>
      <c r="D367" s="11">
        <v>45965.270833333336</v>
      </c>
      <c r="E367" s="11">
        <v>45965.270833333336</v>
      </c>
      <c r="F367" s="11">
        <v>45965.355555555558</v>
      </c>
      <c r="G367" s="12">
        <v>6.7361111112404615E-2</v>
      </c>
      <c r="H367" s="2" t="s">
        <v>248</v>
      </c>
      <c r="J367" s="2" t="s">
        <v>249</v>
      </c>
      <c r="K367" s="2" t="s">
        <v>349</v>
      </c>
      <c r="L367" s="2" t="s">
        <v>735</v>
      </c>
      <c r="M367" t="s">
        <v>736</v>
      </c>
      <c r="N367" t="s">
        <v>330</v>
      </c>
      <c r="O367" t="s">
        <v>712</v>
      </c>
      <c r="P367" t="s">
        <v>1357</v>
      </c>
      <c r="Q367" t="s">
        <v>966</v>
      </c>
    </row>
    <row r="368" spans="1:17">
      <c r="A368" s="2" t="s">
        <v>782</v>
      </c>
      <c r="B368" s="2" t="s">
        <v>477</v>
      </c>
      <c r="C368" s="2" t="s">
        <v>635</v>
      </c>
      <c r="D368" s="11">
        <v>45965.270833333336</v>
      </c>
      <c r="E368" s="11">
        <v>45965.270833333336</v>
      </c>
      <c r="F368" s="11">
        <v>45965.355555555558</v>
      </c>
      <c r="G368" s="12">
        <v>6.7361111112404615E-2</v>
      </c>
      <c r="H368" s="2" t="s">
        <v>248</v>
      </c>
      <c r="J368" s="2" t="s">
        <v>249</v>
      </c>
      <c r="K368" s="2" t="s">
        <v>349</v>
      </c>
      <c r="L368" s="2" t="s">
        <v>735</v>
      </c>
      <c r="M368" t="s">
        <v>736</v>
      </c>
      <c r="N368" t="s">
        <v>330</v>
      </c>
      <c r="O368" t="s">
        <v>712</v>
      </c>
      <c r="P368" t="s">
        <v>1358</v>
      </c>
      <c r="Q368" t="s">
        <v>966</v>
      </c>
    </row>
    <row r="369" spans="1:17">
      <c r="A369" s="2" t="s">
        <v>782</v>
      </c>
      <c r="B369" s="2" t="s">
        <v>477</v>
      </c>
      <c r="C369" s="2" t="s">
        <v>487</v>
      </c>
      <c r="D369" s="11">
        <v>45965.270833333336</v>
      </c>
      <c r="E369" s="11">
        <v>45965.270833333336</v>
      </c>
      <c r="F369" s="11">
        <v>45965.355555555558</v>
      </c>
      <c r="G369" s="12">
        <v>6.7361111112404615E-2</v>
      </c>
      <c r="H369" s="2" t="s">
        <v>248</v>
      </c>
      <c r="J369" s="2" t="s">
        <v>249</v>
      </c>
      <c r="K369" s="2" t="s">
        <v>349</v>
      </c>
      <c r="L369" s="2" t="s">
        <v>735</v>
      </c>
      <c r="M369" t="s">
        <v>736</v>
      </c>
      <c r="N369" t="s">
        <v>330</v>
      </c>
      <c r="O369" t="s">
        <v>712</v>
      </c>
      <c r="P369" t="s">
        <v>1359</v>
      </c>
      <c r="Q369" t="s">
        <v>966</v>
      </c>
    </row>
    <row r="370" spans="1:17">
      <c r="A370" s="2" t="s">
        <v>782</v>
      </c>
      <c r="B370" s="2" t="s">
        <v>477</v>
      </c>
      <c r="C370" s="2" t="s">
        <v>627</v>
      </c>
      <c r="D370" s="11">
        <v>45965.270833333336</v>
      </c>
      <c r="E370" s="11">
        <v>45965.270833333336</v>
      </c>
      <c r="F370" s="11">
        <v>45965.355555555558</v>
      </c>
      <c r="G370" s="12">
        <v>6.7361111112404615E-2</v>
      </c>
      <c r="H370" s="2" t="s">
        <v>248</v>
      </c>
      <c r="J370" s="2" t="s">
        <v>249</v>
      </c>
      <c r="K370" s="2" t="s">
        <v>349</v>
      </c>
      <c r="L370" s="2" t="s">
        <v>735</v>
      </c>
      <c r="M370" t="s">
        <v>736</v>
      </c>
      <c r="N370" t="s">
        <v>330</v>
      </c>
      <c r="O370" t="s">
        <v>712</v>
      </c>
      <c r="P370" t="s">
        <v>1360</v>
      </c>
      <c r="Q370" t="s">
        <v>966</v>
      </c>
    </row>
    <row r="371" spans="1:17">
      <c r="A371" s="2" t="s">
        <v>659</v>
      </c>
      <c r="B371" s="2" t="s">
        <v>659</v>
      </c>
      <c r="C371" s="2" t="s">
        <v>299</v>
      </c>
      <c r="D371" s="11">
        <v>45965.46875</v>
      </c>
      <c r="E371" s="11">
        <v>45965.46875</v>
      </c>
      <c r="F371" s="11">
        <v>45972.659722222219</v>
      </c>
      <c r="G371" s="12">
        <v>7.1909722222189885</v>
      </c>
      <c r="H371" s="2" t="s">
        <v>343</v>
      </c>
      <c r="J371" s="2" t="s">
        <v>230</v>
      </c>
      <c r="K371" s="2" t="s">
        <v>230</v>
      </c>
      <c r="L371" s="2" t="s">
        <v>1361</v>
      </c>
      <c r="M371" t="s">
        <v>302</v>
      </c>
      <c r="N371" t="s">
        <v>303</v>
      </c>
      <c r="O371" t="s">
        <v>1362</v>
      </c>
      <c r="P371" t="s">
        <v>1363</v>
      </c>
      <c r="Q371" t="s">
        <v>1364</v>
      </c>
    </row>
    <row r="372" spans="1:17">
      <c r="A372" s="2" t="s">
        <v>659</v>
      </c>
      <c r="B372" s="2" t="s">
        <v>659</v>
      </c>
      <c r="C372" s="2" t="s">
        <v>661</v>
      </c>
      <c r="D372" s="11">
        <v>45965.46875</v>
      </c>
      <c r="E372" s="11">
        <v>45965.46875</v>
      </c>
      <c r="F372" s="11">
        <v>45972.659722222219</v>
      </c>
      <c r="G372" s="12">
        <v>7.1909722222189885</v>
      </c>
      <c r="H372" s="2" t="s">
        <v>343</v>
      </c>
      <c r="J372" s="2" t="s">
        <v>230</v>
      </c>
      <c r="K372" s="2" t="s">
        <v>230</v>
      </c>
      <c r="L372" s="2" t="s">
        <v>1361</v>
      </c>
      <c r="M372" t="s">
        <v>302</v>
      </c>
      <c r="N372" t="s">
        <v>303</v>
      </c>
      <c r="O372" t="s">
        <v>1362</v>
      </c>
      <c r="P372" t="s">
        <v>1365</v>
      </c>
      <c r="Q372" t="s">
        <v>1364</v>
      </c>
    </row>
    <row r="373" spans="1:17">
      <c r="A373" s="2" t="s">
        <v>659</v>
      </c>
      <c r="B373" s="2" t="s">
        <v>659</v>
      </c>
      <c r="C373" s="2" t="s">
        <v>662</v>
      </c>
      <c r="D373" s="11">
        <v>45965.46875</v>
      </c>
      <c r="E373" s="11">
        <v>45965.46875</v>
      </c>
      <c r="F373" s="11">
        <v>45972.659722222219</v>
      </c>
      <c r="G373" s="12">
        <v>7.1909722222189885</v>
      </c>
      <c r="H373" s="2" t="s">
        <v>343</v>
      </c>
      <c r="J373" s="2" t="s">
        <v>230</v>
      </c>
      <c r="K373" s="2" t="s">
        <v>230</v>
      </c>
      <c r="L373" s="2" t="s">
        <v>1361</v>
      </c>
      <c r="M373" t="s">
        <v>302</v>
      </c>
      <c r="N373" t="s">
        <v>303</v>
      </c>
      <c r="O373" t="s">
        <v>1362</v>
      </c>
      <c r="P373" t="s">
        <v>1366</v>
      </c>
      <c r="Q373" t="s">
        <v>1364</v>
      </c>
    </row>
    <row r="374" spans="1:17">
      <c r="A374" s="2" t="s">
        <v>659</v>
      </c>
      <c r="B374" s="2" t="s">
        <v>659</v>
      </c>
      <c r="C374" s="2" t="s">
        <v>663</v>
      </c>
      <c r="D374" s="11">
        <v>45965.46875</v>
      </c>
      <c r="E374" s="11">
        <v>45965.46875</v>
      </c>
      <c r="F374" s="11">
        <v>45972.659722222219</v>
      </c>
      <c r="G374" s="12">
        <v>7.1909722222189885</v>
      </c>
      <c r="H374" s="2" t="s">
        <v>343</v>
      </c>
      <c r="J374" s="2" t="s">
        <v>230</v>
      </c>
      <c r="K374" s="2" t="s">
        <v>230</v>
      </c>
      <c r="L374" s="2" t="s">
        <v>1361</v>
      </c>
      <c r="M374" t="s">
        <v>302</v>
      </c>
      <c r="N374" t="s">
        <v>303</v>
      </c>
      <c r="O374" t="s">
        <v>1362</v>
      </c>
      <c r="P374" t="s">
        <v>1367</v>
      </c>
      <c r="Q374" t="s">
        <v>1364</v>
      </c>
    </row>
    <row r="375" spans="1:17">
      <c r="A375" s="2" t="s">
        <v>659</v>
      </c>
      <c r="B375" s="2" t="s">
        <v>659</v>
      </c>
      <c r="C375" s="2" t="s">
        <v>664</v>
      </c>
      <c r="D375" s="11">
        <v>45965.46875</v>
      </c>
      <c r="E375" s="11">
        <v>45965.46875</v>
      </c>
      <c r="F375" s="11">
        <v>45972.659722222219</v>
      </c>
      <c r="G375" s="12">
        <v>7.1909722222189885</v>
      </c>
      <c r="H375" s="2" t="s">
        <v>343</v>
      </c>
      <c r="J375" s="2" t="s">
        <v>230</v>
      </c>
      <c r="K375" s="2" t="s">
        <v>230</v>
      </c>
      <c r="L375" s="2" t="s">
        <v>1361</v>
      </c>
      <c r="M375" t="s">
        <v>302</v>
      </c>
      <c r="N375" t="s">
        <v>303</v>
      </c>
      <c r="O375" t="s">
        <v>1362</v>
      </c>
      <c r="P375" t="s">
        <v>1368</v>
      </c>
      <c r="Q375" t="s">
        <v>1364</v>
      </c>
    </row>
    <row r="376" spans="1:17">
      <c r="A376" s="2" t="s">
        <v>659</v>
      </c>
      <c r="B376" s="2" t="s">
        <v>659</v>
      </c>
      <c r="C376" s="2" t="s">
        <v>665</v>
      </c>
      <c r="D376" s="11">
        <v>45965.46875</v>
      </c>
      <c r="E376" s="11">
        <v>45965.46875</v>
      </c>
      <c r="F376" s="11">
        <v>45972.659722222219</v>
      </c>
      <c r="G376" s="12">
        <v>7.1909722222189885</v>
      </c>
      <c r="H376" s="2" t="s">
        <v>343</v>
      </c>
      <c r="J376" s="2" t="s">
        <v>230</v>
      </c>
      <c r="K376" s="2" t="s">
        <v>230</v>
      </c>
      <c r="L376" s="2" t="s">
        <v>1361</v>
      </c>
      <c r="M376" t="s">
        <v>302</v>
      </c>
      <c r="N376" t="s">
        <v>303</v>
      </c>
      <c r="O376" t="s">
        <v>1362</v>
      </c>
      <c r="P376" t="s">
        <v>1369</v>
      </c>
      <c r="Q376" t="s">
        <v>1364</v>
      </c>
    </row>
    <row r="377" spans="1:17">
      <c r="A377" s="2" t="s">
        <v>659</v>
      </c>
      <c r="B377" s="2" t="s">
        <v>659</v>
      </c>
      <c r="C377" s="2" t="s">
        <v>666</v>
      </c>
      <c r="D377" s="11">
        <v>45965.46875</v>
      </c>
      <c r="E377" s="11">
        <v>45965.46875</v>
      </c>
      <c r="F377" s="11">
        <v>45972.659722222219</v>
      </c>
      <c r="G377" s="12">
        <v>7.1909722222189885</v>
      </c>
      <c r="H377" s="2" t="s">
        <v>343</v>
      </c>
      <c r="J377" s="2" t="s">
        <v>230</v>
      </c>
      <c r="K377" s="2" t="s">
        <v>230</v>
      </c>
      <c r="L377" s="2" t="s">
        <v>1361</v>
      </c>
      <c r="M377" t="s">
        <v>302</v>
      </c>
      <c r="N377" t="s">
        <v>303</v>
      </c>
      <c r="O377" t="s">
        <v>1362</v>
      </c>
      <c r="P377" t="s">
        <v>1370</v>
      </c>
      <c r="Q377" t="s">
        <v>1364</v>
      </c>
    </row>
    <row r="378" spans="1:17">
      <c r="A378" s="2" t="s">
        <v>659</v>
      </c>
      <c r="B378" s="2" t="s">
        <v>659</v>
      </c>
      <c r="C378" s="2" t="s">
        <v>667</v>
      </c>
      <c r="D378" s="11">
        <v>45965.46875</v>
      </c>
      <c r="E378" s="11">
        <v>45965.46875</v>
      </c>
      <c r="F378" s="11">
        <v>45972.659722222219</v>
      </c>
      <c r="G378" s="12">
        <v>7.1909722222189885</v>
      </c>
      <c r="H378" s="2" t="s">
        <v>343</v>
      </c>
      <c r="J378" s="2" t="s">
        <v>230</v>
      </c>
      <c r="K378" s="2" t="s">
        <v>230</v>
      </c>
      <c r="L378" s="2" t="s">
        <v>1361</v>
      </c>
      <c r="M378" t="s">
        <v>302</v>
      </c>
      <c r="N378" t="s">
        <v>303</v>
      </c>
      <c r="O378" t="s">
        <v>1362</v>
      </c>
      <c r="P378" t="s">
        <v>1371</v>
      </c>
      <c r="Q378" t="s">
        <v>1364</v>
      </c>
    </row>
    <row r="379" spans="1:17">
      <c r="A379" s="2" t="s">
        <v>659</v>
      </c>
      <c r="B379" s="2" t="s">
        <v>659</v>
      </c>
      <c r="C379" s="2" t="s">
        <v>668</v>
      </c>
      <c r="D379" s="11">
        <v>45965.46875</v>
      </c>
      <c r="E379" s="11">
        <v>45965.46875</v>
      </c>
      <c r="F379" s="11">
        <v>45972.659722222219</v>
      </c>
      <c r="G379" s="12">
        <v>7.1909722222189885</v>
      </c>
      <c r="H379" s="2" t="s">
        <v>343</v>
      </c>
      <c r="J379" s="2" t="s">
        <v>230</v>
      </c>
      <c r="K379" s="2" t="s">
        <v>230</v>
      </c>
      <c r="L379" s="2" t="s">
        <v>1361</v>
      </c>
      <c r="M379" t="s">
        <v>302</v>
      </c>
      <c r="N379" t="s">
        <v>303</v>
      </c>
      <c r="O379" t="s">
        <v>1362</v>
      </c>
      <c r="P379" t="s">
        <v>1372</v>
      </c>
      <c r="Q379" t="s">
        <v>1364</v>
      </c>
    </row>
    <row r="380" spans="1:17">
      <c r="A380" s="2" t="s">
        <v>659</v>
      </c>
      <c r="B380" s="2" t="s">
        <v>659</v>
      </c>
      <c r="C380" s="2" t="s">
        <v>669</v>
      </c>
      <c r="D380" s="11">
        <v>45965.46875</v>
      </c>
      <c r="E380" s="11">
        <v>45965.46875</v>
      </c>
      <c r="F380" s="11">
        <v>45972.659722222219</v>
      </c>
      <c r="G380" s="12">
        <v>7.1909722222189885</v>
      </c>
      <c r="H380" s="2" t="s">
        <v>343</v>
      </c>
      <c r="J380" s="2" t="s">
        <v>230</v>
      </c>
      <c r="K380" s="2" t="s">
        <v>230</v>
      </c>
      <c r="L380" s="2" t="s">
        <v>1361</v>
      </c>
      <c r="M380" t="s">
        <v>302</v>
      </c>
      <c r="N380" t="s">
        <v>303</v>
      </c>
      <c r="O380" t="s">
        <v>1362</v>
      </c>
      <c r="P380" t="s">
        <v>1373</v>
      </c>
      <c r="Q380" t="s">
        <v>1364</v>
      </c>
    </row>
    <row r="381" spans="1:17">
      <c r="A381" s="2" t="s">
        <v>659</v>
      </c>
      <c r="B381" s="2" t="s">
        <v>659</v>
      </c>
      <c r="C381" s="2" t="s">
        <v>670</v>
      </c>
      <c r="D381" s="11">
        <v>45965.46875</v>
      </c>
      <c r="E381" s="11">
        <v>45965.46875</v>
      </c>
      <c r="F381" s="11">
        <v>45972.659722222219</v>
      </c>
      <c r="G381" s="12">
        <v>7.1909722222189885</v>
      </c>
      <c r="H381" s="2" t="s">
        <v>343</v>
      </c>
      <c r="J381" s="2" t="s">
        <v>230</v>
      </c>
      <c r="K381" s="2" t="s">
        <v>230</v>
      </c>
      <c r="L381" s="2" t="s">
        <v>1361</v>
      </c>
      <c r="M381" t="s">
        <v>302</v>
      </c>
      <c r="N381" t="s">
        <v>303</v>
      </c>
      <c r="O381" t="s">
        <v>1362</v>
      </c>
      <c r="P381" t="s">
        <v>1374</v>
      </c>
      <c r="Q381" t="s">
        <v>1364</v>
      </c>
    </row>
    <row r="382" spans="1:17">
      <c r="A382" s="2" t="s">
        <v>659</v>
      </c>
      <c r="B382" s="2" t="s">
        <v>659</v>
      </c>
      <c r="C382" s="2" t="s">
        <v>671</v>
      </c>
      <c r="D382" s="11">
        <v>45965.46875</v>
      </c>
      <c r="E382" s="11">
        <v>45965.46875</v>
      </c>
      <c r="F382" s="11">
        <v>45972.659722222219</v>
      </c>
      <c r="G382" s="12">
        <v>7.1909722222189885</v>
      </c>
      <c r="H382" s="2" t="s">
        <v>343</v>
      </c>
      <c r="J382" s="2" t="s">
        <v>230</v>
      </c>
      <c r="K382" s="2" t="s">
        <v>230</v>
      </c>
      <c r="L382" s="2" t="s">
        <v>1361</v>
      </c>
      <c r="M382" t="s">
        <v>302</v>
      </c>
      <c r="N382" t="s">
        <v>303</v>
      </c>
      <c r="O382" t="s">
        <v>1362</v>
      </c>
      <c r="P382" t="s">
        <v>1375</v>
      </c>
      <c r="Q382" t="s">
        <v>1364</v>
      </c>
    </row>
    <row r="383" spans="1:17">
      <c r="A383" s="2" t="s">
        <v>702</v>
      </c>
      <c r="B383" s="2" t="s">
        <v>702</v>
      </c>
      <c r="C383" s="2" t="s">
        <v>354</v>
      </c>
      <c r="D383" s="11">
        <v>45965.576388888891</v>
      </c>
      <c r="E383" s="11">
        <v>45965.576388888891</v>
      </c>
      <c r="F383" s="11">
        <v>45965.600694444445</v>
      </c>
      <c r="G383" s="12">
        <v>2.4305555554747116E-2</v>
      </c>
      <c r="H383" s="2" t="s">
        <v>260</v>
      </c>
      <c r="I383" s="2" t="s">
        <v>261</v>
      </c>
      <c r="J383" s="2" t="s">
        <v>740</v>
      </c>
      <c r="K383" s="2" t="s">
        <v>1376</v>
      </c>
      <c r="L383" s="2" t="s">
        <v>390</v>
      </c>
      <c r="M383" t="s">
        <v>391</v>
      </c>
      <c r="N383" t="s">
        <v>828</v>
      </c>
      <c r="O383" t="s">
        <v>828</v>
      </c>
      <c r="P383" t="s">
        <v>1377</v>
      </c>
      <c r="Q383" t="s">
        <v>1378</v>
      </c>
    </row>
    <row r="384" spans="1:17">
      <c r="A384" s="2" t="s">
        <v>702</v>
      </c>
      <c r="B384" s="2" t="s">
        <v>702</v>
      </c>
      <c r="C384" s="2" t="s">
        <v>357</v>
      </c>
      <c r="D384" s="11">
        <v>45965.576388888891</v>
      </c>
      <c r="E384" s="11">
        <v>45965.576388888891</v>
      </c>
      <c r="F384" s="11">
        <v>45965.600694444445</v>
      </c>
      <c r="G384" s="12">
        <v>2.4305555554747116E-2</v>
      </c>
      <c r="H384" s="2" t="s">
        <v>260</v>
      </c>
      <c r="I384" s="2" t="s">
        <v>261</v>
      </c>
      <c r="J384" s="2" t="s">
        <v>740</v>
      </c>
      <c r="K384" s="2" t="s">
        <v>1376</v>
      </c>
      <c r="L384" s="2" t="s">
        <v>390</v>
      </c>
      <c r="M384" t="s">
        <v>391</v>
      </c>
      <c r="N384" t="s">
        <v>828</v>
      </c>
      <c r="O384" t="s">
        <v>828</v>
      </c>
      <c r="P384" t="s">
        <v>1379</v>
      </c>
      <c r="Q384" t="s">
        <v>1378</v>
      </c>
    </row>
    <row r="385" spans="1:17">
      <c r="A385" s="2" t="s">
        <v>702</v>
      </c>
      <c r="B385" s="2" t="s">
        <v>702</v>
      </c>
      <c r="C385" s="2" t="s">
        <v>705</v>
      </c>
      <c r="D385" s="11">
        <v>45965.576388888891</v>
      </c>
      <c r="E385" s="11">
        <v>45965.576388888891</v>
      </c>
      <c r="F385" s="11">
        <v>45965.600694444445</v>
      </c>
      <c r="G385" s="12">
        <v>2.4305555554747116E-2</v>
      </c>
      <c r="H385" s="2" t="s">
        <v>260</v>
      </c>
      <c r="I385" s="2" t="s">
        <v>261</v>
      </c>
      <c r="J385" s="2" t="s">
        <v>740</v>
      </c>
      <c r="K385" s="2" t="s">
        <v>1376</v>
      </c>
      <c r="L385" s="2" t="s">
        <v>390</v>
      </c>
      <c r="M385" t="s">
        <v>391</v>
      </c>
      <c r="N385" t="s">
        <v>828</v>
      </c>
      <c r="O385" t="s">
        <v>828</v>
      </c>
      <c r="P385" t="s">
        <v>1380</v>
      </c>
      <c r="Q385" t="s">
        <v>1378</v>
      </c>
    </row>
    <row r="386" spans="1:17">
      <c r="A386" s="2" t="s">
        <v>702</v>
      </c>
      <c r="B386" s="2" t="s">
        <v>702</v>
      </c>
      <c r="C386" s="2" t="s">
        <v>706</v>
      </c>
      <c r="D386" s="11">
        <v>45965.576388888891</v>
      </c>
      <c r="E386" s="11">
        <v>45965.576388888891</v>
      </c>
      <c r="F386" s="11">
        <v>45965.600694444445</v>
      </c>
      <c r="G386" s="12">
        <v>2.4305555554747116E-2</v>
      </c>
      <c r="H386" s="2" t="s">
        <v>260</v>
      </c>
      <c r="I386" s="2" t="s">
        <v>261</v>
      </c>
      <c r="J386" s="2" t="s">
        <v>740</v>
      </c>
      <c r="K386" s="2" t="s">
        <v>1376</v>
      </c>
      <c r="L386" s="2" t="s">
        <v>390</v>
      </c>
      <c r="M386" t="s">
        <v>391</v>
      </c>
      <c r="N386" t="s">
        <v>828</v>
      </c>
      <c r="O386" t="s">
        <v>828</v>
      </c>
      <c r="P386" t="s">
        <v>1381</v>
      </c>
      <c r="Q386" t="s">
        <v>1378</v>
      </c>
    </row>
    <row r="387" spans="1:17">
      <c r="A387" s="2" t="s">
        <v>702</v>
      </c>
      <c r="B387" s="2" t="s">
        <v>702</v>
      </c>
      <c r="C387" s="2" t="s">
        <v>386</v>
      </c>
      <c r="D387" s="11">
        <v>45965.576388888891</v>
      </c>
      <c r="E387" s="11">
        <v>45965.576388888891</v>
      </c>
      <c r="F387" s="11">
        <v>45965.600694444445</v>
      </c>
      <c r="G387" s="12">
        <v>2.4305555554747116E-2</v>
      </c>
      <c r="H387" s="2" t="s">
        <v>260</v>
      </c>
      <c r="I387" s="2" t="s">
        <v>261</v>
      </c>
      <c r="J387" s="2" t="s">
        <v>740</v>
      </c>
      <c r="K387" s="2" t="s">
        <v>1376</v>
      </c>
      <c r="L387" s="2" t="s">
        <v>390</v>
      </c>
      <c r="M387" t="s">
        <v>391</v>
      </c>
      <c r="N387" t="s">
        <v>828</v>
      </c>
      <c r="O387" t="s">
        <v>828</v>
      </c>
      <c r="P387" t="s">
        <v>1382</v>
      </c>
      <c r="Q387" t="s">
        <v>1378</v>
      </c>
    </row>
    <row r="388" spans="1:17">
      <c r="A388" s="2" t="s">
        <v>707</v>
      </c>
      <c r="B388" s="2" t="s">
        <v>707</v>
      </c>
      <c r="C388" s="2" t="s">
        <v>708</v>
      </c>
      <c r="D388" s="11">
        <v>45965.576388888891</v>
      </c>
      <c r="E388" s="11">
        <v>45965.576388888891</v>
      </c>
      <c r="F388" s="11">
        <v>45965.600694444445</v>
      </c>
      <c r="G388" s="12">
        <v>2.4305555554747116E-2</v>
      </c>
      <c r="H388" s="2" t="s">
        <v>260</v>
      </c>
      <c r="I388" s="2" t="s">
        <v>261</v>
      </c>
      <c r="J388" s="2" t="s">
        <v>740</v>
      </c>
      <c r="K388" s="2" t="s">
        <v>1376</v>
      </c>
      <c r="L388" s="2" t="s">
        <v>390</v>
      </c>
      <c r="M388" t="s">
        <v>391</v>
      </c>
      <c r="N388" t="s">
        <v>828</v>
      </c>
      <c r="O388" t="s">
        <v>828</v>
      </c>
      <c r="P388" t="s">
        <v>1383</v>
      </c>
      <c r="Q388" t="s">
        <v>1378</v>
      </c>
    </row>
    <row r="389" spans="1:17">
      <c r="A389" s="2" t="s">
        <v>707</v>
      </c>
      <c r="B389" s="2" t="s">
        <v>707</v>
      </c>
      <c r="C389" s="2" t="s">
        <v>709</v>
      </c>
      <c r="D389" s="11">
        <v>45965.576388888891</v>
      </c>
      <c r="E389" s="11">
        <v>45965.576388888891</v>
      </c>
      <c r="F389" s="11">
        <v>45965.600694444445</v>
      </c>
      <c r="G389" s="12">
        <v>2.4305555554747116E-2</v>
      </c>
      <c r="H389" s="2" t="s">
        <v>260</v>
      </c>
      <c r="I389" s="2" t="s">
        <v>261</v>
      </c>
      <c r="J389" s="2" t="s">
        <v>740</v>
      </c>
      <c r="K389" s="2" t="s">
        <v>1376</v>
      </c>
      <c r="L389" s="2" t="s">
        <v>390</v>
      </c>
      <c r="M389" t="s">
        <v>391</v>
      </c>
      <c r="N389" t="s">
        <v>828</v>
      </c>
      <c r="O389" t="s">
        <v>828</v>
      </c>
      <c r="P389" t="s">
        <v>1384</v>
      </c>
      <c r="Q389" t="s">
        <v>1378</v>
      </c>
    </row>
    <row r="390" spans="1:17">
      <c r="A390" s="2" t="s">
        <v>707</v>
      </c>
      <c r="B390" s="2" t="s">
        <v>707</v>
      </c>
      <c r="C390" s="2" t="s">
        <v>710</v>
      </c>
      <c r="D390" s="11">
        <v>45965.576388888891</v>
      </c>
      <c r="E390" s="11">
        <v>45965.576388888891</v>
      </c>
      <c r="F390" s="11">
        <v>45965.600694444445</v>
      </c>
      <c r="G390" s="12">
        <v>2.4305555554747116E-2</v>
      </c>
      <c r="H390" s="2" t="s">
        <v>260</v>
      </c>
      <c r="I390" s="2" t="s">
        <v>261</v>
      </c>
      <c r="J390" s="2" t="s">
        <v>740</v>
      </c>
      <c r="K390" s="2" t="s">
        <v>1376</v>
      </c>
      <c r="L390" s="2" t="s">
        <v>390</v>
      </c>
      <c r="M390" t="s">
        <v>391</v>
      </c>
      <c r="N390" t="s">
        <v>828</v>
      </c>
      <c r="O390" t="s">
        <v>828</v>
      </c>
      <c r="P390" t="s">
        <v>1385</v>
      </c>
      <c r="Q390" t="s">
        <v>1378</v>
      </c>
    </row>
    <row r="391" spans="1:17">
      <c r="A391" s="2" t="s">
        <v>424</v>
      </c>
      <c r="B391" s="2" t="s">
        <v>424</v>
      </c>
      <c r="C391" s="2" t="s">
        <v>358</v>
      </c>
      <c r="D391" s="11">
        <v>45966.253472222219</v>
      </c>
      <c r="E391" s="11">
        <v>45966.253472222219</v>
      </c>
      <c r="F391" s="11">
        <v>45966.308333333334</v>
      </c>
      <c r="G391" s="12">
        <v>5.4861111115314998E-2</v>
      </c>
      <c r="H391" s="2" t="s">
        <v>248</v>
      </c>
      <c r="J391" s="2" t="s">
        <v>249</v>
      </c>
      <c r="K391" s="2" t="s">
        <v>349</v>
      </c>
      <c r="L391" s="2" t="s">
        <v>1386</v>
      </c>
      <c r="M391" t="s">
        <v>251</v>
      </c>
      <c r="N391" t="s">
        <v>330</v>
      </c>
      <c r="O391" t="s">
        <v>331</v>
      </c>
      <c r="P391" t="s">
        <v>1387</v>
      </c>
      <c r="Q391" t="s">
        <v>966</v>
      </c>
    </row>
    <row r="392" spans="1:17">
      <c r="A392" s="2" t="s">
        <v>424</v>
      </c>
      <c r="B392" s="2" t="s">
        <v>424</v>
      </c>
      <c r="C392" s="2" t="s">
        <v>357</v>
      </c>
      <c r="D392" s="11">
        <v>45966.253472222219</v>
      </c>
      <c r="E392" s="11">
        <v>45966.253472222219</v>
      </c>
      <c r="F392" s="11">
        <v>45966.308333333334</v>
      </c>
      <c r="G392" s="12">
        <v>5.4861111115314998E-2</v>
      </c>
      <c r="H392" s="2" t="s">
        <v>248</v>
      </c>
      <c r="J392" s="2" t="s">
        <v>249</v>
      </c>
      <c r="K392" s="2" t="s">
        <v>349</v>
      </c>
      <c r="L392" s="2" t="s">
        <v>1388</v>
      </c>
      <c r="M392" t="s">
        <v>251</v>
      </c>
      <c r="N392" t="s">
        <v>330</v>
      </c>
      <c r="O392" t="s">
        <v>331</v>
      </c>
      <c r="P392" t="s">
        <v>1389</v>
      </c>
      <c r="Q392" t="s">
        <v>966</v>
      </c>
    </row>
    <row r="393" spans="1:17">
      <c r="A393" s="2" t="s">
        <v>424</v>
      </c>
      <c r="B393" s="2" t="s">
        <v>424</v>
      </c>
      <c r="C393" s="2" t="s">
        <v>354</v>
      </c>
      <c r="D393" s="11">
        <v>45966.253472222219</v>
      </c>
      <c r="E393" s="11">
        <v>45966.253472222219</v>
      </c>
      <c r="F393" s="11">
        <v>45966.308333333334</v>
      </c>
      <c r="G393" s="12">
        <v>5.4861111115314998E-2</v>
      </c>
      <c r="H393" s="2" t="s">
        <v>248</v>
      </c>
      <c r="J393" s="2" t="s">
        <v>249</v>
      </c>
      <c r="K393" s="2" t="s">
        <v>349</v>
      </c>
      <c r="L393" s="2" t="s">
        <v>1388</v>
      </c>
      <c r="M393" t="s">
        <v>251</v>
      </c>
      <c r="N393" t="s">
        <v>330</v>
      </c>
      <c r="O393" t="s">
        <v>331</v>
      </c>
      <c r="P393" t="s">
        <v>1390</v>
      </c>
      <c r="Q393" t="s">
        <v>966</v>
      </c>
    </row>
    <row r="394" spans="1:17">
      <c r="A394" s="2" t="s">
        <v>424</v>
      </c>
      <c r="B394" s="2" t="s">
        <v>424</v>
      </c>
      <c r="C394" s="2" t="s">
        <v>328</v>
      </c>
      <c r="D394" s="11">
        <v>45966.253472222219</v>
      </c>
      <c r="E394" s="11">
        <v>45966.253472222219</v>
      </c>
      <c r="F394" s="11">
        <v>45966.308333333334</v>
      </c>
      <c r="G394" s="12">
        <v>5.4861111115314998E-2</v>
      </c>
      <c r="H394" s="2" t="s">
        <v>248</v>
      </c>
      <c r="J394" s="2" t="s">
        <v>249</v>
      </c>
      <c r="K394" s="2" t="s">
        <v>349</v>
      </c>
      <c r="L394" s="2" t="s">
        <v>1388</v>
      </c>
      <c r="M394" t="s">
        <v>251</v>
      </c>
      <c r="N394" t="s">
        <v>330</v>
      </c>
      <c r="O394" t="s">
        <v>331</v>
      </c>
      <c r="P394" t="s">
        <v>1391</v>
      </c>
      <c r="Q394" t="s">
        <v>966</v>
      </c>
    </row>
    <row r="395" spans="1:17">
      <c r="A395" s="2" t="s">
        <v>421</v>
      </c>
      <c r="B395" s="2" t="s">
        <v>421</v>
      </c>
      <c r="C395" s="2" t="s">
        <v>357</v>
      </c>
      <c r="D395" s="11">
        <v>45966.253472222219</v>
      </c>
      <c r="E395" s="11">
        <v>45966.253472222219</v>
      </c>
      <c r="F395" s="11">
        <v>45966.308333333334</v>
      </c>
      <c r="G395" s="12">
        <v>5.4861111115314998E-2</v>
      </c>
      <c r="H395" s="2" t="s">
        <v>248</v>
      </c>
      <c r="J395" s="2" t="s">
        <v>249</v>
      </c>
      <c r="K395" s="2" t="s">
        <v>349</v>
      </c>
      <c r="L395" s="2" t="s">
        <v>1388</v>
      </c>
      <c r="M395" t="s">
        <v>251</v>
      </c>
      <c r="N395" t="s">
        <v>330</v>
      </c>
      <c r="O395" t="s">
        <v>331</v>
      </c>
      <c r="P395" t="s">
        <v>1392</v>
      </c>
      <c r="Q395" t="s">
        <v>966</v>
      </c>
    </row>
    <row r="396" spans="1:17">
      <c r="A396" s="2" t="s">
        <v>421</v>
      </c>
      <c r="B396" s="2" t="s">
        <v>421</v>
      </c>
      <c r="C396" s="2" t="s">
        <v>354</v>
      </c>
      <c r="D396" s="11">
        <v>45966.253472222219</v>
      </c>
      <c r="E396" s="11">
        <v>45966.253472222219</v>
      </c>
      <c r="F396" s="11">
        <v>45966.308333333334</v>
      </c>
      <c r="G396" s="12">
        <v>5.4861111115314998E-2</v>
      </c>
      <c r="H396" s="2" t="s">
        <v>248</v>
      </c>
      <c r="J396" s="2" t="s">
        <v>249</v>
      </c>
      <c r="K396" s="2" t="s">
        <v>349</v>
      </c>
      <c r="L396" s="2" t="s">
        <v>1388</v>
      </c>
      <c r="M396" t="s">
        <v>251</v>
      </c>
      <c r="N396" t="s">
        <v>330</v>
      </c>
      <c r="O396" t="s">
        <v>331</v>
      </c>
      <c r="P396" t="s">
        <v>1393</v>
      </c>
      <c r="Q396" t="s">
        <v>966</v>
      </c>
    </row>
    <row r="397" spans="1:17">
      <c r="A397" s="2" t="s">
        <v>421</v>
      </c>
      <c r="B397" s="2" t="s">
        <v>421</v>
      </c>
      <c r="C397" s="2" t="s">
        <v>359</v>
      </c>
      <c r="D397" s="11">
        <v>45966.253472222219</v>
      </c>
      <c r="E397" s="11">
        <v>45966.253472222219</v>
      </c>
      <c r="F397" s="11">
        <v>45966.308333333334</v>
      </c>
      <c r="G397" s="12">
        <v>5.4861111115314998E-2</v>
      </c>
      <c r="H397" s="2" t="s">
        <v>248</v>
      </c>
      <c r="J397" s="2" t="s">
        <v>249</v>
      </c>
      <c r="K397" s="2" t="s">
        <v>349</v>
      </c>
      <c r="L397" s="2" t="s">
        <v>1388</v>
      </c>
      <c r="M397" t="s">
        <v>251</v>
      </c>
      <c r="N397" t="s">
        <v>330</v>
      </c>
      <c r="O397" t="s">
        <v>331</v>
      </c>
      <c r="P397" t="s">
        <v>1394</v>
      </c>
      <c r="Q397" t="s">
        <v>966</v>
      </c>
    </row>
    <row r="398" spans="1:17">
      <c r="A398" s="2" t="s">
        <v>421</v>
      </c>
      <c r="B398" s="2" t="s">
        <v>421</v>
      </c>
      <c r="C398" s="2" t="s">
        <v>358</v>
      </c>
      <c r="D398" s="11">
        <v>45966.253472222219</v>
      </c>
      <c r="E398" s="11">
        <v>45966.253472222219</v>
      </c>
      <c r="F398" s="11">
        <v>45966.308333333334</v>
      </c>
      <c r="G398" s="12">
        <v>5.4861111115314998E-2</v>
      </c>
      <c r="H398" s="2" t="s">
        <v>248</v>
      </c>
      <c r="J398" s="2" t="s">
        <v>249</v>
      </c>
      <c r="K398" s="2" t="s">
        <v>349</v>
      </c>
      <c r="L398" s="2" t="s">
        <v>1388</v>
      </c>
      <c r="M398" t="s">
        <v>251</v>
      </c>
      <c r="N398" t="s">
        <v>330</v>
      </c>
      <c r="O398" t="s">
        <v>331</v>
      </c>
      <c r="P398" t="s">
        <v>1395</v>
      </c>
      <c r="Q398" t="s">
        <v>966</v>
      </c>
    </row>
    <row r="399" spans="1:17">
      <c r="A399" s="2" t="s">
        <v>430</v>
      </c>
      <c r="B399" s="2" t="s">
        <v>430</v>
      </c>
      <c r="C399" s="2" t="s">
        <v>357</v>
      </c>
      <c r="D399" s="11">
        <v>45966.253472222219</v>
      </c>
      <c r="E399" s="11">
        <v>45966.253472222219</v>
      </c>
      <c r="F399" s="11">
        <v>45966.308333333334</v>
      </c>
      <c r="G399" s="12">
        <v>5.4861111115314998E-2</v>
      </c>
      <c r="H399" s="2" t="s">
        <v>248</v>
      </c>
      <c r="J399" s="2" t="s">
        <v>249</v>
      </c>
      <c r="K399" s="2" t="s">
        <v>349</v>
      </c>
      <c r="L399" s="2" t="s">
        <v>1388</v>
      </c>
      <c r="M399" t="s">
        <v>251</v>
      </c>
      <c r="N399" t="s">
        <v>330</v>
      </c>
      <c r="O399" t="s">
        <v>331</v>
      </c>
      <c r="P399" t="s">
        <v>1396</v>
      </c>
      <c r="Q399" t="s">
        <v>966</v>
      </c>
    </row>
    <row r="400" spans="1:17">
      <c r="A400" s="2" t="s">
        <v>430</v>
      </c>
      <c r="B400" s="2" t="s">
        <v>430</v>
      </c>
      <c r="C400" s="2" t="s">
        <v>354</v>
      </c>
      <c r="D400" s="11">
        <v>45966.253472222219</v>
      </c>
      <c r="E400" s="11">
        <v>45966.253472222219</v>
      </c>
      <c r="F400" s="11">
        <v>45966.308333333334</v>
      </c>
      <c r="G400" s="12">
        <v>5.4861111115314998E-2</v>
      </c>
      <c r="H400" s="2" t="s">
        <v>248</v>
      </c>
      <c r="J400" s="2" t="s">
        <v>249</v>
      </c>
      <c r="K400" s="2" t="s">
        <v>349</v>
      </c>
      <c r="L400" s="2" t="s">
        <v>1388</v>
      </c>
      <c r="M400" t="s">
        <v>251</v>
      </c>
      <c r="N400" t="s">
        <v>330</v>
      </c>
      <c r="O400" t="s">
        <v>331</v>
      </c>
      <c r="P400" t="s">
        <v>1397</v>
      </c>
      <c r="Q400" t="s">
        <v>966</v>
      </c>
    </row>
    <row r="401" spans="1:17">
      <c r="A401" s="2" t="s">
        <v>1113</v>
      </c>
      <c r="B401" s="2" t="s">
        <v>850</v>
      </c>
      <c r="C401" s="2" t="s">
        <v>851</v>
      </c>
      <c r="D401" s="11">
        <v>45966.256944444445</v>
      </c>
      <c r="E401" s="11">
        <v>45966.256944444445</v>
      </c>
      <c r="F401" s="11">
        <v>45966.350694444445</v>
      </c>
      <c r="G401" s="12">
        <v>9.375E-2</v>
      </c>
      <c r="H401" s="2" t="s">
        <v>260</v>
      </c>
      <c r="I401" s="2" t="s">
        <v>261</v>
      </c>
      <c r="J401" s="2" t="s">
        <v>262</v>
      </c>
      <c r="K401" s="2" t="s">
        <v>263</v>
      </c>
      <c r="L401" s="2" t="s">
        <v>1398</v>
      </c>
      <c r="M401" t="s">
        <v>375</v>
      </c>
      <c r="N401" t="s">
        <v>828</v>
      </c>
      <c r="O401" t="s">
        <v>1399</v>
      </c>
      <c r="P401" t="s">
        <v>1400</v>
      </c>
      <c r="Q401" t="s">
        <v>1401</v>
      </c>
    </row>
    <row r="402" spans="1:17">
      <c r="A402" s="2" t="s">
        <v>823</v>
      </c>
      <c r="B402" s="2" t="s">
        <v>850</v>
      </c>
      <c r="C402" s="2" t="s">
        <v>824</v>
      </c>
      <c r="D402" s="11">
        <v>45966.256944444445</v>
      </c>
      <c r="E402" s="11">
        <v>45966.256944444445</v>
      </c>
      <c r="F402" s="11">
        <v>45966.350694444445</v>
      </c>
      <c r="G402" s="12">
        <v>9.375E-2</v>
      </c>
      <c r="H402" s="2" t="s">
        <v>260</v>
      </c>
      <c r="I402" s="2" t="s">
        <v>261</v>
      </c>
      <c r="J402" s="2" t="s">
        <v>262</v>
      </c>
      <c r="K402" s="2" t="s">
        <v>263</v>
      </c>
      <c r="L402" s="2" t="s">
        <v>1398</v>
      </c>
      <c r="M402" t="s">
        <v>375</v>
      </c>
      <c r="N402" t="s">
        <v>828</v>
      </c>
      <c r="O402" t="s">
        <v>1399</v>
      </c>
      <c r="P402" t="s">
        <v>1402</v>
      </c>
      <c r="Q402" t="s">
        <v>1401</v>
      </c>
    </row>
    <row r="403" spans="1:17">
      <c r="A403" s="2" t="s">
        <v>1116</v>
      </c>
      <c r="B403" s="2" t="s">
        <v>850</v>
      </c>
      <c r="C403" s="2" t="s">
        <v>853</v>
      </c>
      <c r="D403" s="11">
        <v>45966.256944444445</v>
      </c>
      <c r="E403" s="11">
        <v>45966.256944444445</v>
      </c>
      <c r="F403" s="11">
        <v>45966.350694444445</v>
      </c>
      <c r="G403" s="12">
        <v>9.375E-2</v>
      </c>
      <c r="H403" s="2" t="s">
        <v>260</v>
      </c>
      <c r="I403" s="2" t="s">
        <v>261</v>
      </c>
      <c r="J403" s="2" t="s">
        <v>262</v>
      </c>
      <c r="K403" s="2" t="s">
        <v>263</v>
      </c>
      <c r="L403" s="2" t="s">
        <v>1398</v>
      </c>
      <c r="M403" t="s">
        <v>375</v>
      </c>
      <c r="N403" t="s">
        <v>828</v>
      </c>
      <c r="O403" t="s">
        <v>1399</v>
      </c>
      <c r="P403" t="s">
        <v>1403</v>
      </c>
      <c r="Q403" t="s">
        <v>1401</v>
      </c>
    </row>
    <row r="404" spans="1:17">
      <c r="A404" s="2" t="s">
        <v>846</v>
      </c>
      <c r="B404" s="2" t="s">
        <v>602</v>
      </c>
      <c r="C404" s="2" t="s">
        <v>1221</v>
      </c>
      <c r="D404" s="11">
        <v>45966.261388888888</v>
      </c>
      <c r="E404" s="11">
        <v>45966.261388888888</v>
      </c>
      <c r="F404" s="11">
        <v>45966.26835648148</v>
      </c>
      <c r="G404" s="12">
        <v>6.9675925915362313E-3</v>
      </c>
      <c r="H404" s="2" t="s">
        <v>248</v>
      </c>
      <c r="J404" s="2" t="s">
        <v>300</v>
      </c>
      <c r="K404" s="2" t="s">
        <v>350</v>
      </c>
      <c r="L404" s="2" t="s">
        <v>1222</v>
      </c>
      <c r="M404" t="s">
        <v>375</v>
      </c>
      <c r="N404" t="s">
        <v>828</v>
      </c>
      <c r="P404" t="s">
        <v>1404</v>
      </c>
      <c r="Q404" t="s">
        <v>1224</v>
      </c>
    </row>
    <row r="405" spans="1:17">
      <c r="A405" s="2" t="s">
        <v>846</v>
      </c>
      <c r="B405" s="2" t="s">
        <v>602</v>
      </c>
      <c r="C405" s="2" t="s">
        <v>1303</v>
      </c>
      <c r="D405" s="11">
        <v>45966.261840277781</v>
      </c>
      <c r="E405" s="11">
        <v>45966.261840277781</v>
      </c>
      <c r="F405" s="11">
        <v>45966.285231481481</v>
      </c>
      <c r="G405" s="12">
        <v>2.3391203700157348E-2</v>
      </c>
      <c r="H405" s="2" t="s">
        <v>248</v>
      </c>
      <c r="J405" s="2" t="s">
        <v>300</v>
      </c>
      <c r="K405" s="2" t="s">
        <v>350</v>
      </c>
      <c r="L405" s="2" t="s">
        <v>1222</v>
      </c>
      <c r="M405" t="s">
        <v>375</v>
      </c>
      <c r="N405" t="s">
        <v>828</v>
      </c>
      <c r="P405" t="s">
        <v>1405</v>
      </c>
      <c r="Q405" t="s">
        <v>1224</v>
      </c>
    </row>
    <row r="406" spans="1:17">
      <c r="A406" s="2" t="s">
        <v>846</v>
      </c>
      <c r="B406" s="2" t="s">
        <v>602</v>
      </c>
      <c r="C406" s="2" t="s">
        <v>1305</v>
      </c>
      <c r="D406" s="11">
        <v>45966.261863425927</v>
      </c>
      <c r="E406" s="11">
        <v>45966.261863425927</v>
      </c>
      <c r="F406" s="11">
        <v>45966.285231481481</v>
      </c>
      <c r="G406" s="12">
        <v>2.3368055553874001E-2</v>
      </c>
      <c r="H406" s="2" t="s">
        <v>248</v>
      </c>
      <c r="J406" s="2" t="s">
        <v>300</v>
      </c>
      <c r="K406" s="2" t="s">
        <v>350</v>
      </c>
      <c r="L406" s="2" t="s">
        <v>1222</v>
      </c>
      <c r="M406" t="s">
        <v>375</v>
      </c>
      <c r="N406" t="s">
        <v>828</v>
      </c>
      <c r="P406" t="s">
        <v>1406</v>
      </c>
      <c r="Q406" t="s">
        <v>1224</v>
      </c>
    </row>
    <row r="407" spans="1:17">
      <c r="A407" s="2" t="s">
        <v>846</v>
      </c>
      <c r="B407" s="2" t="s">
        <v>602</v>
      </c>
      <c r="C407" s="2" t="s">
        <v>1407</v>
      </c>
      <c r="D407" s="11">
        <v>45966.261932870373</v>
      </c>
      <c r="E407" s="11">
        <v>45966.261932870373</v>
      </c>
      <c r="F407" s="11">
        <v>45966.285231481481</v>
      </c>
      <c r="G407" s="12">
        <v>2.3298611107748002E-2</v>
      </c>
      <c r="H407" s="2" t="s">
        <v>248</v>
      </c>
      <c r="J407" s="2" t="s">
        <v>300</v>
      </c>
      <c r="K407" s="2" t="s">
        <v>350</v>
      </c>
      <c r="L407" s="2" t="s">
        <v>1222</v>
      </c>
      <c r="M407" t="s">
        <v>375</v>
      </c>
      <c r="N407" t="s">
        <v>828</v>
      </c>
      <c r="P407" t="s">
        <v>1408</v>
      </c>
      <c r="Q407" t="s">
        <v>1224</v>
      </c>
    </row>
    <row r="408" spans="1:17">
      <c r="A408" s="2" t="s">
        <v>782</v>
      </c>
      <c r="B408" s="2" t="s">
        <v>477</v>
      </c>
      <c r="C408" s="2" t="s">
        <v>489</v>
      </c>
      <c r="D408" s="11">
        <v>45966.306944444441</v>
      </c>
      <c r="E408" s="11">
        <v>45966.306944444441</v>
      </c>
      <c r="F408" s="11">
        <v>45966.722222222219</v>
      </c>
      <c r="G408" s="12">
        <v>0.41527777777810115</v>
      </c>
      <c r="H408" s="2" t="s">
        <v>343</v>
      </c>
      <c r="J408" s="2" t="s">
        <v>230</v>
      </c>
      <c r="K408" s="2" t="s">
        <v>230</v>
      </c>
      <c r="L408" s="2" t="s">
        <v>1409</v>
      </c>
      <c r="M408" t="s">
        <v>302</v>
      </c>
      <c r="N408" t="s">
        <v>345</v>
      </c>
      <c r="O408" t="s">
        <v>904</v>
      </c>
      <c r="P408" t="s">
        <v>1410</v>
      </c>
      <c r="Q408" t="s">
        <v>1364</v>
      </c>
    </row>
    <row r="409" spans="1:17">
      <c r="A409" s="2" t="s">
        <v>782</v>
      </c>
      <c r="B409" s="2" t="s">
        <v>477</v>
      </c>
      <c r="C409" s="2" t="s">
        <v>713</v>
      </c>
      <c r="D409" s="11">
        <v>45966.306944444441</v>
      </c>
      <c r="E409" s="11">
        <v>45966.306944444441</v>
      </c>
      <c r="F409" s="11">
        <v>45966.722222222219</v>
      </c>
      <c r="G409" s="12">
        <v>0.41527777777810115</v>
      </c>
      <c r="H409" s="2" t="s">
        <v>343</v>
      </c>
      <c r="J409" s="2" t="s">
        <v>230</v>
      </c>
      <c r="K409" s="2" t="s">
        <v>230</v>
      </c>
      <c r="L409" s="2" t="s">
        <v>1409</v>
      </c>
      <c r="M409" t="s">
        <v>302</v>
      </c>
      <c r="N409" t="s">
        <v>345</v>
      </c>
      <c r="O409" t="s">
        <v>904</v>
      </c>
      <c r="P409" t="s">
        <v>1411</v>
      </c>
      <c r="Q409" t="s">
        <v>1364</v>
      </c>
    </row>
    <row r="410" spans="1:17">
      <c r="A410" s="2" t="s">
        <v>782</v>
      </c>
      <c r="B410" s="2" t="s">
        <v>477</v>
      </c>
      <c r="C410" s="2" t="s">
        <v>486</v>
      </c>
      <c r="D410" s="11">
        <v>45966.306944444441</v>
      </c>
      <c r="E410" s="11">
        <v>45966.306944444441</v>
      </c>
      <c r="F410" s="11">
        <v>45966.722222222219</v>
      </c>
      <c r="G410" s="12">
        <v>0.41527777777810115</v>
      </c>
      <c r="H410" s="2" t="s">
        <v>343</v>
      </c>
      <c r="J410" s="2" t="s">
        <v>230</v>
      </c>
      <c r="K410" s="2" t="s">
        <v>230</v>
      </c>
      <c r="L410" s="2" t="s">
        <v>1409</v>
      </c>
      <c r="M410" t="s">
        <v>302</v>
      </c>
      <c r="N410" t="s">
        <v>345</v>
      </c>
      <c r="O410" t="s">
        <v>904</v>
      </c>
      <c r="P410" t="s">
        <v>1412</v>
      </c>
      <c r="Q410" t="s">
        <v>1364</v>
      </c>
    </row>
    <row r="411" spans="1:17">
      <c r="A411" s="2" t="s">
        <v>782</v>
      </c>
      <c r="B411" s="2" t="s">
        <v>477</v>
      </c>
      <c r="C411" s="2" t="s">
        <v>478</v>
      </c>
      <c r="D411" s="11">
        <v>45966.306944444441</v>
      </c>
      <c r="E411" s="11">
        <v>45966.306944444441</v>
      </c>
      <c r="F411" s="11">
        <v>45966.722222222219</v>
      </c>
      <c r="G411" s="12">
        <v>0.41527777777810115</v>
      </c>
      <c r="H411" s="2" t="s">
        <v>343</v>
      </c>
      <c r="J411" s="2" t="s">
        <v>230</v>
      </c>
      <c r="K411" s="2" t="s">
        <v>230</v>
      </c>
      <c r="L411" s="2" t="s">
        <v>1409</v>
      </c>
      <c r="M411" t="s">
        <v>302</v>
      </c>
      <c r="N411" t="s">
        <v>345</v>
      </c>
      <c r="O411" t="s">
        <v>904</v>
      </c>
      <c r="P411" t="s">
        <v>1413</v>
      </c>
      <c r="Q411" t="s">
        <v>1364</v>
      </c>
    </row>
    <row r="412" spans="1:17">
      <c r="A412" s="2" t="s">
        <v>782</v>
      </c>
      <c r="B412" s="2" t="s">
        <v>477</v>
      </c>
      <c r="C412" s="2" t="s">
        <v>632</v>
      </c>
      <c r="D412" s="11">
        <v>45966.306944444441</v>
      </c>
      <c r="E412" s="11">
        <v>45966.306944444441</v>
      </c>
      <c r="F412" s="11">
        <v>45966.722222222219</v>
      </c>
      <c r="G412" s="12">
        <v>0.41527777777810115</v>
      </c>
      <c r="H412" s="2" t="s">
        <v>343</v>
      </c>
      <c r="J412" s="2" t="s">
        <v>230</v>
      </c>
      <c r="K412" s="2" t="s">
        <v>230</v>
      </c>
      <c r="L412" s="2" t="s">
        <v>1409</v>
      </c>
      <c r="M412" t="s">
        <v>302</v>
      </c>
      <c r="N412" t="s">
        <v>345</v>
      </c>
      <c r="O412" t="s">
        <v>904</v>
      </c>
      <c r="P412" t="s">
        <v>1414</v>
      </c>
      <c r="Q412" t="s">
        <v>1364</v>
      </c>
    </row>
    <row r="413" spans="1:17">
      <c r="A413" s="2" t="s">
        <v>782</v>
      </c>
      <c r="B413" s="2" t="s">
        <v>477</v>
      </c>
      <c r="C413" s="2" t="s">
        <v>629</v>
      </c>
      <c r="D413" s="11">
        <v>45966.306944444441</v>
      </c>
      <c r="E413" s="11">
        <v>45966.306944444441</v>
      </c>
      <c r="F413" s="11">
        <v>45966.722222222219</v>
      </c>
      <c r="G413" s="12">
        <v>0.41527777777810115</v>
      </c>
      <c r="H413" s="2" t="s">
        <v>343</v>
      </c>
      <c r="J413" s="2" t="s">
        <v>230</v>
      </c>
      <c r="K413" s="2" t="s">
        <v>230</v>
      </c>
      <c r="L413" s="2" t="s">
        <v>1409</v>
      </c>
      <c r="M413" t="s">
        <v>302</v>
      </c>
      <c r="N413" t="s">
        <v>345</v>
      </c>
      <c r="O413" t="s">
        <v>904</v>
      </c>
      <c r="P413" t="s">
        <v>1415</v>
      </c>
      <c r="Q413" t="s">
        <v>1364</v>
      </c>
    </row>
    <row r="414" spans="1:17">
      <c r="A414" s="2" t="s">
        <v>782</v>
      </c>
      <c r="B414" s="2" t="s">
        <v>477</v>
      </c>
      <c r="C414" s="2" t="s">
        <v>631</v>
      </c>
      <c r="D414" s="11">
        <v>45966.306944444441</v>
      </c>
      <c r="E414" s="11">
        <v>45966.306944444441</v>
      </c>
      <c r="F414" s="11">
        <v>45966.722222222219</v>
      </c>
      <c r="G414" s="12">
        <v>0.41527777777810115</v>
      </c>
      <c r="H414" s="2" t="s">
        <v>343</v>
      </c>
      <c r="J414" s="2" t="s">
        <v>230</v>
      </c>
      <c r="K414" s="2" t="s">
        <v>230</v>
      </c>
      <c r="L414" s="2" t="s">
        <v>1409</v>
      </c>
      <c r="M414" t="s">
        <v>302</v>
      </c>
      <c r="N414" t="s">
        <v>345</v>
      </c>
      <c r="O414" t="s">
        <v>904</v>
      </c>
      <c r="P414" t="s">
        <v>1416</v>
      </c>
      <c r="Q414" t="s">
        <v>1364</v>
      </c>
    </row>
    <row r="415" spans="1:17">
      <c r="A415" s="2" t="s">
        <v>782</v>
      </c>
      <c r="B415" s="2" t="s">
        <v>477</v>
      </c>
      <c r="C415" s="2" t="s">
        <v>635</v>
      </c>
      <c r="D415" s="11">
        <v>45966.306944444441</v>
      </c>
      <c r="E415" s="11">
        <v>45966.306944444441</v>
      </c>
      <c r="F415" s="11">
        <v>45966.722222222219</v>
      </c>
      <c r="G415" s="12">
        <v>0.41527777777810115</v>
      </c>
      <c r="H415" s="2" t="s">
        <v>343</v>
      </c>
      <c r="J415" s="2" t="s">
        <v>230</v>
      </c>
      <c r="K415" s="2" t="s">
        <v>230</v>
      </c>
      <c r="L415" s="2" t="s">
        <v>1409</v>
      </c>
      <c r="M415" t="s">
        <v>302</v>
      </c>
      <c r="N415" t="s">
        <v>345</v>
      </c>
      <c r="O415" t="s">
        <v>904</v>
      </c>
      <c r="P415" t="s">
        <v>1417</v>
      </c>
      <c r="Q415" t="s">
        <v>1364</v>
      </c>
    </row>
    <row r="416" spans="1:17">
      <c r="A416" s="2" t="s">
        <v>782</v>
      </c>
      <c r="B416" s="2" t="s">
        <v>477</v>
      </c>
      <c r="C416" s="2" t="s">
        <v>487</v>
      </c>
      <c r="D416" s="11">
        <v>45966.306944444441</v>
      </c>
      <c r="E416" s="11">
        <v>45966.306944444441</v>
      </c>
      <c r="F416" s="11">
        <v>45966.722222222219</v>
      </c>
      <c r="G416" s="12">
        <v>0.41527777777810115</v>
      </c>
      <c r="H416" s="2" t="s">
        <v>343</v>
      </c>
      <c r="J416" s="2" t="s">
        <v>230</v>
      </c>
      <c r="K416" s="2" t="s">
        <v>230</v>
      </c>
      <c r="L416" s="2" t="s">
        <v>1409</v>
      </c>
      <c r="M416" t="s">
        <v>302</v>
      </c>
      <c r="N416" t="s">
        <v>345</v>
      </c>
      <c r="O416" t="s">
        <v>904</v>
      </c>
      <c r="P416" t="s">
        <v>1418</v>
      </c>
      <c r="Q416" t="s">
        <v>1364</v>
      </c>
    </row>
    <row r="417" spans="1:17">
      <c r="A417" s="2" t="s">
        <v>782</v>
      </c>
      <c r="B417" s="2" t="s">
        <v>477</v>
      </c>
      <c r="C417" s="2" t="s">
        <v>627</v>
      </c>
      <c r="D417" s="11">
        <v>45966.306944444441</v>
      </c>
      <c r="E417" s="11">
        <v>45966.306944444441</v>
      </c>
      <c r="F417" s="11">
        <v>45966.722222222219</v>
      </c>
      <c r="G417" s="12">
        <v>0.41527777777810115</v>
      </c>
      <c r="H417" s="2" t="s">
        <v>343</v>
      </c>
      <c r="J417" s="2" t="s">
        <v>230</v>
      </c>
      <c r="K417" s="2" t="s">
        <v>230</v>
      </c>
      <c r="L417" s="2" t="s">
        <v>1409</v>
      </c>
      <c r="M417" t="s">
        <v>302</v>
      </c>
      <c r="N417" t="s">
        <v>345</v>
      </c>
      <c r="O417" t="s">
        <v>904</v>
      </c>
      <c r="P417" t="s">
        <v>1419</v>
      </c>
      <c r="Q417" t="s">
        <v>1364</v>
      </c>
    </row>
    <row r="418" spans="1:17">
      <c r="A418" s="2" t="s">
        <v>394</v>
      </c>
      <c r="B418" s="2" t="s">
        <v>394</v>
      </c>
      <c r="C418" s="2" t="s">
        <v>400</v>
      </c>
      <c r="D418" s="11">
        <v>45966.43472222222</v>
      </c>
      <c r="E418" s="11">
        <v>45966.43472222222</v>
      </c>
      <c r="F418" s="11">
        <v>45966.447916666664</v>
      </c>
      <c r="G418" s="12">
        <v>1.3194444443797693E-2</v>
      </c>
      <c r="H418" s="2" t="s">
        <v>248</v>
      </c>
      <c r="J418" s="2" t="s">
        <v>249</v>
      </c>
      <c r="K418" s="2" t="s">
        <v>349</v>
      </c>
      <c r="L418" s="2" t="s">
        <v>1420</v>
      </c>
      <c r="M418" t="s">
        <v>251</v>
      </c>
      <c r="N418" t="s">
        <v>330</v>
      </c>
      <c r="O418" t="s">
        <v>723</v>
      </c>
      <c r="P418" t="s">
        <v>1421</v>
      </c>
      <c r="Q418" t="s">
        <v>966</v>
      </c>
    </row>
    <row r="419" spans="1:17">
      <c r="A419" s="2" t="s">
        <v>394</v>
      </c>
      <c r="B419" s="2" t="s">
        <v>394</v>
      </c>
      <c r="C419" s="2" t="s">
        <v>401</v>
      </c>
      <c r="D419" s="11">
        <v>45966.43472222222</v>
      </c>
      <c r="E419" s="11">
        <v>45966.43472222222</v>
      </c>
      <c r="F419" s="11">
        <v>45966.447916666664</v>
      </c>
      <c r="G419" s="12">
        <v>1.3194444443797693E-2</v>
      </c>
      <c r="H419" s="2" t="s">
        <v>248</v>
      </c>
      <c r="J419" s="2" t="s">
        <v>249</v>
      </c>
      <c r="K419" s="2" t="s">
        <v>349</v>
      </c>
      <c r="L419" s="2" t="s">
        <v>1420</v>
      </c>
      <c r="M419" t="s">
        <v>251</v>
      </c>
      <c r="N419" t="s">
        <v>330</v>
      </c>
      <c r="O419" t="s">
        <v>723</v>
      </c>
      <c r="P419" t="s">
        <v>1422</v>
      </c>
      <c r="Q419" t="s">
        <v>966</v>
      </c>
    </row>
    <row r="420" spans="1:17">
      <c r="A420" s="2" t="s">
        <v>394</v>
      </c>
      <c r="B420" s="2" t="s">
        <v>394</v>
      </c>
      <c r="C420" s="2" t="s">
        <v>402</v>
      </c>
      <c r="D420" s="11">
        <v>45966.43472222222</v>
      </c>
      <c r="E420" s="11">
        <v>45966.43472222222</v>
      </c>
      <c r="F420" s="11">
        <v>45966.447916666664</v>
      </c>
      <c r="G420" s="12">
        <v>1.3194444443797693E-2</v>
      </c>
      <c r="H420" s="2" t="s">
        <v>248</v>
      </c>
      <c r="J420" s="2" t="s">
        <v>249</v>
      </c>
      <c r="K420" s="2" t="s">
        <v>349</v>
      </c>
      <c r="L420" s="2" t="s">
        <v>1420</v>
      </c>
      <c r="M420" t="s">
        <v>251</v>
      </c>
      <c r="N420" t="s">
        <v>330</v>
      </c>
      <c r="O420" t="s">
        <v>723</v>
      </c>
      <c r="P420" t="s">
        <v>1423</v>
      </c>
      <c r="Q420" t="s">
        <v>966</v>
      </c>
    </row>
    <row r="421" spans="1:17">
      <c r="A421" s="2" t="s">
        <v>394</v>
      </c>
      <c r="B421" s="2" t="s">
        <v>394</v>
      </c>
      <c r="C421" s="2" t="s">
        <v>403</v>
      </c>
      <c r="D421" s="11">
        <v>45966.43472222222</v>
      </c>
      <c r="E421" s="11">
        <v>45966.43472222222</v>
      </c>
      <c r="F421" s="11">
        <v>45966.447916666664</v>
      </c>
      <c r="G421" s="12">
        <v>1.3194444443797693E-2</v>
      </c>
      <c r="H421" s="2" t="s">
        <v>248</v>
      </c>
      <c r="J421" s="2" t="s">
        <v>249</v>
      </c>
      <c r="K421" s="2" t="s">
        <v>349</v>
      </c>
      <c r="L421" s="2" t="s">
        <v>1420</v>
      </c>
      <c r="M421" t="s">
        <v>251</v>
      </c>
      <c r="N421" t="s">
        <v>330</v>
      </c>
      <c r="O421" t="s">
        <v>723</v>
      </c>
      <c r="P421" t="s">
        <v>1424</v>
      </c>
      <c r="Q421" t="s">
        <v>966</v>
      </c>
    </row>
    <row r="422" spans="1:17">
      <c r="A422" s="2" t="s">
        <v>406</v>
      </c>
      <c r="B422" s="2" t="s">
        <v>406</v>
      </c>
      <c r="C422" s="2" t="s">
        <v>408</v>
      </c>
      <c r="D422" s="11">
        <v>45966.43472222222</v>
      </c>
      <c r="E422" s="11">
        <v>45966.43472222222</v>
      </c>
      <c r="F422" s="11">
        <v>45966.447916666664</v>
      </c>
      <c r="G422" s="12">
        <v>1.3194444443797693E-2</v>
      </c>
      <c r="H422" s="2" t="s">
        <v>248</v>
      </c>
      <c r="J422" s="2" t="s">
        <v>249</v>
      </c>
      <c r="K422" s="2" t="s">
        <v>349</v>
      </c>
      <c r="L422" s="2" t="s">
        <v>1420</v>
      </c>
      <c r="M422" t="s">
        <v>251</v>
      </c>
      <c r="N422" t="s">
        <v>330</v>
      </c>
      <c r="O422" t="s">
        <v>723</v>
      </c>
      <c r="P422" t="s">
        <v>1425</v>
      </c>
      <c r="Q422" t="s">
        <v>966</v>
      </c>
    </row>
    <row r="423" spans="1:17">
      <c r="A423" s="2" t="s">
        <v>406</v>
      </c>
      <c r="B423" s="2" t="s">
        <v>406</v>
      </c>
      <c r="C423" s="2" t="s">
        <v>407</v>
      </c>
      <c r="D423" s="11">
        <v>45966.43472222222</v>
      </c>
      <c r="E423" s="11">
        <v>45966.43472222222</v>
      </c>
      <c r="F423" s="11">
        <v>45966.447916666664</v>
      </c>
      <c r="G423" s="12">
        <v>1.3194444443797693E-2</v>
      </c>
      <c r="H423" s="2" t="s">
        <v>248</v>
      </c>
      <c r="J423" s="2" t="s">
        <v>249</v>
      </c>
      <c r="K423" s="2" t="s">
        <v>349</v>
      </c>
      <c r="L423" s="2" t="s">
        <v>1420</v>
      </c>
      <c r="M423" t="s">
        <v>251</v>
      </c>
      <c r="N423" t="s">
        <v>330</v>
      </c>
      <c r="O423" t="s">
        <v>723</v>
      </c>
      <c r="P423" t="s">
        <v>1426</v>
      </c>
      <c r="Q423" t="s">
        <v>966</v>
      </c>
    </row>
    <row r="424" spans="1:17">
      <c r="A424" s="2" t="s">
        <v>406</v>
      </c>
      <c r="B424" s="2" t="s">
        <v>406</v>
      </c>
      <c r="C424" s="2" t="s">
        <v>409</v>
      </c>
      <c r="D424" s="11">
        <v>45966.43472222222</v>
      </c>
      <c r="E424" s="11">
        <v>45966.43472222222</v>
      </c>
      <c r="F424" s="11">
        <v>45966.447916666664</v>
      </c>
      <c r="G424" s="12">
        <v>1.3194444443797693E-2</v>
      </c>
      <c r="H424" s="2" t="s">
        <v>248</v>
      </c>
      <c r="J424" s="2" t="s">
        <v>249</v>
      </c>
      <c r="K424" s="2" t="s">
        <v>349</v>
      </c>
      <c r="L424" s="2" t="s">
        <v>1420</v>
      </c>
      <c r="M424" t="s">
        <v>251</v>
      </c>
      <c r="N424" t="s">
        <v>330</v>
      </c>
      <c r="O424" t="s">
        <v>723</v>
      </c>
      <c r="P424" t="s">
        <v>1427</v>
      </c>
      <c r="Q424" t="s">
        <v>966</v>
      </c>
    </row>
    <row r="425" spans="1:17">
      <c r="A425" s="2" t="s">
        <v>406</v>
      </c>
      <c r="B425" s="2" t="s">
        <v>406</v>
      </c>
      <c r="C425" s="2" t="s">
        <v>411</v>
      </c>
      <c r="D425" s="11">
        <v>45966.43472222222</v>
      </c>
      <c r="E425" s="11">
        <v>45966.43472222222</v>
      </c>
      <c r="F425" s="11">
        <v>45966.447916666664</v>
      </c>
      <c r="G425" s="12">
        <v>1.3194444443797693E-2</v>
      </c>
      <c r="H425" s="2" t="s">
        <v>248</v>
      </c>
      <c r="J425" s="2" t="s">
        <v>249</v>
      </c>
      <c r="K425" s="2" t="s">
        <v>349</v>
      </c>
      <c r="L425" s="2" t="s">
        <v>1420</v>
      </c>
      <c r="M425" t="s">
        <v>251</v>
      </c>
      <c r="N425" t="s">
        <v>330</v>
      </c>
      <c r="O425" t="s">
        <v>723</v>
      </c>
      <c r="P425" t="s">
        <v>1428</v>
      </c>
      <c r="Q425" t="s">
        <v>966</v>
      </c>
    </row>
    <row r="426" spans="1:17">
      <c r="A426" s="2" t="s">
        <v>406</v>
      </c>
      <c r="B426" s="2" t="s">
        <v>406</v>
      </c>
      <c r="C426" s="2" t="s">
        <v>410</v>
      </c>
      <c r="D426" s="11">
        <v>45966.43472222222</v>
      </c>
      <c r="E426" s="11">
        <v>45966.43472222222</v>
      </c>
      <c r="F426" s="11">
        <v>45966.447916666664</v>
      </c>
      <c r="G426" s="12">
        <v>1.3194444443797693E-2</v>
      </c>
      <c r="H426" s="2" t="s">
        <v>248</v>
      </c>
      <c r="J426" s="2" t="s">
        <v>249</v>
      </c>
      <c r="K426" s="2" t="s">
        <v>349</v>
      </c>
      <c r="L426" s="2" t="s">
        <v>1420</v>
      </c>
      <c r="M426" t="s">
        <v>251</v>
      </c>
      <c r="N426" t="s">
        <v>330</v>
      </c>
      <c r="O426" t="s">
        <v>723</v>
      </c>
      <c r="P426" t="s">
        <v>1429</v>
      </c>
      <c r="Q426" t="s">
        <v>966</v>
      </c>
    </row>
    <row r="427" spans="1:17">
      <c r="A427" s="2" t="s">
        <v>412</v>
      </c>
      <c r="B427" s="2" t="s">
        <v>412</v>
      </c>
      <c r="C427" s="2" t="s">
        <v>413</v>
      </c>
      <c r="D427" s="11">
        <v>45966.43472222222</v>
      </c>
      <c r="E427" s="11">
        <v>45966.43472222222</v>
      </c>
      <c r="F427" s="11">
        <v>45966.447916666664</v>
      </c>
      <c r="G427" s="12">
        <v>1.3194444443797693E-2</v>
      </c>
      <c r="H427" s="2" t="s">
        <v>248</v>
      </c>
      <c r="J427" s="2" t="s">
        <v>249</v>
      </c>
      <c r="K427" s="2" t="s">
        <v>349</v>
      </c>
      <c r="L427" s="2" t="s">
        <v>1420</v>
      </c>
      <c r="M427" t="s">
        <v>251</v>
      </c>
      <c r="N427" t="s">
        <v>330</v>
      </c>
      <c r="O427" t="s">
        <v>723</v>
      </c>
      <c r="P427" t="s">
        <v>1430</v>
      </c>
      <c r="Q427" t="s">
        <v>966</v>
      </c>
    </row>
    <row r="428" spans="1:17">
      <c r="A428" s="2" t="s">
        <v>412</v>
      </c>
      <c r="B428" s="2" t="s">
        <v>412</v>
      </c>
      <c r="C428" s="2" t="s">
        <v>415</v>
      </c>
      <c r="D428" s="11">
        <v>45966.43472222222</v>
      </c>
      <c r="E428" s="11">
        <v>45966.43472222222</v>
      </c>
      <c r="F428" s="11">
        <v>45966.447916666664</v>
      </c>
      <c r="G428" s="12">
        <v>1.3194444443797693E-2</v>
      </c>
      <c r="H428" s="2" t="s">
        <v>248</v>
      </c>
      <c r="J428" s="2" t="s">
        <v>249</v>
      </c>
      <c r="K428" s="2" t="s">
        <v>349</v>
      </c>
      <c r="L428" s="2" t="s">
        <v>1420</v>
      </c>
      <c r="M428" t="s">
        <v>251</v>
      </c>
      <c r="N428" t="s">
        <v>330</v>
      </c>
      <c r="O428" t="s">
        <v>723</v>
      </c>
      <c r="P428" t="s">
        <v>1431</v>
      </c>
      <c r="Q428" t="s">
        <v>966</v>
      </c>
    </row>
    <row r="429" spans="1:17">
      <c r="A429" s="2" t="s">
        <v>412</v>
      </c>
      <c r="B429" s="2" t="s">
        <v>412</v>
      </c>
      <c r="C429" s="2" t="s">
        <v>414</v>
      </c>
      <c r="D429" s="11">
        <v>45966.43472222222</v>
      </c>
      <c r="E429" s="11">
        <v>45966.43472222222</v>
      </c>
      <c r="F429" s="11">
        <v>45966.447916666664</v>
      </c>
      <c r="G429" s="12">
        <v>1.3194444443797693E-2</v>
      </c>
      <c r="H429" s="2" t="s">
        <v>248</v>
      </c>
      <c r="J429" s="2" t="s">
        <v>249</v>
      </c>
      <c r="K429" s="2" t="s">
        <v>349</v>
      </c>
      <c r="L429" s="2" t="s">
        <v>1420</v>
      </c>
      <c r="M429" t="s">
        <v>251</v>
      </c>
      <c r="N429" t="s">
        <v>330</v>
      </c>
      <c r="O429" t="s">
        <v>723</v>
      </c>
      <c r="P429" t="s">
        <v>1432</v>
      </c>
      <c r="Q429" t="s">
        <v>966</v>
      </c>
    </row>
    <row r="430" spans="1:17">
      <c r="A430" s="2" t="s">
        <v>416</v>
      </c>
      <c r="B430" s="2" t="s">
        <v>416</v>
      </c>
      <c r="C430" s="2" t="s">
        <v>358</v>
      </c>
      <c r="D430" s="11">
        <v>45966.43472222222</v>
      </c>
      <c r="E430" s="11">
        <v>45966.43472222222</v>
      </c>
      <c r="F430" s="11">
        <v>45966.447916666664</v>
      </c>
      <c r="G430" s="12">
        <v>1.3194444443797693E-2</v>
      </c>
      <c r="H430" s="2" t="s">
        <v>248</v>
      </c>
      <c r="J430" s="2" t="s">
        <v>249</v>
      </c>
      <c r="K430" s="2" t="s">
        <v>349</v>
      </c>
      <c r="L430" s="2" t="s">
        <v>1420</v>
      </c>
      <c r="M430" t="s">
        <v>251</v>
      </c>
      <c r="N430" t="s">
        <v>330</v>
      </c>
      <c r="O430" t="s">
        <v>723</v>
      </c>
      <c r="P430" t="s">
        <v>1433</v>
      </c>
      <c r="Q430" t="s">
        <v>966</v>
      </c>
    </row>
    <row r="431" spans="1:17">
      <c r="A431" s="2" t="s">
        <v>416</v>
      </c>
      <c r="B431" s="2" t="s">
        <v>416</v>
      </c>
      <c r="C431" s="2" t="s">
        <v>359</v>
      </c>
      <c r="D431" s="11">
        <v>45966.43472222222</v>
      </c>
      <c r="E431" s="11">
        <v>45966.43472222222</v>
      </c>
      <c r="F431" s="11">
        <v>45966.447916666664</v>
      </c>
      <c r="G431" s="12">
        <v>1.3194444443797693E-2</v>
      </c>
      <c r="H431" s="2" t="s">
        <v>248</v>
      </c>
      <c r="J431" s="2" t="s">
        <v>249</v>
      </c>
      <c r="K431" s="2" t="s">
        <v>349</v>
      </c>
      <c r="L431" s="2" t="s">
        <v>1420</v>
      </c>
      <c r="M431" t="s">
        <v>251</v>
      </c>
      <c r="N431" t="s">
        <v>330</v>
      </c>
      <c r="O431" t="s">
        <v>723</v>
      </c>
      <c r="P431" t="s">
        <v>1434</v>
      </c>
      <c r="Q431" t="s">
        <v>966</v>
      </c>
    </row>
    <row r="432" spans="1:17">
      <c r="A432" s="2" t="s">
        <v>416</v>
      </c>
      <c r="B432" s="2" t="s">
        <v>416</v>
      </c>
      <c r="C432" s="2" t="s">
        <v>386</v>
      </c>
      <c r="D432" s="11">
        <v>45966.43472222222</v>
      </c>
      <c r="E432" s="11">
        <v>45966.43472222222</v>
      </c>
      <c r="F432" s="11">
        <v>45966.447916666664</v>
      </c>
      <c r="G432" s="12">
        <v>1.3194444443797693E-2</v>
      </c>
      <c r="H432" s="2" t="s">
        <v>248</v>
      </c>
      <c r="J432" s="2" t="s">
        <v>249</v>
      </c>
      <c r="K432" s="2" t="s">
        <v>349</v>
      </c>
      <c r="L432" s="2" t="s">
        <v>1420</v>
      </c>
      <c r="M432" t="s">
        <v>251</v>
      </c>
      <c r="N432" t="s">
        <v>330</v>
      </c>
      <c r="O432" t="s">
        <v>723</v>
      </c>
      <c r="P432" t="s">
        <v>1435</v>
      </c>
      <c r="Q432" t="s">
        <v>966</v>
      </c>
    </row>
    <row r="433" spans="1:17">
      <c r="A433" s="2" t="s">
        <v>416</v>
      </c>
      <c r="B433" s="2" t="s">
        <v>416</v>
      </c>
      <c r="C433" s="2" t="s">
        <v>417</v>
      </c>
      <c r="D433" s="11">
        <v>45966.43472222222</v>
      </c>
      <c r="E433" s="11">
        <v>45966.43472222222</v>
      </c>
      <c r="F433" s="11">
        <v>45966.447916666664</v>
      </c>
      <c r="G433" s="12">
        <v>1.3194444443797693E-2</v>
      </c>
      <c r="H433" s="2" t="s">
        <v>248</v>
      </c>
      <c r="J433" s="2" t="s">
        <v>249</v>
      </c>
      <c r="K433" s="2" t="s">
        <v>349</v>
      </c>
      <c r="L433" s="2" t="s">
        <v>1420</v>
      </c>
      <c r="M433" t="s">
        <v>251</v>
      </c>
      <c r="N433" t="s">
        <v>330</v>
      </c>
      <c r="O433" t="s">
        <v>723</v>
      </c>
      <c r="P433" t="s">
        <v>1436</v>
      </c>
      <c r="Q433" t="s">
        <v>966</v>
      </c>
    </row>
    <row r="434" spans="1:17">
      <c r="A434" s="2" t="s">
        <v>416</v>
      </c>
      <c r="B434" s="2" t="s">
        <v>416</v>
      </c>
      <c r="C434" s="2" t="s">
        <v>418</v>
      </c>
      <c r="D434" s="11">
        <v>45966.43472222222</v>
      </c>
      <c r="E434" s="11">
        <v>45966.43472222222</v>
      </c>
      <c r="F434" s="11">
        <v>45966.447916666664</v>
      </c>
      <c r="G434" s="12">
        <v>1.3194444443797693E-2</v>
      </c>
      <c r="H434" s="2" t="s">
        <v>248</v>
      </c>
      <c r="J434" s="2" t="s">
        <v>249</v>
      </c>
      <c r="K434" s="2" t="s">
        <v>349</v>
      </c>
      <c r="L434" s="2" t="s">
        <v>1420</v>
      </c>
      <c r="M434" t="s">
        <v>251</v>
      </c>
      <c r="N434" t="s">
        <v>330</v>
      </c>
      <c r="O434" t="s">
        <v>723</v>
      </c>
      <c r="P434" t="s">
        <v>1437</v>
      </c>
      <c r="Q434" t="s">
        <v>966</v>
      </c>
    </row>
    <row r="435" spans="1:17">
      <c r="A435" s="2" t="s">
        <v>419</v>
      </c>
      <c r="B435" s="2" t="s">
        <v>419</v>
      </c>
      <c r="C435" s="2" t="s">
        <v>407</v>
      </c>
      <c r="D435" s="11">
        <v>45966.43472222222</v>
      </c>
      <c r="E435" s="11">
        <v>45966.43472222222</v>
      </c>
      <c r="F435" s="11">
        <v>45966.447916666664</v>
      </c>
      <c r="G435" s="12">
        <v>1.3194444443797693E-2</v>
      </c>
      <c r="H435" s="2" t="s">
        <v>248</v>
      </c>
      <c r="J435" s="2" t="s">
        <v>249</v>
      </c>
      <c r="K435" s="2" t="s">
        <v>349</v>
      </c>
      <c r="L435" s="2" t="s">
        <v>1420</v>
      </c>
      <c r="M435" t="s">
        <v>251</v>
      </c>
      <c r="N435" t="s">
        <v>330</v>
      </c>
      <c r="O435" t="s">
        <v>723</v>
      </c>
      <c r="P435" t="s">
        <v>1438</v>
      </c>
      <c r="Q435" t="s">
        <v>966</v>
      </c>
    </row>
    <row r="436" spans="1:17">
      <c r="A436" s="2" t="s">
        <v>419</v>
      </c>
      <c r="B436" s="2" t="s">
        <v>419</v>
      </c>
      <c r="C436" s="2" t="s">
        <v>408</v>
      </c>
      <c r="D436" s="11">
        <v>45966.43472222222</v>
      </c>
      <c r="E436" s="11">
        <v>45966.43472222222</v>
      </c>
      <c r="F436" s="11">
        <v>45966.447916666664</v>
      </c>
      <c r="G436" s="12">
        <v>1.3194444443797693E-2</v>
      </c>
      <c r="H436" s="2" t="s">
        <v>248</v>
      </c>
      <c r="J436" s="2" t="s">
        <v>249</v>
      </c>
      <c r="K436" s="2" t="s">
        <v>349</v>
      </c>
      <c r="L436" s="2" t="s">
        <v>1420</v>
      </c>
      <c r="M436" t="s">
        <v>251</v>
      </c>
      <c r="N436" t="s">
        <v>330</v>
      </c>
      <c r="O436" t="s">
        <v>723</v>
      </c>
      <c r="P436" t="s">
        <v>1439</v>
      </c>
      <c r="Q436" t="s">
        <v>966</v>
      </c>
    </row>
    <row r="437" spans="1:17">
      <c r="A437" s="2" t="s">
        <v>419</v>
      </c>
      <c r="B437" s="2" t="s">
        <v>419</v>
      </c>
      <c r="C437" s="2" t="s">
        <v>409</v>
      </c>
      <c r="D437" s="11">
        <v>45966.43472222222</v>
      </c>
      <c r="E437" s="11">
        <v>45966.43472222222</v>
      </c>
      <c r="F437" s="11">
        <v>45966.447916666664</v>
      </c>
      <c r="G437" s="12">
        <v>1.3194444443797693E-2</v>
      </c>
      <c r="H437" s="2" t="s">
        <v>248</v>
      </c>
      <c r="J437" s="2" t="s">
        <v>249</v>
      </c>
      <c r="K437" s="2" t="s">
        <v>349</v>
      </c>
      <c r="L437" s="2" t="s">
        <v>1420</v>
      </c>
      <c r="M437" t="s">
        <v>251</v>
      </c>
      <c r="N437" t="s">
        <v>330</v>
      </c>
      <c r="O437" t="s">
        <v>723</v>
      </c>
      <c r="P437" t="s">
        <v>1440</v>
      </c>
      <c r="Q437" t="s">
        <v>966</v>
      </c>
    </row>
    <row r="438" spans="1:17">
      <c r="A438" s="2" t="s">
        <v>419</v>
      </c>
      <c r="B438" s="2" t="s">
        <v>419</v>
      </c>
      <c r="C438" s="2" t="s">
        <v>410</v>
      </c>
      <c r="D438" s="11">
        <v>45966.43472222222</v>
      </c>
      <c r="E438" s="11">
        <v>45966.43472222222</v>
      </c>
      <c r="F438" s="11">
        <v>45966.447916666664</v>
      </c>
      <c r="G438" s="12">
        <v>1.3194444443797693E-2</v>
      </c>
      <c r="H438" s="2" t="s">
        <v>248</v>
      </c>
      <c r="J438" s="2" t="s">
        <v>249</v>
      </c>
      <c r="K438" s="2" t="s">
        <v>349</v>
      </c>
      <c r="L438" s="2" t="s">
        <v>1420</v>
      </c>
      <c r="M438" t="s">
        <v>251</v>
      </c>
      <c r="N438" t="s">
        <v>330</v>
      </c>
      <c r="O438" t="s">
        <v>723</v>
      </c>
      <c r="P438" t="s">
        <v>1441</v>
      </c>
      <c r="Q438" t="s">
        <v>966</v>
      </c>
    </row>
    <row r="439" spans="1:17">
      <c r="A439" s="2" t="s">
        <v>419</v>
      </c>
      <c r="B439" s="2" t="s">
        <v>419</v>
      </c>
      <c r="C439" s="2" t="s">
        <v>411</v>
      </c>
      <c r="D439" s="11">
        <v>45966.43472222222</v>
      </c>
      <c r="E439" s="11">
        <v>45966.43472222222</v>
      </c>
      <c r="F439" s="11">
        <v>45966.447916666664</v>
      </c>
      <c r="G439" s="12">
        <v>1.3194444443797693E-2</v>
      </c>
      <c r="H439" s="2" t="s">
        <v>248</v>
      </c>
      <c r="J439" s="2" t="s">
        <v>249</v>
      </c>
      <c r="K439" s="2" t="s">
        <v>349</v>
      </c>
      <c r="L439" s="2" t="s">
        <v>1420</v>
      </c>
      <c r="M439" t="s">
        <v>251</v>
      </c>
      <c r="N439" t="s">
        <v>330</v>
      </c>
      <c r="O439" t="s">
        <v>723</v>
      </c>
      <c r="P439" t="s">
        <v>1442</v>
      </c>
      <c r="Q439" t="s">
        <v>966</v>
      </c>
    </row>
    <row r="440" spans="1:17">
      <c r="A440" s="2" t="s">
        <v>420</v>
      </c>
      <c r="B440" s="2" t="s">
        <v>420</v>
      </c>
      <c r="C440" s="2" t="s">
        <v>413</v>
      </c>
      <c r="D440" s="11">
        <v>45966.43472222222</v>
      </c>
      <c r="E440" s="11">
        <v>45966.43472222222</v>
      </c>
      <c r="F440" s="11">
        <v>45966.447916666664</v>
      </c>
      <c r="G440" s="12">
        <v>1.3194444443797693E-2</v>
      </c>
      <c r="H440" s="2" t="s">
        <v>248</v>
      </c>
      <c r="J440" s="2" t="s">
        <v>249</v>
      </c>
      <c r="K440" s="2" t="s">
        <v>349</v>
      </c>
      <c r="L440" s="2" t="s">
        <v>1420</v>
      </c>
      <c r="M440" t="s">
        <v>251</v>
      </c>
      <c r="N440" t="s">
        <v>330</v>
      </c>
      <c r="O440" t="s">
        <v>723</v>
      </c>
      <c r="P440" t="s">
        <v>1443</v>
      </c>
      <c r="Q440" t="s">
        <v>966</v>
      </c>
    </row>
    <row r="441" spans="1:17">
      <c r="A441" s="2" t="s">
        <v>420</v>
      </c>
      <c r="B441" s="2" t="s">
        <v>420</v>
      </c>
      <c r="C441" s="2" t="s">
        <v>414</v>
      </c>
      <c r="D441" s="11">
        <v>45966.43472222222</v>
      </c>
      <c r="E441" s="11">
        <v>45966.43472222222</v>
      </c>
      <c r="F441" s="11">
        <v>45966.447916666664</v>
      </c>
      <c r="G441" s="12">
        <v>1.3194444443797693E-2</v>
      </c>
      <c r="H441" s="2" t="s">
        <v>248</v>
      </c>
      <c r="J441" s="2" t="s">
        <v>249</v>
      </c>
      <c r="K441" s="2" t="s">
        <v>349</v>
      </c>
      <c r="L441" s="2" t="s">
        <v>1420</v>
      </c>
      <c r="M441" t="s">
        <v>251</v>
      </c>
      <c r="N441" t="s">
        <v>330</v>
      </c>
      <c r="O441" t="s">
        <v>723</v>
      </c>
      <c r="P441" t="s">
        <v>1444</v>
      </c>
      <c r="Q441" t="s">
        <v>966</v>
      </c>
    </row>
    <row r="442" spans="1:17">
      <c r="A442" s="2" t="s">
        <v>420</v>
      </c>
      <c r="B442" s="2" t="s">
        <v>420</v>
      </c>
      <c r="C442" s="2" t="s">
        <v>415</v>
      </c>
      <c r="D442" s="11">
        <v>45966.43472222222</v>
      </c>
      <c r="E442" s="11">
        <v>45966.43472222222</v>
      </c>
      <c r="F442" s="11">
        <v>45966.447916666664</v>
      </c>
      <c r="G442" s="12">
        <v>1.3194444443797693E-2</v>
      </c>
      <c r="H442" s="2" t="s">
        <v>248</v>
      </c>
      <c r="J442" s="2" t="s">
        <v>249</v>
      </c>
      <c r="K442" s="2" t="s">
        <v>349</v>
      </c>
      <c r="L442" s="2" t="s">
        <v>1420</v>
      </c>
      <c r="M442" t="s">
        <v>251</v>
      </c>
      <c r="N442" t="s">
        <v>330</v>
      </c>
      <c r="O442" t="s">
        <v>723</v>
      </c>
      <c r="P442" t="s">
        <v>1445</v>
      </c>
      <c r="Q442" t="s">
        <v>966</v>
      </c>
    </row>
    <row r="443" spans="1:17">
      <c r="A443" s="2" t="s">
        <v>1446</v>
      </c>
      <c r="B443" s="2" t="s">
        <v>508</v>
      </c>
      <c r="C443" s="2" t="s">
        <v>509</v>
      </c>
      <c r="D443" s="11">
        <v>45966.625</v>
      </c>
      <c r="E443" s="11">
        <v>45966.625</v>
      </c>
      <c r="F443" s="11">
        <v>45966.708333333336</v>
      </c>
      <c r="G443" s="12">
        <v>8.3333333335758653E-2</v>
      </c>
      <c r="H443" s="2" t="s">
        <v>248</v>
      </c>
      <c r="J443" s="2" t="s">
        <v>249</v>
      </c>
      <c r="K443" s="2" t="s">
        <v>349</v>
      </c>
      <c r="L443" s="2" t="s">
        <v>1447</v>
      </c>
      <c r="M443" t="s">
        <v>251</v>
      </c>
      <c r="N443" t="s">
        <v>330</v>
      </c>
      <c r="O443" t="s">
        <v>723</v>
      </c>
      <c r="P443" t="s">
        <v>1448</v>
      </c>
      <c r="Q443" t="s">
        <v>966</v>
      </c>
    </row>
    <row r="444" spans="1:17">
      <c r="A444" s="2" t="s">
        <v>1446</v>
      </c>
      <c r="B444" s="2" t="s">
        <v>508</v>
      </c>
      <c r="C444" s="2" t="s">
        <v>511</v>
      </c>
      <c r="D444" s="11">
        <v>45966.625</v>
      </c>
      <c r="E444" s="11">
        <v>45966.625</v>
      </c>
      <c r="F444" s="11">
        <v>45966.708333333336</v>
      </c>
      <c r="G444" s="12">
        <v>8.3333333335758653E-2</v>
      </c>
      <c r="H444" s="2" t="s">
        <v>248</v>
      </c>
      <c r="J444" s="2" t="s">
        <v>249</v>
      </c>
      <c r="K444" s="2" t="s">
        <v>349</v>
      </c>
      <c r="L444" s="2" t="s">
        <v>1447</v>
      </c>
      <c r="M444" t="s">
        <v>251</v>
      </c>
      <c r="N444" t="s">
        <v>330</v>
      </c>
      <c r="O444" t="s">
        <v>723</v>
      </c>
      <c r="P444" t="s">
        <v>1449</v>
      </c>
      <c r="Q444" t="s">
        <v>966</v>
      </c>
    </row>
    <row r="445" spans="1:17">
      <c r="A445" s="2" t="s">
        <v>1446</v>
      </c>
      <c r="B445" s="2" t="s">
        <v>508</v>
      </c>
      <c r="C445" s="2" t="s">
        <v>512</v>
      </c>
      <c r="D445" s="11">
        <v>45966.625</v>
      </c>
      <c r="E445" s="11">
        <v>45966.625</v>
      </c>
      <c r="F445" s="11">
        <v>45966.708333333336</v>
      </c>
      <c r="G445" s="12">
        <v>8.3333333335758653E-2</v>
      </c>
      <c r="H445" s="2" t="s">
        <v>248</v>
      </c>
      <c r="J445" s="2" t="s">
        <v>249</v>
      </c>
      <c r="K445" s="2" t="s">
        <v>349</v>
      </c>
      <c r="L445" s="2" t="s">
        <v>1447</v>
      </c>
      <c r="M445" t="s">
        <v>251</v>
      </c>
      <c r="N445" t="s">
        <v>330</v>
      </c>
      <c r="O445" t="s">
        <v>723</v>
      </c>
      <c r="P445" t="s">
        <v>1450</v>
      </c>
      <c r="Q445" t="s">
        <v>966</v>
      </c>
    </row>
    <row r="446" spans="1:17">
      <c r="A446" s="2" t="s">
        <v>1446</v>
      </c>
      <c r="B446" s="2" t="s">
        <v>508</v>
      </c>
      <c r="C446" s="2" t="s">
        <v>513</v>
      </c>
      <c r="D446" s="11">
        <v>45966.625</v>
      </c>
      <c r="E446" s="11">
        <v>45966.625</v>
      </c>
      <c r="F446" s="11">
        <v>45966.708333333336</v>
      </c>
      <c r="G446" s="12">
        <v>8.3333333335758653E-2</v>
      </c>
      <c r="H446" s="2" t="s">
        <v>248</v>
      </c>
      <c r="J446" s="2" t="s">
        <v>249</v>
      </c>
      <c r="K446" s="2" t="s">
        <v>349</v>
      </c>
      <c r="L446" s="2" t="s">
        <v>1447</v>
      </c>
      <c r="M446" t="s">
        <v>251</v>
      </c>
      <c r="N446" t="s">
        <v>330</v>
      </c>
      <c r="O446" t="s">
        <v>723</v>
      </c>
      <c r="P446" t="s">
        <v>1451</v>
      </c>
      <c r="Q446" t="s">
        <v>966</v>
      </c>
    </row>
    <row r="447" spans="1:17">
      <c r="A447" s="2" t="s">
        <v>1446</v>
      </c>
      <c r="B447" s="2" t="s">
        <v>508</v>
      </c>
      <c r="C447" s="2" t="s">
        <v>514</v>
      </c>
      <c r="D447" s="11">
        <v>45966.625</v>
      </c>
      <c r="E447" s="11">
        <v>45966.625</v>
      </c>
      <c r="F447" s="11">
        <v>45966.708333333336</v>
      </c>
      <c r="G447" s="12">
        <v>8.3333333335758653E-2</v>
      </c>
      <c r="H447" s="2" t="s">
        <v>248</v>
      </c>
      <c r="J447" s="2" t="s">
        <v>249</v>
      </c>
      <c r="K447" s="2" t="s">
        <v>349</v>
      </c>
      <c r="L447" s="2" t="s">
        <v>1447</v>
      </c>
      <c r="M447" t="s">
        <v>251</v>
      </c>
      <c r="N447" t="s">
        <v>330</v>
      </c>
      <c r="O447" t="s">
        <v>723</v>
      </c>
      <c r="P447" t="s">
        <v>1452</v>
      </c>
      <c r="Q447" t="s">
        <v>966</v>
      </c>
    </row>
    <row r="448" spans="1:17">
      <c r="A448" s="2" t="s">
        <v>1446</v>
      </c>
      <c r="B448" s="2" t="s">
        <v>508</v>
      </c>
      <c r="C448" s="2" t="s">
        <v>515</v>
      </c>
      <c r="D448" s="11">
        <v>45966.625</v>
      </c>
      <c r="E448" s="11">
        <v>45966.625</v>
      </c>
      <c r="F448" s="11">
        <v>45966.708333333336</v>
      </c>
      <c r="G448" s="12">
        <v>8.3333333335758653E-2</v>
      </c>
      <c r="H448" s="2" t="s">
        <v>248</v>
      </c>
      <c r="J448" s="2" t="s">
        <v>249</v>
      </c>
      <c r="K448" s="2" t="s">
        <v>349</v>
      </c>
      <c r="L448" s="2" t="s">
        <v>1447</v>
      </c>
      <c r="M448" t="s">
        <v>251</v>
      </c>
      <c r="N448" t="s">
        <v>330</v>
      </c>
      <c r="O448" t="s">
        <v>723</v>
      </c>
      <c r="P448" t="s">
        <v>1453</v>
      </c>
      <c r="Q448" t="s">
        <v>966</v>
      </c>
    </row>
    <row r="449" spans="1:17">
      <c r="A449" s="2" t="s">
        <v>1446</v>
      </c>
      <c r="B449" s="2" t="s">
        <v>508</v>
      </c>
      <c r="C449" s="2" t="s">
        <v>516</v>
      </c>
      <c r="D449" s="11">
        <v>45966.625</v>
      </c>
      <c r="E449" s="11">
        <v>45966.625</v>
      </c>
      <c r="F449" s="11">
        <v>45966.708333333336</v>
      </c>
      <c r="G449" s="12">
        <v>8.3333333335758653E-2</v>
      </c>
      <c r="H449" s="2" t="s">
        <v>248</v>
      </c>
      <c r="J449" s="2" t="s">
        <v>249</v>
      </c>
      <c r="K449" s="2" t="s">
        <v>349</v>
      </c>
      <c r="L449" s="2" t="s">
        <v>1447</v>
      </c>
      <c r="M449" t="s">
        <v>251</v>
      </c>
      <c r="N449" t="s">
        <v>330</v>
      </c>
      <c r="O449" t="s">
        <v>723</v>
      </c>
      <c r="P449" t="s">
        <v>1454</v>
      </c>
      <c r="Q449" t="s">
        <v>966</v>
      </c>
    </row>
    <row r="450" spans="1:17">
      <c r="A450" s="2" t="s">
        <v>1446</v>
      </c>
      <c r="B450" s="2" t="s">
        <v>508</v>
      </c>
      <c r="C450" s="2" t="s">
        <v>517</v>
      </c>
      <c r="D450" s="11">
        <v>45966.625</v>
      </c>
      <c r="E450" s="11">
        <v>45966.625</v>
      </c>
      <c r="F450" s="11">
        <v>45966.708333333336</v>
      </c>
      <c r="G450" s="12">
        <v>8.3333333335758653E-2</v>
      </c>
      <c r="H450" s="2" t="s">
        <v>248</v>
      </c>
      <c r="J450" s="2" t="s">
        <v>249</v>
      </c>
      <c r="K450" s="2" t="s">
        <v>349</v>
      </c>
      <c r="L450" s="2" t="s">
        <v>1447</v>
      </c>
      <c r="M450" t="s">
        <v>251</v>
      </c>
      <c r="N450" t="s">
        <v>330</v>
      </c>
      <c r="O450" t="s">
        <v>723</v>
      </c>
      <c r="P450" t="s">
        <v>1455</v>
      </c>
      <c r="Q450" t="s">
        <v>966</v>
      </c>
    </row>
    <row r="451" spans="1:17">
      <c r="A451" s="2" t="s">
        <v>1446</v>
      </c>
      <c r="B451" s="2" t="s">
        <v>508</v>
      </c>
      <c r="C451" s="2" t="s">
        <v>518</v>
      </c>
      <c r="D451" s="11">
        <v>45966.625</v>
      </c>
      <c r="E451" s="11">
        <v>45966.625</v>
      </c>
      <c r="F451" s="11">
        <v>45966.708333333336</v>
      </c>
      <c r="G451" s="12">
        <v>8.3333333335758653E-2</v>
      </c>
      <c r="H451" s="2" t="s">
        <v>248</v>
      </c>
      <c r="J451" s="2" t="s">
        <v>249</v>
      </c>
      <c r="K451" s="2" t="s">
        <v>349</v>
      </c>
      <c r="L451" s="2" t="s">
        <v>1447</v>
      </c>
      <c r="M451" t="s">
        <v>251</v>
      </c>
      <c r="N451" t="s">
        <v>330</v>
      </c>
      <c r="O451" t="s">
        <v>723</v>
      </c>
      <c r="P451" t="s">
        <v>1456</v>
      </c>
      <c r="Q451" t="s">
        <v>966</v>
      </c>
    </row>
    <row r="452" spans="1:17">
      <c r="A452" s="2" t="s">
        <v>1457</v>
      </c>
      <c r="B452" s="2" t="s">
        <v>508</v>
      </c>
      <c r="C452" s="2" t="s">
        <v>519</v>
      </c>
      <c r="D452" s="11">
        <v>45966.625</v>
      </c>
      <c r="E452" s="11">
        <v>45966.625</v>
      </c>
      <c r="F452" s="11">
        <v>45966.708333333336</v>
      </c>
      <c r="G452" s="12">
        <v>8.3333333335758653E-2</v>
      </c>
      <c r="H452" s="2" t="s">
        <v>248</v>
      </c>
      <c r="J452" s="2" t="s">
        <v>249</v>
      </c>
      <c r="K452" s="2" t="s">
        <v>349</v>
      </c>
      <c r="L452" s="2" t="s">
        <v>1447</v>
      </c>
      <c r="M452" t="s">
        <v>251</v>
      </c>
      <c r="N452" t="s">
        <v>330</v>
      </c>
      <c r="O452" t="s">
        <v>723</v>
      </c>
      <c r="P452" t="s">
        <v>1458</v>
      </c>
      <c r="Q452" t="s">
        <v>966</v>
      </c>
    </row>
    <row r="453" spans="1:17">
      <c r="A453" s="2" t="s">
        <v>1457</v>
      </c>
      <c r="B453" s="2" t="s">
        <v>508</v>
      </c>
      <c r="C453" s="2" t="s">
        <v>520</v>
      </c>
      <c r="D453" s="11">
        <v>45966.625</v>
      </c>
      <c r="E453" s="11">
        <v>45966.625</v>
      </c>
      <c r="F453" s="11">
        <v>45966.708333333336</v>
      </c>
      <c r="G453" s="12">
        <v>8.3333333335758653E-2</v>
      </c>
      <c r="H453" s="2" t="s">
        <v>248</v>
      </c>
      <c r="J453" s="2" t="s">
        <v>249</v>
      </c>
      <c r="K453" s="2" t="s">
        <v>349</v>
      </c>
      <c r="L453" s="2" t="s">
        <v>1447</v>
      </c>
      <c r="M453" t="s">
        <v>251</v>
      </c>
      <c r="N453" t="s">
        <v>330</v>
      </c>
      <c r="O453" t="s">
        <v>723</v>
      </c>
      <c r="P453" t="s">
        <v>1459</v>
      </c>
      <c r="Q453" t="s">
        <v>966</v>
      </c>
    </row>
    <row r="454" spans="1:17">
      <c r="A454" s="2" t="s">
        <v>1457</v>
      </c>
      <c r="B454" s="2" t="s">
        <v>508</v>
      </c>
      <c r="C454" s="2" t="s">
        <v>521</v>
      </c>
      <c r="D454" s="11">
        <v>45966.625</v>
      </c>
      <c r="E454" s="11">
        <v>45966.625</v>
      </c>
      <c r="F454" s="11">
        <v>45966.708333333336</v>
      </c>
      <c r="G454" s="12">
        <v>8.3333333335758653E-2</v>
      </c>
      <c r="H454" s="2" t="s">
        <v>248</v>
      </c>
      <c r="J454" s="2" t="s">
        <v>249</v>
      </c>
      <c r="K454" s="2" t="s">
        <v>349</v>
      </c>
      <c r="L454" s="2" t="s">
        <v>1447</v>
      </c>
      <c r="M454" t="s">
        <v>251</v>
      </c>
      <c r="N454" t="s">
        <v>330</v>
      </c>
      <c r="O454" t="s">
        <v>723</v>
      </c>
      <c r="P454" t="s">
        <v>1460</v>
      </c>
      <c r="Q454" t="s">
        <v>966</v>
      </c>
    </row>
    <row r="455" spans="1:17">
      <c r="A455" s="2" t="s">
        <v>1457</v>
      </c>
      <c r="B455" s="2" t="s">
        <v>508</v>
      </c>
      <c r="C455" s="2" t="s">
        <v>522</v>
      </c>
      <c r="D455" s="11">
        <v>45966.625</v>
      </c>
      <c r="E455" s="11">
        <v>45966.625</v>
      </c>
      <c r="F455" s="11">
        <v>45966.708333333336</v>
      </c>
      <c r="G455" s="12">
        <v>8.3333333335758653E-2</v>
      </c>
      <c r="H455" s="2" t="s">
        <v>248</v>
      </c>
      <c r="J455" s="2" t="s">
        <v>249</v>
      </c>
      <c r="K455" s="2" t="s">
        <v>349</v>
      </c>
      <c r="L455" s="2" t="s">
        <v>1447</v>
      </c>
      <c r="M455" t="s">
        <v>251</v>
      </c>
      <c r="N455" t="s">
        <v>330</v>
      </c>
      <c r="O455" t="s">
        <v>723</v>
      </c>
      <c r="P455" t="s">
        <v>1461</v>
      </c>
      <c r="Q455" t="s">
        <v>966</v>
      </c>
    </row>
    <row r="456" spans="1:17">
      <c r="A456" s="2" t="s">
        <v>1457</v>
      </c>
      <c r="B456" s="2" t="s">
        <v>508</v>
      </c>
      <c r="C456" s="2" t="s">
        <v>523</v>
      </c>
      <c r="D456" s="11">
        <v>45966.625</v>
      </c>
      <c r="E456" s="11">
        <v>45966.625</v>
      </c>
      <c r="F456" s="11">
        <v>45966.708333333336</v>
      </c>
      <c r="G456" s="12">
        <v>8.3333333335758653E-2</v>
      </c>
      <c r="H456" s="2" t="s">
        <v>248</v>
      </c>
      <c r="J456" s="2" t="s">
        <v>249</v>
      </c>
      <c r="K456" s="2" t="s">
        <v>349</v>
      </c>
      <c r="L456" s="2" t="s">
        <v>1447</v>
      </c>
      <c r="M456" t="s">
        <v>251</v>
      </c>
      <c r="N456" t="s">
        <v>330</v>
      </c>
      <c r="O456" t="s">
        <v>723</v>
      </c>
      <c r="P456" t="s">
        <v>1462</v>
      </c>
      <c r="Q456" t="s">
        <v>966</v>
      </c>
    </row>
    <row r="457" spans="1:17">
      <c r="A457" s="2" t="s">
        <v>1463</v>
      </c>
      <c r="B457" s="2" t="s">
        <v>508</v>
      </c>
      <c r="C457" s="2" t="s">
        <v>524</v>
      </c>
      <c r="D457" s="11">
        <v>45966.625</v>
      </c>
      <c r="E457" s="11">
        <v>45966.625</v>
      </c>
      <c r="F457" s="11">
        <v>45966.708333333336</v>
      </c>
      <c r="G457" s="12">
        <v>8.3333333335758653E-2</v>
      </c>
      <c r="H457" s="2" t="s">
        <v>248</v>
      </c>
      <c r="J457" s="2" t="s">
        <v>249</v>
      </c>
      <c r="K457" s="2" t="s">
        <v>349</v>
      </c>
      <c r="L457" s="2" t="s">
        <v>1447</v>
      </c>
      <c r="M457" t="s">
        <v>251</v>
      </c>
      <c r="N457" t="s">
        <v>330</v>
      </c>
      <c r="O457" t="s">
        <v>723</v>
      </c>
      <c r="P457" t="s">
        <v>1464</v>
      </c>
      <c r="Q457" t="s">
        <v>966</v>
      </c>
    </row>
    <row r="458" spans="1:17">
      <c r="A458" s="2" t="s">
        <v>1463</v>
      </c>
      <c r="B458" s="2" t="s">
        <v>508</v>
      </c>
      <c r="C458" s="2" t="s">
        <v>525</v>
      </c>
      <c r="D458" s="11">
        <v>45966.625</v>
      </c>
      <c r="E458" s="11">
        <v>45966.625</v>
      </c>
      <c r="F458" s="11">
        <v>45966.708333333336</v>
      </c>
      <c r="G458" s="12">
        <v>8.3333333335758653E-2</v>
      </c>
      <c r="H458" s="2" t="s">
        <v>248</v>
      </c>
      <c r="J458" s="2" t="s">
        <v>249</v>
      </c>
      <c r="K458" s="2" t="s">
        <v>349</v>
      </c>
      <c r="L458" s="2" t="s">
        <v>1447</v>
      </c>
      <c r="M458" t="s">
        <v>251</v>
      </c>
      <c r="N458" t="s">
        <v>330</v>
      </c>
      <c r="O458" t="s">
        <v>723</v>
      </c>
      <c r="P458" t="s">
        <v>1465</v>
      </c>
      <c r="Q458" t="s">
        <v>966</v>
      </c>
    </row>
    <row r="459" spans="1:17">
      <c r="A459" s="2" t="s">
        <v>1463</v>
      </c>
      <c r="B459" s="2" t="s">
        <v>508</v>
      </c>
      <c r="C459" s="2" t="s">
        <v>526</v>
      </c>
      <c r="D459" s="11">
        <v>45966.625</v>
      </c>
      <c r="E459" s="11">
        <v>45966.625</v>
      </c>
      <c r="F459" s="11">
        <v>45966.708333333336</v>
      </c>
      <c r="G459" s="12">
        <v>8.3333333335758653E-2</v>
      </c>
      <c r="H459" s="2" t="s">
        <v>248</v>
      </c>
      <c r="J459" s="2" t="s">
        <v>249</v>
      </c>
      <c r="K459" s="2" t="s">
        <v>349</v>
      </c>
      <c r="L459" s="2" t="s">
        <v>1447</v>
      </c>
      <c r="M459" t="s">
        <v>251</v>
      </c>
      <c r="N459" t="s">
        <v>330</v>
      </c>
      <c r="O459" t="s">
        <v>723</v>
      </c>
      <c r="P459" t="s">
        <v>1466</v>
      </c>
      <c r="Q459" t="s">
        <v>966</v>
      </c>
    </row>
    <row r="460" spans="1:17">
      <c r="A460" s="2" t="s">
        <v>1463</v>
      </c>
      <c r="B460" s="2" t="s">
        <v>508</v>
      </c>
      <c r="C460" s="2" t="s">
        <v>527</v>
      </c>
      <c r="D460" s="11">
        <v>45966.625</v>
      </c>
      <c r="E460" s="11">
        <v>45966.625</v>
      </c>
      <c r="F460" s="11">
        <v>45966.708333333336</v>
      </c>
      <c r="G460" s="12">
        <v>8.3333333335758653E-2</v>
      </c>
      <c r="H460" s="2" t="s">
        <v>248</v>
      </c>
      <c r="J460" s="2" t="s">
        <v>249</v>
      </c>
      <c r="K460" s="2" t="s">
        <v>349</v>
      </c>
      <c r="L460" s="2" t="s">
        <v>1447</v>
      </c>
      <c r="M460" t="s">
        <v>251</v>
      </c>
      <c r="N460" t="s">
        <v>330</v>
      </c>
      <c r="O460" t="s">
        <v>723</v>
      </c>
      <c r="P460" t="s">
        <v>1467</v>
      </c>
      <c r="Q460" t="s">
        <v>966</v>
      </c>
    </row>
    <row r="461" spans="1:17">
      <c r="A461" s="2" t="s">
        <v>1463</v>
      </c>
      <c r="B461" s="2" t="s">
        <v>508</v>
      </c>
      <c r="C461" s="2" t="s">
        <v>528</v>
      </c>
      <c r="D461" s="11">
        <v>45966.625</v>
      </c>
      <c r="E461" s="11">
        <v>45966.625</v>
      </c>
      <c r="F461" s="11">
        <v>45966.708333333336</v>
      </c>
      <c r="G461" s="12">
        <v>8.3333333335758653E-2</v>
      </c>
      <c r="H461" s="2" t="s">
        <v>248</v>
      </c>
      <c r="J461" s="2" t="s">
        <v>249</v>
      </c>
      <c r="K461" s="2" t="s">
        <v>349</v>
      </c>
      <c r="L461" s="2" t="s">
        <v>1447</v>
      </c>
      <c r="M461" t="s">
        <v>251</v>
      </c>
      <c r="N461" t="s">
        <v>330</v>
      </c>
      <c r="O461" t="s">
        <v>723</v>
      </c>
      <c r="P461" t="s">
        <v>1468</v>
      </c>
      <c r="Q461" t="s">
        <v>966</v>
      </c>
    </row>
    <row r="462" spans="1:17">
      <c r="A462" s="2" t="s">
        <v>1463</v>
      </c>
      <c r="B462" s="2" t="s">
        <v>508</v>
      </c>
      <c r="C462" s="2" t="s">
        <v>529</v>
      </c>
      <c r="D462" s="11">
        <v>45966.625</v>
      </c>
      <c r="E462" s="11">
        <v>45966.625</v>
      </c>
      <c r="F462" s="11">
        <v>45966.708333333336</v>
      </c>
      <c r="G462" s="12">
        <v>8.3333333335758653E-2</v>
      </c>
      <c r="H462" s="2" t="s">
        <v>248</v>
      </c>
      <c r="J462" s="2" t="s">
        <v>249</v>
      </c>
      <c r="K462" s="2" t="s">
        <v>349</v>
      </c>
      <c r="L462" s="2" t="s">
        <v>1447</v>
      </c>
      <c r="M462" t="s">
        <v>251</v>
      </c>
      <c r="N462" t="s">
        <v>330</v>
      </c>
      <c r="O462" t="s">
        <v>723</v>
      </c>
      <c r="P462" t="s">
        <v>1469</v>
      </c>
      <c r="Q462" t="s">
        <v>966</v>
      </c>
    </row>
    <row r="463" spans="1:17">
      <c r="A463" s="2" t="s">
        <v>1470</v>
      </c>
      <c r="B463" s="2" t="s">
        <v>508</v>
      </c>
      <c r="C463" s="2" t="s">
        <v>530</v>
      </c>
      <c r="D463" s="11">
        <v>45966.625</v>
      </c>
      <c r="E463" s="11">
        <v>45966.625</v>
      </c>
      <c r="F463" s="11">
        <v>45966.708333333336</v>
      </c>
      <c r="G463" s="12">
        <v>8.3333333335758653E-2</v>
      </c>
      <c r="H463" s="2" t="s">
        <v>248</v>
      </c>
      <c r="J463" s="2" t="s">
        <v>249</v>
      </c>
      <c r="K463" s="2" t="s">
        <v>349</v>
      </c>
      <c r="L463" s="2" t="s">
        <v>1447</v>
      </c>
      <c r="M463" t="s">
        <v>251</v>
      </c>
      <c r="N463" t="s">
        <v>330</v>
      </c>
      <c r="O463" t="s">
        <v>723</v>
      </c>
      <c r="P463" t="s">
        <v>1471</v>
      </c>
      <c r="Q463" t="s">
        <v>966</v>
      </c>
    </row>
    <row r="464" spans="1:17">
      <c r="A464" s="2" t="s">
        <v>1470</v>
      </c>
      <c r="B464" s="2" t="s">
        <v>508</v>
      </c>
      <c r="C464" s="2" t="s">
        <v>531</v>
      </c>
      <c r="D464" s="11">
        <v>45966.625</v>
      </c>
      <c r="E464" s="11">
        <v>45966.625</v>
      </c>
      <c r="F464" s="11">
        <v>45966.708333333336</v>
      </c>
      <c r="G464" s="12">
        <v>8.3333333335758653E-2</v>
      </c>
      <c r="H464" s="2" t="s">
        <v>248</v>
      </c>
      <c r="J464" s="2" t="s">
        <v>249</v>
      </c>
      <c r="K464" s="2" t="s">
        <v>349</v>
      </c>
      <c r="L464" s="2" t="s">
        <v>1447</v>
      </c>
      <c r="M464" t="s">
        <v>251</v>
      </c>
      <c r="N464" t="s">
        <v>330</v>
      </c>
      <c r="O464" t="s">
        <v>723</v>
      </c>
      <c r="P464" t="s">
        <v>1472</v>
      </c>
      <c r="Q464" t="s">
        <v>966</v>
      </c>
    </row>
    <row r="465" spans="1:17">
      <c r="A465" s="2" t="s">
        <v>1470</v>
      </c>
      <c r="B465" s="2" t="s">
        <v>508</v>
      </c>
      <c r="C465" s="2" t="s">
        <v>532</v>
      </c>
      <c r="D465" s="11">
        <v>45966.625</v>
      </c>
      <c r="E465" s="11">
        <v>45966.625</v>
      </c>
      <c r="F465" s="11">
        <v>45966.708333333336</v>
      </c>
      <c r="G465" s="12">
        <v>8.3333333335758653E-2</v>
      </c>
      <c r="H465" s="2" t="s">
        <v>248</v>
      </c>
      <c r="J465" s="2" t="s">
        <v>249</v>
      </c>
      <c r="K465" s="2" t="s">
        <v>349</v>
      </c>
      <c r="L465" s="2" t="s">
        <v>1447</v>
      </c>
      <c r="M465" t="s">
        <v>251</v>
      </c>
      <c r="N465" t="s">
        <v>330</v>
      </c>
      <c r="O465" t="s">
        <v>723</v>
      </c>
      <c r="P465" t="s">
        <v>1473</v>
      </c>
      <c r="Q465" t="s">
        <v>966</v>
      </c>
    </row>
    <row r="466" spans="1:17">
      <c r="A466" s="2" t="s">
        <v>1470</v>
      </c>
      <c r="B466" s="2" t="s">
        <v>508</v>
      </c>
      <c r="C466" s="2" t="s">
        <v>533</v>
      </c>
      <c r="D466" s="11">
        <v>45966.625</v>
      </c>
      <c r="E466" s="11">
        <v>45966.625</v>
      </c>
      <c r="F466" s="11">
        <v>45966.708333333336</v>
      </c>
      <c r="G466" s="12">
        <v>8.3333333335758653E-2</v>
      </c>
      <c r="H466" s="2" t="s">
        <v>248</v>
      </c>
      <c r="J466" s="2" t="s">
        <v>249</v>
      </c>
      <c r="K466" s="2" t="s">
        <v>349</v>
      </c>
      <c r="L466" s="2" t="s">
        <v>1447</v>
      </c>
      <c r="M466" t="s">
        <v>251</v>
      </c>
      <c r="N466" t="s">
        <v>330</v>
      </c>
      <c r="O466" t="s">
        <v>723</v>
      </c>
      <c r="P466" t="s">
        <v>1474</v>
      </c>
      <c r="Q466" t="s">
        <v>966</v>
      </c>
    </row>
    <row r="467" spans="1:17">
      <c r="A467" s="2" t="s">
        <v>1470</v>
      </c>
      <c r="B467" s="2" t="s">
        <v>508</v>
      </c>
      <c r="C467" s="2" t="s">
        <v>534</v>
      </c>
      <c r="D467" s="11">
        <v>45966.625</v>
      </c>
      <c r="E467" s="11">
        <v>45966.625</v>
      </c>
      <c r="F467" s="11">
        <v>45966.708333333336</v>
      </c>
      <c r="G467" s="12">
        <v>8.3333333335758653E-2</v>
      </c>
      <c r="H467" s="2" t="s">
        <v>248</v>
      </c>
      <c r="J467" s="2" t="s">
        <v>249</v>
      </c>
      <c r="K467" s="2" t="s">
        <v>349</v>
      </c>
      <c r="L467" s="2" t="s">
        <v>1447</v>
      </c>
      <c r="M467" t="s">
        <v>251</v>
      </c>
      <c r="N467" t="s">
        <v>330</v>
      </c>
      <c r="O467" t="s">
        <v>723</v>
      </c>
      <c r="P467" t="s">
        <v>1475</v>
      </c>
      <c r="Q467" t="s">
        <v>966</v>
      </c>
    </row>
    <row r="468" spans="1:17">
      <c r="A468" s="2" t="s">
        <v>1470</v>
      </c>
      <c r="B468" s="2" t="s">
        <v>508</v>
      </c>
      <c r="C468" s="2" t="s">
        <v>535</v>
      </c>
      <c r="D468" s="11">
        <v>45966.625</v>
      </c>
      <c r="E468" s="11">
        <v>45966.625</v>
      </c>
      <c r="F468" s="11">
        <v>45966.708333333336</v>
      </c>
      <c r="G468" s="12">
        <v>8.3333333335758653E-2</v>
      </c>
      <c r="H468" s="2" t="s">
        <v>248</v>
      </c>
      <c r="J468" s="2" t="s">
        <v>249</v>
      </c>
      <c r="K468" s="2" t="s">
        <v>349</v>
      </c>
      <c r="L468" s="2" t="s">
        <v>1447</v>
      </c>
      <c r="M468" t="s">
        <v>251</v>
      </c>
      <c r="N468" t="s">
        <v>330</v>
      </c>
      <c r="O468" t="s">
        <v>723</v>
      </c>
      <c r="P468" t="s">
        <v>1476</v>
      </c>
      <c r="Q468" t="s">
        <v>966</v>
      </c>
    </row>
    <row r="469" spans="1:17">
      <c r="A469" s="2" t="s">
        <v>1477</v>
      </c>
      <c r="B469" s="2" t="s">
        <v>508</v>
      </c>
      <c r="C469" s="2" t="s">
        <v>536</v>
      </c>
      <c r="D469" s="11">
        <v>45966.625</v>
      </c>
      <c r="E469" s="11">
        <v>45966.625</v>
      </c>
      <c r="F469" s="11">
        <v>45966.708333333336</v>
      </c>
      <c r="G469" s="12">
        <v>8.3333333335758653E-2</v>
      </c>
      <c r="H469" s="2" t="s">
        <v>248</v>
      </c>
      <c r="J469" s="2" t="s">
        <v>249</v>
      </c>
      <c r="K469" s="2" t="s">
        <v>349</v>
      </c>
      <c r="L469" s="2" t="s">
        <v>1447</v>
      </c>
      <c r="M469" t="s">
        <v>251</v>
      </c>
      <c r="N469" t="s">
        <v>330</v>
      </c>
      <c r="O469" t="s">
        <v>723</v>
      </c>
      <c r="P469" t="s">
        <v>1478</v>
      </c>
      <c r="Q469" t="s">
        <v>966</v>
      </c>
    </row>
    <row r="470" spans="1:17">
      <c r="A470" s="2" t="s">
        <v>1477</v>
      </c>
      <c r="B470" s="2" t="s">
        <v>508</v>
      </c>
      <c r="C470" s="2" t="s">
        <v>537</v>
      </c>
      <c r="D470" s="11">
        <v>45966.625</v>
      </c>
      <c r="E470" s="11">
        <v>45966.625</v>
      </c>
      <c r="F470" s="11">
        <v>45966.708333333336</v>
      </c>
      <c r="G470" s="12">
        <v>8.3333333335758653E-2</v>
      </c>
      <c r="H470" s="2" t="s">
        <v>248</v>
      </c>
      <c r="J470" s="2" t="s">
        <v>249</v>
      </c>
      <c r="K470" s="2" t="s">
        <v>349</v>
      </c>
      <c r="L470" s="2" t="s">
        <v>1447</v>
      </c>
      <c r="M470" t="s">
        <v>251</v>
      </c>
      <c r="N470" t="s">
        <v>330</v>
      </c>
      <c r="O470" t="s">
        <v>723</v>
      </c>
      <c r="P470" t="s">
        <v>1479</v>
      </c>
      <c r="Q470" t="s">
        <v>966</v>
      </c>
    </row>
    <row r="471" spans="1:17">
      <c r="A471" s="2" t="s">
        <v>1477</v>
      </c>
      <c r="B471" s="2" t="s">
        <v>508</v>
      </c>
      <c r="C471" s="2" t="s">
        <v>538</v>
      </c>
      <c r="D471" s="11">
        <v>45966.625</v>
      </c>
      <c r="E471" s="11">
        <v>45966.625</v>
      </c>
      <c r="F471" s="11">
        <v>45966.708333333336</v>
      </c>
      <c r="G471" s="12">
        <v>8.3333333335758653E-2</v>
      </c>
      <c r="H471" s="2" t="s">
        <v>248</v>
      </c>
      <c r="J471" s="2" t="s">
        <v>249</v>
      </c>
      <c r="K471" s="2" t="s">
        <v>349</v>
      </c>
      <c r="L471" s="2" t="s">
        <v>1447</v>
      </c>
      <c r="M471" t="s">
        <v>251</v>
      </c>
      <c r="N471" t="s">
        <v>330</v>
      </c>
      <c r="O471" t="s">
        <v>723</v>
      </c>
      <c r="P471" t="s">
        <v>1480</v>
      </c>
      <c r="Q471" t="s">
        <v>966</v>
      </c>
    </row>
    <row r="472" spans="1:17">
      <c r="A472" s="2" t="s">
        <v>1481</v>
      </c>
      <c r="B472" s="2" t="s">
        <v>508</v>
      </c>
      <c r="C472" s="2" t="s">
        <v>539</v>
      </c>
      <c r="D472" s="11">
        <v>45966.625</v>
      </c>
      <c r="E472" s="11">
        <v>45966.625</v>
      </c>
      <c r="F472" s="11">
        <v>45966.708333333336</v>
      </c>
      <c r="G472" s="12">
        <v>8.3333333335758653E-2</v>
      </c>
      <c r="H472" s="2" t="s">
        <v>248</v>
      </c>
      <c r="J472" s="2" t="s">
        <v>249</v>
      </c>
      <c r="K472" s="2" t="s">
        <v>349</v>
      </c>
      <c r="L472" s="2" t="s">
        <v>1447</v>
      </c>
      <c r="M472" t="s">
        <v>251</v>
      </c>
      <c r="N472" t="s">
        <v>330</v>
      </c>
      <c r="O472" t="s">
        <v>723</v>
      </c>
      <c r="P472" t="s">
        <v>1482</v>
      </c>
      <c r="Q472" t="s">
        <v>966</v>
      </c>
    </row>
    <row r="473" spans="1:17">
      <c r="A473" s="2" t="s">
        <v>1481</v>
      </c>
      <c r="B473" s="2" t="s">
        <v>508</v>
      </c>
      <c r="C473" s="2" t="s">
        <v>540</v>
      </c>
      <c r="D473" s="11">
        <v>45966.625</v>
      </c>
      <c r="E473" s="11">
        <v>45966.625</v>
      </c>
      <c r="F473" s="11">
        <v>45966.708333333336</v>
      </c>
      <c r="G473" s="12">
        <v>8.3333333335758653E-2</v>
      </c>
      <c r="H473" s="2" t="s">
        <v>248</v>
      </c>
      <c r="J473" s="2" t="s">
        <v>249</v>
      </c>
      <c r="K473" s="2" t="s">
        <v>349</v>
      </c>
      <c r="L473" s="2" t="s">
        <v>1447</v>
      </c>
      <c r="M473" t="s">
        <v>251</v>
      </c>
      <c r="N473" t="s">
        <v>330</v>
      </c>
      <c r="O473" t="s">
        <v>723</v>
      </c>
      <c r="P473" t="s">
        <v>1483</v>
      </c>
      <c r="Q473" t="s">
        <v>966</v>
      </c>
    </row>
    <row r="474" spans="1:17">
      <c r="A474" s="2" t="s">
        <v>1481</v>
      </c>
      <c r="B474" s="2" t="s">
        <v>508</v>
      </c>
      <c r="C474" s="2" t="s">
        <v>541</v>
      </c>
      <c r="D474" s="11">
        <v>45966.625</v>
      </c>
      <c r="E474" s="11">
        <v>45966.625</v>
      </c>
      <c r="F474" s="11">
        <v>45966.708333333336</v>
      </c>
      <c r="G474" s="12">
        <v>8.3333333335758653E-2</v>
      </c>
      <c r="H474" s="2" t="s">
        <v>248</v>
      </c>
      <c r="J474" s="2" t="s">
        <v>249</v>
      </c>
      <c r="K474" s="2" t="s">
        <v>349</v>
      </c>
      <c r="L474" s="2" t="s">
        <v>1447</v>
      </c>
      <c r="M474" t="s">
        <v>251</v>
      </c>
      <c r="N474" t="s">
        <v>330</v>
      </c>
      <c r="O474" t="s">
        <v>723</v>
      </c>
      <c r="P474" t="s">
        <v>1484</v>
      </c>
      <c r="Q474" t="s">
        <v>966</v>
      </c>
    </row>
    <row r="475" spans="1:17">
      <c r="A475" s="2" t="s">
        <v>1485</v>
      </c>
      <c r="B475" s="2" t="s">
        <v>508</v>
      </c>
      <c r="C475" s="2" t="s">
        <v>542</v>
      </c>
      <c r="D475" s="11">
        <v>45966.625</v>
      </c>
      <c r="E475" s="11">
        <v>45966.625</v>
      </c>
      <c r="F475" s="11">
        <v>45966.708333333336</v>
      </c>
      <c r="G475" s="12">
        <v>8.3333333335758653E-2</v>
      </c>
      <c r="H475" s="2" t="s">
        <v>248</v>
      </c>
      <c r="J475" s="2" t="s">
        <v>249</v>
      </c>
      <c r="K475" s="2" t="s">
        <v>349</v>
      </c>
      <c r="L475" s="2" t="s">
        <v>1447</v>
      </c>
      <c r="M475" t="s">
        <v>251</v>
      </c>
      <c r="N475" t="s">
        <v>330</v>
      </c>
      <c r="O475" t="s">
        <v>723</v>
      </c>
      <c r="P475" t="s">
        <v>1486</v>
      </c>
      <c r="Q475" t="s">
        <v>966</v>
      </c>
    </row>
    <row r="476" spans="1:17">
      <c r="A476" s="2" t="s">
        <v>1485</v>
      </c>
      <c r="B476" s="2" t="s">
        <v>508</v>
      </c>
      <c r="C476" s="2" t="s">
        <v>543</v>
      </c>
      <c r="D476" s="11">
        <v>45966.625</v>
      </c>
      <c r="E476" s="11">
        <v>45966.625</v>
      </c>
      <c r="F476" s="11">
        <v>45966.708333333336</v>
      </c>
      <c r="G476" s="12">
        <v>8.3333333335758653E-2</v>
      </c>
      <c r="H476" s="2" t="s">
        <v>248</v>
      </c>
      <c r="J476" s="2" t="s">
        <v>249</v>
      </c>
      <c r="K476" s="2" t="s">
        <v>349</v>
      </c>
      <c r="L476" s="2" t="s">
        <v>1447</v>
      </c>
      <c r="M476" t="s">
        <v>251</v>
      </c>
      <c r="N476" t="s">
        <v>330</v>
      </c>
      <c r="O476" t="s">
        <v>723</v>
      </c>
      <c r="P476" t="s">
        <v>1487</v>
      </c>
      <c r="Q476" t="s">
        <v>966</v>
      </c>
    </row>
    <row r="477" spans="1:17">
      <c r="A477" s="2" t="s">
        <v>1485</v>
      </c>
      <c r="B477" s="2" t="s">
        <v>508</v>
      </c>
      <c r="C477" s="2" t="s">
        <v>544</v>
      </c>
      <c r="D477" s="11">
        <v>45966.625</v>
      </c>
      <c r="E477" s="11">
        <v>45966.625</v>
      </c>
      <c r="F477" s="11">
        <v>45966.708333333336</v>
      </c>
      <c r="G477" s="12">
        <v>8.3333333335758653E-2</v>
      </c>
      <c r="H477" s="2" t="s">
        <v>248</v>
      </c>
      <c r="J477" s="2" t="s">
        <v>249</v>
      </c>
      <c r="K477" s="2" t="s">
        <v>349</v>
      </c>
      <c r="L477" s="2" t="s">
        <v>1447</v>
      </c>
      <c r="M477" t="s">
        <v>251</v>
      </c>
      <c r="N477" t="s">
        <v>330</v>
      </c>
      <c r="O477" t="s">
        <v>723</v>
      </c>
      <c r="P477" t="s">
        <v>1488</v>
      </c>
      <c r="Q477" t="s">
        <v>966</v>
      </c>
    </row>
    <row r="478" spans="1:17">
      <c r="A478" s="2" t="s">
        <v>1485</v>
      </c>
      <c r="B478" s="2" t="s">
        <v>508</v>
      </c>
      <c r="C478" s="2" t="s">
        <v>545</v>
      </c>
      <c r="D478" s="11">
        <v>45966.625</v>
      </c>
      <c r="E478" s="11">
        <v>45966.625</v>
      </c>
      <c r="F478" s="11">
        <v>45966.708333333336</v>
      </c>
      <c r="G478" s="12">
        <v>8.3333333335758653E-2</v>
      </c>
      <c r="H478" s="2" t="s">
        <v>248</v>
      </c>
      <c r="J478" s="2" t="s">
        <v>249</v>
      </c>
      <c r="K478" s="2" t="s">
        <v>349</v>
      </c>
      <c r="L478" s="2" t="s">
        <v>1447</v>
      </c>
      <c r="M478" t="s">
        <v>251</v>
      </c>
      <c r="N478" t="s">
        <v>330</v>
      </c>
      <c r="O478" t="s">
        <v>723</v>
      </c>
      <c r="P478" t="s">
        <v>1489</v>
      </c>
      <c r="Q478" t="s">
        <v>966</v>
      </c>
    </row>
    <row r="479" spans="1:17">
      <c r="A479" s="2" t="s">
        <v>1485</v>
      </c>
      <c r="B479" s="2" t="s">
        <v>508</v>
      </c>
      <c r="C479" s="2" t="s">
        <v>546</v>
      </c>
      <c r="D479" s="11">
        <v>45966.625</v>
      </c>
      <c r="E479" s="11">
        <v>45966.625</v>
      </c>
      <c r="F479" s="11">
        <v>45966.708333333336</v>
      </c>
      <c r="G479" s="12">
        <v>8.3333333335758653E-2</v>
      </c>
      <c r="H479" s="2" t="s">
        <v>248</v>
      </c>
      <c r="J479" s="2" t="s">
        <v>249</v>
      </c>
      <c r="K479" s="2" t="s">
        <v>349</v>
      </c>
      <c r="L479" s="2" t="s">
        <v>1447</v>
      </c>
      <c r="M479" t="s">
        <v>251</v>
      </c>
      <c r="N479" t="s">
        <v>330</v>
      </c>
      <c r="O479" t="s">
        <v>723</v>
      </c>
      <c r="P479" t="s">
        <v>1490</v>
      </c>
      <c r="Q479" t="s">
        <v>966</v>
      </c>
    </row>
    <row r="480" spans="1:17">
      <c r="A480" s="2" t="s">
        <v>1485</v>
      </c>
      <c r="B480" s="2" t="s">
        <v>508</v>
      </c>
      <c r="C480" s="2" t="s">
        <v>547</v>
      </c>
      <c r="D480" s="11">
        <v>45966.625</v>
      </c>
      <c r="E480" s="11">
        <v>45966.625</v>
      </c>
      <c r="F480" s="11">
        <v>45966.708333333336</v>
      </c>
      <c r="G480" s="12">
        <v>8.3333333335758653E-2</v>
      </c>
      <c r="H480" s="2" t="s">
        <v>248</v>
      </c>
      <c r="J480" s="2" t="s">
        <v>249</v>
      </c>
      <c r="K480" s="2" t="s">
        <v>349</v>
      </c>
      <c r="L480" s="2" t="s">
        <v>1447</v>
      </c>
      <c r="M480" t="s">
        <v>251</v>
      </c>
      <c r="N480" t="s">
        <v>330</v>
      </c>
      <c r="O480" t="s">
        <v>723</v>
      </c>
      <c r="P480" t="s">
        <v>1491</v>
      </c>
      <c r="Q480" t="s">
        <v>966</v>
      </c>
    </row>
    <row r="481" spans="1:17">
      <c r="A481" s="2" t="s">
        <v>1492</v>
      </c>
      <c r="B481" s="2" t="s">
        <v>508</v>
      </c>
      <c r="C481" s="2" t="s">
        <v>548</v>
      </c>
      <c r="D481" s="11">
        <v>45966.625</v>
      </c>
      <c r="E481" s="11">
        <v>45966.625</v>
      </c>
      <c r="F481" s="11">
        <v>45966.708333333336</v>
      </c>
      <c r="G481" s="12">
        <v>8.3333333335758653E-2</v>
      </c>
      <c r="H481" s="2" t="s">
        <v>248</v>
      </c>
      <c r="J481" s="2" t="s">
        <v>249</v>
      </c>
      <c r="K481" s="2" t="s">
        <v>349</v>
      </c>
      <c r="L481" s="2" t="s">
        <v>1447</v>
      </c>
      <c r="M481" t="s">
        <v>251</v>
      </c>
      <c r="N481" t="s">
        <v>330</v>
      </c>
      <c r="O481" t="s">
        <v>723</v>
      </c>
      <c r="P481" t="s">
        <v>1493</v>
      </c>
      <c r="Q481" t="s">
        <v>966</v>
      </c>
    </row>
    <row r="482" spans="1:17">
      <c r="A482" s="2" t="s">
        <v>1492</v>
      </c>
      <c r="B482" s="2" t="s">
        <v>508</v>
      </c>
      <c r="C482" s="2" t="s">
        <v>549</v>
      </c>
      <c r="D482" s="11">
        <v>45966.625</v>
      </c>
      <c r="E482" s="11">
        <v>45966.625</v>
      </c>
      <c r="F482" s="11">
        <v>45966.708333333336</v>
      </c>
      <c r="G482" s="12">
        <v>8.3333333335758653E-2</v>
      </c>
      <c r="H482" s="2" t="s">
        <v>248</v>
      </c>
      <c r="J482" s="2" t="s">
        <v>249</v>
      </c>
      <c r="K482" s="2" t="s">
        <v>349</v>
      </c>
      <c r="L482" s="2" t="s">
        <v>1447</v>
      </c>
      <c r="M482" t="s">
        <v>251</v>
      </c>
      <c r="N482" t="s">
        <v>330</v>
      </c>
      <c r="O482" t="s">
        <v>723</v>
      </c>
      <c r="P482" t="s">
        <v>1494</v>
      </c>
      <c r="Q482" t="s">
        <v>966</v>
      </c>
    </row>
    <row r="483" spans="1:17">
      <c r="A483" s="2" t="s">
        <v>1492</v>
      </c>
      <c r="B483" s="2" t="s">
        <v>508</v>
      </c>
      <c r="C483" s="2" t="s">
        <v>550</v>
      </c>
      <c r="D483" s="11">
        <v>45966.625</v>
      </c>
      <c r="E483" s="11">
        <v>45966.625</v>
      </c>
      <c r="F483" s="11">
        <v>45966.708333333336</v>
      </c>
      <c r="G483" s="12">
        <v>8.3333333335758653E-2</v>
      </c>
      <c r="H483" s="2" t="s">
        <v>248</v>
      </c>
      <c r="J483" s="2" t="s">
        <v>249</v>
      </c>
      <c r="K483" s="2" t="s">
        <v>349</v>
      </c>
      <c r="L483" s="2" t="s">
        <v>1447</v>
      </c>
      <c r="M483" t="s">
        <v>251</v>
      </c>
      <c r="N483" t="s">
        <v>330</v>
      </c>
      <c r="O483" t="s">
        <v>723</v>
      </c>
      <c r="P483" t="s">
        <v>1495</v>
      </c>
      <c r="Q483" t="s">
        <v>966</v>
      </c>
    </row>
    <row r="484" spans="1:17">
      <c r="A484" s="2" t="s">
        <v>846</v>
      </c>
      <c r="B484" s="2" t="s">
        <v>602</v>
      </c>
      <c r="C484" s="2" t="s">
        <v>1221</v>
      </c>
      <c r="D484" s="11">
        <v>45967.263182870367</v>
      </c>
      <c r="E484" s="11">
        <v>45967.263182870367</v>
      </c>
      <c r="F484" s="11">
        <v>45967.270127314812</v>
      </c>
      <c r="G484" s="12">
        <v>6.9444444452528842E-3</v>
      </c>
      <c r="H484" s="2" t="s">
        <v>248</v>
      </c>
      <c r="J484" s="2" t="s">
        <v>300</v>
      </c>
      <c r="K484" s="2" t="s">
        <v>350</v>
      </c>
      <c r="L484" s="2" t="s">
        <v>1222</v>
      </c>
      <c r="M484" t="s">
        <v>375</v>
      </c>
      <c r="N484" t="s">
        <v>828</v>
      </c>
      <c r="P484" t="s">
        <v>1496</v>
      </c>
      <c r="Q484" t="s">
        <v>1224</v>
      </c>
    </row>
    <row r="485" spans="1:17">
      <c r="A485" s="2" t="s">
        <v>846</v>
      </c>
      <c r="B485" s="2" t="s">
        <v>602</v>
      </c>
      <c r="C485" s="2" t="s">
        <v>1303</v>
      </c>
      <c r="D485" s="11">
        <v>45967.263483796298</v>
      </c>
      <c r="E485" s="11">
        <v>45967.263483796298</v>
      </c>
      <c r="F485" s="11">
        <v>45967.299074074072</v>
      </c>
      <c r="G485" s="12">
        <v>3.5590277773735579E-2</v>
      </c>
      <c r="H485" s="2" t="s">
        <v>248</v>
      </c>
      <c r="J485" s="2" t="s">
        <v>300</v>
      </c>
      <c r="K485" s="2" t="s">
        <v>350</v>
      </c>
      <c r="L485" s="2" t="s">
        <v>1222</v>
      </c>
      <c r="M485" t="s">
        <v>375</v>
      </c>
      <c r="N485" t="s">
        <v>828</v>
      </c>
      <c r="P485" t="s">
        <v>1497</v>
      </c>
      <c r="Q485" t="s">
        <v>1224</v>
      </c>
    </row>
    <row r="486" spans="1:17">
      <c r="A486" s="2" t="s">
        <v>1113</v>
      </c>
      <c r="B486" s="2" t="s">
        <v>850</v>
      </c>
      <c r="C486" s="2" t="s">
        <v>851</v>
      </c>
      <c r="D486" s="11">
        <v>45967.268055555556</v>
      </c>
      <c r="E486" s="11">
        <v>45967.268055555556</v>
      </c>
      <c r="F486" s="11">
        <v>45972.232638888891</v>
      </c>
      <c r="G486" s="12">
        <v>4.9645833333343035</v>
      </c>
      <c r="H486" s="2" t="s">
        <v>336</v>
      </c>
      <c r="J486" s="2" t="s">
        <v>249</v>
      </c>
      <c r="K486" s="2" t="s">
        <v>349</v>
      </c>
      <c r="L486" s="2" t="s">
        <v>1498</v>
      </c>
      <c r="M486" t="s">
        <v>251</v>
      </c>
      <c r="N486" t="s">
        <v>330</v>
      </c>
      <c r="O486" t="s">
        <v>1499</v>
      </c>
      <c r="P486" t="s">
        <v>1500</v>
      </c>
      <c r="Q486" t="s">
        <v>1501</v>
      </c>
    </row>
    <row r="487" spans="1:17">
      <c r="A487" s="2" t="s">
        <v>823</v>
      </c>
      <c r="B487" s="2" t="s">
        <v>850</v>
      </c>
      <c r="C487" s="2" t="s">
        <v>824</v>
      </c>
      <c r="D487" s="11">
        <v>45967.268055555556</v>
      </c>
      <c r="E487" s="11">
        <v>45967.268055555556</v>
      </c>
      <c r="F487" s="11">
        <v>45972.232638888891</v>
      </c>
      <c r="G487" s="12">
        <v>4.9645833333343035</v>
      </c>
      <c r="H487" s="2" t="s">
        <v>336</v>
      </c>
      <c r="J487" s="2" t="s">
        <v>249</v>
      </c>
      <c r="K487" s="2" t="s">
        <v>349</v>
      </c>
      <c r="L487" s="2" t="s">
        <v>1498</v>
      </c>
      <c r="M487" t="s">
        <v>251</v>
      </c>
      <c r="N487" t="s">
        <v>330</v>
      </c>
      <c r="O487" t="s">
        <v>1499</v>
      </c>
      <c r="P487" t="s">
        <v>1502</v>
      </c>
      <c r="Q487" t="s">
        <v>1501</v>
      </c>
    </row>
    <row r="488" spans="1:17">
      <c r="A488" s="2" t="s">
        <v>1116</v>
      </c>
      <c r="B488" s="2" t="s">
        <v>850</v>
      </c>
      <c r="C488" s="2" t="s">
        <v>853</v>
      </c>
      <c r="D488" s="11">
        <v>45967.268055555556</v>
      </c>
      <c r="E488" s="11">
        <v>45967.268055555556</v>
      </c>
      <c r="F488" s="11">
        <v>45972.232638888891</v>
      </c>
      <c r="G488" s="12">
        <v>4.9645833333343035</v>
      </c>
      <c r="H488" s="2" t="s">
        <v>336</v>
      </c>
      <c r="J488" s="2" t="s">
        <v>249</v>
      </c>
      <c r="K488" s="2" t="s">
        <v>349</v>
      </c>
      <c r="L488" s="2" t="s">
        <v>1498</v>
      </c>
      <c r="M488" t="s">
        <v>251</v>
      </c>
      <c r="N488" t="s">
        <v>330</v>
      </c>
      <c r="O488" t="s">
        <v>1499</v>
      </c>
      <c r="P488" t="s">
        <v>1503</v>
      </c>
      <c r="Q488" t="s">
        <v>1501</v>
      </c>
    </row>
    <row r="489" spans="1:17">
      <c r="A489" s="2" t="s">
        <v>780</v>
      </c>
      <c r="B489" s="2" t="s">
        <v>268</v>
      </c>
      <c r="C489" s="2" t="s">
        <v>269</v>
      </c>
      <c r="D489" s="11">
        <v>45967.272222222222</v>
      </c>
      <c r="E489" s="11">
        <v>45967.272222222222</v>
      </c>
      <c r="F489" s="11">
        <v>45967.302083333336</v>
      </c>
      <c r="G489" s="12">
        <v>2.9861111113859806E-2</v>
      </c>
      <c r="H489" s="2" t="s">
        <v>248</v>
      </c>
      <c r="J489" s="2" t="s">
        <v>249</v>
      </c>
      <c r="K489" s="2" t="s">
        <v>349</v>
      </c>
      <c r="L489" s="2" t="s">
        <v>1504</v>
      </c>
      <c r="M489" t="s">
        <v>251</v>
      </c>
      <c r="N489" t="s">
        <v>330</v>
      </c>
      <c r="O489" t="s">
        <v>331</v>
      </c>
      <c r="P489" t="s">
        <v>1505</v>
      </c>
      <c r="Q489" t="s">
        <v>966</v>
      </c>
    </row>
    <row r="490" spans="1:17">
      <c r="A490" s="2" t="s">
        <v>780</v>
      </c>
      <c r="B490" s="2" t="s">
        <v>268</v>
      </c>
      <c r="C490" s="2" t="s">
        <v>270</v>
      </c>
      <c r="D490" s="11">
        <v>45967.272222222222</v>
      </c>
      <c r="E490" s="11">
        <v>45967.272222222222</v>
      </c>
      <c r="F490" s="11">
        <v>45967.302083333336</v>
      </c>
      <c r="G490" s="12">
        <v>2.9861111113859806E-2</v>
      </c>
      <c r="H490" s="2" t="s">
        <v>248</v>
      </c>
      <c r="J490" s="2" t="s">
        <v>249</v>
      </c>
      <c r="K490" s="2" t="s">
        <v>349</v>
      </c>
      <c r="L490" s="2" t="s">
        <v>1504</v>
      </c>
      <c r="M490" t="s">
        <v>251</v>
      </c>
      <c r="N490" t="s">
        <v>330</v>
      </c>
      <c r="O490" t="s">
        <v>331</v>
      </c>
      <c r="P490" t="s">
        <v>1506</v>
      </c>
      <c r="Q490" t="s">
        <v>966</v>
      </c>
    </row>
    <row r="491" spans="1:17">
      <c r="A491" s="2" t="s">
        <v>780</v>
      </c>
      <c r="B491" s="2" t="s">
        <v>268</v>
      </c>
      <c r="C491" s="2" t="s">
        <v>271</v>
      </c>
      <c r="D491" s="11">
        <v>45967.272222222222</v>
      </c>
      <c r="E491" s="11">
        <v>45967.272222222222</v>
      </c>
      <c r="F491" s="11">
        <v>45967.302083333336</v>
      </c>
      <c r="G491" s="12">
        <v>2.9861111113859806E-2</v>
      </c>
      <c r="H491" s="2" t="s">
        <v>248</v>
      </c>
      <c r="J491" s="2" t="s">
        <v>249</v>
      </c>
      <c r="K491" s="2" t="s">
        <v>349</v>
      </c>
      <c r="L491" s="2" t="s">
        <v>1504</v>
      </c>
      <c r="M491" t="s">
        <v>251</v>
      </c>
      <c r="N491" t="s">
        <v>330</v>
      </c>
      <c r="O491" t="s">
        <v>331</v>
      </c>
      <c r="P491" t="s">
        <v>1507</v>
      </c>
      <c r="Q491" t="s">
        <v>966</v>
      </c>
    </row>
    <row r="492" spans="1:17">
      <c r="A492" s="2" t="s">
        <v>780</v>
      </c>
      <c r="B492" s="2" t="s">
        <v>268</v>
      </c>
      <c r="C492" s="2" t="s">
        <v>272</v>
      </c>
      <c r="D492" s="11">
        <v>45967.272222222222</v>
      </c>
      <c r="E492" s="11">
        <v>45967.272222222222</v>
      </c>
      <c r="F492" s="11">
        <v>45967.302083333336</v>
      </c>
      <c r="G492" s="12">
        <v>2.9861111113859806E-2</v>
      </c>
      <c r="H492" s="2" t="s">
        <v>248</v>
      </c>
      <c r="J492" s="2" t="s">
        <v>249</v>
      </c>
      <c r="K492" s="2" t="s">
        <v>349</v>
      </c>
      <c r="L492" s="2" t="s">
        <v>1504</v>
      </c>
      <c r="M492" t="s">
        <v>251</v>
      </c>
      <c r="N492" t="s">
        <v>330</v>
      </c>
      <c r="O492" t="s">
        <v>331</v>
      </c>
      <c r="P492" t="s">
        <v>1508</v>
      </c>
      <c r="Q492" t="s">
        <v>966</v>
      </c>
    </row>
    <row r="493" spans="1:17">
      <c r="A493" s="2" t="s">
        <v>780</v>
      </c>
      <c r="B493" s="2" t="s">
        <v>268</v>
      </c>
      <c r="C493" s="2" t="s">
        <v>273</v>
      </c>
      <c r="D493" s="11">
        <v>45967.272222222222</v>
      </c>
      <c r="E493" s="11">
        <v>45967.272222222222</v>
      </c>
      <c r="F493" s="11">
        <v>45967.302083333336</v>
      </c>
      <c r="G493" s="12">
        <v>2.9861111113859806E-2</v>
      </c>
      <c r="H493" s="2" t="s">
        <v>248</v>
      </c>
      <c r="J493" s="2" t="s">
        <v>249</v>
      </c>
      <c r="K493" s="2" t="s">
        <v>349</v>
      </c>
      <c r="L493" s="2" t="s">
        <v>1504</v>
      </c>
      <c r="M493" t="s">
        <v>251</v>
      </c>
      <c r="N493" t="s">
        <v>330</v>
      </c>
      <c r="O493" t="s">
        <v>331</v>
      </c>
      <c r="P493" t="s">
        <v>1509</v>
      </c>
      <c r="Q493" t="s">
        <v>966</v>
      </c>
    </row>
    <row r="494" spans="1:17">
      <c r="A494" s="2" t="s">
        <v>780</v>
      </c>
      <c r="B494" s="2" t="s">
        <v>268</v>
      </c>
      <c r="C494" s="2" t="s">
        <v>274</v>
      </c>
      <c r="D494" s="11">
        <v>45967.272222222222</v>
      </c>
      <c r="E494" s="11">
        <v>45967.272222222222</v>
      </c>
      <c r="F494" s="11">
        <v>45967.302083333336</v>
      </c>
      <c r="G494" s="12">
        <v>2.9861111113859806E-2</v>
      </c>
      <c r="H494" s="2" t="s">
        <v>248</v>
      </c>
      <c r="J494" s="2" t="s">
        <v>249</v>
      </c>
      <c r="K494" s="2" t="s">
        <v>349</v>
      </c>
      <c r="L494" s="2" t="s">
        <v>1504</v>
      </c>
      <c r="M494" t="s">
        <v>251</v>
      </c>
      <c r="N494" t="s">
        <v>330</v>
      </c>
      <c r="O494" t="s">
        <v>331</v>
      </c>
      <c r="P494" t="s">
        <v>1510</v>
      </c>
      <c r="Q494" t="s">
        <v>966</v>
      </c>
    </row>
    <row r="495" spans="1:17">
      <c r="A495" s="2" t="s">
        <v>780</v>
      </c>
      <c r="B495" s="2" t="s">
        <v>268</v>
      </c>
      <c r="C495" s="2" t="s">
        <v>275</v>
      </c>
      <c r="D495" s="11">
        <v>45967.272222222222</v>
      </c>
      <c r="E495" s="11">
        <v>45967.272222222222</v>
      </c>
      <c r="F495" s="11">
        <v>45967.302083333336</v>
      </c>
      <c r="G495" s="12">
        <v>2.9861111113859806E-2</v>
      </c>
      <c r="H495" s="2" t="s">
        <v>248</v>
      </c>
      <c r="J495" s="2" t="s">
        <v>249</v>
      </c>
      <c r="K495" s="2" t="s">
        <v>349</v>
      </c>
      <c r="L495" s="2" t="s">
        <v>1504</v>
      </c>
      <c r="M495" t="s">
        <v>251</v>
      </c>
      <c r="N495" t="s">
        <v>330</v>
      </c>
      <c r="O495" t="s">
        <v>331</v>
      </c>
      <c r="P495" t="s">
        <v>1511</v>
      </c>
      <c r="Q495" t="s">
        <v>966</v>
      </c>
    </row>
    <row r="496" spans="1:17">
      <c r="A496" s="2" t="s">
        <v>780</v>
      </c>
      <c r="B496" s="2" t="s">
        <v>268</v>
      </c>
      <c r="C496" s="2" t="s">
        <v>276</v>
      </c>
      <c r="D496" s="11">
        <v>45967.272222222222</v>
      </c>
      <c r="E496" s="11">
        <v>45967.272222222222</v>
      </c>
      <c r="F496" s="11">
        <v>45967.302083333336</v>
      </c>
      <c r="G496" s="12">
        <v>2.9861111113859806E-2</v>
      </c>
      <c r="H496" s="2" t="s">
        <v>248</v>
      </c>
      <c r="J496" s="2" t="s">
        <v>249</v>
      </c>
      <c r="K496" s="2" t="s">
        <v>349</v>
      </c>
      <c r="L496" s="2" t="s">
        <v>1504</v>
      </c>
      <c r="M496" t="s">
        <v>251</v>
      </c>
      <c r="N496" t="s">
        <v>330</v>
      </c>
      <c r="O496" t="s">
        <v>331</v>
      </c>
      <c r="P496" t="s">
        <v>1512</v>
      </c>
      <c r="Q496" t="s">
        <v>966</v>
      </c>
    </row>
    <row r="497" spans="1:17">
      <c r="A497" s="2" t="s">
        <v>781</v>
      </c>
      <c r="B497" s="2" t="s">
        <v>268</v>
      </c>
      <c r="C497" s="2" t="s">
        <v>277</v>
      </c>
      <c r="D497" s="11">
        <v>45967.272222222222</v>
      </c>
      <c r="E497" s="11">
        <v>45967.272222222222</v>
      </c>
      <c r="F497" s="11">
        <v>45967.302083333336</v>
      </c>
      <c r="G497" s="12">
        <v>2.9861111113859806E-2</v>
      </c>
      <c r="H497" s="2" t="s">
        <v>248</v>
      </c>
      <c r="J497" s="2" t="s">
        <v>249</v>
      </c>
      <c r="K497" s="2" t="s">
        <v>349</v>
      </c>
      <c r="L497" s="2" t="s">
        <v>1504</v>
      </c>
      <c r="M497" t="s">
        <v>251</v>
      </c>
      <c r="N497" t="s">
        <v>330</v>
      </c>
      <c r="O497" t="s">
        <v>331</v>
      </c>
      <c r="P497" t="s">
        <v>1513</v>
      </c>
      <c r="Q497" t="s">
        <v>966</v>
      </c>
    </row>
    <row r="498" spans="1:17">
      <c r="A498" s="2" t="s">
        <v>781</v>
      </c>
      <c r="B498" s="2" t="s">
        <v>268</v>
      </c>
      <c r="C498" s="2" t="s">
        <v>278</v>
      </c>
      <c r="D498" s="11">
        <v>45967.272222222222</v>
      </c>
      <c r="E498" s="11">
        <v>45967.272222222222</v>
      </c>
      <c r="F498" s="11">
        <v>45967.302083333336</v>
      </c>
      <c r="G498" s="12">
        <v>2.9861111113859806E-2</v>
      </c>
      <c r="H498" s="2" t="s">
        <v>248</v>
      </c>
      <c r="J498" s="2" t="s">
        <v>249</v>
      </c>
      <c r="K498" s="2" t="s">
        <v>349</v>
      </c>
      <c r="L498" s="2" t="s">
        <v>1504</v>
      </c>
      <c r="M498" t="s">
        <v>251</v>
      </c>
      <c r="N498" t="s">
        <v>330</v>
      </c>
      <c r="O498" t="s">
        <v>331</v>
      </c>
      <c r="P498" t="s">
        <v>1514</v>
      </c>
      <c r="Q498" t="s">
        <v>966</v>
      </c>
    </row>
    <row r="499" spans="1:17">
      <c r="A499" s="2" t="s">
        <v>781</v>
      </c>
      <c r="B499" s="2" t="s">
        <v>268</v>
      </c>
      <c r="C499" s="2" t="s">
        <v>279</v>
      </c>
      <c r="D499" s="11">
        <v>45967.272222222222</v>
      </c>
      <c r="E499" s="11">
        <v>45967.272222222222</v>
      </c>
      <c r="F499" s="11">
        <v>45967.302083333336</v>
      </c>
      <c r="G499" s="12">
        <v>2.9861111113859806E-2</v>
      </c>
      <c r="H499" s="2" t="s">
        <v>248</v>
      </c>
      <c r="J499" s="2" t="s">
        <v>249</v>
      </c>
      <c r="K499" s="2" t="s">
        <v>349</v>
      </c>
      <c r="L499" s="2" t="s">
        <v>1504</v>
      </c>
      <c r="M499" t="s">
        <v>251</v>
      </c>
      <c r="N499" t="s">
        <v>330</v>
      </c>
      <c r="O499" t="s">
        <v>331</v>
      </c>
      <c r="P499" t="s">
        <v>1515</v>
      </c>
      <c r="Q499" t="s">
        <v>966</v>
      </c>
    </row>
    <row r="500" spans="1:17">
      <c r="A500" s="2" t="s">
        <v>781</v>
      </c>
      <c r="B500" s="2" t="s">
        <v>268</v>
      </c>
      <c r="C500" s="2" t="s">
        <v>280</v>
      </c>
      <c r="D500" s="11">
        <v>45967.272222222222</v>
      </c>
      <c r="E500" s="11">
        <v>45967.272222222222</v>
      </c>
      <c r="F500" s="11">
        <v>45967.302083333336</v>
      </c>
      <c r="G500" s="12">
        <v>2.9861111113859806E-2</v>
      </c>
      <c r="H500" s="2" t="s">
        <v>248</v>
      </c>
      <c r="J500" s="2" t="s">
        <v>249</v>
      </c>
      <c r="K500" s="2" t="s">
        <v>349</v>
      </c>
      <c r="L500" s="2" t="s">
        <v>1504</v>
      </c>
      <c r="M500" t="s">
        <v>251</v>
      </c>
      <c r="N500" t="s">
        <v>330</v>
      </c>
      <c r="O500" t="s">
        <v>331</v>
      </c>
      <c r="P500" t="s">
        <v>1516</v>
      </c>
      <c r="Q500" t="s">
        <v>966</v>
      </c>
    </row>
    <row r="501" spans="1:17">
      <c r="A501" s="2" t="s">
        <v>781</v>
      </c>
      <c r="B501" s="2" t="s">
        <v>268</v>
      </c>
      <c r="C501" s="2" t="s">
        <v>281</v>
      </c>
      <c r="D501" s="11">
        <v>45967.272222222222</v>
      </c>
      <c r="E501" s="11">
        <v>45967.272222222222</v>
      </c>
      <c r="F501" s="11">
        <v>45967.302083333336</v>
      </c>
      <c r="G501" s="12">
        <v>2.9861111113859806E-2</v>
      </c>
      <c r="H501" s="2" t="s">
        <v>248</v>
      </c>
      <c r="J501" s="2" t="s">
        <v>249</v>
      </c>
      <c r="K501" s="2" t="s">
        <v>349</v>
      </c>
      <c r="L501" s="2" t="s">
        <v>1504</v>
      </c>
      <c r="M501" t="s">
        <v>251</v>
      </c>
      <c r="N501" t="s">
        <v>330</v>
      </c>
      <c r="O501" t="s">
        <v>331</v>
      </c>
      <c r="P501" t="s">
        <v>1517</v>
      </c>
      <c r="Q501" t="s">
        <v>966</v>
      </c>
    </row>
    <row r="502" spans="1:17">
      <c r="A502" s="2" t="s">
        <v>781</v>
      </c>
      <c r="B502" s="2" t="s">
        <v>268</v>
      </c>
      <c r="C502" s="2" t="s">
        <v>282</v>
      </c>
      <c r="D502" s="11">
        <v>45967.272222222222</v>
      </c>
      <c r="E502" s="11">
        <v>45967.272222222222</v>
      </c>
      <c r="F502" s="11">
        <v>45967.302083333336</v>
      </c>
      <c r="G502" s="12">
        <v>2.9861111113859806E-2</v>
      </c>
      <c r="H502" s="2" t="s">
        <v>248</v>
      </c>
      <c r="J502" s="2" t="s">
        <v>249</v>
      </c>
      <c r="K502" s="2" t="s">
        <v>349</v>
      </c>
      <c r="L502" s="2" t="s">
        <v>1504</v>
      </c>
      <c r="M502" t="s">
        <v>251</v>
      </c>
      <c r="N502" t="s">
        <v>330</v>
      </c>
      <c r="O502" t="s">
        <v>331</v>
      </c>
      <c r="P502" t="s">
        <v>1518</v>
      </c>
      <c r="Q502" t="s">
        <v>966</v>
      </c>
    </row>
    <row r="503" spans="1:17">
      <c r="A503" s="2" t="s">
        <v>781</v>
      </c>
      <c r="B503" s="2" t="s">
        <v>268</v>
      </c>
      <c r="C503" s="2" t="s">
        <v>283</v>
      </c>
      <c r="D503" s="11">
        <v>45967.272222222222</v>
      </c>
      <c r="E503" s="11">
        <v>45967.272222222222</v>
      </c>
      <c r="F503" s="11">
        <v>45967.302083333336</v>
      </c>
      <c r="G503" s="12">
        <v>2.9861111113859806E-2</v>
      </c>
      <c r="H503" s="2" t="s">
        <v>248</v>
      </c>
      <c r="J503" s="2" t="s">
        <v>249</v>
      </c>
      <c r="K503" s="2" t="s">
        <v>349</v>
      </c>
      <c r="L503" s="2" t="s">
        <v>1504</v>
      </c>
      <c r="M503" t="s">
        <v>251</v>
      </c>
      <c r="N503" t="s">
        <v>330</v>
      </c>
      <c r="O503" t="s">
        <v>331</v>
      </c>
      <c r="P503" t="s">
        <v>1519</v>
      </c>
      <c r="Q503" t="s">
        <v>966</v>
      </c>
    </row>
    <row r="504" spans="1:17">
      <c r="A504" s="2" t="s">
        <v>794</v>
      </c>
      <c r="B504" s="2" t="s">
        <v>268</v>
      </c>
      <c r="C504" s="2" t="s">
        <v>284</v>
      </c>
      <c r="D504" s="11">
        <v>45967.272222222222</v>
      </c>
      <c r="E504" s="11">
        <v>45967.272222222222</v>
      </c>
      <c r="F504" s="11">
        <v>45967.302083333336</v>
      </c>
      <c r="G504" s="12">
        <v>2.9861111113859806E-2</v>
      </c>
      <c r="H504" s="2" t="s">
        <v>248</v>
      </c>
      <c r="J504" s="2" t="s">
        <v>249</v>
      </c>
      <c r="K504" s="2" t="s">
        <v>349</v>
      </c>
      <c r="L504" s="2" t="s">
        <v>1504</v>
      </c>
      <c r="M504" t="s">
        <v>251</v>
      </c>
      <c r="N504" t="s">
        <v>330</v>
      </c>
      <c r="O504" t="s">
        <v>331</v>
      </c>
      <c r="P504" t="s">
        <v>1520</v>
      </c>
      <c r="Q504" t="s">
        <v>966</v>
      </c>
    </row>
    <row r="505" spans="1:17">
      <c r="A505" s="2" t="s">
        <v>794</v>
      </c>
      <c r="B505" s="2" t="s">
        <v>268</v>
      </c>
      <c r="C505" s="2" t="s">
        <v>285</v>
      </c>
      <c r="D505" s="11">
        <v>45967.272222222222</v>
      </c>
      <c r="E505" s="11">
        <v>45967.272222222222</v>
      </c>
      <c r="F505" s="11">
        <v>45967.302083333336</v>
      </c>
      <c r="G505" s="12">
        <v>2.9861111113859806E-2</v>
      </c>
      <c r="H505" s="2" t="s">
        <v>248</v>
      </c>
      <c r="J505" s="2" t="s">
        <v>249</v>
      </c>
      <c r="K505" s="2" t="s">
        <v>349</v>
      </c>
      <c r="L505" s="2" t="s">
        <v>1504</v>
      </c>
      <c r="M505" t="s">
        <v>251</v>
      </c>
      <c r="N505" t="s">
        <v>330</v>
      </c>
      <c r="O505" t="s">
        <v>331</v>
      </c>
      <c r="P505" t="s">
        <v>1521</v>
      </c>
      <c r="Q505" t="s">
        <v>966</v>
      </c>
    </row>
    <row r="506" spans="1:17">
      <c r="A506" s="2" t="s">
        <v>794</v>
      </c>
      <c r="B506" s="2" t="s">
        <v>268</v>
      </c>
      <c r="C506" s="2" t="s">
        <v>286</v>
      </c>
      <c r="D506" s="11">
        <v>45967.272222222222</v>
      </c>
      <c r="E506" s="11">
        <v>45967.272222222222</v>
      </c>
      <c r="F506" s="11">
        <v>45967.302083333336</v>
      </c>
      <c r="G506" s="12">
        <v>2.9861111113859806E-2</v>
      </c>
      <c r="H506" s="2" t="s">
        <v>248</v>
      </c>
      <c r="J506" s="2" t="s">
        <v>249</v>
      </c>
      <c r="K506" s="2" t="s">
        <v>349</v>
      </c>
      <c r="L506" s="2" t="s">
        <v>1504</v>
      </c>
      <c r="M506" t="s">
        <v>251</v>
      </c>
      <c r="N506" t="s">
        <v>330</v>
      </c>
      <c r="O506" t="s">
        <v>331</v>
      </c>
      <c r="P506" t="s">
        <v>1522</v>
      </c>
      <c r="Q506" t="s">
        <v>966</v>
      </c>
    </row>
    <row r="507" spans="1:17">
      <c r="A507" s="2" t="s">
        <v>794</v>
      </c>
      <c r="B507" s="2" t="s">
        <v>268</v>
      </c>
      <c r="C507" s="2" t="s">
        <v>287</v>
      </c>
      <c r="D507" s="11">
        <v>45967.272222222222</v>
      </c>
      <c r="E507" s="11">
        <v>45967.272222222222</v>
      </c>
      <c r="F507" s="11">
        <v>45967.302083333336</v>
      </c>
      <c r="G507" s="12">
        <v>2.9861111113859806E-2</v>
      </c>
      <c r="H507" s="2" t="s">
        <v>248</v>
      </c>
      <c r="J507" s="2" t="s">
        <v>249</v>
      </c>
      <c r="K507" s="2" t="s">
        <v>349</v>
      </c>
      <c r="L507" s="2" t="s">
        <v>1504</v>
      </c>
      <c r="M507" t="s">
        <v>251</v>
      </c>
      <c r="N507" t="s">
        <v>330</v>
      </c>
      <c r="O507" t="s">
        <v>331</v>
      </c>
      <c r="P507" t="s">
        <v>1523</v>
      </c>
      <c r="Q507" t="s">
        <v>966</v>
      </c>
    </row>
    <row r="508" spans="1:17">
      <c r="A508" s="2" t="s">
        <v>794</v>
      </c>
      <c r="B508" s="2" t="s">
        <v>268</v>
      </c>
      <c r="C508" s="2" t="s">
        <v>288</v>
      </c>
      <c r="D508" s="11">
        <v>45967.272222222222</v>
      </c>
      <c r="E508" s="11">
        <v>45967.272222222222</v>
      </c>
      <c r="F508" s="11">
        <v>45967.302083333336</v>
      </c>
      <c r="G508" s="12">
        <v>2.9861111113859806E-2</v>
      </c>
      <c r="H508" s="2" t="s">
        <v>248</v>
      </c>
      <c r="J508" s="2" t="s">
        <v>249</v>
      </c>
      <c r="K508" s="2" t="s">
        <v>349</v>
      </c>
      <c r="L508" s="2" t="s">
        <v>1504</v>
      </c>
      <c r="M508" t="s">
        <v>251</v>
      </c>
      <c r="N508" t="s">
        <v>330</v>
      </c>
      <c r="O508" t="s">
        <v>331</v>
      </c>
      <c r="P508" t="s">
        <v>1524</v>
      </c>
      <c r="Q508" t="s">
        <v>966</v>
      </c>
    </row>
    <row r="509" spans="1:17">
      <c r="A509" s="2" t="s">
        <v>795</v>
      </c>
      <c r="B509" s="2" t="s">
        <v>268</v>
      </c>
      <c r="C509" s="2" t="s">
        <v>289</v>
      </c>
      <c r="D509" s="11">
        <v>45967.272222222222</v>
      </c>
      <c r="E509" s="11">
        <v>45967.272222222222</v>
      </c>
      <c r="F509" s="11">
        <v>45967.302083333336</v>
      </c>
      <c r="G509" s="12">
        <v>2.9861111113859806E-2</v>
      </c>
      <c r="H509" s="2" t="s">
        <v>248</v>
      </c>
      <c r="J509" s="2" t="s">
        <v>249</v>
      </c>
      <c r="K509" s="2" t="s">
        <v>349</v>
      </c>
      <c r="L509" s="2" t="s">
        <v>1504</v>
      </c>
      <c r="M509" t="s">
        <v>251</v>
      </c>
      <c r="N509" t="s">
        <v>330</v>
      </c>
      <c r="O509" t="s">
        <v>331</v>
      </c>
      <c r="P509" t="s">
        <v>1525</v>
      </c>
      <c r="Q509" t="s">
        <v>966</v>
      </c>
    </row>
    <row r="510" spans="1:17">
      <c r="A510" s="2" t="s">
        <v>795</v>
      </c>
      <c r="B510" s="2" t="s">
        <v>268</v>
      </c>
      <c r="C510" s="2" t="s">
        <v>290</v>
      </c>
      <c r="D510" s="11">
        <v>45967.272222222222</v>
      </c>
      <c r="E510" s="11">
        <v>45967.272222222222</v>
      </c>
      <c r="F510" s="11">
        <v>45967.302083333336</v>
      </c>
      <c r="G510" s="12">
        <v>2.9861111113859806E-2</v>
      </c>
      <c r="H510" s="2" t="s">
        <v>248</v>
      </c>
      <c r="J510" s="2" t="s">
        <v>249</v>
      </c>
      <c r="K510" s="2" t="s">
        <v>349</v>
      </c>
      <c r="L510" s="2" t="s">
        <v>1504</v>
      </c>
      <c r="M510" t="s">
        <v>251</v>
      </c>
      <c r="N510" t="s">
        <v>330</v>
      </c>
      <c r="O510" t="s">
        <v>331</v>
      </c>
      <c r="P510" t="s">
        <v>1526</v>
      </c>
      <c r="Q510" t="s">
        <v>966</v>
      </c>
    </row>
    <row r="511" spans="1:17">
      <c r="A511" s="2" t="s">
        <v>795</v>
      </c>
      <c r="B511" s="2" t="s">
        <v>268</v>
      </c>
      <c r="C511" s="2" t="s">
        <v>291</v>
      </c>
      <c r="D511" s="11">
        <v>45967.272222222222</v>
      </c>
      <c r="E511" s="11">
        <v>45967.272222222222</v>
      </c>
      <c r="F511" s="11">
        <v>45967.302083333336</v>
      </c>
      <c r="G511" s="12">
        <v>2.9861111113859806E-2</v>
      </c>
      <c r="H511" s="2" t="s">
        <v>248</v>
      </c>
      <c r="J511" s="2" t="s">
        <v>249</v>
      </c>
      <c r="K511" s="2" t="s">
        <v>349</v>
      </c>
      <c r="L511" s="2" t="s">
        <v>1504</v>
      </c>
      <c r="M511" t="s">
        <v>251</v>
      </c>
      <c r="N511" t="s">
        <v>330</v>
      </c>
      <c r="O511" t="s">
        <v>331</v>
      </c>
      <c r="P511" t="s">
        <v>1527</v>
      </c>
      <c r="Q511" t="s">
        <v>966</v>
      </c>
    </row>
    <row r="512" spans="1:17">
      <c r="A512" s="2" t="s">
        <v>795</v>
      </c>
      <c r="B512" s="2" t="s">
        <v>268</v>
      </c>
      <c r="C512" s="2" t="s">
        <v>292</v>
      </c>
      <c r="D512" s="11">
        <v>45967.272222222222</v>
      </c>
      <c r="E512" s="11">
        <v>45967.272222222222</v>
      </c>
      <c r="F512" s="11">
        <v>45967.302083333336</v>
      </c>
      <c r="G512" s="12">
        <v>2.9861111113859806E-2</v>
      </c>
      <c r="H512" s="2" t="s">
        <v>248</v>
      </c>
      <c r="J512" s="2" t="s">
        <v>249</v>
      </c>
      <c r="K512" s="2" t="s">
        <v>349</v>
      </c>
      <c r="L512" s="2" t="s">
        <v>1504</v>
      </c>
      <c r="M512" t="s">
        <v>251</v>
      </c>
      <c r="N512" t="s">
        <v>330</v>
      </c>
      <c r="O512" t="s">
        <v>331</v>
      </c>
      <c r="P512" t="s">
        <v>1528</v>
      </c>
      <c r="Q512" t="s">
        <v>966</v>
      </c>
    </row>
    <row r="513" spans="1:17">
      <c r="A513" s="2" t="s">
        <v>796</v>
      </c>
      <c r="B513" s="2" t="s">
        <v>268</v>
      </c>
      <c r="C513" s="2" t="s">
        <v>293</v>
      </c>
      <c r="D513" s="11">
        <v>45967.272222222222</v>
      </c>
      <c r="E513" s="11">
        <v>45967.272222222222</v>
      </c>
      <c r="F513" s="11">
        <v>45967.302083333336</v>
      </c>
      <c r="G513" s="12">
        <v>2.9861111113859806E-2</v>
      </c>
      <c r="H513" s="2" t="s">
        <v>248</v>
      </c>
      <c r="J513" s="2" t="s">
        <v>249</v>
      </c>
      <c r="K513" s="2" t="s">
        <v>349</v>
      </c>
      <c r="L513" s="2" t="s">
        <v>1504</v>
      </c>
      <c r="M513" t="s">
        <v>251</v>
      </c>
      <c r="N513" t="s">
        <v>330</v>
      </c>
      <c r="O513" t="s">
        <v>331</v>
      </c>
      <c r="P513" t="s">
        <v>1529</v>
      </c>
      <c r="Q513" t="s">
        <v>966</v>
      </c>
    </row>
    <row r="514" spans="1:17">
      <c r="A514" s="2" t="s">
        <v>796</v>
      </c>
      <c r="B514" s="2" t="s">
        <v>268</v>
      </c>
      <c r="C514" s="2" t="s">
        <v>294</v>
      </c>
      <c r="D514" s="11">
        <v>45967.272222222222</v>
      </c>
      <c r="E514" s="11">
        <v>45967.272222222222</v>
      </c>
      <c r="F514" s="11">
        <v>45967.302083333336</v>
      </c>
      <c r="G514" s="12">
        <v>2.9861111113859806E-2</v>
      </c>
      <c r="H514" s="2" t="s">
        <v>248</v>
      </c>
      <c r="J514" s="2" t="s">
        <v>249</v>
      </c>
      <c r="K514" s="2" t="s">
        <v>349</v>
      </c>
      <c r="L514" s="2" t="s">
        <v>1504</v>
      </c>
      <c r="M514" t="s">
        <v>251</v>
      </c>
      <c r="N514" t="s">
        <v>330</v>
      </c>
      <c r="O514" t="s">
        <v>331</v>
      </c>
      <c r="P514" t="s">
        <v>1530</v>
      </c>
      <c r="Q514" t="s">
        <v>966</v>
      </c>
    </row>
    <row r="515" spans="1:17">
      <c r="A515" s="2" t="s">
        <v>796</v>
      </c>
      <c r="B515" s="2" t="s">
        <v>268</v>
      </c>
      <c r="C515" s="2" t="s">
        <v>295</v>
      </c>
      <c r="D515" s="11">
        <v>45967.272222222222</v>
      </c>
      <c r="E515" s="11">
        <v>45967.272222222222</v>
      </c>
      <c r="F515" s="11">
        <v>45967.302083333336</v>
      </c>
      <c r="G515" s="12">
        <v>2.9861111113859806E-2</v>
      </c>
      <c r="H515" s="2" t="s">
        <v>248</v>
      </c>
      <c r="J515" s="2" t="s">
        <v>249</v>
      </c>
      <c r="K515" s="2" t="s">
        <v>349</v>
      </c>
      <c r="L515" s="2" t="s">
        <v>1504</v>
      </c>
      <c r="M515" t="s">
        <v>251</v>
      </c>
      <c r="N515" t="s">
        <v>330</v>
      </c>
      <c r="O515" t="s">
        <v>331</v>
      </c>
      <c r="P515" t="s">
        <v>1531</v>
      </c>
      <c r="Q515" t="s">
        <v>966</v>
      </c>
    </row>
    <row r="516" spans="1:17">
      <c r="A516" s="2" t="s">
        <v>796</v>
      </c>
      <c r="B516" s="2" t="s">
        <v>268</v>
      </c>
      <c r="C516" s="2" t="s">
        <v>296</v>
      </c>
      <c r="D516" s="11">
        <v>45967.272222222222</v>
      </c>
      <c r="E516" s="11">
        <v>45967.272222222222</v>
      </c>
      <c r="F516" s="11">
        <v>45967.302083333336</v>
      </c>
      <c r="G516" s="12">
        <v>2.9861111113859806E-2</v>
      </c>
      <c r="H516" s="2" t="s">
        <v>248</v>
      </c>
      <c r="J516" s="2" t="s">
        <v>249</v>
      </c>
      <c r="K516" s="2" t="s">
        <v>349</v>
      </c>
      <c r="L516" s="2" t="s">
        <v>1504</v>
      </c>
      <c r="M516" t="s">
        <v>251</v>
      </c>
      <c r="N516" t="s">
        <v>330</v>
      </c>
      <c r="O516" t="s">
        <v>331</v>
      </c>
      <c r="P516" t="s">
        <v>1532</v>
      </c>
      <c r="Q516" t="s">
        <v>966</v>
      </c>
    </row>
    <row r="517" spans="1:17">
      <c r="A517" s="2" t="s">
        <v>796</v>
      </c>
      <c r="B517" s="2" t="s">
        <v>268</v>
      </c>
      <c r="C517" s="2" t="s">
        <v>297</v>
      </c>
      <c r="D517" s="11">
        <v>45967.272222222222</v>
      </c>
      <c r="E517" s="11">
        <v>45967.272222222222</v>
      </c>
      <c r="F517" s="11">
        <v>45967.302083333336</v>
      </c>
      <c r="G517" s="12">
        <v>2.9861111113859806E-2</v>
      </c>
      <c r="H517" s="2" t="s">
        <v>248</v>
      </c>
      <c r="J517" s="2" t="s">
        <v>249</v>
      </c>
      <c r="K517" s="2" t="s">
        <v>349</v>
      </c>
      <c r="L517" s="2" t="s">
        <v>1504</v>
      </c>
      <c r="M517" t="s">
        <v>251</v>
      </c>
      <c r="N517" t="s">
        <v>330</v>
      </c>
      <c r="O517" t="s">
        <v>331</v>
      </c>
      <c r="P517" t="s">
        <v>1533</v>
      </c>
      <c r="Q517" t="s">
        <v>966</v>
      </c>
    </row>
    <row r="518" spans="1:17">
      <c r="A518" s="2" t="s">
        <v>846</v>
      </c>
      <c r="B518" s="2" t="s">
        <v>602</v>
      </c>
      <c r="C518" s="2" t="s">
        <v>1534</v>
      </c>
      <c r="D518" s="11">
        <v>45967.298541666663</v>
      </c>
      <c r="E518" s="11">
        <v>45967.298541666663</v>
      </c>
      <c r="F518" s="11">
        <v>45967.322916666664</v>
      </c>
      <c r="G518" s="12">
        <v>2.4375000000873115E-2</v>
      </c>
      <c r="H518" s="2" t="s">
        <v>248</v>
      </c>
      <c r="J518" s="2" t="s">
        <v>300</v>
      </c>
      <c r="K518" s="2" t="s">
        <v>350</v>
      </c>
      <c r="L518" s="2" t="s">
        <v>1222</v>
      </c>
      <c r="M518" t="s">
        <v>375</v>
      </c>
      <c r="N518" t="s">
        <v>828</v>
      </c>
      <c r="P518" t="s">
        <v>1535</v>
      </c>
      <c r="Q518" t="s">
        <v>1224</v>
      </c>
    </row>
    <row r="519" spans="1:17">
      <c r="A519" s="2" t="s">
        <v>846</v>
      </c>
      <c r="B519" s="2" t="s">
        <v>602</v>
      </c>
      <c r="C519" s="2" t="s">
        <v>1536</v>
      </c>
      <c r="D519" s="11">
        <v>45967.298541666663</v>
      </c>
      <c r="E519" s="11">
        <v>45967.298541666663</v>
      </c>
      <c r="F519" s="11">
        <v>45967.322916666664</v>
      </c>
      <c r="G519" s="12">
        <v>2.4375000000873115E-2</v>
      </c>
      <c r="H519" s="2" t="s">
        <v>248</v>
      </c>
      <c r="J519" s="2" t="s">
        <v>300</v>
      </c>
      <c r="K519" s="2" t="s">
        <v>350</v>
      </c>
      <c r="L519" s="2" t="s">
        <v>1222</v>
      </c>
      <c r="M519" t="s">
        <v>375</v>
      </c>
      <c r="N519" t="s">
        <v>828</v>
      </c>
      <c r="P519" t="s">
        <v>1537</v>
      </c>
      <c r="Q519" t="s">
        <v>1224</v>
      </c>
    </row>
    <row r="520" spans="1:17">
      <c r="A520" s="2" t="s">
        <v>846</v>
      </c>
      <c r="B520" s="2" t="s">
        <v>602</v>
      </c>
      <c r="C520" s="2" t="s">
        <v>1221</v>
      </c>
      <c r="D520" s="11">
        <v>45967.298541666663</v>
      </c>
      <c r="E520" s="11">
        <v>45967.298541666663</v>
      </c>
      <c r="F520" s="11">
        <v>45967.298668981479</v>
      </c>
      <c r="G520" s="12">
        <v>1.273148154723458E-4</v>
      </c>
      <c r="H520" s="2" t="s">
        <v>248</v>
      </c>
      <c r="J520" s="2" t="s">
        <v>300</v>
      </c>
      <c r="K520" s="2" t="s">
        <v>350</v>
      </c>
      <c r="L520" s="2" t="s">
        <v>1222</v>
      </c>
      <c r="M520" t="s">
        <v>375</v>
      </c>
      <c r="N520" t="s">
        <v>828</v>
      </c>
      <c r="P520" t="s">
        <v>1538</v>
      </c>
      <c r="Q520" t="s">
        <v>1224</v>
      </c>
    </row>
    <row r="521" spans="1:17">
      <c r="A521" s="2" t="s">
        <v>846</v>
      </c>
      <c r="B521" s="2" t="s">
        <v>602</v>
      </c>
      <c r="C521" s="2" t="s">
        <v>313</v>
      </c>
      <c r="D521" s="11">
        <v>45967.298541666663</v>
      </c>
      <c r="E521" s="11">
        <v>45967.298541666663</v>
      </c>
      <c r="F521" s="11">
        <v>45967.322916666664</v>
      </c>
      <c r="G521" s="12">
        <v>2.4375000000873115E-2</v>
      </c>
      <c r="H521" s="2" t="s">
        <v>248</v>
      </c>
      <c r="J521" s="2" t="s">
        <v>300</v>
      </c>
      <c r="K521" s="2" t="s">
        <v>350</v>
      </c>
      <c r="L521" s="2" t="s">
        <v>1222</v>
      </c>
      <c r="M521" t="s">
        <v>375</v>
      </c>
      <c r="N521" t="s">
        <v>828</v>
      </c>
      <c r="P521" t="s">
        <v>1539</v>
      </c>
      <c r="Q521" t="s">
        <v>1224</v>
      </c>
    </row>
    <row r="522" spans="1:17">
      <c r="A522" s="2" t="s">
        <v>246</v>
      </c>
      <c r="B522" s="2" t="s">
        <v>246</v>
      </c>
      <c r="C522" s="2" t="s">
        <v>247</v>
      </c>
      <c r="D522" s="11">
        <v>45967.336805555555</v>
      </c>
      <c r="E522" s="11">
        <v>45967.336805555555</v>
      </c>
      <c r="F522" s="11">
        <v>45967.45208333333</v>
      </c>
      <c r="G522" s="12">
        <v>0.11527777777519077</v>
      </c>
      <c r="H522" s="2" t="s">
        <v>343</v>
      </c>
      <c r="J522" s="2" t="s">
        <v>230</v>
      </c>
      <c r="K522" s="2" t="s">
        <v>230</v>
      </c>
      <c r="L522" s="2" t="s">
        <v>1540</v>
      </c>
      <c r="M522" t="s">
        <v>302</v>
      </c>
      <c r="N522" t="s">
        <v>345</v>
      </c>
      <c r="O522" t="s">
        <v>1541</v>
      </c>
      <c r="P522" t="s">
        <v>1542</v>
      </c>
      <c r="Q522" t="s">
        <v>1364</v>
      </c>
    </row>
    <row r="523" spans="1:17">
      <c r="A523" s="2" t="s">
        <v>246</v>
      </c>
      <c r="B523" s="2" t="s">
        <v>246</v>
      </c>
      <c r="C523" s="2" t="s">
        <v>254</v>
      </c>
      <c r="D523" s="11">
        <v>45967.336805555555</v>
      </c>
      <c r="E523" s="11">
        <v>45967.336805555555</v>
      </c>
      <c r="F523" s="11">
        <v>45967.45208333333</v>
      </c>
      <c r="G523" s="12">
        <v>0.11527777777519077</v>
      </c>
      <c r="H523" s="2" t="s">
        <v>343</v>
      </c>
      <c r="J523" s="2" t="s">
        <v>230</v>
      </c>
      <c r="K523" s="2" t="s">
        <v>230</v>
      </c>
      <c r="L523" s="2" t="s">
        <v>1540</v>
      </c>
      <c r="M523" t="s">
        <v>302</v>
      </c>
      <c r="N523" t="s">
        <v>345</v>
      </c>
      <c r="O523" t="s">
        <v>1541</v>
      </c>
      <c r="P523" t="s">
        <v>1543</v>
      </c>
      <c r="Q523" t="s">
        <v>1364</v>
      </c>
    </row>
    <row r="524" spans="1:17">
      <c r="A524" s="2" t="s">
        <v>246</v>
      </c>
      <c r="B524" s="2" t="s">
        <v>246</v>
      </c>
      <c r="C524" s="2" t="s">
        <v>255</v>
      </c>
      <c r="D524" s="11">
        <v>45967.336805555555</v>
      </c>
      <c r="E524" s="11">
        <v>45967.336805555555</v>
      </c>
      <c r="F524" s="11">
        <v>45967.45208333333</v>
      </c>
      <c r="G524" s="12">
        <v>0.11527777777519077</v>
      </c>
      <c r="H524" s="2" t="s">
        <v>343</v>
      </c>
      <c r="J524" s="2" t="s">
        <v>230</v>
      </c>
      <c r="K524" s="2" t="s">
        <v>230</v>
      </c>
      <c r="L524" s="2" t="s">
        <v>1540</v>
      </c>
      <c r="M524" t="s">
        <v>302</v>
      </c>
      <c r="N524" t="s">
        <v>345</v>
      </c>
      <c r="O524" t="s">
        <v>1541</v>
      </c>
      <c r="P524" t="s">
        <v>1544</v>
      </c>
      <c r="Q524" t="s">
        <v>1364</v>
      </c>
    </row>
    <row r="525" spans="1:17">
      <c r="A525" s="2" t="s">
        <v>246</v>
      </c>
      <c r="B525" s="2" t="s">
        <v>246</v>
      </c>
      <c r="C525" s="2" t="s">
        <v>256</v>
      </c>
      <c r="D525" s="11">
        <v>45967.336805555555</v>
      </c>
      <c r="E525" s="11">
        <v>45967.336805555555</v>
      </c>
      <c r="F525" s="11">
        <v>45967.45208333333</v>
      </c>
      <c r="G525" s="12">
        <v>0.11527777777519077</v>
      </c>
      <c r="H525" s="2" t="s">
        <v>343</v>
      </c>
      <c r="J525" s="2" t="s">
        <v>230</v>
      </c>
      <c r="K525" s="2" t="s">
        <v>230</v>
      </c>
      <c r="L525" s="2" t="s">
        <v>1540</v>
      </c>
      <c r="M525" t="s">
        <v>302</v>
      </c>
      <c r="N525" t="s">
        <v>345</v>
      </c>
      <c r="O525" t="s">
        <v>1541</v>
      </c>
      <c r="P525" t="s">
        <v>1545</v>
      </c>
      <c r="Q525" t="s">
        <v>1364</v>
      </c>
    </row>
    <row r="526" spans="1:17">
      <c r="A526" s="2" t="s">
        <v>246</v>
      </c>
      <c r="B526" s="2" t="s">
        <v>246</v>
      </c>
      <c r="C526" s="2" t="s">
        <v>257</v>
      </c>
      <c r="D526" s="11">
        <v>45967.336805555555</v>
      </c>
      <c r="E526" s="11">
        <v>45967.336805555555</v>
      </c>
      <c r="F526" s="11">
        <v>45967.45208333333</v>
      </c>
      <c r="G526" s="12">
        <v>0.11527777777519077</v>
      </c>
      <c r="H526" s="2" t="s">
        <v>343</v>
      </c>
      <c r="J526" s="2" t="s">
        <v>230</v>
      </c>
      <c r="K526" s="2" t="s">
        <v>230</v>
      </c>
      <c r="L526" s="2" t="s">
        <v>1540</v>
      </c>
      <c r="M526" t="s">
        <v>302</v>
      </c>
      <c r="N526" t="s">
        <v>345</v>
      </c>
      <c r="O526" t="s">
        <v>1541</v>
      </c>
      <c r="P526" t="s">
        <v>1546</v>
      </c>
      <c r="Q526" t="s">
        <v>1364</v>
      </c>
    </row>
    <row r="527" spans="1:17">
      <c r="A527" s="2" t="s">
        <v>780</v>
      </c>
      <c r="B527" s="2" t="s">
        <v>268</v>
      </c>
      <c r="C527" s="2" t="s">
        <v>269</v>
      </c>
      <c r="D527" s="11">
        <v>45967.618055555555</v>
      </c>
      <c r="E527" s="11">
        <v>45967.618055555555</v>
      </c>
      <c r="F527" s="11">
        <v>45967.65625</v>
      </c>
      <c r="G527" s="12">
        <v>3.8194444445252884E-2</v>
      </c>
      <c r="H527" s="2" t="s">
        <v>248</v>
      </c>
      <c r="J527" s="2" t="s">
        <v>249</v>
      </c>
      <c r="K527" s="2" t="s">
        <v>349</v>
      </c>
      <c r="L527" s="2" t="s">
        <v>677</v>
      </c>
      <c r="M527" t="s">
        <v>251</v>
      </c>
      <c r="N527" t="s">
        <v>330</v>
      </c>
      <c r="O527" t="s">
        <v>331</v>
      </c>
      <c r="P527" t="s">
        <v>1547</v>
      </c>
      <c r="Q527" t="s">
        <v>966</v>
      </c>
    </row>
    <row r="528" spans="1:17">
      <c r="A528" s="2" t="s">
        <v>780</v>
      </c>
      <c r="B528" s="2" t="s">
        <v>268</v>
      </c>
      <c r="C528" s="2" t="s">
        <v>270</v>
      </c>
      <c r="D528" s="11">
        <v>45967.618055555555</v>
      </c>
      <c r="E528" s="11">
        <v>45967.618055555555</v>
      </c>
      <c r="F528" s="11">
        <v>45967.65625</v>
      </c>
      <c r="G528" s="12">
        <v>3.8194444445252884E-2</v>
      </c>
      <c r="H528" s="2" t="s">
        <v>248</v>
      </c>
      <c r="J528" s="2" t="s">
        <v>249</v>
      </c>
      <c r="K528" s="2" t="s">
        <v>349</v>
      </c>
      <c r="L528" s="2" t="s">
        <v>677</v>
      </c>
      <c r="M528" t="s">
        <v>251</v>
      </c>
      <c r="N528" t="s">
        <v>330</v>
      </c>
      <c r="O528" t="s">
        <v>331</v>
      </c>
      <c r="P528" t="s">
        <v>1548</v>
      </c>
      <c r="Q528" t="s">
        <v>966</v>
      </c>
    </row>
    <row r="529" spans="1:17">
      <c r="A529" s="2" t="s">
        <v>780</v>
      </c>
      <c r="B529" s="2" t="s">
        <v>268</v>
      </c>
      <c r="C529" s="2" t="s">
        <v>271</v>
      </c>
      <c r="D529" s="11">
        <v>45967.618055555555</v>
      </c>
      <c r="E529" s="11">
        <v>45967.618055555555</v>
      </c>
      <c r="F529" s="11">
        <v>45967.65625</v>
      </c>
      <c r="G529" s="12">
        <v>3.8194444445252884E-2</v>
      </c>
      <c r="H529" s="2" t="s">
        <v>248</v>
      </c>
      <c r="J529" s="2" t="s">
        <v>249</v>
      </c>
      <c r="K529" s="2" t="s">
        <v>349</v>
      </c>
      <c r="L529" s="2" t="s">
        <v>677</v>
      </c>
      <c r="M529" t="s">
        <v>251</v>
      </c>
      <c r="N529" t="s">
        <v>330</v>
      </c>
      <c r="O529" t="s">
        <v>331</v>
      </c>
      <c r="P529" t="s">
        <v>1549</v>
      </c>
      <c r="Q529" t="s">
        <v>966</v>
      </c>
    </row>
    <row r="530" spans="1:17">
      <c r="A530" s="2" t="s">
        <v>780</v>
      </c>
      <c r="B530" s="2" t="s">
        <v>268</v>
      </c>
      <c r="C530" s="2" t="s">
        <v>272</v>
      </c>
      <c r="D530" s="11">
        <v>45967.618055555555</v>
      </c>
      <c r="E530" s="11">
        <v>45967.618055555555</v>
      </c>
      <c r="F530" s="11">
        <v>45967.65625</v>
      </c>
      <c r="G530" s="12">
        <v>3.8194444445252884E-2</v>
      </c>
      <c r="H530" s="2" t="s">
        <v>248</v>
      </c>
      <c r="J530" s="2" t="s">
        <v>249</v>
      </c>
      <c r="K530" s="2" t="s">
        <v>349</v>
      </c>
      <c r="L530" s="2" t="s">
        <v>677</v>
      </c>
      <c r="M530" t="s">
        <v>251</v>
      </c>
      <c r="N530" t="s">
        <v>330</v>
      </c>
      <c r="O530" t="s">
        <v>331</v>
      </c>
      <c r="P530" t="s">
        <v>1550</v>
      </c>
      <c r="Q530" t="s">
        <v>966</v>
      </c>
    </row>
    <row r="531" spans="1:17">
      <c r="A531" s="2" t="s">
        <v>780</v>
      </c>
      <c r="B531" s="2" t="s">
        <v>268</v>
      </c>
      <c r="C531" s="2" t="s">
        <v>273</v>
      </c>
      <c r="D531" s="11">
        <v>45967.618055555555</v>
      </c>
      <c r="E531" s="11">
        <v>45967.618055555555</v>
      </c>
      <c r="F531" s="11">
        <v>45967.65625</v>
      </c>
      <c r="G531" s="12">
        <v>3.8194444445252884E-2</v>
      </c>
      <c r="H531" s="2" t="s">
        <v>248</v>
      </c>
      <c r="J531" s="2" t="s">
        <v>249</v>
      </c>
      <c r="K531" s="2" t="s">
        <v>349</v>
      </c>
      <c r="L531" s="2" t="s">
        <v>677</v>
      </c>
      <c r="M531" t="s">
        <v>251</v>
      </c>
      <c r="N531" t="s">
        <v>330</v>
      </c>
      <c r="O531" t="s">
        <v>331</v>
      </c>
      <c r="P531" t="s">
        <v>1551</v>
      </c>
      <c r="Q531" t="s">
        <v>966</v>
      </c>
    </row>
    <row r="532" spans="1:17">
      <c r="A532" s="2" t="s">
        <v>780</v>
      </c>
      <c r="B532" s="2" t="s">
        <v>268</v>
      </c>
      <c r="C532" s="2" t="s">
        <v>274</v>
      </c>
      <c r="D532" s="11">
        <v>45967.618055555555</v>
      </c>
      <c r="E532" s="11">
        <v>45967.618055555555</v>
      </c>
      <c r="F532" s="11">
        <v>45967.65625</v>
      </c>
      <c r="G532" s="12">
        <v>3.8194444445252884E-2</v>
      </c>
      <c r="H532" s="2" t="s">
        <v>248</v>
      </c>
      <c r="J532" s="2" t="s">
        <v>249</v>
      </c>
      <c r="K532" s="2" t="s">
        <v>349</v>
      </c>
      <c r="L532" s="2" t="s">
        <v>677</v>
      </c>
      <c r="M532" t="s">
        <v>251</v>
      </c>
      <c r="N532" t="s">
        <v>330</v>
      </c>
      <c r="O532" t="s">
        <v>331</v>
      </c>
      <c r="P532" t="s">
        <v>1552</v>
      </c>
      <c r="Q532" t="s">
        <v>966</v>
      </c>
    </row>
    <row r="533" spans="1:17">
      <c r="A533" s="2" t="s">
        <v>780</v>
      </c>
      <c r="B533" s="2" t="s">
        <v>268</v>
      </c>
      <c r="C533" s="2" t="s">
        <v>275</v>
      </c>
      <c r="D533" s="11">
        <v>45967.618055555555</v>
      </c>
      <c r="E533" s="11">
        <v>45967.618055555555</v>
      </c>
      <c r="F533" s="11">
        <v>45967.65625</v>
      </c>
      <c r="G533" s="12">
        <v>3.8194444445252884E-2</v>
      </c>
      <c r="H533" s="2" t="s">
        <v>248</v>
      </c>
      <c r="J533" s="2" t="s">
        <v>249</v>
      </c>
      <c r="K533" s="2" t="s">
        <v>349</v>
      </c>
      <c r="L533" s="2" t="s">
        <v>677</v>
      </c>
      <c r="M533" t="s">
        <v>251</v>
      </c>
      <c r="N533" t="s">
        <v>330</v>
      </c>
      <c r="O533" t="s">
        <v>331</v>
      </c>
      <c r="P533" t="s">
        <v>1553</v>
      </c>
      <c r="Q533" t="s">
        <v>966</v>
      </c>
    </row>
    <row r="534" spans="1:17">
      <c r="A534" s="2" t="s">
        <v>780</v>
      </c>
      <c r="B534" s="2" t="s">
        <v>268</v>
      </c>
      <c r="C534" s="2" t="s">
        <v>276</v>
      </c>
      <c r="D534" s="11">
        <v>45967.618055555555</v>
      </c>
      <c r="E534" s="11">
        <v>45967.618055555555</v>
      </c>
      <c r="F534" s="11">
        <v>45967.65625</v>
      </c>
      <c r="G534" s="12">
        <v>3.8194444445252884E-2</v>
      </c>
      <c r="H534" s="2" t="s">
        <v>248</v>
      </c>
      <c r="J534" s="2" t="s">
        <v>249</v>
      </c>
      <c r="K534" s="2" t="s">
        <v>349</v>
      </c>
      <c r="L534" s="2" t="s">
        <v>677</v>
      </c>
      <c r="M534" t="s">
        <v>251</v>
      </c>
      <c r="N534" t="s">
        <v>330</v>
      </c>
      <c r="O534" t="s">
        <v>331</v>
      </c>
      <c r="P534" t="s">
        <v>1554</v>
      </c>
      <c r="Q534" t="s">
        <v>966</v>
      </c>
    </row>
    <row r="535" spans="1:17">
      <c r="A535" s="2" t="s">
        <v>781</v>
      </c>
      <c r="B535" s="2" t="s">
        <v>268</v>
      </c>
      <c r="C535" s="2" t="s">
        <v>277</v>
      </c>
      <c r="D535" s="11">
        <v>45967.618055555555</v>
      </c>
      <c r="E535" s="11">
        <v>45967.618055555555</v>
      </c>
      <c r="F535" s="11">
        <v>45967.65625</v>
      </c>
      <c r="G535" s="12">
        <v>3.8194444445252884E-2</v>
      </c>
      <c r="H535" s="2" t="s">
        <v>248</v>
      </c>
      <c r="J535" s="2" t="s">
        <v>249</v>
      </c>
      <c r="K535" s="2" t="s">
        <v>349</v>
      </c>
      <c r="L535" s="2" t="s">
        <v>677</v>
      </c>
      <c r="M535" t="s">
        <v>251</v>
      </c>
      <c r="N535" t="s">
        <v>330</v>
      </c>
      <c r="O535" t="s">
        <v>331</v>
      </c>
      <c r="P535" t="s">
        <v>1555</v>
      </c>
      <c r="Q535" t="s">
        <v>966</v>
      </c>
    </row>
    <row r="536" spans="1:17">
      <c r="A536" s="2" t="s">
        <v>781</v>
      </c>
      <c r="B536" s="2" t="s">
        <v>268</v>
      </c>
      <c r="C536" s="2" t="s">
        <v>278</v>
      </c>
      <c r="D536" s="11">
        <v>45967.618055555555</v>
      </c>
      <c r="E536" s="11">
        <v>45967.618055555555</v>
      </c>
      <c r="F536" s="11">
        <v>45967.65625</v>
      </c>
      <c r="G536" s="12">
        <v>3.8194444445252884E-2</v>
      </c>
      <c r="H536" s="2" t="s">
        <v>248</v>
      </c>
      <c r="J536" s="2" t="s">
        <v>249</v>
      </c>
      <c r="K536" s="2" t="s">
        <v>349</v>
      </c>
      <c r="L536" s="2" t="s">
        <v>677</v>
      </c>
      <c r="M536" t="s">
        <v>251</v>
      </c>
      <c r="N536" t="s">
        <v>330</v>
      </c>
      <c r="O536" t="s">
        <v>331</v>
      </c>
      <c r="P536" t="s">
        <v>1556</v>
      </c>
      <c r="Q536" t="s">
        <v>966</v>
      </c>
    </row>
    <row r="537" spans="1:17">
      <c r="A537" s="2" t="s">
        <v>781</v>
      </c>
      <c r="B537" s="2" t="s">
        <v>268</v>
      </c>
      <c r="C537" s="2" t="s">
        <v>279</v>
      </c>
      <c r="D537" s="11">
        <v>45967.618055555555</v>
      </c>
      <c r="E537" s="11">
        <v>45967.618055555555</v>
      </c>
      <c r="F537" s="11">
        <v>45967.65625</v>
      </c>
      <c r="G537" s="12">
        <v>3.8194444445252884E-2</v>
      </c>
      <c r="H537" s="2" t="s">
        <v>248</v>
      </c>
      <c r="J537" s="2" t="s">
        <v>249</v>
      </c>
      <c r="K537" s="2" t="s">
        <v>349</v>
      </c>
      <c r="L537" s="2" t="s">
        <v>677</v>
      </c>
      <c r="M537" t="s">
        <v>251</v>
      </c>
      <c r="N537" t="s">
        <v>330</v>
      </c>
      <c r="O537" t="s">
        <v>331</v>
      </c>
      <c r="P537" t="s">
        <v>1557</v>
      </c>
      <c r="Q537" t="s">
        <v>966</v>
      </c>
    </row>
    <row r="538" spans="1:17">
      <c r="A538" s="2" t="s">
        <v>781</v>
      </c>
      <c r="B538" s="2" t="s">
        <v>268</v>
      </c>
      <c r="C538" s="2" t="s">
        <v>280</v>
      </c>
      <c r="D538" s="11">
        <v>45967.618055555555</v>
      </c>
      <c r="E538" s="11">
        <v>45967.618055555555</v>
      </c>
      <c r="F538" s="11">
        <v>45967.65625</v>
      </c>
      <c r="G538" s="12">
        <v>3.8194444445252884E-2</v>
      </c>
      <c r="H538" s="2" t="s">
        <v>248</v>
      </c>
      <c r="J538" s="2" t="s">
        <v>249</v>
      </c>
      <c r="K538" s="2" t="s">
        <v>349</v>
      </c>
      <c r="L538" s="2" t="s">
        <v>677</v>
      </c>
      <c r="M538" t="s">
        <v>251</v>
      </c>
      <c r="N538" t="s">
        <v>330</v>
      </c>
      <c r="O538" t="s">
        <v>331</v>
      </c>
      <c r="P538" t="s">
        <v>1558</v>
      </c>
      <c r="Q538" t="s">
        <v>966</v>
      </c>
    </row>
    <row r="539" spans="1:17">
      <c r="A539" s="2" t="s">
        <v>781</v>
      </c>
      <c r="B539" s="2" t="s">
        <v>268</v>
      </c>
      <c r="C539" s="2" t="s">
        <v>281</v>
      </c>
      <c r="D539" s="11">
        <v>45967.618055555555</v>
      </c>
      <c r="E539" s="11">
        <v>45967.618055555555</v>
      </c>
      <c r="F539" s="11">
        <v>45967.65625</v>
      </c>
      <c r="G539" s="12">
        <v>3.8194444445252884E-2</v>
      </c>
      <c r="H539" s="2" t="s">
        <v>248</v>
      </c>
      <c r="J539" s="2" t="s">
        <v>249</v>
      </c>
      <c r="K539" s="2" t="s">
        <v>349</v>
      </c>
      <c r="L539" s="2" t="s">
        <v>677</v>
      </c>
      <c r="M539" t="s">
        <v>251</v>
      </c>
      <c r="N539" t="s">
        <v>330</v>
      </c>
      <c r="O539" t="s">
        <v>331</v>
      </c>
      <c r="P539" t="s">
        <v>1559</v>
      </c>
      <c r="Q539" t="s">
        <v>966</v>
      </c>
    </row>
    <row r="540" spans="1:17">
      <c r="A540" s="2" t="s">
        <v>781</v>
      </c>
      <c r="B540" s="2" t="s">
        <v>268</v>
      </c>
      <c r="C540" s="2" t="s">
        <v>282</v>
      </c>
      <c r="D540" s="11">
        <v>45967.618055555555</v>
      </c>
      <c r="E540" s="11">
        <v>45967.618055555555</v>
      </c>
      <c r="F540" s="11">
        <v>45967.65625</v>
      </c>
      <c r="G540" s="12">
        <v>3.8194444445252884E-2</v>
      </c>
      <c r="H540" s="2" t="s">
        <v>248</v>
      </c>
      <c r="J540" s="2" t="s">
        <v>249</v>
      </c>
      <c r="K540" s="2" t="s">
        <v>349</v>
      </c>
      <c r="L540" s="2" t="s">
        <v>677</v>
      </c>
      <c r="M540" t="s">
        <v>251</v>
      </c>
      <c r="N540" t="s">
        <v>330</v>
      </c>
      <c r="O540" t="s">
        <v>331</v>
      </c>
      <c r="P540" t="s">
        <v>1560</v>
      </c>
      <c r="Q540" t="s">
        <v>966</v>
      </c>
    </row>
    <row r="541" spans="1:17">
      <c r="A541" s="2" t="s">
        <v>781</v>
      </c>
      <c r="B541" s="2" t="s">
        <v>268</v>
      </c>
      <c r="C541" s="2" t="s">
        <v>283</v>
      </c>
      <c r="D541" s="11">
        <v>45967.618055555555</v>
      </c>
      <c r="E541" s="11">
        <v>45967.618055555555</v>
      </c>
      <c r="F541" s="11">
        <v>45967.65625</v>
      </c>
      <c r="G541" s="12">
        <v>3.8194444445252884E-2</v>
      </c>
      <c r="H541" s="2" t="s">
        <v>248</v>
      </c>
      <c r="J541" s="2" t="s">
        <v>249</v>
      </c>
      <c r="K541" s="2" t="s">
        <v>349</v>
      </c>
      <c r="L541" s="2" t="s">
        <v>677</v>
      </c>
      <c r="M541" t="s">
        <v>251</v>
      </c>
      <c r="N541" t="s">
        <v>330</v>
      </c>
      <c r="O541" t="s">
        <v>331</v>
      </c>
      <c r="P541" t="s">
        <v>1561</v>
      </c>
      <c r="Q541" t="s">
        <v>966</v>
      </c>
    </row>
    <row r="542" spans="1:17">
      <c r="A542" s="2" t="s">
        <v>794</v>
      </c>
      <c r="B542" s="2" t="s">
        <v>268</v>
      </c>
      <c r="C542" s="2" t="s">
        <v>284</v>
      </c>
      <c r="D542" s="11">
        <v>45967.618055555555</v>
      </c>
      <c r="E542" s="11">
        <v>45967.618055555555</v>
      </c>
      <c r="F542" s="11">
        <v>45967.65625</v>
      </c>
      <c r="G542" s="12">
        <v>3.8194444445252884E-2</v>
      </c>
      <c r="H542" s="2" t="s">
        <v>248</v>
      </c>
      <c r="J542" s="2" t="s">
        <v>249</v>
      </c>
      <c r="K542" s="2" t="s">
        <v>349</v>
      </c>
      <c r="L542" s="2" t="s">
        <v>677</v>
      </c>
      <c r="M542" t="s">
        <v>251</v>
      </c>
      <c r="N542" t="s">
        <v>330</v>
      </c>
      <c r="O542" t="s">
        <v>331</v>
      </c>
      <c r="P542" t="s">
        <v>1562</v>
      </c>
      <c r="Q542" t="s">
        <v>966</v>
      </c>
    </row>
    <row r="543" spans="1:17">
      <c r="A543" s="2" t="s">
        <v>794</v>
      </c>
      <c r="B543" s="2" t="s">
        <v>268</v>
      </c>
      <c r="C543" s="2" t="s">
        <v>285</v>
      </c>
      <c r="D543" s="11">
        <v>45967.618055555555</v>
      </c>
      <c r="E543" s="11">
        <v>45967.618055555555</v>
      </c>
      <c r="F543" s="11">
        <v>45967.65625</v>
      </c>
      <c r="G543" s="12">
        <v>3.8194444445252884E-2</v>
      </c>
      <c r="H543" s="2" t="s">
        <v>248</v>
      </c>
      <c r="J543" s="2" t="s">
        <v>249</v>
      </c>
      <c r="K543" s="2" t="s">
        <v>349</v>
      </c>
      <c r="L543" s="2" t="s">
        <v>677</v>
      </c>
      <c r="M543" t="s">
        <v>251</v>
      </c>
      <c r="N543" t="s">
        <v>330</v>
      </c>
      <c r="O543" t="s">
        <v>331</v>
      </c>
      <c r="P543" t="s">
        <v>1563</v>
      </c>
      <c r="Q543" t="s">
        <v>966</v>
      </c>
    </row>
    <row r="544" spans="1:17">
      <c r="A544" s="2" t="s">
        <v>794</v>
      </c>
      <c r="B544" s="2" t="s">
        <v>268</v>
      </c>
      <c r="C544" s="2" t="s">
        <v>286</v>
      </c>
      <c r="D544" s="11">
        <v>45967.618055555555</v>
      </c>
      <c r="E544" s="11">
        <v>45967.618055555555</v>
      </c>
      <c r="F544" s="11">
        <v>45967.65625</v>
      </c>
      <c r="G544" s="12">
        <v>3.8194444445252884E-2</v>
      </c>
      <c r="H544" s="2" t="s">
        <v>248</v>
      </c>
      <c r="J544" s="2" t="s">
        <v>249</v>
      </c>
      <c r="K544" s="2" t="s">
        <v>349</v>
      </c>
      <c r="L544" s="2" t="s">
        <v>677</v>
      </c>
      <c r="M544" t="s">
        <v>251</v>
      </c>
      <c r="N544" t="s">
        <v>330</v>
      </c>
      <c r="O544" t="s">
        <v>331</v>
      </c>
      <c r="P544" t="s">
        <v>1564</v>
      </c>
      <c r="Q544" t="s">
        <v>966</v>
      </c>
    </row>
    <row r="545" spans="1:17">
      <c r="A545" s="2" t="s">
        <v>794</v>
      </c>
      <c r="B545" s="2" t="s">
        <v>268</v>
      </c>
      <c r="C545" s="2" t="s">
        <v>287</v>
      </c>
      <c r="D545" s="11">
        <v>45967.618055555555</v>
      </c>
      <c r="E545" s="11">
        <v>45967.618055555555</v>
      </c>
      <c r="F545" s="11">
        <v>45967.65625</v>
      </c>
      <c r="G545" s="12">
        <v>3.8194444445252884E-2</v>
      </c>
      <c r="H545" s="2" t="s">
        <v>248</v>
      </c>
      <c r="J545" s="2" t="s">
        <v>249</v>
      </c>
      <c r="K545" s="2" t="s">
        <v>349</v>
      </c>
      <c r="L545" s="2" t="s">
        <v>677</v>
      </c>
      <c r="M545" t="s">
        <v>251</v>
      </c>
      <c r="N545" t="s">
        <v>330</v>
      </c>
      <c r="O545" t="s">
        <v>331</v>
      </c>
      <c r="P545" t="s">
        <v>1565</v>
      </c>
      <c r="Q545" t="s">
        <v>966</v>
      </c>
    </row>
    <row r="546" spans="1:17">
      <c r="A546" s="2" t="s">
        <v>794</v>
      </c>
      <c r="B546" s="2" t="s">
        <v>268</v>
      </c>
      <c r="C546" s="2" t="s">
        <v>288</v>
      </c>
      <c r="D546" s="11">
        <v>45967.618055555555</v>
      </c>
      <c r="E546" s="11">
        <v>45967.618055555555</v>
      </c>
      <c r="F546" s="11">
        <v>45967.65625</v>
      </c>
      <c r="G546" s="12">
        <v>3.8194444445252884E-2</v>
      </c>
      <c r="H546" s="2" t="s">
        <v>248</v>
      </c>
      <c r="J546" s="2" t="s">
        <v>249</v>
      </c>
      <c r="K546" s="2" t="s">
        <v>349</v>
      </c>
      <c r="L546" s="2" t="s">
        <v>677</v>
      </c>
      <c r="M546" t="s">
        <v>251</v>
      </c>
      <c r="N546" t="s">
        <v>330</v>
      </c>
      <c r="O546" t="s">
        <v>331</v>
      </c>
      <c r="P546" t="s">
        <v>1566</v>
      </c>
      <c r="Q546" t="s">
        <v>966</v>
      </c>
    </row>
    <row r="547" spans="1:17">
      <c r="A547" s="2" t="s">
        <v>795</v>
      </c>
      <c r="B547" s="2" t="s">
        <v>268</v>
      </c>
      <c r="C547" s="2" t="s">
        <v>289</v>
      </c>
      <c r="D547" s="11">
        <v>45967.618055555555</v>
      </c>
      <c r="E547" s="11">
        <v>45967.618055555555</v>
      </c>
      <c r="F547" s="11">
        <v>45967.65625</v>
      </c>
      <c r="G547" s="12">
        <v>3.8194444445252884E-2</v>
      </c>
      <c r="H547" s="2" t="s">
        <v>248</v>
      </c>
      <c r="J547" s="2" t="s">
        <v>249</v>
      </c>
      <c r="K547" s="2" t="s">
        <v>349</v>
      </c>
      <c r="L547" s="2" t="s">
        <v>677</v>
      </c>
      <c r="M547" t="s">
        <v>251</v>
      </c>
      <c r="N547" t="s">
        <v>330</v>
      </c>
      <c r="O547" t="s">
        <v>331</v>
      </c>
      <c r="P547" t="s">
        <v>1567</v>
      </c>
      <c r="Q547" t="s">
        <v>966</v>
      </c>
    </row>
    <row r="548" spans="1:17">
      <c r="A548" s="2" t="s">
        <v>795</v>
      </c>
      <c r="B548" s="2" t="s">
        <v>268</v>
      </c>
      <c r="C548" s="2" t="s">
        <v>290</v>
      </c>
      <c r="D548" s="11">
        <v>45967.618055555555</v>
      </c>
      <c r="E548" s="11">
        <v>45967.618055555555</v>
      </c>
      <c r="F548" s="11">
        <v>45967.65625</v>
      </c>
      <c r="G548" s="12">
        <v>3.8194444445252884E-2</v>
      </c>
      <c r="H548" s="2" t="s">
        <v>248</v>
      </c>
      <c r="J548" s="2" t="s">
        <v>249</v>
      </c>
      <c r="K548" s="2" t="s">
        <v>349</v>
      </c>
      <c r="L548" s="2" t="s">
        <v>677</v>
      </c>
      <c r="M548" t="s">
        <v>251</v>
      </c>
      <c r="N548" t="s">
        <v>330</v>
      </c>
      <c r="O548" t="s">
        <v>331</v>
      </c>
      <c r="P548" t="s">
        <v>1568</v>
      </c>
      <c r="Q548" t="s">
        <v>966</v>
      </c>
    </row>
    <row r="549" spans="1:17">
      <c r="A549" s="2" t="s">
        <v>795</v>
      </c>
      <c r="B549" s="2" t="s">
        <v>268</v>
      </c>
      <c r="C549" s="2" t="s">
        <v>291</v>
      </c>
      <c r="D549" s="11">
        <v>45967.618055555555</v>
      </c>
      <c r="E549" s="11">
        <v>45967.618055555555</v>
      </c>
      <c r="F549" s="11">
        <v>45967.65625</v>
      </c>
      <c r="G549" s="12">
        <v>3.8194444445252884E-2</v>
      </c>
      <c r="H549" s="2" t="s">
        <v>248</v>
      </c>
      <c r="J549" s="2" t="s">
        <v>249</v>
      </c>
      <c r="K549" s="2" t="s">
        <v>349</v>
      </c>
      <c r="L549" s="2" t="s">
        <v>677</v>
      </c>
      <c r="M549" t="s">
        <v>251</v>
      </c>
      <c r="N549" t="s">
        <v>330</v>
      </c>
      <c r="O549" t="s">
        <v>331</v>
      </c>
      <c r="P549" t="s">
        <v>1569</v>
      </c>
      <c r="Q549" t="s">
        <v>966</v>
      </c>
    </row>
    <row r="550" spans="1:17">
      <c r="A550" s="2" t="s">
        <v>795</v>
      </c>
      <c r="B550" s="2" t="s">
        <v>268</v>
      </c>
      <c r="C550" s="2" t="s">
        <v>292</v>
      </c>
      <c r="D550" s="11">
        <v>45967.618055555555</v>
      </c>
      <c r="E550" s="11">
        <v>45967.618055555555</v>
      </c>
      <c r="F550" s="11">
        <v>45967.65625</v>
      </c>
      <c r="G550" s="12">
        <v>3.8194444445252884E-2</v>
      </c>
      <c r="H550" s="2" t="s">
        <v>248</v>
      </c>
      <c r="J550" s="2" t="s">
        <v>249</v>
      </c>
      <c r="K550" s="2" t="s">
        <v>349</v>
      </c>
      <c r="L550" s="2" t="s">
        <v>677</v>
      </c>
      <c r="M550" t="s">
        <v>251</v>
      </c>
      <c r="N550" t="s">
        <v>330</v>
      </c>
      <c r="O550" t="s">
        <v>331</v>
      </c>
      <c r="P550" t="s">
        <v>1570</v>
      </c>
      <c r="Q550" t="s">
        <v>966</v>
      </c>
    </row>
    <row r="551" spans="1:17">
      <c r="A551" s="2" t="s">
        <v>796</v>
      </c>
      <c r="B551" s="2" t="s">
        <v>268</v>
      </c>
      <c r="C551" s="2" t="s">
        <v>293</v>
      </c>
      <c r="D551" s="11">
        <v>45967.618055555555</v>
      </c>
      <c r="E551" s="11">
        <v>45967.618055555555</v>
      </c>
      <c r="F551" s="11">
        <v>45967.65625</v>
      </c>
      <c r="G551" s="12">
        <v>3.8194444445252884E-2</v>
      </c>
      <c r="H551" s="2" t="s">
        <v>248</v>
      </c>
      <c r="J551" s="2" t="s">
        <v>249</v>
      </c>
      <c r="K551" s="2" t="s">
        <v>349</v>
      </c>
      <c r="L551" s="2" t="s">
        <v>677</v>
      </c>
      <c r="M551" t="s">
        <v>251</v>
      </c>
      <c r="N551" t="s">
        <v>330</v>
      </c>
      <c r="O551" t="s">
        <v>331</v>
      </c>
      <c r="P551" t="s">
        <v>1571</v>
      </c>
      <c r="Q551" t="s">
        <v>966</v>
      </c>
    </row>
    <row r="552" spans="1:17">
      <c r="A552" s="2" t="s">
        <v>796</v>
      </c>
      <c r="B552" s="2" t="s">
        <v>268</v>
      </c>
      <c r="C552" s="2" t="s">
        <v>294</v>
      </c>
      <c r="D552" s="11">
        <v>45967.618055555555</v>
      </c>
      <c r="E552" s="11">
        <v>45967.618055555555</v>
      </c>
      <c r="F552" s="11">
        <v>45967.65625</v>
      </c>
      <c r="G552" s="12">
        <v>3.8194444445252884E-2</v>
      </c>
      <c r="H552" s="2" t="s">
        <v>248</v>
      </c>
      <c r="J552" s="2" t="s">
        <v>249</v>
      </c>
      <c r="K552" s="2" t="s">
        <v>349</v>
      </c>
      <c r="L552" s="2" t="s">
        <v>677</v>
      </c>
      <c r="M552" t="s">
        <v>251</v>
      </c>
      <c r="N552" t="s">
        <v>330</v>
      </c>
      <c r="O552" t="s">
        <v>331</v>
      </c>
      <c r="P552" t="s">
        <v>1572</v>
      </c>
      <c r="Q552" t="s">
        <v>966</v>
      </c>
    </row>
    <row r="553" spans="1:17">
      <c r="A553" s="2" t="s">
        <v>796</v>
      </c>
      <c r="B553" s="2" t="s">
        <v>268</v>
      </c>
      <c r="C553" s="2" t="s">
        <v>295</v>
      </c>
      <c r="D553" s="11">
        <v>45967.618055555555</v>
      </c>
      <c r="E553" s="11">
        <v>45967.618055555555</v>
      </c>
      <c r="F553" s="11">
        <v>45967.65625</v>
      </c>
      <c r="G553" s="12">
        <v>3.8194444445252884E-2</v>
      </c>
      <c r="H553" s="2" t="s">
        <v>248</v>
      </c>
      <c r="J553" s="2" t="s">
        <v>249</v>
      </c>
      <c r="K553" s="2" t="s">
        <v>349</v>
      </c>
      <c r="L553" s="2" t="s">
        <v>677</v>
      </c>
      <c r="M553" t="s">
        <v>251</v>
      </c>
      <c r="N553" t="s">
        <v>330</v>
      </c>
      <c r="O553" t="s">
        <v>331</v>
      </c>
      <c r="P553" t="s">
        <v>1573</v>
      </c>
      <c r="Q553" t="s">
        <v>966</v>
      </c>
    </row>
    <row r="554" spans="1:17">
      <c r="A554" s="2" t="s">
        <v>796</v>
      </c>
      <c r="B554" s="2" t="s">
        <v>268</v>
      </c>
      <c r="C554" s="2" t="s">
        <v>296</v>
      </c>
      <c r="D554" s="11">
        <v>45967.618055555555</v>
      </c>
      <c r="E554" s="11">
        <v>45967.618055555555</v>
      </c>
      <c r="F554" s="11">
        <v>45967.65625</v>
      </c>
      <c r="G554" s="12">
        <v>3.8194444445252884E-2</v>
      </c>
      <c r="H554" s="2" t="s">
        <v>248</v>
      </c>
      <c r="J554" s="2" t="s">
        <v>249</v>
      </c>
      <c r="K554" s="2" t="s">
        <v>349</v>
      </c>
      <c r="L554" s="2" t="s">
        <v>677</v>
      </c>
      <c r="M554" t="s">
        <v>251</v>
      </c>
      <c r="N554" t="s">
        <v>330</v>
      </c>
      <c r="O554" t="s">
        <v>331</v>
      </c>
      <c r="P554" t="s">
        <v>1574</v>
      </c>
      <c r="Q554" t="s">
        <v>966</v>
      </c>
    </row>
    <row r="555" spans="1:17">
      <c r="A555" s="2" t="s">
        <v>796</v>
      </c>
      <c r="B555" s="2" t="s">
        <v>268</v>
      </c>
      <c r="C555" s="2" t="s">
        <v>297</v>
      </c>
      <c r="D555" s="11">
        <v>45967.618055555555</v>
      </c>
      <c r="E555" s="11">
        <v>45967.618055555555</v>
      </c>
      <c r="F555" s="11">
        <v>45967.65625</v>
      </c>
      <c r="G555" s="12">
        <v>3.8194444445252884E-2</v>
      </c>
      <c r="H555" s="2" t="s">
        <v>248</v>
      </c>
      <c r="J555" s="2" t="s">
        <v>249</v>
      </c>
      <c r="K555" s="2" t="s">
        <v>349</v>
      </c>
      <c r="L555" s="2" t="s">
        <v>677</v>
      </c>
      <c r="M555" t="s">
        <v>251</v>
      </c>
      <c r="N555" t="s">
        <v>330</v>
      </c>
      <c r="O555" t="s">
        <v>331</v>
      </c>
      <c r="P555" t="s">
        <v>1575</v>
      </c>
      <c r="Q555" t="s">
        <v>966</v>
      </c>
    </row>
    <row r="556" spans="1:17">
      <c r="A556" s="2" t="s">
        <v>246</v>
      </c>
      <c r="B556" s="2" t="s">
        <v>246</v>
      </c>
      <c r="C556" s="2" t="s">
        <v>247</v>
      </c>
      <c r="D556" s="11">
        <v>45967.618055555555</v>
      </c>
      <c r="E556" s="11">
        <v>45967.618055555555</v>
      </c>
      <c r="F556" s="11">
        <v>45967.65625</v>
      </c>
      <c r="G556" s="12">
        <v>3.8194444445252884E-2</v>
      </c>
      <c r="H556" s="2" t="s">
        <v>248</v>
      </c>
      <c r="J556" s="2" t="s">
        <v>249</v>
      </c>
      <c r="K556" s="2" t="s">
        <v>349</v>
      </c>
      <c r="L556" s="2" t="s">
        <v>677</v>
      </c>
      <c r="M556" t="s">
        <v>251</v>
      </c>
      <c r="N556" t="s">
        <v>330</v>
      </c>
      <c r="O556" t="s">
        <v>331</v>
      </c>
      <c r="P556" t="s">
        <v>1576</v>
      </c>
      <c r="Q556" t="s">
        <v>966</v>
      </c>
    </row>
    <row r="557" spans="1:17">
      <c r="A557" s="2" t="s">
        <v>246</v>
      </c>
      <c r="B557" s="2" t="s">
        <v>246</v>
      </c>
      <c r="C557" s="2" t="s">
        <v>254</v>
      </c>
      <c r="D557" s="11">
        <v>45967.618055555555</v>
      </c>
      <c r="E557" s="11">
        <v>45967.618055555555</v>
      </c>
      <c r="F557" s="11">
        <v>45967.65625</v>
      </c>
      <c r="G557" s="12">
        <v>3.8194444445252884E-2</v>
      </c>
      <c r="H557" s="2" t="s">
        <v>248</v>
      </c>
      <c r="J557" s="2" t="s">
        <v>249</v>
      </c>
      <c r="K557" s="2" t="s">
        <v>349</v>
      </c>
      <c r="L557" s="2" t="s">
        <v>677</v>
      </c>
      <c r="M557" t="s">
        <v>251</v>
      </c>
      <c r="N557" t="s">
        <v>330</v>
      </c>
      <c r="O557" t="s">
        <v>331</v>
      </c>
      <c r="P557" t="s">
        <v>1577</v>
      </c>
      <c r="Q557" t="s">
        <v>966</v>
      </c>
    </row>
    <row r="558" spans="1:17">
      <c r="A558" s="2" t="s">
        <v>246</v>
      </c>
      <c r="B558" s="2" t="s">
        <v>246</v>
      </c>
      <c r="C558" s="2" t="s">
        <v>255</v>
      </c>
      <c r="D558" s="11">
        <v>45967.618055555555</v>
      </c>
      <c r="E558" s="11">
        <v>45967.618055555555</v>
      </c>
      <c r="F558" s="11">
        <v>45967.65625</v>
      </c>
      <c r="G558" s="12">
        <v>3.8194444445252884E-2</v>
      </c>
      <c r="H558" s="2" t="s">
        <v>248</v>
      </c>
      <c r="J558" s="2" t="s">
        <v>249</v>
      </c>
      <c r="K558" s="2" t="s">
        <v>349</v>
      </c>
      <c r="L558" s="2" t="s">
        <v>677</v>
      </c>
      <c r="M558" t="s">
        <v>251</v>
      </c>
      <c r="N558" t="s">
        <v>330</v>
      </c>
      <c r="O558" t="s">
        <v>331</v>
      </c>
      <c r="P558" t="s">
        <v>1578</v>
      </c>
      <c r="Q558" t="s">
        <v>966</v>
      </c>
    </row>
    <row r="559" spans="1:17">
      <c r="A559" s="2" t="s">
        <v>246</v>
      </c>
      <c r="B559" s="2" t="s">
        <v>246</v>
      </c>
      <c r="C559" s="2" t="s">
        <v>256</v>
      </c>
      <c r="D559" s="11">
        <v>45967.618055555555</v>
      </c>
      <c r="E559" s="11">
        <v>45967.618055555555</v>
      </c>
      <c r="F559" s="11">
        <v>45967.65625</v>
      </c>
      <c r="G559" s="12">
        <v>3.8194444445252884E-2</v>
      </c>
      <c r="H559" s="2" t="s">
        <v>248</v>
      </c>
      <c r="J559" s="2" t="s">
        <v>249</v>
      </c>
      <c r="K559" s="2" t="s">
        <v>349</v>
      </c>
      <c r="L559" s="2" t="s">
        <v>677</v>
      </c>
      <c r="M559" t="s">
        <v>251</v>
      </c>
      <c r="N559" t="s">
        <v>330</v>
      </c>
      <c r="O559" t="s">
        <v>331</v>
      </c>
      <c r="P559" t="s">
        <v>1579</v>
      </c>
      <c r="Q559" t="s">
        <v>966</v>
      </c>
    </row>
    <row r="560" spans="1:17">
      <c r="A560" s="2" t="s">
        <v>246</v>
      </c>
      <c r="B560" s="2" t="s">
        <v>246</v>
      </c>
      <c r="C560" s="2" t="s">
        <v>257</v>
      </c>
      <c r="D560" s="11">
        <v>45967.618055555555</v>
      </c>
      <c r="E560" s="11">
        <v>45967.618055555555</v>
      </c>
      <c r="F560" s="11">
        <v>45967.65625</v>
      </c>
      <c r="G560" s="12">
        <v>3.8194444445252884E-2</v>
      </c>
      <c r="H560" s="2" t="s">
        <v>248</v>
      </c>
      <c r="J560" s="2" t="s">
        <v>249</v>
      </c>
      <c r="K560" s="2" t="s">
        <v>349</v>
      </c>
      <c r="L560" s="2" t="s">
        <v>677</v>
      </c>
      <c r="M560" t="s">
        <v>251</v>
      </c>
      <c r="N560" t="s">
        <v>330</v>
      </c>
      <c r="O560" t="s">
        <v>331</v>
      </c>
      <c r="P560" t="s">
        <v>1580</v>
      </c>
      <c r="Q560" t="s">
        <v>966</v>
      </c>
    </row>
    <row r="561" spans="1:17">
      <c r="A561" s="2" t="s">
        <v>258</v>
      </c>
      <c r="B561" s="2" t="s">
        <v>258</v>
      </c>
      <c r="C561" s="2" t="s">
        <v>247</v>
      </c>
      <c r="D561" s="11">
        <v>45967.618055555555</v>
      </c>
      <c r="E561" s="11">
        <v>45967.618055555555</v>
      </c>
      <c r="F561" s="11">
        <v>45967.65625</v>
      </c>
      <c r="G561" s="12">
        <v>3.8194444445252884E-2</v>
      </c>
      <c r="H561" s="2" t="s">
        <v>248</v>
      </c>
      <c r="J561" s="2" t="s">
        <v>249</v>
      </c>
      <c r="K561" s="2" t="s">
        <v>349</v>
      </c>
      <c r="L561" s="2" t="s">
        <v>677</v>
      </c>
      <c r="M561" t="s">
        <v>251</v>
      </c>
      <c r="N561" t="s">
        <v>330</v>
      </c>
      <c r="O561" t="s">
        <v>331</v>
      </c>
      <c r="P561" t="s">
        <v>1581</v>
      </c>
      <c r="Q561" t="s">
        <v>966</v>
      </c>
    </row>
    <row r="562" spans="1:17">
      <c r="A562" s="2" t="s">
        <v>258</v>
      </c>
      <c r="B562" s="2" t="s">
        <v>258</v>
      </c>
      <c r="C562" s="2" t="s">
        <v>254</v>
      </c>
      <c r="D562" s="11">
        <v>45967.618055555555</v>
      </c>
      <c r="E562" s="11">
        <v>45967.618055555555</v>
      </c>
      <c r="F562" s="11">
        <v>45967.65625</v>
      </c>
      <c r="G562" s="12">
        <v>3.8194444445252884E-2</v>
      </c>
      <c r="H562" s="2" t="s">
        <v>248</v>
      </c>
      <c r="J562" s="2" t="s">
        <v>249</v>
      </c>
      <c r="K562" s="2" t="s">
        <v>349</v>
      </c>
      <c r="L562" s="2" t="s">
        <v>677</v>
      </c>
      <c r="M562" t="s">
        <v>251</v>
      </c>
      <c r="N562" t="s">
        <v>330</v>
      </c>
      <c r="O562" t="s">
        <v>331</v>
      </c>
      <c r="P562" t="s">
        <v>1582</v>
      </c>
      <c r="Q562" t="s">
        <v>966</v>
      </c>
    </row>
    <row r="563" spans="1:17">
      <c r="A563" s="2" t="s">
        <v>258</v>
      </c>
      <c r="B563" s="2" t="s">
        <v>258</v>
      </c>
      <c r="C563" s="2" t="s">
        <v>255</v>
      </c>
      <c r="D563" s="11">
        <v>45967.618055555555</v>
      </c>
      <c r="E563" s="11">
        <v>45967.618055555555</v>
      </c>
      <c r="F563" s="11">
        <v>45967.65625</v>
      </c>
      <c r="G563" s="12">
        <v>3.8194444445252884E-2</v>
      </c>
      <c r="H563" s="2" t="s">
        <v>248</v>
      </c>
      <c r="J563" s="2" t="s">
        <v>249</v>
      </c>
      <c r="K563" s="2" t="s">
        <v>349</v>
      </c>
      <c r="L563" s="2" t="s">
        <v>677</v>
      </c>
      <c r="M563" t="s">
        <v>251</v>
      </c>
      <c r="N563" t="s">
        <v>330</v>
      </c>
      <c r="O563" t="s">
        <v>331</v>
      </c>
      <c r="P563" t="s">
        <v>1583</v>
      </c>
      <c r="Q563" t="s">
        <v>966</v>
      </c>
    </row>
    <row r="564" spans="1:17">
      <c r="A564" s="2" t="s">
        <v>258</v>
      </c>
      <c r="B564" s="2" t="s">
        <v>258</v>
      </c>
      <c r="C564" s="2" t="s">
        <v>256</v>
      </c>
      <c r="D564" s="11">
        <v>45967.618055555555</v>
      </c>
      <c r="E564" s="11">
        <v>45967.618055555555</v>
      </c>
      <c r="F564" s="11">
        <v>45967.65625</v>
      </c>
      <c r="G564" s="12">
        <v>3.8194444445252884E-2</v>
      </c>
      <c r="H564" s="2" t="s">
        <v>248</v>
      </c>
      <c r="J564" s="2" t="s">
        <v>249</v>
      </c>
      <c r="K564" s="2" t="s">
        <v>349</v>
      </c>
      <c r="L564" s="2" t="s">
        <v>677</v>
      </c>
      <c r="M564" t="s">
        <v>251</v>
      </c>
      <c r="N564" t="s">
        <v>330</v>
      </c>
      <c r="O564" t="s">
        <v>331</v>
      </c>
      <c r="P564" t="s">
        <v>1584</v>
      </c>
      <c r="Q564" t="s">
        <v>966</v>
      </c>
    </row>
    <row r="565" spans="1:17">
      <c r="A565" s="2" t="s">
        <v>258</v>
      </c>
      <c r="B565" s="2" t="s">
        <v>258</v>
      </c>
      <c r="C565" s="2" t="s">
        <v>257</v>
      </c>
      <c r="D565" s="11">
        <v>45967.618055555555</v>
      </c>
      <c r="E565" s="11">
        <v>45967.618055555555</v>
      </c>
      <c r="F565" s="11">
        <v>45967.65625</v>
      </c>
      <c r="G565" s="12">
        <v>3.8194444445252884E-2</v>
      </c>
      <c r="H565" s="2" t="s">
        <v>248</v>
      </c>
      <c r="J565" s="2" t="s">
        <v>249</v>
      </c>
      <c r="K565" s="2" t="s">
        <v>349</v>
      </c>
      <c r="L565" s="2" t="s">
        <v>677</v>
      </c>
      <c r="M565" t="s">
        <v>251</v>
      </c>
      <c r="N565" t="s">
        <v>330</v>
      </c>
      <c r="O565" t="s">
        <v>331</v>
      </c>
      <c r="P565" t="s">
        <v>1585</v>
      </c>
      <c r="Q565" t="s">
        <v>966</v>
      </c>
    </row>
    <row r="566" spans="1:17">
      <c r="A566" s="2" t="s">
        <v>259</v>
      </c>
      <c r="B566" s="2" t="s">
        <v>259</v>
      </c>
      <c r="C566" s="2" t="s">
        <v>247</v>
      </c>
      <c r="D566" s="11">
        <v>45967.618055555555</v>
      </c>
      <c r="E566" s="11">
        <v>45967.618055555555</v>
      </c>
      <c r="F566" s="11">
        <v>45967.65625</v>
      </c>
      <c r="G566" s="12">
        <v>3.8194444445252884E-2</v>
      </c>
      <c r="H566" s="2" t="s">
        <v>248</v>
      </c>
      <c r="J566" s="2" t="s">
        <v>249</v>
      </c>
      <c r="K566" s="2" t="s">
        <v>349</v>
      </c>
      <c r="L566" s="2" t="s">
        <v>677</v>
      </c>
      <c r="M566" t="s">
        <v>251</v>
      </c>
      <c r="N566" t="s">
        <v>330</v>
      </c>
      <c r="O566" t="s">
        <v>331</v>
      </c>
      <c r="P566" t="s">
        <v>1586</v>
      </c>
      <c r="Q566" t="s">
        <v>966</v>
      </c>
    </row>
    <row r="567" spans="1:17">
      <c r="A567" s="2" t="s">
        <v>259</v>
      </c>
      <c r="B567" s="2" t="s">
        <v>259</v>
      </c>
      <c r="C567" s="2" t="s">
        <v>254</v>
      </c>
      <c r="D567" s="11">
        <v>45967.618055555555</v>
      </c>
      <c r="E567" s="11">
        <v>45967.618055555555</v>
      </c>
      <c r="F567" s="11">
        <v>45967.65625</v>
      </c>
      <c r="G567" s="12">
        <v>3.8194444445252884E-2</v>
      </c>
      <c r="H567" s="2" t="s">
        <v>248</v>
      </c>
      <c r="J567" s="2" t="s">
        <v>249</v>
      </c>
      <c r="K567" s="2" t="s">
        <v>349</v>
      </c>
      <c r="L567" s="2" t="s">
        <v>677</v>
      </c>
      <c r="M567" t="s">
        <v>251</v>
      </c>
      <c r="N567" t="s">
        <v>330</v>
      </c>
      <c r="O567" t="s">
        <v>331</v>
      </c>
      <c r="P567" t="s">
        <v>1587</v>
      </c>
      <c r="Q567" t="s">
        <v>966</v>
      </c>
    </row>
    <row r="568" spans="1:17">
      <c r="A568" s="2" t="s">
        <v>259</v>
      </c>
      <c r="B568" s="2" t="s">
        <v>259</v>
      </c>
      <c r="C568" s="2" t="s">
        <v>255</v>
      </c>
      <c r="D568" s="11">
        <v>45967.618055555555</v>
      </c>
      <c r="E568" s="11">
        <v>45967.618055555555</v>
      </c>
      <c r="F568" s="11">
        <v>45967.65625</v>
      </c>
      <c r="G568" s="12">
        <v>3.8194444445252884E-2</v>
      </c>
      <c r="H568" s="2" t="s">
        <v>248</v>
      </c>
      <c r="J568" s="2" t="s">
        <v>249</v>
      </c>
      <c r="K568" s="2" t="s">
        <v>349</v>
      </c>
      <c r="L568" s="2" t="s">
        <v>677</v>
      </c>
      <c r="M568" t="s">
        <v>251</v>
      </c>
      <c r="N568" t="s">
        <v>330</v>
      </c>
      <c r="O568" t="s">
        <v>331</v>
      </c>
      <c r="P568" t="s">
        <v>1588</v>
      </c>
      <c r="Q568" t="s">
        <v>966</v>
      </c>
    </row>
    <row r="569" spans="1:17">
      <c r="A569" s="2" t="s">
        <v>259</v>
      </c>
      <c r="B569" s="2" t="s">
        <v>259</v>
      </c>
      <c r="C569" s="2" t="s">
        <v>256</v>
      </c>
      <c r="D569" s="11">
        <v>45967.618055555555</v>
      </c>
      <c r="E569" s="11">
        <v>45967.618055555555</v>
      </c>
      <c r="F569" s="11">
        <v>45967.65625</v>
      </c>
      <c r="G569" s="12">
        <v>3.8194444445252884E-2</v>
      </c>
      <c r="H569" s="2" t="s">
        <v>248</v>
      </c>
      <c r="J569" s="2" t="s">
        <v>249</v>
      </c>
      <c r="K569" s="2" t="s">
        <v>349</v>
      </c>
      <c r="L569" s="2" t="s">
        <v>677</v>
      </c>
      <c r="M569" t="s">
        <v>251</v>
      </c>
      <c r="N569" t="s">
        <v>330</v>
      </c>
      <c r="O569" t="s">
        <v>331</v>
      </c>
      <c r="P569" t="s">
        <v>1589</v>
      </c>
      <c r="Q569" t="s">
        <v>966</v>
      </c>
    </row>
    <row r="570" spans="1:17">
      <c r="A570" s="2" t="s">
        <v>259</v>
      </c>
      <c r="B570" s="2" t="s">
        <v>259</v>
      </c>
      <c r="C570" s="2" t="s">
        <v>257</v>
      </c>
      <c r="D570" s="11">
        <v>45967.618055555555</v>
      </c>
      <c r="E570" s="11">
        <v>45967.618055555555</v>
      </c>
      <c r="F570" s="11">
        <v>45967.65625</v>
      </c>
      <c r="G570" s="12">
        <v>3.8194444445252884E-2</v>
      </c>
      <c r="H570" s="2" t="s">
        <v>248</v>
      </c>
      <c r="J570" s="2" t="s">
        <v>249</v>
      </c>
      <c r="K570" s="2" t="s">
        <v>349</v>
      </c>
      <c r="L570" s="2" t="s">
        <v>677</v>
      </c>
      <c r="M570" t="s">
        <v>251</v>
      </c>
      <c r="N570" t="s">
        <v>330</v>
      </c>
      <c r="O570" t="s">
        <v>331</v>
      </c>
      <c r="P570" t="s">
        <v>1590</v>
      </c>
      <c r="Q570" t="s">
        <v>966</v>
      </c>
    </row>
    <row r="571" spans="1:17">
      <c r="A571" s="2" t="s">
        <v>771</v>
      </c>
      <c r="B571" s="2" t="s">
        <v>477</v>
      </c>
      <c r="C571" s="2" t="s">
        <v>634</v>
      </c>
      <c r="D571" s="11">
        <v>45967.618055555555</v>
      </c>
      <c r="E571" s="11">
        <v>45967.618055555555</v>
      </c>
      <c r="F571" s="11">
        <v>45967.702777777777</v>
      </c>
      <c r="G571" s="12">
        <v>8.4722222221898846E-2</v>
      </c>
      <c r="H571" s="2" t="s">
        <v>248</v>
      </c>
      <c r="J571" s="2" t="s">
        <v>249</v>
      </c>
      <c r="K571" s="2" t="s">
        <v>349</v>
      </c>
      <c r="L571" s="2" t="s">
        <v>971</v>
      </c>
      <c r="M571" t="s">
        <v>251</v>
      </c>
      <c r="N571" t="s">
        <v>330</v>
      </c>
      <c r="O571" t="s">
        <v>331</v>
      </c>
      <c r="P571" t="s">
        <v>1591</v>
      </c>
      <c r="Q571" t="s">
        <v>966</v>
      </c>
    </row>
    <row r="572" spans="1:17">
      <c r="A572" s="2" t="s">
        <v>773</v>
      </c>
      <c r="B572" s="2" t="s">
        <v>477</v>
      </c>
      <c r="C572" s="2" t="s">
        <v>628</v>
      </c>
      <c r="D572" s="11">
        <v>45967.618055555555</v>
      </c>
      <c r="E572" s="11">
        <v>45967.618055555555</v>
      </c>
      <c r="F572" s="11">
        <v>45967.702777777777</v>
      </c>
      <c r="G572" s="12">
        <v>8.4722222221898846E-2</v>
      </c>
      <c r="H572" s="2" t="s">
        <v>248</v>
      </c>
      <c r="J572" s="2" t="s">
        <v>249</v>
      </c>
      <c r="K572" s="2" t="s">
        <v>349</v>
      </c>
      <c r="L572" s="2" t="s">
        <v>971</v>
      </c>
      <c r="M572" t="s">
        <v>251</v>
      </c>
      <c r="N572" t="s">
        <v>330</v>
      </c>
      <c r="O572" t="s">
        <v>331</v>
      </c>
      <c r="P572" t="s">
        <v>1592</v>
      </c>
      <c r="Q572" t="s">
        <v>966</v>
      </c>
    </row>
    <row r="573" spans="1:17">
      <c r="A573" s="2" t="s">
        <v>773</v>
      </c>
      <c r="B573" s="2" t="s">
        <v>477</v>
      </c>
      <c r="C573" s="2" t="s">
        <v>491</v>
      </c>
      <c r="D573" s="11">
        <v>45967.618055555555</v>
      </c>
      <c r="E573" s="11">
        <v>45967.618055555555</v>
      </c>
      <c r="F573" s="11">
        <v>45967.702777777777</v>
      </c>
      <c r="G573" s="12">
        <v>8.4722222221898846E-2</v>
      </c>
      <c r="H573" s="2" t="s">
        <v>248</v>
      </c>
      <c r="J573" s="2" t="s">
        <v>249</v>
      </c>
      <c r="K573" s="2" t="s">
        <v>349</v>
      </c>
      <c r="L573" s="2" t="s">
        <v>971</v>
      </c>
      <c r="M573" t="s">
        <v>251</v>
      </c>
      <c r="N573" t="s">
        <v>330</v>
      </c>
      <c r="O573" t="s">
        <v>331</v>
      </c>
      <c r="P573" t="s">
        <v>1593</v>
      </c>
      <c r="Q573" t="s">
        <v>966</v>
      </c>
    </row>
    <row r="574" spans="1:17">
      <c r="A574" s="2" t="s">
        <v>773</v>
      </c>
      <c r="B574" s="2" t="s">
        <v>477</v>
      </c>
      <c r="C574" s="2" t="s">
        <v>488</v>
      </c>
      <c r="D574" s="11">
        <v>45967.618055555555</v>
      </c>
      <c r="E574" s="11">
        <v>45967.618055555555</v>
      </c>
      <c r="F574" s="11">
        <v>45967.702777777777</v>
      </c>
      <c r="G574" s="12">
        <v>8.4722222221898846E-2</v>
      </c>
      <c r="H574" s="2" t="s">
        <v>248</v>
      </c>
      <c r="J574" s="2" t="s">
        <v>249</v>
      </c>
      <c r="K574" s="2" t="s">
        <v>349</v>
      </c>
      <c r="L574" s="2" t="s">
        <v>971</v>
      </c>
      <c r="M574" t="s">
        <v>251</v>
      </c>
      <c r="N574" t="s">
        <v>330</v>
      </c>
      <c r="O574" t="s">
        <v>331</v>
      </c>
      <c r="P574" t="s">
        <v>1594</v>
      </c>
      <c r="Q574" t="s">
        <v>966</v>
      </c>
    </row>
    <row r="575" spans="1:17">
      <c r="A575" s="2" t="s">
        <v>773</v>
      </c>
      <c r="B575" s="2" t="s">
        <v>477</v>
      </c>
      <c r="C575" s="2" t="s">
        <v>492</v>
      </c>
      <c r="D575" s="11">
        <v>45967.618055555555</v>
      </c>
      <c r="E575" s="11">
        <v>45967.618055555555</v>
      </c>
      <c r="F575" s="11">
        <v>45967.702777777777</v>
      </c>
      <c r="G575" s="12">
        <v>8.4722222221898846E-2</v>
      </c>
      <c r="H575" s="2" t="s">
        <v>248</v>
      </c>
      <c r="J575" s="2" t="s">
        <v>249</v>
      </c>
      <c r="K575" s="2" t="s">
        <v>349</v>
      </c>
      <c r="L575" s="2" t="s">
        <v>971</v>
      </c>
      <c r="M575" t="s">
        <v>251</v>
      </c>
      <c r="N575" t="s">
        <v>330</v>
      </c>
      <c r="O575" t="s">
        <v>331</v>
      </c>
      <c r="P575" t="s">
        <v>1595</v>
      </c>
      <c r="Q575" t="s">
        <v>966</v>
      </c>
    </row>
    <row r="576" spans="1:17">
      <c r="A576" s="2" t="s">
        <v>773</v>
      </c>
      <c r="B576" s="2" t="s">
        <v>477</v>
      </c>
      <c r="C576" s="2" t="s">
        <v>490</v>
      </c>
      <c r="D576" s="11">
        <v>45967.618055555555</v>
      </c>
      <c r="E576" s="11">
        <v>45967.618055555555</v>
      </c>
      <c r="F576" s="11">
        <v>45967.702777777777</v>
      </c>
      <c r="G576" s="12">
        <v>8.4722222221898846E-2</v>
      </c>
      <c r="H576" s="2" t="s">
        <v>248</v>
      </c>
      <c r="J576" s="2" t="s">
        <v>249</v>
      </c>
      <c r="K576" s="2" t="s">
        <v>349</v>
      </c>
      <c r="L576" s="2" t="s">
        <v>971</v>
      </c>
      <c r="M576" t="s">
        <v>251</v>
      </c>
      <c r="N576" t="s">
        <v>330</v>
      </c>
      <c r="O576" t="s">
        <v>331</v>
      </c>
      <c r="P576" t="s">
        <v>1596</v>
      </c>
      <c r="Q576" t="s">
        <v>966</v>
      </c>
    </row>
    <row r="577" spans="1:17">
      <c r="A577" s="2" t="s">
        <v>773</v>
      </c>
      <c r="B577" s="2" t="s">
        <v>477</v>
      </c>
      <c r="C577" s="2" t="s">
        <v>978</v>
      </c>
      <c r="D577" s="11">
        <v>45967.618055555555</v>
      </c>
      <c r="E577" s="11">
        <v>45967.618055555555</v>
      </c>
      <c r="F577" s="11">
        <v>45967.702777777777</v>
      </c>
      <c r="G577" s="12">
        <v>8.4722222221898846E-2</v>
      </c>
      <c r="H577" s="2" t="s">
        <v>248</v>
      </c>
      <c r="J577" s="2" t="s">
        <v>249</v>
      </c>
      <c r="K577" s="2" t="s">
        <v>349</v>
      </c>
      <c r="L577" s="2" t="s">
        <v>971</v>
      </c>
      <c r="M577" t="s">
        <v>251</v>
      </c>
      <c r="N577" t="s">
        <v>330</v>
      </c>
      <c r="O577" t="s">
        <v>331</v>
      </c>
      <c r="P577" t="s">
        <v>1597</v>
      </c>
      <c r="Q577" t="s">
        <v>966</v>
      </c>
    </row>
    <row r="578" spans="1:17">
      <c r="A578" s="2" t="s">
        <v>782</v>
      </c>
      <c r="B578" s="2" t="s">
        <v>477</v>
      </c>
      <c r="C578" s="2" t="s">
        <v>489</v>
      </c>
      <c r="D578" s="11">
        <v>45967.618055555555</v>
      </c>
      <c r="E578" s="11">
        <v>45967.618055555555</v>
      </c>
      <c r="F578" s="11">
        <v>45967.702777777777</v>
      </c>
      <c r="G578" s="12">
        <v>8.4722222221898846E-2</v>
      </c>
      <c r="H578" s="2" t="s">
        <v>248</v>
      </c>
      <c r="J578" s="2" t="s">
        <v>249</v>
      </c>
      <c r="K578" s="2" t="s">
        <v>349</v>
      </c>
      <c r="L578" s="2" t="s">
        <v>971</v>
      </c>
      <c r="M578" t="s">
        <v>251</v>
      </c>
      <c r="N578" t="s">
        <v>330</v>
      </c>
      <c r="O578" t="s">
        <v>331</v>
      </c>
      <c r="P578" t="s">
        <v>1598</v>
      </c>
      <c r="Q578" t="s">
        <v>966</v>
      </c>
    </row>
    <row r="579" spans="1:17">
      <c r="A579" s="2" t="s">
        <v>782</v>
      </c>
      <c r="B579" s="2" t="s">
        <v>477</v>
      </c>
      <c r="C579" s="2" t="s">
        <v>713</v>
      </c>
      <c r="D579" s="11">
        <v>45967.618055555555</v>
      </c>
      <c r="E579" s="11">
        <v>45967.618055555555</v>
      </c>
      <c r="F579" s="11">
        <v>45967.702777777777</v>
      </c>
      <c r="G579" s="12">
        <v>8.4722222221898846E-2</v>
      </c>
      <c r="H579" s="2" t="s">
        <v>248</v>
      </c>
      <c r="J579" s="2" t="s">
        <v>249</v>
      </c>
      <c r="K579" s="2" t="s">
        <v>349</v>
      </c>
      <c r="L579" s="2" t="s">
        <v>971</v>
      </c>
      <c r="M579" t="s">
        <v>251</v>
      </c>
      <c r="N579" t="s">
        <v>330</v>
      </c>
      <c r="O579" t="s">
        <v>331</v>
      </c>
      <c r="P579" t="s">
        <v>1599</v>
      </c>
      <c r="Q579" t="s">
        <v>966</v>
      </c>
    </row>
    <row r="580" spans="1:17">
      <c r="A580" s="2" t="s">
        <v>782</v>
      </c>
      <c r="B580" s="2" t="s">
        <v>477</v>
      </c>
      <c r="C580" s="2" t="s">
        <v>486</v>
      </c>
      <c r="D580" s="11">
        <v>45967.618055555555</v>
      </c>
      <c r="E580" s="11">
        <v>45967.618055555555</v>
      </c>
      <c r="F580" s="11">
        <v>45967.702777777777</v>
      </c>
      <c r="G580" s="12">
        <v>8.4722222221898846E-2</v>
      </c>
      <c r="H580" s="2" t="s">
        <v>248</v>
      </c>
      <c r="J580" s="2" t="s">
        <v>249</v>
      </c>
      <c r="K580" s="2" t="s">
        <v>349</v>
      </c>
      <c r="L580" s="2" t="s">
        <v>971</v>
      </c>
      <c r="M580" t="s">
        <v>251</v>
      </c>
      <c r="N580" t="s">
        <v>330</v>
      </c>
      <c r="O580" t="s">
        <v>331</v>
      </c>
      <c r="P580" t="s">
        <v>1600</v>
      </c>
      <c r="Q580" t="s">
        <v>966</v>
      </c>
    </row>
    <row r="581" spans="1:17">
      <c r="A581" s="2" t="s">
        <v>782</v>
      </c>
      <c r="B581" s="2" t="s">
        <v>477</v>
      </c>
      <c r="C581" s="2" t="s">
        <v>478</v>
      </c>
      <c r="D581" s="11">
        <v>45967.618055555555</v>
      </c>
      <c r="E581" s="11">
        <v>45967.618055555555</v>
      </c>
      <c r="F581" s="11">
        <v>45967.702777777777</v>
      </c>
      <c r="G581" s="12">
        <v>8.4722222221898846E-2</v>
      </c>
      <c r="H581" s="2" t="s">
        <v>248</v>
      </c>
      <c r="J581" s="2" t="s">
        <v>249</v>
      </c>
      <c r="K581" s="2" t="s">
        <v>349</v>
      </c>
      <c r="L581" s="2" t="s">
        <v>971</v>
      </c>
      <c r="M581" t="s">
        <v>251</v>
      </c>
      <c r="N581" t="s">
        <v>330</v>
      </c>
      <c r="O581" t="s">
        <v>331</v>
      </c>
      <c r="P581" t="s">
        <v>1601</v>
      </c>
      <c r="Q581" t="s">
        <v>966</v>
      </c>
    </row>
    <row r="582" spans="1:17">
      <c r="A582" s="2" t="s">
        <v>782</v>
      </c>
      <c r="B582" s="2" t="s">
        <v>477</v>
      </c>
      <c r="C582" s="2" t="s">
        <v>632</v>
      </c>
      <c r="D582" s="11">
        <v>45967.618055555555</v>
      </c>
      <c r="E582" s="11">
        <v>45967.618055555555</v>
      </c>
      <c r="F582" s="11">
        <v>45967.702777777777</v>
      </c>
      <c r="G582" s="12">
        <v>8.4722222221898846E-2</v>
      </c>
      <c r="H582" s="2" t="s">
        <v>248</v>
      </c>
      <c r="J582" s="2" t="s">
        <v>249</v>
      </c>
      <c r="K582" s="2" t="s">
        <v>349</v>
      </c>
      <c r="L582" s="2" t="s">
        <v>971</v>
      </c>
      <c r="M582" t="s">
        <v>251</v>
      </c>
      <c r="N582" t="s">
        <v>330</v>
      </c>
      <c r="O582" t="s">
        <v>331</v>
      </c>
      <c r="P582" t="s">
        <v>1602</v>
      </c>
      <c r="Q582" t="s">
        <v>966</v>
      </c>
    </row>
    <row r="583" spans="1:17">
      <c r="A583" s="2" t="s">
        <v>782</v>
      </c>
      <c r="B583" s="2" t="s">
        <v>477</v>
      </c>
      <c r="C583" s="2" t="s">
        <v>629</v>
      </c>
      <c r="D583" s="11">
        <v>45967.618055555555</v>
      </c>
      <c r="E583" s="11">
        <v>45967.618055555555</v>
      </c>
      <c r="F583" s="11">
        <v>45967.702777777777</v>
      </c>
      <c r="G583" s="12">
        <v>8.4722222221898846E-2</v>
      </c>
      <c r="H583" s="2" t="s">
        <v>248</v>
      </c>
      <c r="J583" s="2" t="s">
        <v>249</v>
      </c>
      <c r="K583" s="2" t="s">
        <v>349</v>
      </c>
      <c r="L583" s="2" t="s">
        <v>971</v>
      </c>
      <c r="M583" t="s">
        <v>251</v>
      </c>
      <c r="N583" t="s">
        <v>330</v>
      </c>
      <c r="O583" t="s">
        <v>331</v>
      </c>
      <c r="P583" t="s">
        <v>1603</v>
      </c>
      <c r="Q583" t="s">
        <v>966</v>
      </c>
    </row>
    <row r="584" spans="1:17">
      <c r="A584" s="2" t="s">
        <v>782</v>
      </c>
      <c r="B584" s="2" t="s">
        <v>477</v>
      </c>
      <c r="C584" s="2" t="s">
        <v>631</v>
      </c>
      <c r="D584" s="11">
        <v>45967.618055555555</v>
      </c>
      <c r="E584" s="11">
        <v>45967.618055555555</v>
      </c>
      <c r="F584" s="11">
        <v>45967.702777777777</v>
      </c>
      <c r="G584" s="12">
        <v>8.4722222221898846E-2</v>
      </c>
      <c r="H584" s="2" t="s">
        <v>248</v>
      </c>
      <c r="J584" s="2" t="s">
        <v>249</v>
      </c>
      <c r="K584" s="2" t="s">
        <v>349</v>
      </c>
      <c r="L584" s="2" t="s">
        <v>971</v>
      </c>
      <c r="M584" t="s">
        <v>251</v>
      </c>
      <c r="N584" t="s">
        <v>330</v>
      </c>
      <c r="O584" t="s">
        <v>331</v>
      </c>
      <c r="P584" t="s">
        <v>1604</v>
      </c>
      <c r="Q584" t="s">
        <v>966</v>
      </c>
    </row>
    <row r="585" spans="1:17">
      <c r="A585" s="2" t="s">
        <v>782</v>
      </c>
      <c r="B585" s="2" t="s">
        <v>477</v>
      </c>
      <c r="C585" s="2" t="s">
        <v>635</v>
      </c>
      <c r="D585" s="11">
        <v>45967.618055555555</v>
      </c>
      <c r="E585" s="11">
        <v>45967.618055555555</v>
      </c>
      <c r="F585" s="11">
        <v>45967.702777777777</v>
      </c>
      <c r="G585" s="12">
        <v>8.4722222221898846E-2</v>
      </c>
      <c r="H585" s="2" t="s">
        <v>248</v>
      </c>
      <c r="J585" s="2" t="s">
        <v>249</v>
      </c>
      <c r="K585" s="2" t="s">
        <v>349</v>
      </c>
      <c r="L585" s="2" t="s">
        <v>971</v>
      </c>
      <c r="M585" t="s">
        <v>251</v>
      </c>
      <c r="N585" t="s">
        <v>330</v>
      </c>
      <c r="O585" t="s">
        <v>331</v>
      </c>
      <c r="P585" t="s">
        <v>1605</v>
      </c>
      <c r="Q585" t="s">
        <v>966</v>
      </c>
    </row>
    <row r="586" spans="1:17">
      <c r="A586" s="2" t="s">
        <v>782</v>
      </c>
      <c r="B586" s="2" t="s">
        <v>477</v>
      </c>
      <c r="C586" s="2" t="s">
        <v>487</v>
      </c>
      <c r="D586" s="11">
        <v>45967.618055555555</v>
      </c>
      <c r="E586" s="11">
        <v>45967.618055555555</v>
      </c>
      <c r="F586" s="11">
        <v>45967.702777777777</v>
      </c>
      <c r="G586" s="12">
        <v>8.4722222221898846E-2</v>
      </c>
      <c r="H586" s="2" t="s">
        <v>248</v>
      </c>
      <c r="J586" s="2" t="s">
        <v>249</v>
      </c>
      <c r="K586" s="2" t="s">
        <v>349</v>
      </c>
      <c r="L586" s="2" t="s">
        <v>971</v>
      </c>
      <c r="M586" t="s">
        <v>251</v>
      </c>
      <c r="N586" t="s">
        <v>330</v>
      </c>
      <c r="O586" t="s">
        <v>331</v>
      </c>
      <c r="P586" t="s">
        <v>1606</v>
      </c>
      <c r="Q586" t="s">
        <v>966</v>
      </c>
    </row>
    <row r="587" spans="1:17">
      <c r="A587" s="2" t="s">
        <v>782</v>
      </c>
      <c r="B587" s="2" t="s">
        <v>477</v>
      </c>
      <c r="C587" s="2" t="s">
        <v>627</v>
      </c>
      <c r="D587" s="11">
        <v>45967.618055555555</v>
      </c>
      <c r="E587" s="11">
        <v>45967.618055555555</v>
      </c>
      <c r="F587" s="11">
        <v>45967.702777777777</v>
      </c>
      <c r="G587" s="12">
        <v>8.4722222221898846E-2</v>
      </c>
      <c r="H587" s="2" t="s">
        <v>248</v>
      </c>
      <c r="J587" s="2" t="s">
        <v>249</v>
      </c>
      <c r="K587" s="2" t="s">
        <v>349</v>
      </c>
      <c r="L587" s="2" t="s">
        <v>971</v>
      </c>
      <c r="M587" t="s">
        <v>251</v>
      </c>
      <c r="N587" t="s">
        <v>330</v>
      </c>
      <c r="O587" t="s">
        <v>331</v>
      </c>
      <c r="P587" t="s">
        <v>1607</v>
      </c>
      <c r="Q587" t="s">
        <v>966</v>
      </c>
    </row>
    <row r="588" spans="1:17">
      <c r="A588" s="2" t="s">
        <v>327</v>
      </c>
      <c r="B588" s="2" t="s">
        <v>327</v>
      </c>
      <c r="C588" s="2" t="s">
        <v>328</v>
      </c>
      <c r="D588" s="11">
        <v>45968.25</v>
      </c>
      <c r="E588" s="11">
        <v>45968.25</v>
      </c>
      <c r="F588" s="11">
        <v>45968.285416666666</v>
      </c>
      <c r="G588" s="12">
        <v>3.5416666665696539E-2</v>
      </c>
      <c r="H588" s="2" t="s">
        <v>248</v>
      </c>
      <c r="J588" s="2" t="s">
        <v>249</v>
      </c>
      <c r="K588" s="2" t="s">
        <v>349</v>
      </c>
      <c r="L588" s="2" t="s">
        <v>422</v>
      </c>
      <c r="M588" t="s">
        <v>736</v>
      </c>
      <c r="N588" t="s">
        <v>330</v>
      </c>
      <c r="O588" t="s">
        <v>739</v>
      </c>
      <c r="P588" t="s">
        <v>1608</v>
      </c>
      <c r="Q588" t="s">
        <v>966</v>
      </c>
    </row>
    <row r="589" spans="1:17">
      <c r="A589" s="2" t="s">
        <v>332</v>
      </c>
      <c r="B589" s="2" t="s">
        <v>332</v>
      </c>
      <c r="C589" s="2" t="s">
        <v>328</v>
      </c>
      <c r="D589" s="11">
        <v>45968.25</v>
      </c>
      <c r="E589" s="11">
        <v>45968.25</v>
      </c>
      <c r="F589" s="11">
        <v>45968.285416666666</v>
      </c>
      <c r="G589" s="12">
        <v>3.5416666665696539E-2</v>
      </c>
      <c r="H589" s="2" t="s">
        <v>248</v>
      </c>
      <c r="J589" s="2" t="s">
        <v>249</v>
      </c>
      <c r="K589" s="2" t="s">
        <v>349</v>
      </c>
      <c r="L589" s="2" t="s">
        <v>422</v>
      </c>
      <c r="M589" t="s">
        <v>736</v>
      </c>
      <c r="N589" t="s">
        <v>330</v>
      </c>
      <c r="O589" t="s">
        <v>739</v>
      </c>
      <c r="P589" t="s">
        <v>1609</v>
      </c>
      <c r="Q589" t="s">
        <v>966</v>
      </c>
    </row>
    <row r="590" spans="1:17">
      <c r="A590" s="2" t="s">
        <v>333</v>
      </c>
      <c r="B590" s="2" t="s">
        <v>333</v>
      </c>
      <c r="C590" s="2" t="s">
        <v>328</v>
      </c>
      <c r="D590" s="11">
        <v>45968.25</v>
      </c>
      <c r="E590" s="11">
        <v>45968.25</v>
      </c>
      <c r="F590" s="11">
        <v>45968.285416666666</v>
      </c>
      <c r="G590" s="12">
        <v>3.5416666665696539E-2</v>
      </c>
      <c r="H590" s="2" t="s">
        <v>248</v>
      </c>
      <c r="J590" s="2" t="s">
        <v>249</v>
      </c>
      <c r="K590" s="2" t="s">
        <v>349</v>
      </c>
      <c r="L590" s="2" t="s">
        <v>422</v>
      </c>
      <c r="M590" t="s">
        <v>736</v>
      </c>
      <c r="N590" t="s">
        <v>330</v>
      </c>
      <c r="O590" t="s">
        <v>739</v>
      </c>
      <c r="P590" t="s">
        <v>1610</v>
      </c>
      <c r="Q590" t="s">
        <v>966</v>
      </c>
    </row>
    <row r="591" spans="1:17">
      <c r="A591" s="2" t="s">
        <v>334</v>
      </c>
      <c r="B591" s="2" t="s">
        <v>334</v>
      </c>
      <c r="C591" s="2" t="s">
        <v>328</v>
      </c>
      <c r="D591" s="11">
        <v>45968.25</v>
      </c>
      <c r="E591" s="11">
        <v>45968.25</v>
      </c>
      <c r="F591" s="11">
        <v>45968.285416666666</v>
      </c>
      <c r="G591" s="12">
        <v>3.5416666665696539E-2</v>
      </c>
      <c r="H591" s="2" t="s">
        <v>248</v>
      </c>
      <c r="J591" s="2" t="s">
        <v>249</v>
      </c>
      <c r="K591" s="2" t="s">
        <v>349</v>
      </c>
      <c r="L591" s="2" t="s">
        <v>422</v>
      </c>
      <c r="M591" t="s">
        <v>736</v>
      </c>
      <c r="N591" t="s">
        <v>330</v>
      </c>
      <c r="O591" t="s">
        <v>739</v>
      </c>
      <c r="P591" t="s">
        <v>1611</v>
      </c>
      <c r="Q591" t="s">
        <v>966</v>
      </c>
    </row>
    <row r="592" spans="1:17">
      <c r="A592" s="2" t="s">
        <v>335</v>
      </c>
      <c r="B592" s="2" t="s">
        <v>335</v>
      </c>
      <c r="C592" s="2" t="s">
        <v>328</v>
      </c>
      <c r="D592" s="11">
        <v>45968.25</v>
      </c>
      <c r="E592" s="11">
        <v>45968.25</v>
      </c>
      <c r="F592" s="11">
        <v>45968.285416666666</v>
      </c>
      <c r="G592" s="12">
        <v>3.5416666665696539E-2</v>
      </c>
      <c r="H592" s="2" t="s">
        <v>248</v>
      </c>
      <c r="J592" s="2" t="s">
        <v>249</v>
      </c>
      <c r="K592" s="2" t="s">
        <v>349</v>
      </c>
      <c r="L592" s="2" t="s">
        <v>422</v>
      </c>
      <c r="M592" t="s">
        <v>736</v>
      </c>
      <c r="N592" t="s">
        <v>330</v>
      </c>
      <c r="O592" t="s">
        <v>739</v>
      </c>
      <c r="P592" t="s">
        <v>1612</v>
      </c>
      <c r="Q592" t="s">
        <v>966</v>
      </c>
    </row>
    <row r="593" spans="1:17">
      <c r="A593" s="2" t="s">
        <v>327</v>
      </c>
      <c r="B593" s="2" t="s">
        <v>327</v>
      </c>
      <c r="C593" s="2" t="s">
        <v>328</v>
      </c>
      <c r="D593" s="11">
        <v>45968.37777777778</v>
      </c>
      <c r="E593" s="11">
        <v>45968.37777777778</v>
      </c>
      <c r="F593" s="11">
        <v>45968.384722222225</v>
      </c>
      <c r="G593" s="12">
        <v>6.9444444452528842E-3</v>
      </c>
      <c r="H593" s="2" t="s">
        <v>248</v>
      </c>
      <c r="J593" s="2" t="s">
        <v>249</v>
      </c>
      <c r="K593" s="2" t="s">
        <v>349</v>
      </c>
      <c r="L593" s="2" t="s">
        <v>422</v>
      </c>
      <c r="M593" t="s">
        <v>736</v>
      </c>
      <c r="N593" t="s">
        <v>330</v>
      </c>
      <c r="O593" t="s">
        <v>739</v>
      </c>
      <c r="P593" t="s">
        <v>1613</v>
      </c>
      <c r="Q593" t="s">
        <v>966</v>
      </c>
    </row>
    <row r="594" spans="1:17">
      <c r="A594" s="2" t="s">
        <v>332</v>
      </c>
      <c r="B594" s="2" t="s">
        <v>332</v>
      </c>
      <c r="C594" s="2" t="s">
        <v>328</v>
      </c>
      <c r="D594" s="11">
        <v>45968.37777777778</v>
      </c>
      <c r="E594" s="11">
        <v>45968.37777777778</v>
      </c>
      <c r="F594" s="11">
        <v>45968.384722222225</v>
      </c>
      <c r="G594" s="12">
        <v>6.9444444452528842E-3</v>
      </c>
      <c r="H594" s="2" t="s">
        <v>248</v>
      </c>
      <c r="J594" s="2" t="s">
        <v>249</v>
      </c>
      <c r="K594" s="2" t="s">
        <v>349</v>
      </c>
      <c r="L594" s="2" t="s">
        <v>422</v>
      </c>
      <c r="M594" t="s">
        <v>736</v>
      </c>
      <c r="N594" t="s">
        <v>330</v>
      </c>
      <c r="O594" t="s">
        <v>739</v>
      </c>
      <c r="P594" t="s">
        <v>1614</v>
      </c>
      <c r="Q594" t="s">
        <v>966</v>
      </c>
    </row>
    <row r="595" spans="1:17">
      <c r="A595" s="2" t="s">
        <v>333</v>
      </c>
      <c r="B595" s="2" t="s">
        <v>333</v>
      </c>
      <c r="C595" s="2" t="s">
        <v>328</v>
      </c>
      <c r="D595" s="11">
        <v>45968.37777777778</v>
      </c>
      <c r="E595" s="11">
        <v>45968.37777777778</v>
      </c>
      <c r="F595" s="11">
        <v>45968.384722222225</v>
      </c>
      <c r="G595" s="12">
        <v>6.9444444452528842E-3</v>
      </c>
      <c r="H595" s="2" t="s">
        <v>248</v>
      </c>
      <c r="J595" s="2" t="s">
        <v>249</v>
      </c>
      <c r="K595" s="2" t="s">
        <v>349</v>
      </c>
      <c r="L595" s="2" t="s">
        <v>422</v>
      </c>
      <c r="M595" t="s">
        <v>736</v>
      </c>
      <c r="N595" t="s">
        <v>330</v>
      </c>
      <c r="O595" t="s">
        <v>739</v>
      </c>
      <c r="P595" t="s">
        <v>1615</v>
      </c>
      <c r="Q595" t="s">
        <v>966</v>
      </c>
    </row>
    <row r="596" spans="1:17">
      <c r="A596" s="2" t="s">
        <v>334</v>
      </c>
      <c r="B596" s="2" t="s">
        <v>334</v>
      </c>
      <c r="C596" s="2" t="s">
        <v>328</v>
      </c>
      <c r="D596" s="11">
        <v>45968.37777777778</v>
      </c>
      <c r="E596" s="11">
        <v>45968.37777777778</v>
      </c>
      <c r="F596" s="11">
        <v>45968.384722222225</v>
      </c>
      <c r="G596" s="12">
        <v>6.9444444452528842E-3</v>
      </c>
      <c r="H596" s="2" t="s">
        <v>248</v>
      </c>
      <c r="J596" s="2" t="s">
        <v>249</v>
      </c>
      <c r="K596" s="2" t="s">
        <v>349</v>
      </c>
      <c r="L596" s="2" t="s">
        <v>422</v>
      </c>
      <c r="M596" t="s">
        <v>736</v>
      </c>
      <c r="N596" t="s">
        <v>330</v>
      </c>
      <c r="O596" t="s">
        <v>739</v>
      </c>
      <c r="P596" t="s">
        <v>1616</v>
      </c>
      <c r="Q596" t="s">
        <v>966</v>
      </c>
    </row>
    <row r="597" spans="1:17">
      <c r="A597" s="2" t="s">
        <v>335</v>
      </c>
      <c r="B597" s="2" t="s">
        <v>335</v>
      </c>
      <c r="C597" s="2" t="s">
        <v>328</v>
      </c>
      <c r="D597" s="11">
        <v>45968.37777777778</v>
      </c>
      <c r="E597" s="11">
        <v>45968.37777777778</v>
      </c>
      <c r="F597" s="11">
        <v>45968.384722222225</v>
      </c>
      <c r="G597" s="12">
        <v>6.9444444452528842E-3</v>
      </c>
      <c r="H597" s="2" t="s">
        <v>248</v>
      </c>
      <c r="J597" s="2" t="s">
        <v>249</v>
      </c>
      <c r="K597" s="2" t="s">
        <v>349</v>
      </c>
      <c r="L597" s="2" t="s">
        <v>422</v>
      </c>
      <c r="M597" t="s">
        <v>736</v>
      </c>
      <c r="N597" t="s">
        <v>330</v>
      </c>
      <c r="O597" t="s">
        <v>739</v>
      </c>
      <c r="P597" t="s">
        <v>1617</v>
      </c>
      <c r="Q597" t="s">
        <v>966</v>
      </c>
    </row>
    <row r="598" spans="1:17">
      <c r="A598" s="2" t="s">
        <v>702</v>
      </c>
      <c r="B598" s="2" t="s">
        <v>702</v>
      </c>
      <c r="C598" s="2" t="s">
        <v>354</v>
      </c>
      <c r="D598" s="11">
        <v>45968.440972222219</v>
      </c>
      <c r="E598" s="11">
        <v>45968.440972222219</v>
      </c>
      <c r="F598" s="11">
        <v>45968.447916666664</v>
      </c>
      <c r="G598" s="12">
        <v>6.9444444452528842E-3</v>
      </c>
      <c r="H598" s="2" t="s">
        <v>260</v>
      </c>
      <c r="I598" s="2" t="s">
        <v>261</v>
      </c>
      <c r="J598" s="2" t="s">
        <v>740</v>
      </c>
      <c r="K598" s="2" t="s">
        <v>1376</v>
      </c>
      <c r="L598" s="2" t="s">
        <v>390</v>
      </c>
      <c r="M598" t="s">
        <v>391</v>
      </c>
      <c r="N598" t="s">
        <v>828</v>
      </c>
      <c r="O598" t="s">
        <v>828</v>
      </c>
      <c r="P598" t="s">
        <v>1618</v>
      </c>
      <c r="Q598" t="s">
        <v>1378</v>
      </c>
    </row>
    <row r="599" spans="1:17">
      <c r="A599" s="2" t="s">
        <v>702</v>
      </c>
      <c r="B599" s="2" t="s">
        <v>702</v>
      </c>
      <c r="C599" s="2" t="s">
        <v>357</v>
      </c>
      <c r="D599" s="11">
        <v>45968.440972222219</v>
      </c>
      <c r="E599" s="11">
        <v>45968.440972222219</v>
      </c>
      <c r="F599" s="11">
        <v>45968.447916666664</v>
      </c>
      <c r="G599" s="12">
        <v>6.9444444452528842E-3</v>
      </c>
      <c r="H599" s="2" t="s">
        <v>260</v>
      </c>
      <c r="I599" s="2" t="s">
        <v>261</v>
      </c>
      <c r="J599" s="2" t="s">
        <v>740</v>
      </c>
      <c r="K599" s="2" t="s">
        <v>1376</v>
      </c>
      <c r="L599" s="2" t="s">
        <v>390</v>
      </c>
      <c r="M599" t="s">
        <v>391</v>
      </c>
      <c r="N599" t="s">
        <v>828</v>
      </c>
      <c r="O599" t="s">
        <v>828</v>
      </c>
      <c r="P599" t="s">
        <v>1619</v>
      </c>
      <c r="Q599" t="s">
        <v>1378</v>
      </c>
    </row>
    <row r="600" spans="1:17">
      <c r="A600" s="2" t="s">
        <v>702</v>
      </c>
      <c r="B600" s="2" t="s">
        <v>702</v>
      </c>
      <c r="C600" s="2" t="s">
        <v>705</v>
      </c>
      <c r="D600" s="11">
        <v>45968.440972222219</v>
      </c>
      <c r="E600" s="11">
        <v>45968.440972222219</v>
      </c>
      <c r="F600" s="11">
        <v>45968.447916666664</v>
      </c>
      <c r="G600" s="12">
        <v>6.9444444452528842E-3</v>
      </c>
      <c r="H600" s="2" t="s">
        <v>260</v>
      </c>
      <c r="I600" s="2" t="s">
        <v>261</v>
      </c>
      <c r="J600" s="2" t="s">
        <v>740</v>
      </c>
      <c r="K600" s="2" t="s">
        <v>1376</v>
      </c>
      <c r="L600" s="2" t="s">
        <v>390</v>
      </c>
      <c r="M600" t="s">
        <v>391</v>
      </c>
      <c r="N600" t="s">
        <v>828</v>
      </c>
      <c r="O600" t="s">
        <v>828</v>
      </c>
      <c r="P600" t="s">
        <v>1620</v>
      </c>
      <c r="Q600" t="s">
        <v>1378</v>
      </c>
    </row>
    <row r="601" spans="1:17">
      <c r="A601" s="2" t="s">
        <v>702</v>
      </c>
      <c r="B601" s="2" t="s">
        <v>702</v>
      </c>
      <c r="C601" s="2" t="s">
        <v>706</v>
      </c>
      <c r="D601" s="11">
        <v>45968.440972222219</v>
      </c>
      <c r="E601" s="11">
        <v>45968.440972222219</v>
      </c>
      <c r="F601" s="11">
        <v>45968.447916666664</v>
      </c>
      <c r="G601" s="12">
        <v>6.9444444452528842E-3</v>
      </c>
      <c r="H601" s="2" t="s">
        <v>260</v>
      </c>
      <c r="I601" s="2" t="s">
        <v>261</v>
      </c>
      <c r="J601" s="2" t="s">
        <v>740</v>
      </c>
      <c r="K601" s="2" t="s">
        <v>1376</v>
      </c>
      <c r="L601" s="2" t="s">
        <v>390</v>
      </c>
      <c r="M601" t="s">
        <v>391</v>
      </c>
      <c r="N601" t="s">
        <v>828</v>
      </c>
      <c r="O601" t="s">
        <v>828</v>
      </c>
      <c r="P601" t="s">
        <v>1621</v>
      </c>
      <c r="Q601" t="s">
        <v>1378</v>
      </c>
    </row>
    <row r="602" spans="1:17">
      <c r="A602" s="2" t="s">
        <v>702</v>
      </c>
      <c r="B602" s="2" t="s">
        <v>702</v>
      </c>
      <c r="C602" s="2" t="s">
        <v>386</v>
      </c>
      <c r="D602" s="11">
        <v>45968.440972222219</v>
      </c>
      <c r="E602" s="11">
        <v>45968.440972222219</v>
      </c>
      <c r="F602" s="11">
        <v>45968.447916666664</v>
      </c>
      <c r="G602" s="12">
        <v>6.9444444452528842E-3</v>
      </c>
      <c r="H602" s="2" t="s">
        <v>260</v>
      </c>
      <c r="I602" s="2" t="s">
        <v>261</v>
      </c>
      <c r="J602" s="2" t="s">
        <v>740</v>
      </c>
      <c r="K602" s="2" t="s">
        <v>1376</v>
      </c>
      <c r="L602" s="2" t="s">
        <v>390</v>
      </c>
      <c r="M602" t="s">
        <v>391</v>
      </c>
      <c r="N602" t="s">
        <v>828</v>
      </c>
      <c r="O602" t="s">
        <v>828</v>
      </c>
      <c r="P602" t="s">
        <v>1622</v>
      </c>
      <c r="Q602" t="s">
        <v>1378</v>
      </c>
    </row>
    <row r="603" spans="1:17">
      <c r="A603" s="2" t="s">
        <v>707</v>
      </c>
      <c r="B603" s="2" t="s">
        <v>707</v>
      </c>
      <c r="C603" s="2" t="s">
        <v>708</v>
      </c>
      <c r="D603" s="11">
        <v>45968.440972222219</v>
      </c>
      <c r="E603" s="11">
        <v>45968.440972222219</v>
      </c>
      <c r="F603" s="11">
        <v>45968.447916666664</v>
      </c>
      <c r="G603" s="12">
        <v>6.9444444452528842E-3</v>
      </c>
      <c r="H603" s="2" t="s">
        <v>260</v>
      </c>
      <c r="I603" s="2" t="s">
        <v>261</v>
      </c>
      <c r="J603" s="2" t="s">
        <v>740</v>
      </c>
      <c r="K603" s="2" t="s">
        <v>1376</v>
      </c>
      <c r="L603" s="2" t="s">
        <v>390</v>
      </c>
      <c r="M603" t="s">
        <v>391</v>
      </c>
      <c r="N603" t="s">
        <v>828</v>
      </c>
      <c r="O603" t="s">
        <v>828</v>
      </c>
      <c r="P603" t="s">
        <v>1623</v>
      </c>
      <c r="Q603" t="s">
        <v>1378</v>
      </c>
    </row>
    <row r="604" spans="1:17">
      <c r="A604" s="2" t="s">
        <v>707</v>
      </c>
      <c r="B604" s="2" t="s">
        <v>707</v>
      </c>
      <c r="C604" s="2" t="s">
        <v>709</v>
      </c>
      <c r="D604" s="11">
        <v>45968.440972222219</v>
      </c>
      <c r="E604" s="11">
        <v>45968.440972222219</v>
      </c>
      <c r="F604" s="11">
        <v>45968.447916666664</v>
      </c>
      <c r="G604" s="12">
        <v>6.9444444452528842E-3</v>
      </c>
      <c r="H604" s="2" t="s">
        <v>260</v>
      </c>
      <c r="I604" s="2" t="s">
        <v>261</v>
      </c>
      <c r="J604" s="2" t="s">
        <v>740</v>
      </c>
      <c r="K604" s="2" t="s">
        <v>1376</v>
      </c>
      <c r="L604" s="2" t="s">
        <v>390</v>
      </c>
      <c r="M604" t="s">
        <v>391</v>
      </c>
      <c r="N604" t="s">
        <v>828</v>
      </c>
      <c r="O604" t="s">
        <v>828</v>
      </c>
      <c r="P604" t="s">
        <v>1624</v>
      </c>
      <c r="Q604" t="s">
        <v>1378</v>
      </c>
    </row>
    <row r="605" spans="1:17">
      <c r="A605" s="2" t="s">
        <v>707</v>
      </c>
      <c r="B605" s="2" t="s">
        <v>707</v>
      </c>
      <c r="C605" s="2" t="s">
        <v>710</v>
      </c>
      <c r="D605" s="11">
        <v>45968.440972222219</v>
      </c>
      <c r="E605" s="11">
        <v>45968.440972222219</v>
      </c>
      <c r="F605" s="11">
        <v>45968.447916666664</v>
      </c>
      <c r="G605" s="12">
        <v>6.9444444452528842E-3</v>
      </c>
      <c r="H605" s="2" t="s">
        <v>260</v>
      </c>
      <c r="I605" s="2" t="s">
        <v>261</v>
      </c>
      <c r="J605" s="2" t="s">
        <v>740</v>
      </c>
      <c r="K605" s="2" t="s">
        <v>1376</v>
      </c>
      <c r="L605" s="2" t="s">
        <v>390</v>
      </c>
      <c r="M605" t="s">
        <v>391</v>
      </c>
      <c r="N605" t="s">
        <v>828</v>
      </c>
      <c r="O605" t="s">
        <v>828</v>
      </c>
      <c r="P605" t="s">
        <v>1625</v>
      </c>
      <c r="Q605" t="s">
        <v>1378</v>
      </c>
    </row>
    <row r="606" spans="1:17">
      <c r="A606" s="2" t="s">
        <v>702</v>
      </c>
      <c r="B606" s="2" t="s">
        <v>702</v>
      </c>
      <c r="C606" s="2" t="s">
        <v>354</v>
      </c>
      <c r="D606" s="11">
        <v>45968.511805555558</v>
      </c>
      <c r="E606" s="11">
        <v>45968.511805555558</v>
      </c>
      <c r="F606" s="11">
        <v>45968.545138888891</v>
      </c>
      <c r="G606" s="12">
        <v>3.3333333332848269E-2</v>
      </c>
      <c r="H606" s="2" t="s">
        <v>260</v>
      </c>
      <c r="I606" s="2" t="s">
        <v>261</v>
      </c>
      <c r="J606" s="2" t="s">
        <v>740</v>
      </c>
      <c r="K606" s="2" t="s">
        <v>1376</v>
      </c>
      <c r="L606" s="2" t="s">
        <v>390</v>
      </c>
      <c r="M606" t="s">
        <v>391</v>
      </c>
      <c r="N606" t="s">
        <v>828</v>
      </c>
      <c r="O606" t="s">
        <v>828</v>
      </c>
      <c r="P606" t="s">
        <v>1626</v>
      </c>
      <c r="Q606" t="s">
        <v>1378</v>
      </c>
    </row>
    <row r="607" spans="1:17">
      <c r="A607" s="2" t="s">
        <v>702</v>
      </c>
      <c r="B607" s="2" t="s">
        <v>702</v>
      </c>
      <c r="C607" s="2" t="s">
        <v>357</v>
      </c>
      <c r="D607" s="11">
        <v>45968.511805555558</v>
      </c>
      <c r="E607" s="11">
        <v>45968.511805555558</v>
      </c>
      <c r="F607" s="11">
        <v>45968.545138888891</v>
      </c>
      <c r="G607" s="12">
        <v>3.3333333332848269E-2</v>
      </c>
      <c r="H607" s="2" t="s">
        <v>260</v>
      </c>
      <c r="I607" s="2" t="s">
        <v>261</v>
      </c>
      <c r="J607" s="2" t="s">
        <v>740</v>
      </c>
      <c r="K607" s="2" t="s">
        <v>1376</v>
      </c>
      <c r="L607" s="2" t="s">
        <v>390</v>
      </c>
      <c r="M607" t="s">
        <v>391</v>
      </c>
      <c r="N607" t="s">
        <v>828</v>
      </c>
      <c r="O607" t="s">
        <v>828</v>
      </c>
      <c r="P607" t="s">
        <v>1627</v>
      </c>
      <c r="Q607" t="s">
        <v>1378</v>
      </c>
    </row>
    <row r="608" spans="1:17">
      <c r="A608" s="2" t="s">
        <v>702</v>
      </c>
      <c r="B608" s="2" t="s">
        <v>702</v>
      </c>
      <c r="C608" s="2" t="s">
        <v>705</v>
      </c>
      <c r="D608" s="11">
        <v>45968.511805555558</v>
      </c>
      <c r="E608" s="11">
        <v>45968.511805555558</v>
      </c>
      <c r="F608" s="11">
        <v>45968.545138888891</v>
      </c>
      <c r="G608" s="12">
        <v>3.3333333332848269E-2</v>
      </c>
      <c r="H608" s="2" t="s">
        <v>260</v>
      </c>
      <c r="I608" s="2" t="s">
        <v>261</v>
      </c>
      <c r="J608" s="2" t="s">
        <v>740</v>
      </c>
      <c r="K608" s="2" t="s">
        <v>1376</v>
      </c>
      <c r="L608" s="2" t="s">
        <v>390</v>
      </c>
      <c r="M608" t="s">
        <v>391</v>
      </c>
      <c r="N608" t="s">
        <v>828</v>
      </c>
      <c r="O608" t="s">
        <v>828</v>
      </c>
      <c r="P608" t="s">
        <v>1628</v>
      </c>
      <c r="Q608" t="s">
        <v>1378</v>
      </c>
    </row>
    <row r="609" spans="1:17">
      <c r="A609" s="2" t="s">
        <v>702</v>
      </c>
      <c r="B609" s="2" t="s">
        <v>702</v>
      </c>
      <c r="C609" s="2" t="s">
        <v>706</v>
      </c>
      <c r="D609" s="11">
        <v>45968.511805555558</v>
      </c>
      <c r="E609" s="11">
        <v>45968.511805555558</v>
      </c>
      <c r="F609" s="11">
        <v>45968.545138888891</v>
      </c>
      <c r="G609" s="12">
        <v>3.3333333332848269E-2</v>
      </c>
      <c r="H609" s="2" t="s">
        <v>260</v>
      </c>
      <c r="I609" s="2" t="s">
        <v>261</v>
      </c>
      <c r="J609" s="2" t="s">
        <v>740</v>
      </c>
      <c r="K609" s="2" t="s">
        <v>1376</v>
      </c>
      <c r="L609" s="2" t="s">
        <v>390</v>
      </c>
      <c r="M609" t="s">
        <v>391</v>
      </c>
      <c r="N609" t="s">
        <v>828</v>
      </c>
      <c r="O609" t="s">
        <v>828</v>
      </c>
      <c r="P609" t="s">
        <v>1629</v>
      </c>
      <c r="Q609" t="s">
        <v>1378</v>
      </c>
    </row>
    <row r="610" spans="1:17">
      <c r="A610" s="2" t="s">
        <v>702</v>
      </c>
      <c r="B610" s="2" t="s">
        <v>702</v>
      </c>
      <c r="C610" s="2" t="s">
        <v>386</v>
      </c>
      <c r="D610" s="11">
        <v>45968.511805555558</v>
      </c>
      <c r="E610" s="11">
        <v>45968.511805555558</v>
      </c>
      <c r="F610" s="11">
        <v>45968.545138888891</v>
      </c>
      <c r="G610" s="12">
        <v>3.3333333332848269E-2</v>
      </c>
      <c r="H610" s="2" t="s">
        <v>260</v>
      </c>
      <c r="I610" s="2" t="s">
        <v>261</v>
      </c>
      <c r="J610" s="2" t="s">
        <v>740</v>
      </c>
      <c r="K610" s="2" t="s">
        <v>1376</v>
      </c>
      <c r="L610" s="2" t="s">
        <v>390</v>
      </c>
      <c r="M610" t="s">
        <v>391</v>
      </c>
      <c r="N610" t="s">
        <v>828</v>
      </c>
      <c r="O610" t="s">
        <v>828</v>
      </c>
      <c r="P610" t="s">
        <v>1630</v>
      </c>
      <c r="Q610" t="s">
        <v>1378</v>
      </c>
    </row>
    <row r="611" spans="1:17">
      <c r="A611" s="2" t="s">
        <v>707</v>
      </c>
      <c r="B611" s="2" t="s">
        <v>707</v>
      </c>
      <c r="C611" s="2" t="s">
        <v>708</v>
      </c>
      <c r="D611" s="11">
        <v>45968.511805555558</v>
      </c>
      <c r="E611" s="11">
        <v>45968.511805555558</v>
      </c>
      <c r="F611" s="11">
        <v>45968.545138888891</v>
      </c>
      <c r="G611" s="12">
        <v>3.3333333332848269E-2</v>
      </c>
      <c r="H611" s="2" t="s">
        <v>260</v>
      </c>
      <c r="I611" s="2" t="s">
        <v>261</v>
      </c>
      <c r="J611" s="2" t="s">
        <v>740</v>
      </c>
      <c r="K611" s="2" t="s">
        <v>1376</v>
      </c>
      <c r="L611" s="2" t="s">
        <v>390</v>
      </c>
      <c r="M611" t="s">
        <v>391</v>
      </c>
      <c r="N611" t="s">
        <v>828</v>
      </c>
      <c r="O611" t="s">
        <v>828</v>
      </c>
      <c r="P611" t="s">
        <v>1631</v>
      </c>
      <c r="Q611" t="s">
        <v>1378</v>
      </c>
    </row>
    <row r="612" spans="1:17">
      <c r="A612" s="2" t="s">
        <v>707</v>
      </c>
      <c r="B612" s="2" t="s">
        <v>707</v>
      </c>
      <c r="C612" s="2" t="s">
        <v>709</v>
      </c>
      <c r="D612" s="11">
        <v>45968.511805555558</v>
      </c>
      <c r="E612" s="11">
        <v>45968.511805555558</v>
      </c>
      <c r="F612" s="11">
        <v>45968.545138888891</v>
      </c>
      <c r="G612" s="12">
        <v>3.3333333332848269E-2</v>
      </c>
      <c r="H612" s="2" t="s">
        <v>260</v>
      </c>
      <c r="I612" s="2" t="s">
        <v>261</v>
      </c>
      <c r="J612" s="2" t="s">
        <v>740</v>
      </c>
      <c r="K612" s="2" t="s">
        <v>1376</v>
      </c>
      <c r="L612" s="2" t="s">
        <v>390</v>
      </c>
      <c r="M612" t="s">
        <v>391</v>
      </c>
      <c r="N612" t="s">
        <v>828</v>
      </c>
      <c r="O612" t="s">
        <v>828</v>
      </c>
      <c r="P612" t="s">
        <v>1632</v>
      </c>
      <c r="Q612" t="s">
        <v>1378</v>
      </c>
    </row>
    <row r="613" spans="1:17">
      <c r="A613" s="2" t="s">
        <v>707</v>
      </c>
      <c r="B613" s="2" t="s">
        <v>707</v>
      </c>
      <c r="C613" s="2" t="s">
        <v>710</v>
      </c>
      <c r="D613" s="11">
        <v>45968.511805555558</v>
      </c>
      <c r="E613" s="11">
        <v>45968.511805555558</v>
      </c>
      <c r="F613" s="11">
        <v>45968.545138888891</v>
      </c>
      <c r="G613" s="12">
        <v>3.3333333332848269E-2</v>
      </c>
      <c r="H613" s="2" t="s">
        <v>260</v>
      </c>
      <c r="I613" s="2" t="s">
        <v>261</v>
      </c>
      <c r="J613" s="2" t="s">
        <v>740</v>
      </c>
      <c r="K613" s="2" t="s">
        <v>1376</v>
      </c>
      <c r="L613" s="2" t="s">
        <v>390</v>
      </c>
      <c r="M613" t="s">
        <v>391</v>
      </c>
      <c r="N613" t="s">
        <v>828</v>
      </c>
      <c r="O613" t="s">
        <v>828</v>
      </c>
      <c r="P613" t="s">
        <v>1633</v>
      </c>
      <c r="Q613" t="s">
        <v>1378</v>
      </c>
    </row>
    <row r="614" spans="1:17">
      <c r="A614" s="2" t="s">
        <v>423</v>
      </c>
      <c r="B614" s="2" t="s">
        <v>423</v>
      </c>
      <c r="C614" s="2" t="s">
        <v>354</v>
      </c>
      <c r="D614" s="11">
        <v>45969.506944444445</v>
      </c>
      <c r="E614" s="11">
        <v>45969.506944444445</v>
      </c>
      <c r="F614" s="11">
        <v>45969.60833333333</v>
      </c>
      <c r="G614" s="12">
        <v>0.101388888884685</v>
      </c>
      <c r="H614" s="2" t="s">
        <v>343</v>
      </c>
      <c r="J614" s="2" t="s">
        <v>230</v>
      </c>
      <c r="K614" s="2" t="s">
        <v>230</v>
      </c>
      <c r="L614" s="2" t="s">
        <v>1634</v>
      </c>
      <c r="M614" t="s">
        <v>302</v>
      </c>
      <c r="N614" t="s">
        <v>345</v>
      </c>
      <c r="O614" t="s">
        <v>1635</v>
      </c>
      <c r="P614" t="s">
        <v>1636</v>
      </c>
      <c r="Q614" t="s">
        <v>1364</v>
      </c>
    </row>
    <row r="615" spans="1:17">
      <c r="A615" s="2" t="s">
        <v>423</v>
      </c>
      <c r="B615" s="2" t="s">
        <v>423</v>
      </c>
      <c r="C615" s="2" t="s">
        <v>358</v>
      </c>
      <c r="D615" s="11">
        <v>45969.506944444445</v>
      </c>
      <c r="E615" s="11">
        <v>45969.506944444445</v>
      </c>
      <c r="F615" s="11">
        <v>45969.60833333333</v>
      </c>
      <c r="G615" s="12">
        <v>0.101388888884685</v>
      </c>
      <c r="H615" s="2" t="s">
        <v>343</v>
      </c>
      <c r="J615" s="2" t="s">
        <v>230</v>
      </c>
      <c r="K615" s="2" t="s">
        <v>230</v>
      </c>
      <c r="L615" s="2" t="s">
        <v>1634</v>
      </c>
      <c r="M615" t="s">
        <v>302</v>
      </c>
      <c r="N615" t="s">
        <v>345</v>
      </c>
      <c r="O615" t="s">
        <v>1635</v>
      </c>
      <c r="P615" t="s">
        <v>1637</v>
      </c>
      <c r="Q615" t="s">
        <v>1364</v>
      </c>
    </row>
    <row r="616" spans="1:17">
      <c r="A616" s="2" t="s">
        <v>423</v>
      </c>
      <c r="B616" s="2" t="s">
        <v>423</v>
      </c>
      <c r="C616" s="2" t="s">
        <v>357</v>
      </c>
      <c r="D616" s="11">
        <v>45969.506944444445</v>
      </c>
      <c r="E616" s="11">
        <v>45969.506944444445</v>
      </c>
      <c r="F616" s="11">
        <v>45969.60833333333</v>
      </c>
      <c r="G616" s="12">
        <v>0.101388888884685</v>
      </c>
      <c r="H616" s="2" t="s">
        <v>343</v>
      </c>
      <c r="J616" s="2" t="s">
        <v>230</v>
      </c>
      <c r="K616" s="2" t="s">
        <v>230</v>
      </c>
      <c r="L616" s="2" t="s">
        <v>1634</v>
      </c>
      <c r="M616" t="s">
        <v>302</v>
      </c>
      <c r="N616" t="s">
        <v>345</v>
      </c>
      <c r="O616" t="s">
        <v>1635</v>
      </c>
      <c r="P616" t="s">
        <v>1638</v>
      </c>
      <c r="Q616" t="s">
        <v>1364</v>
      </c>
    </row>
    <row r="617" spans="1:17">
      <c r="A617" s="2" t="s">
        <v>423</v>
      </c>
      <c r="B617" s="2" t="s">
        <v>423</v>
      </c>
      <c r="C617" s="2" t="s">
        <v>328</v>
      </c>
      <c r="D617" s="11">
        <v>45969.506944444445</v>
      </c>
      <c r="E617" s="11">
        <v>45969.506944444445</v>
      </c>
      <c r="F617" s="11">
        <v>45969.60833333333</v>
      </c>
      <c r="G617" s="12">
        <v>0.101388888884685</v>
      </c>
      <c r="H617" s="2" t="s">
        <v>343</v>
      </c>
      <c r="J617" s="2" t="s">
        <v>230</v>
      </c>
      <c r="K617" s="2" t="s">
        <v>230</v>
      </c>
      <c r="L617" s="2" t="s">
        <v>1634</v>
      </c>
      <c r="M617" t="s">
        <v>302</v>
      </c>
      <c r="N617" t="s">
        <v>345</v>
      </c>
      <c r="O617" t="s">
        <v>1635</v>
      </c>
      <c r="P617" t="s">
        <v>1639</v>
      </c>
      <c r="Q617" t="s">
        <v>1364</v>
      </c>
    </row>
    <row r="618" spans="1:17">
      <c r="A618" s="2" t="s">
        <v>424</v>
      </c>
      <c r="B618" s="2" t="s">
        <v>424</v>
      </c>
      <c r="C618" s="2" t="s">
        <v>358</v>
      </c>
      <c r="D618" s="11">
        <v>45969.506944444445</v>
      </c>
      <c r="E618" s="11">
        <v>45969.506944444445</v>
      </c>
      <c r="F618" s="11">
        <v>45969.60833333333</v>
      </c>
      <c r="G618" s="12">
        <v>0.101388888884685</v>
      </c>
      <c r="H618" s="2" t="s">
        <v>343</v>
      </c>
      <c r="J618" s="2" t="s">
        <v>230</v>
      </c>
      <c r="K618" s="2" t="s">
        <v>230</v>
      </c>
      <c r="L618" s="2" t="s">
        <v>1634</v>
      </c>
      <c r="M618" t="s">
        <v>302</v>
      </c>
      <c r="N618" t="s">
        <v>345</v>
      </c>
      <c r="O618" t="s">
        <v>1635</v>
      </c>
      <c r="P618" t="s">
        <v>1640</v>
      </c>
      <c r="Q618" t="s">
        <v>1364</v>
      </c>
    </row>
    <row r="619" spans="1:17">
      <c r="A619" s="2" t="s">
        <v>424</v>
      </c>
      <c r="B619" s="2" t="s">
        <v>424</v>
      </c>
      <c r="C619" s="2" t="s">
        <v>357</v>
      </c>
      <c r="D619" s="11">
        <v>45969.506944444445</v>
      </c>
      <c r="E619" s="11">
        <v>45969.506944444445</v>
      </c>
      <c r="F619" s="11">
        <v>45969.60833333333</v>
      </c>
      <c r="G619" s="12">
        <v>0.101388888884685</v>
      </c>
      <c r="H619" s="2" t="s">
        <v>343</v>
      </c>
      <c r="J619" s="2" t="s">
        <v>230</v>
      </c>
      <c r="K619" s="2" t="s">
        <v>230</v>
      </c>
      <c r="L619" s="2" t="s">
        <v>1634</v>
      </c>
      <c r="M619" t="s">
        <v>302</v>
      </c>
      <c r="N619" t="s">
        <v>345</v>
      </c>
      <c r="O619" t="s">
        <v>1635</v>
      </c>
      <c r="P619" t="s">
        <v>1641</v>
      </c>
      <c r="Q619" t="s">
        <v>1364</v>
      </c>
    </row>
    <row r="620" spans="1:17">
      <c r="A620" s="2" t="s">
        <v>424</v>
      </c>
      <c r="B620" s="2" t="s">
        <v>424</v>
      </c>
      <c r="C620" s="2" t="s">
        <v>354</v>
      </c>
      <c r="D620" s="11">
        <v>45969.506944444445</v>
      </c>
      <c r="E620" s="11">
        <v>45969.506944444445</v>
      </c>
      <c r="F620" s="11">
        <v>45969.60833333333</v>
      </c>
      <c r="G620" s="12">
        <v>0.101388888884685</v>
      </c>
      <c r="H620" s="2" t="s">
        <v>343</v>
      </c>
      <c r="J620" s="2" t="s">
        <v>230</v>
      </c>
      <c r="K620" s="2" t="s">
        <v>230</v>
      </c>
      <c r="L620" s="2" t="s">
        <v>1634</v>
      </c>
      <c r="M620" t="s">
        <v>302</v>
      </c>
      <c r="N620" t="s">
        <v>345</v>
      </c>
      <c r="O620" t="s">
        <v>1635</v>
      </c>
      <c r="P620" t="s">
        <v>1642</v>
      </c>
      <c r="Q620" t="s">
        <v>1364</v>
      </c>
    </row>
    <row r="621" spans="1:17">
      <c r="A621" s="2" t="s">
        <v>424</v>
      </c>
      <c r="B621" s="2" t="s">
        <v>424</v>
      </c>
      <c r="C621" s="2" t="s">
        <v>328</v>
      </c>
      <c r="D621" s="11">
        <v>45969.506944444445</v>
      </c>
      <c r="E621" s="11">
        <v>45969.506944444445</v>
      </c>
      <c r="F621" s="11">
        <v>45969.60833333333</v>
      </c>
      <c r="G621" s="12">
        <v>0.101388888884685</v>
      </c>
      <c r="H621" s="2" t="s">
        <v>343</v>
      </c>
      <c r="J621" s="2" t="s">
        <v>230</v>
      </c>
      <c r="K621" s="2" t="s">
        <v>230</v>
      </c>
      <c r="L621" s="2" t="s">
        <v>1634</v>
      </c>
      <c r="M621" t="s">
        <v>302</v>
      </c>
      <c r="N621" t="s">
        <v>345</v>
      </c>
      <c r="O621" t="s">
        <v>1635</v>
      </c>
      <c r="P621" t="s">
        <v>1643</v>
      </c>
      <c r="Q621" t="s">
        <v>1364</v>
      </c>
    </row>
    <row r="622" spans="1:17">
      <c r="A622" s="2" t="s">
        <v>425</v>
      </c>
      <c r="B622" s="2" t="s">
        <v>425</v>
      </c>
      <c r="C622" s="2" t="s">
        <v>357</v>
      </c>
      <c r="D622" s="11">
        <v>45969.506944444445</v>
      </c>
      <c r="E622" s="11">
        <v>45969.506944444445</v>
      </c>
      <c r="F622" s="11">
        <v>45969.60833333333</v>
      </c>
      <c r="G622" s="12">
        <v>0.101388888884685</v>
      </c>
      <c r="H622" s="2" t="s">
        <v>343</v>
      </c>
      <c r="J622" s="2" t="s">
        <v>230</v>
      </c>
      <c r="K622" s="2" t="s">
        <v>230</v>
      </c>
      <c r="L622" s="2" t="s">
        <v>1634</v>
      </c>
      <c r="M622" t="s">
        <v>302</v>
      </c>
      <c r="N622" t="s">
        <v>345</v>
      </c>
      <c r="O622" t="s">
        <v>1635</v>
      </c>
      <c r="P622" t="s">
        <v>1644</v>
      </c>
      <c r="Q622" t="s">
        <v>1364</v>
      </c>
    </row>
    <row r="623" spans="1:17">
      <c r="A623" s="2" t="s">
        <v>425</v>
      </c>
      <c r="B623" s="2" t="s">
        <v>425</v>
      </c>
      <c r="C623" s="2" t="s">
        <v>354</v>
      </c>
      <c r="D623" s="11">
        <v>45969.506944444445</v>
      </c>
      <c r="E623" s="11">
        <v>45969.506944444445</v>
      </c>
      <c r="F623" s="11">
        <v>45969.60833333333</v>
      </c>
      <c r="G623" s="12">
        <v>0.101388888884685</v>
      </c>
      <c r="H623" s="2" t="s">
        <v>343</v>
      </c>
      <c r="J623" s="2" t="s">
        <v>230</v>
      </c>
      <c r="K623" s="2" t="s">
        <v>230</v>
      </c>
      <c r="L623" s="2" t="s">
        <v>1634</v>
      </c>
      <c r="M623" t="s">
        <v>302</v>
      </c>
      <c r="N623" t="s">
        <v>345</v>
      </c>
      <c r="O623" t="s">
        <v>1635</v>
      </c>
      <c r="P623" t="s">
        <v>1645</v>
      </c>
      <c r="Q623" t="s">
        <v>1364</v>
      </c>
    </row>
    <row r="624" spans="1:17">
      <c r="A624" s="2" t="s">
        <v>481</v>
      </c>
      <c r="B624" s="2" t="s">
        <v>481</v>
      </c>
      <c r="C624" s="2" t="s">
        <v>354</v>
      </c>
      <c r="D624" s="11">
        <v>45969.676388888889</v>
      </c>
      <c r="E624" s="11">
        <v>45969.676388888889</v>
      </c>
      <c r="F624" s="11">
        <v>45970.28125</v>
      </c>
      <c r="G624" s="12">
        <v>0.60486111111094942</v>
      </c>
      <c r="H624" s="2" t="s">
        <v>248</v>
      </c>
      <c r="J624" s="2" t="s">
        <v>249</v>
      </c>
      <c r="K624" s="2" t="s">
        <v>349</v>
      </c>
      <c r="L624" s="2" t="s">
        <v>1646</v>
      </c>
      <c r="M624" t="s">
        <v>736</v>
      </c>
      <c r="N624" t="s">
        <v>330</v>
      </c>
      <c r="O624" t="s">
        <v>739</v>
      </c>
      <c r="P624" t="s">
        <v>1647</v>
      </c>
      <c r="Q624" t="s">
        <v>966</v>
      </c>
    </row>
    <row r="625" spans="1:17">
      <c r="A625" s="2" t="s">
        <v>481</v>
      </c>
      <c r="B625" s="2" t="s">
        <v>481</v>
      </c>
      <c r="C625" s="2" t="s">
        <v>357</v>
      </c>
      <c r="D625" s="11">
        <v>45969.676388888889</v>
      </c>
      <c r="E625" s="11">
        <v>45969.676388888889</v>
      </c>
      <c r="F625" s="11">
        <v>45970.28125</v>
      </c>
      <c r="G625" s="12">
        <v>0.60486111111094942</v>
      </c>
      <c r="H625" s="2" t="s">
        <v>248</v>
      </c>
      <c r="J625" s="2" t="s">
        <v>249</v>
      </c>
      <c r="K625" s="2" t="s">
        <v>349</v>
      </c>
      <c r="L625" s="2" t="s">
        <v>1646</v>
      </c>
      <c r="M625" t="s">
        <v>736</v>
      </c>
      <c r="N625" t="s">
        <v>330</v>
      </c>
      <c r="O625" t="s">
        <v>739</v>
      </c>
      <c r="P625" t="s">
        <v>1648</v>
      </c>
      <c r="Q625" t="s">
        <v>966</v>
      </c>
    </row>
    <row r="626" spans="1:17">
      <c r="A626" s="2" t="s">
        <v>481</v>
      </c>
      <c r="B626" s="2" t="s">
        <v>481</v>
      </c>
      <c r="C626" s="2" t="s">
        <v>358</v>
      </c>
      <c r="D626" s="11">
        <v>45969.676388888889</v>
      </c>
      <c r="E626" s="11">
        <v>45969.676388888889</v>
      </c>
      <c r="F626" s="11">
        <v>45970.28125</v>
      </c>
      <c r="G626" s="12">
        <v>0.60486111111094942</v>
      </c>
      <c r="H626" s="2" t="s">
        <v>248</v>
      </c>
      <c r="J626" s="2" t="s">
        <v>249</v>
      </c>
      <c r="K626" s="2" t="s">
        <v>349</v>
      </c>
      <c r="L626" s="2" t="s">
        <v>1646</v>
      </c>
      <c r="M626" t="s">
        <v>736</v>
      </c>
      <c r="N626" t="s">
        <v>330</v>
      </c>
      <c r="O626" t="s">
        <v>739</v>
      </c>
      <c r="P626" t="s">
        <v>1649</v>
      </c>
      <c r="Q626" t="s">
        <v>966</v>
      </c>
    </row>
    <row r="627" spans="1:17">
      <c r="A627" s="2" t="s">
        <v>481</v>
      </c>
      <c r="B627" s="2" t="s">
        <v>481</v>
      </c>
      <c r="C627" s="2" t="s">
        <v>359</v>
      </c>
      <c r="D627" s="11">
        <v>45969.676388888889</v>
      </c>
      <c r="E627" s="11">
        <v>45969.676388888889</v>
      </c>
      <c r="F627" s="11">
        <v>45970.28125</v>
      </c>
      <c r="G627" s="12">
        <v>0.60486111111094942</v>
      </c>
      <c r="H627" s="2" t="s">
        <v>248</v>
      </c>
      <c r="J627" s="2" t="s">
        <v>249</v>
      </c>
      <c r="K627" s="2" t="s">
        <v>349</v>
      </c>
      <c r="L627" s="2" t="s">
        <v>1646</v>
      </c>
      <c r="M627" t="s">
        <v>736</v>
      </c>
      <c r="N627" t="s">
        <v>330</v>
      </c>
      <c r="O627" t="s">
        <v>739</v>
      </c>
      <c r="P627" t="s">
        <v>1650</v>
      </c>
      <c r="Q627" t="s">
        <v>966</v>
      </c>
    </row>
    <row r="628" spans="1:17">
      <c r="A628" s="2" t="s">
        <v>482</v>
      </c>
      <c r="B628" s="2" t="s">
        <v>482</v>
      </c>
      <c r="C628" s="2" t="s">
        <v>354</v>
      </c>
      <c r="D628" s="11">
        <v>45969.676388888889</v>
      </c>
      <c r="E628" s="11">
        <v>45969.676388888889</v>
      </c>
      <c r="F628" s="11">
        <v>45970.28125</v>
      </c>
      <c r="G628" s="12">
        <v>0.60486111111094942</v>
      </c>
      <c r="H628" s="2" t="s">
        <v>248</v>
      </c>
      <c r="J628" s="2" t="s">
        <v>249</v>
      </c>
      <c r="K628" s="2" t="s">
        <v>349</v>
      </c>
      <c r="L628" s="2" t="s">
        <v>1646</v>
      </c>
      <c r="M628" t="s">
        <v>736</v>
      </c>
      <c r="N628" t="s">
        <v>330</v>
      </c>
      <c r="O628" t="s">
        <v>739</v>
      </c>
      <c r="P628" t="s">
        <v>1651</v>
      </c>
      <c r="Q628" t="s">
        <v>966</v>
      </c>
    </row>
    <row r="629" spans="1:17">
      <c r="A629" s="2" t="s">
        <v>482</v>
      </c>
      <c r="B629" s="2" t="s">
        <v>482</v>
      </c>
      <c r="C629" s="2" t="s">
        <v>357</v>
      </c>
      <c r="D629" s="11">
        <v>45969.676388888889</v>
      </c>
      <c r="E629" s="11">
        <v>45969.676388888889</v>
      </c>
      <c r="F629" s="11">
        <v>45970.28125</v>
      </c>
      <c r="G629" s="12">
        <v>0.60486111111094942</v>
      </c>
      <c r="H629" s="2" t="s">
        <v>248</v>
      </c>
      <c r="J629" s="2" t="s">
        <v>249</v>
      </c>
      <c r="K629" s="2" t="s">
        <v>349</v>
      </c>
      <c r="L629" s="2" t="s">
        <v>1646</v>
      </c>
      <c r="M629" t="s">
        <v>736</v>
      </c>
      <c r="N629" t="s">
        <v>330</v>
      </c>
      <c r="O629" t="s">
        <v>739</v>
      </c>
      <c r="P629" t="s">
        <v>1652</v>
      </c>
      <c r="Q629" t="s">
        <v>966</v>
      </c>
    </row>
    <row r="630" spans="1:17">
      <c r="A630" s="2" t="s">
        <v>482</v>
      </c>
      <c r="B630" s="2" t="s">
        <v>482</v>
      </c>
      <c r="C630" s="2" t="s">
        <v>358</v>
      </c>
      <c r="D630" s="11">
        <v>45969.676388888889</v>
      </c>
      <c r="E630" s="11">
        <v>45969.676388888889</v>
      </c>
      <c r="F630" s="11">
        <v>45970.28125</v>
      </c>
      <c r="G630" s="12">
        <v>0.60486111111094942</v>
      </c>
      <c r="H630" s="2" t="s">
        <v>248</v>
      </c>
      <c r="J630" s="2" t="s">
        <v>249</v>
      </c>
      <c r="K630" s="2" t="s">
        <v>349</v>
      </c>
      <c r="L630" s="2" t="s">
        <v>1646</v>
      </c>
      <c r="M630" t="s">
        <v>736</v>
      </c>
      <c r="N630" t="s">
        <v>330</v>
      </c>
      <c r="O630" t="s">
        <v>739</v>
      </c>
      <c r="P630" t="s">
        <v>1653</v>
      </c>
      <c r="Q630" t="s">
        <v>966</v>
      </c>
    </row>
    <row r="631" spans="1:17">
      <c r="A631" s="2" t="s">
        <v>482</v>
      </c>
      <c r="B631" s="2" t="s">
        <v>482</v>
      </c>
      <c r="C631" s="2" t="s">
        <v>359</v>
      </c>
      <c r="D631" s="11">
        <v>45969.676388888889</v>
      </c>
      <c r="E631" s="11">
        <v>45969.676388888889</v>
      </c>
      <c r="F631" s="11">
        <v>45970.28125</v>
      </c>
      <c r="G631" s="12">
        <v>0.60486111111094942</v>
      </c>
      <c r="H631" s="2" t="s">
        <v>248</v>
      </c>
      <c r="J631" s="2" t="s">
        <v>249</v>
      </c>
      <c r="K631" s="2" t="s">
        <v>349</v>
      </c>
      <c r="L631" s="2" t="s">
        <v>1646</v>
      </c>
      <c r="M631" t="s">
        <v>736</v>
      </c>
      <c r="N631" t="s">
        <v>330</v>
      </c>
      <c r="O631" t="s">
        <v>739</v>
      </c>
      <c r="P631" t="s">
        <v>1654</v>
      </c>
      <c r="Q631" t="s">
        <v>966</v>
      </c>
    </row>
    <row r="632" spans="1:17">
      <c r="A632" s="2" t="s">
        <v>483</v>
      </c>
      <c r="B632" s="2" t="s">
        <v>483</v>
      </c>
      <c r="C632" s="2" t="s">
        <v>328</v>
      </c>
      <c r="D632" s="11">
        <v>45969.676388888889</v>
      </c>
      <c r="E632" s="11">
        <v>45969.676388888889</v>
      </c>
      <c r="F632" s="11">
        <v>45970.28125</v>
      </c>
      <c r="G632" s="12">
        <v>0.60486111111094942</v>
      </c>
      <c r="H632" s="2" t="s">
        <v>248</v>
      </c>
      <c r="J632" s="2" t="s">
        <v>249</v>
      </c>
      <c r="K632" s="2" t="s">
        <v>349</v>
      </c>
      <c r="L632" s="2" t="s">
        <v>1646</v>
      </c>
      <c r="M632" t="s">
        <v>736</v>
      </c>
      <c r="N632" t="s">
        <v>330</v>
      </c>
      <c r="O632" t="s">
        <v>739</v>
      </c>
      <c r="P632" t="s">
        <v>1655</v>
      </c>
      <c r="Q632" t="s">
        <v>966</v>
      </c>
    </row>
    <row r="633" spans="1:17">
      <c r="A633" s="2" t="s">
        <v>483</v>
      </c>
      <c r="B633" s="2" t="s">
        <v>483</v>
      </c>
      <c r="C633" s="2" t="s">
        <v>357</v>
      </c>
      <c r="D633" s="11">
        <v>45969.676388888889</v>
      </c>
      <c r="E633" s="11">
        <v>45969.676388888889</v>
      </c>
      <c r="F633" s="11">
        <v>45970.28125</v>
      </c>
      <c r="G633" s="12">
        <v>0.60486111111094942</v>
      </c>
      <c r="H633" s="2" t="s">
        <v>248</v>
      </c>
      <c r="J633" s="2" t="s">
        <v>249</v>
      </c>
      <c r="K633" s="2" t="s">
        <v>349</v>
      </c>
      <c r="L633" s="2" t="s">
        <v>1646</v>
      </c>
      <c r="M633" t="s">
        <v>736</v>
      </c>
      <c r="N633" t="s">
        <v>330</v>
      </c>
      <c r="O633" t="s">
        <v>739</v>
      </c>
      <c r="P633" t="s">
        <v>1656</v>
      </c>
      <c r="Q633" t="s">
        <v>966</v>
      </c>
    </row>
    <row r="634" spans="1:17">
      <c r="A634" s="2" t="s">
        <v>483</v>
      </c>
      <c r="B634" s="2" t="s">
        <v>483</v>
      </c>
      <c r="C634" s="2" t="s">
        <v>358</v>
      </c>
      <c r="D634" s="11">
        <v>45969.676388888889</v>
      </c>
      <c r="E634" s="11">
        <v>45969.676388888889</v>
      </c>
      <c r="F634" s="11">
        <v>45970.28125</v>
      </c>
      <c r="G634" s="12">
        <v>0.60486111111094942</v>
      </c>
      <c r="H634" s="2" t="s">
        <v>248</v>
      </c>
      <c r="J634" s="2" t="s">
        <v>249</v>
      </c>
      <c r="K634" s="2" t="s">
        <v>349</v>
      </c>
      <c r="L634" s="2" t="s">
        <v>1646</v>
      </c>
      <c r="M634" t="s">
        <v>736</v>
      </c>
      <c r="N634" t="s">
        <v>330</v>
      </c>
      <c r="O634" t="s">
        <v>739</v>
      </c>
      <c r="P634" t="s">
        <v>1657</v>
      </c>
      <c r="Q634" t="s">
        <v>966</v>
      </c>
    </row>
    <row r="635" spans="1:17">
      <c r="A635" s="2" t="s">
        <v>483</v>
      </c>
      <c r="B635" s="2" t="s">
        <v>483</v>
      </c>
      <c r="C635" s="2" t="s">
        <v>359</v>
      </c>
      <c r="D635" s="11">
        <v>45969.676388888889</v>
      </c>
      <c r="E635" s="11">
        <v>45969.676388888889</v>
      </c>
      <c r="F635" s="11">
        <v>45970.28125</v>
      </c>
      <c r="G635" s="12">
        <v>0.60486111111094942</v>
      </c>
      <c r="H635" s="2" t="s">
        <v>248</v>
      </c>
      <c r="J635" s="2" t="s">
        <v>249</v>
      </c>
      <c r="K635" s="2" t="s">
        <v>349</v>
      </c>
      <c r="L635" s="2" t="s">
        <v>1646</v>
      </c>
      <c r="M635" t="s">
        <v>736</v>
      </c>
      <c r="N635" t="s">
        <v>330</v>
      </c>
      <c r="O635" t="s">
        <v>739</v>
      </c>
      <c r="P635" t="s">
        <v>1658</v>
      </c>
      <c r="Q635" t="s">
        <v>966</v>
      </c>
    </row>
    <row r="636" spans="1:17">
      <c r="A636" s="2" t="s">
        <v>484</v>
      </c>
      <c r="B636" s="2" t="s">
        <v>484</v>
      </c>
      <c r="C636" s="2" t="s">
        <v>354</v>
      </c>
      <c r="D636" s="11">
        <v>45969.676388888889</v>
      </c>
      <c r="E636" s="11">
        <v>45969.676388888889</v>
      </c>
      <c r="F636" s="11">
        <v>45970.28125</v>
      </c>
      <c r="G636" s="12">
        <v>0.60486111111094942</v>
      </c>
      <c r="H636" s="2" t="s">
        <v>248</v>
      </c>
      <c r="J636" s="2" t="s">
        <v>249</v>
      </c>
      <c r="K636" s="2" t="s">
        <v>349</v>
      </c>
      <c r="L636" s="2" t="s">
        <v>1646</v>
      </c>
      <c r="M636" t="s">
        <v>736</v>
      </c>
      <c r="N636" t="s">
        <v>330</v>
      </c>
      <c r="O636" t="s">
        <v>739</v>
      </c>
      <c r="P636" t="s">
        <v>1659</v>
      </c>
      <c r="Q636" t="s">
        <v>966</v>
      </c>
    </row>
    <row r="637" spans="1:17">
      <c r="A637" s="2" t="s">
        <v>484</v>
      </c>
      <c r="B637" s="2" t="s">
        <v>484</v>
      </c>
      <c r="C637" s="2" t="s">
        <v>357</v>
      </c>
      <c r="D637" s="11">
        <v>45969.676388888889</v>
      </c>
      <c r="E637" s="11">
        <v>45969.676388888889</v>
      </c>
      <c r="F637" s="11">
        <v>45970.28125</v>
      </c>
      <c r="G637" s="12">
        <v>0.60486111111094942</v>
      </c>
      <c r="H637" s="2" t="s">
        <v>248</v>
      </c>
      <c r="J637" s="2" t="s">
        <v>249</v>
      </c>
      <c r="K637" s="2" t="s">
        <v>349</v>
      </c>
      <c r="L637" s="2" t="s">
        <v>1646</v>
      </c>
      <c r="M637" t="s">
        <v>736</v>
      </c>
      <c r="N637" t="s">
        <v>330</v>
      </c>
      <c r="O637" t="s">
        <v>739</v>
      </c>
      <c r="P637" t="s">
        <v>1660</v>
      </c>
      <c r="Q637" t="s">
        <v>966</v>
      </c>
    </row>
    <row r="638" spans="1:17">
      <c r="A638" s="2" t="s">
        <v>484</v>
      </c>
      <c r="B638" s="2" t="s">
        <v>484</v>
      </c>
      <c r="C638" s="2" t="s">
        <v>358</v>
      </c>
      <c r="D638" s="11">
        <v>45969.676388888889</v>
      </c>
      <c r="E638" s="11">
        <v>45969.676388888889</v>
      </c>
      <c r="F638" s="11">
        <v>45970.28125</v>
      </c>
      <c r="G638" s="12">
        <v>0.60486111111094942</v>
      </c>
      <c r="H638" s="2" t="s">
        <v>248</v>
      </c>
      <c r="J638" s="2" t="s">
        <v>249</v>
      </c>
      <c r="K638" s="2" t="s">
        <v>349</v>
      </c>
      <c r="L638" s="2" t="s">
        <v>1646</v>
      </c>
      <c r="M638" t="s">
        <v>736</v>
      </c>
      <c r="N638" t="s">
        <v>330</v>
      </c>
      <c r="O638" t="s">
        <v>739</v>
      </c>
      <c r="P638" t="s">
        <v>1661</v>
      </c>
      <c r="Q638" t="s">
        <v>966</v>
      </c>
    </row>
    <row r="639" spans="1:17">
      <c r="A639" s="2" t="s">
        <v>484</v>
      </c>
      <c r="B639" s="2" t="s">
        <v>484</v>
      </c>
      <c r="C639" s="2" t="s">
        <v>359</v>
      </c>
      <c r="D639" s="11">
        <v>45969.676388888889</v>
      </c>
      <c r="E639" s="11">
        <v>45969.676388888889</v>
      </c>
      <c r="F639" s="11">
        <v>45970.28125</v>
      </c>
      <c r="G639" s="12">
        <v>0.60486111111094942</v>
      </c>
      <c r="H639" s="2" t="s">
        <v>248</v>
      </c>
      <c r="J639" s="2" t="s">
        <v>249</v>
      </c>
      <c r="K639" s="2" t="s">
        <v>349</v>
      </c>
      <c r="L639" s="2" t="s">
        <v>1646</v>
      </c>
      <c r="M639" t="s">
        <v>736</v>
      </c>
      <c r="N639" t="s">
        <v>330</v>
      </c>
      <c r="O639" t="s">
        <v>739</v>
      </c>
      <c r="P639" t="s">
        <v>1662</v>
      </c>
      <c r="Q639" t="s">
        <v>966</v>
      </c>
    </row>
    <row r="640" spans="1:17">
      <c r="A640" s="2" t="s">
        <v>485</v>
      </c>
      <c r="B640" s="2" t="s">
        <v>485</v>
      </c>
      <c r="C640" s="2" t="s">
        <v>354</v>
      </c>
      <c r="D640" s="11">
        <v>45969.676388888889</v>
      </c>
      <c r="E640" s="11">
        <v>45969.676388888889</v>
      </c>
      <c r="F640" s="11">
        <v>45970.28125</v>
      </c>
      <c r="G640" s="12">
        <v>0.60486111111094942</v>
      </c>
      <c r="H640" s="2" t="s">
        <v>248</v>
      </c>
      <c r="J640" s="2" t="s">
        <v>249</v>
      </c>
      <c r="K640" s="2" t="s">
        <v>349</v>
      </c>
      <c r="L640" s="2" t="s">
        <v>1646</v>
      </c>
      <c r="M640" t="s">
        <v>736</v>
      </c>
      <c r="N640" t="s">
        <v>330</v>
      </c>
      <c r="O640" t="s">
        <v>739</v>
      </c>
      <c r="P640" t="s">
        <v>1663</v>
      </c>
      <c r="Q640" t="s">
        <v>966</v>
      </c>
    </row>
    <row r="641" spans="1:17">
      <c r="A641" s="2" t="s">
        <v>485</v>
      </c>
      <c r="B641" s="2" t="s">
        <v>485</v>
      </c>
      <c r="C641" s="2" t="s">
        <v>357</v>
      </c>
      <c r="D641" s="11">
        <v>45969.676388888889</v>
      </c>
      <c r="E641" s="11">
        <v>45969.676388888889</v>
      </c>
      <c r="F641" s="11">
        <v>45970.28125</v>
      </c>
      <c r="G641" s="12">
        <v>0.60486111111094942</v>
      </c>
      <c r="H641" s="2" t="s">
        <v>248</v>
      </c>
      <c r="J641" s="2" t="s">
        <v>249</v>
      </c>
      <c r="K641" s="2" t="s">
        <v>349</v>
      </c>
      <c r="L641" s="2" t="s">
        <v>1646</v>
      </c>
      <c r="M641" t="s">
        <v>736</v>
      </c>
      <c r="N641" t="s">
        <v>330</v>
      </c>
      <c r="O641" t="s">
        <v>739</v>
      </c>
      <c r="P641" t="s">
        <v>1664</v>
      </c>
      <c r="Q641" t="s">
        <v>966</v>
      </c>
    </row>
    <row r="642" spans="1:17">
      <c r="A642" s="2" t="s">
        <v>485</v>
      </c>
      <c r="B642" s="2" t="s">
        <v>485</v>
      </c>
      <c r="C642" s="2" t="s">
        <v>358</v>
      </c>
      <c r="D642" s="11">
        <v>45969.676388888889</v>
      </c>
      <c r="E642" s="11">
        <v>45969.676388888889</v>
      </c>
      <c r="F642" s="11">
        <v>45970.28125</v>
      </c>
      <c r="G642" s="12">
        <v>0.60486111111094942</v>
      </c>
      <c r="H642" s="2" t="s">
        <v>248</v>
      </c>
      <c r="J642" s="2" t="s">
        <v>249</v>
      </c>
      <c r="K642" s="2" t="s">
        <v>349</v>
      </c>
      <c r="L642" s="2" t="s">
        <v>1646</v>
      </c>
      <c r="M642" t="s">
        <v>736</v>
      </c>
      <c r="N642" t="s">
        <v>330</v>
      </c>
      <c r="O642" t="s">
        <v>739</v>
      </c>
      <c r="P642" t="s">
        <v>1665</v>
      </c>
      <c r="Q642" t="s">
        <v>966</v>
      </c>
    </row>
    <row r="643" spans="1:17">
      <c r="A643" s="2" t="s">
        <v>485</v>
      </c>
      <c r="B643" s="2" t="s">
        <v>485</v>
      </c>
      <c r="C643" s="2" t="s">
        <v>328</v>
      </c>
      <c r="D643" s="11">
        <v>45969.676388888889</v>
      </c>
      <c r="E643" s="11">
        <v>45969.676388888889</v>
      </c>
      <c r="F643" s="11">
        <v>45970.28125</v>
      </c>
      <c r="G643" s="12">
        <v>0.60486111111094942</v>
      </c>
      <c r="H643" s="2" t="s">
        <v>248</v>
      </c>
      <c r="J643" s="2" t="s">
        <v>249</v>
      </c>
      <c r="K643" s="2" t="s">
        <v>349</v>
      </c>
      <c r="L643" s="2" t="s">
        <v>1646</v>
      </c>
      <c r="M643" t="s">
        <v>736</v>
      </c>
      <c r="N643" t="s">
        <v>330</v>
      </c>
      <c r="O643" t="s">
        <v>739</v>
      </c>
      <c r="P643" t="s">
        <v>1666</v>
      </c>
      <c r="Q643" t="s">
        <v>966</v>
      </c>
    </row>
    <row r="644" spans="1:17">
      <c r="A644" s="2" t="s">
        <v>771</v>
      </c>
      <c r="B644" s="2" t="s">
        <v>477</v>
      </c>
      <c r="C644" s="2" t="s">
        <v>634</v>
      </c>
      <c r="D644" s="11">
        <v>45969.725694444445</v>
      </c>
      <c r="E644" s="11">
        <v>45969.725694444445</v>
      </c>
      <c r="F644" s="11">
        <v>45970.260416666664</v>
      </c>
      <c r="G644" s="12">
        <v>0.53472222221898846</v>
      </c>
      <c r="H644" s="2" t="s">
        <v>248</v>
      </c>
      <c r="J644" s="2" t="s">
        <v>249</v>
      </c>
      <c r="K644" s="2" t="s">
        <v>349</v>
      </c>
      <c r="L644" s="2" t="s">
        <v>971</v>
      </c>
      <c r="M644" t="s">
        <v>251</v>
      </c>
      <c r="N644" t="s">
        <v>330</v>
      </c>
      <c r="O644" t="s">
        <v>331</v>
      </c>
      <c r="P644" t="s">
        <v>1667</v>
      </c>
      <c r="Q644" t="s">
        <v>966</v>
      </c>
    </row>
    <row r="645" spans="1:17">
      <c r="A645" s="2" t="s">
        <v>773</v>
      </c>
      <c r="B645" s="2" t="s">
        <v>477</v>
      </c>
      <c r="C645" s="2" t="s">
        <v>628</v>
      </c>
      <c r="D645" s="11">
        <v>45969.725694444445</v>
      </c>
      <c r="E645" s="11">
        <v>45969.725694444445</v>
      </c>
      <c r="F645" s="11">
        <v>45970.260416666664</v>
      </c>
      <c r="G645" s="12">
        <v>0.53472222221898846</v>
      </c>
      <c r="H645" s="2" t="s">
        <v>248</v>
      </c>
      <c r="J645" s="2" t="s">
        <v>249</v>
      </c>
      <c r="K645" s="2" t="s">
        <v>349</v>
      </c>
      <c r="L645" s="2" t="s">
        <v>971</v>
      </c>
      <c r="M645" t="s">
        <v>251</v>
      </c>
      <c r="N645" t="s">
        <v>330</v>
      </c>
      <c r="O645" t="s">
        <v>331</v>
      </c>
      <c r="P645" t="s">
        <v>1668</v>
      </c>
      <c r="Q645" t="s">
        <v>966</v>
      </c>
    </row>
    <row r="646" spans="1:17">
      <c r="A646" s="2" t="s">
        <v>773</v>
      </c>
      <c r="B646" s="2" t="s">
        <v>477</v>
      </c>
      <c r="C646" s="2" t="s">
        <v>491</v>
      </c>
      <c r="D646" s="11">
        <v>45969.725694444445</v>
      </c>
      <c r="E646" s="11">
        <v>45969.725694444445</v>
      </c>
      <c r="F646" s="11">
        <v>45970.260416666664</v>
      </c>
      <c r="G646" s="12">
        <v>0.53472222221898846</v>
      </c>
      <c r="H646" s="2" t="s">
        <v>248</v>
      </c>
      <c r="J646" s="2" t="s">
        <v>249</v>
      </c>
      <c r="K646" s="2" t="s">
        <v>349</v>
      </c>
      <c r="L646" s="2" t="s">
        <v>971</v>
      </c>
      <c r="M646" t="s">
        <v>251</v>
      </c>
      <c r="N646" t="s">
        <v>330</v>
      </c>
      <c r="O646" t="s">
        <v>331</v>
      </c>
      <c r="P646" t="s">
        <v>1669</v>
      </c>
      <c r="Q646" t="s">
        <v>966</v>
      </c>
    </row>
    <row r="647" spans="1:17">
      <c r="A647" s="2" t="s">
        <v>773</v>
      </c>
      <c r="B647" s="2" t="s">
        <v>477</v>
      </c>
      <c r="C647" s="2" t="s">
        <v>488</v>
      </c>
      <c r="D647" s="11">
        <v>45969.725694444445</v>
      </c>
      <c r="E647" s="11">
        <v>45969.725694444445</v>
      </c>
      <c r="F647" s="11">
        <v>45970.260416666664</v>
      </c>
      <c r="G647" s="12">
        <v>0.53472222221898846</v>
      </c>
      <c r="H647" s="2" t="s">
        <v>248</v>
      </c>
      <c r="J647" s="2" t="s">
        <v>249</v>
      </c>
      <c r="K647" s="2" t="s">
        <v>349</v>
      </c>
      <c r="L647" s="2" t="s">
        <v>971</v>
      </c>
      <c r="M647" t="s">
        <v>251</v>
      </c>
      <c r="N647" t="s">
        <v>330</v>
      </c>
      <c r="O647" t="s">
        <v>331</v>
      </c>
      <c r="P647" t="s">
        <v>1670</v>
      </c>
      <c r="Q647" t="s">
        <v>966</v>
      </c>
    </row>
    <row r="648" spans="1:17">
      <c r="A648" s="2" t="s">
        <v>773</v>
      </c>
      <c r="B648" s="2" t="s">
        <v>477</v>
      </c>
      <c r="C648" s="2" t="s">
        <v>492</v>
      </c>
      <c r="D648" s="11">
        <v>45969.725694444445</v>
      </c>
      <c r="E648" s="11">
        <v>45969.725694444445</v>
      </c>
      <c r="F648" s="11">
        <v>45970.260416666664</v>
      </c>
      <c r="G648" s="12">
        <v>0.53472222221898846</v>
      </c>
      <c r="H648" s="2" t="s">
        <v>248</v>
      </c>
      <c r="J648" s="2" t="s">
        <v>249</v>
      </c>
      <c r="K648" s="2" t="s">
        <v>349</v>
      </c>
      <c r="L648" s="2" t="s">
        <v>971</v>
      </c>
      <c r="M648" t="s">
        <v>251</v>
      </c>
      <c r="N648" t="s">
        <v>330</v>
      </c>
      <c r="O648" t="s">
        <v>331</v>
      </c>
      <c r="P648" t="s">
        <v>1671</v>
      </c>
      <c r="Q648" t="s">
        <v>966</v>
      </c>
    </row>
    <row r="649" spans="1:17">
      <c r="A649" s="2" t="s">
        <v>773</v>
      </c>
      <c r="B649" s="2" t="s">
        <v>477</v>
      </c>
      <c r="C649" s="2" t="s">
        <v>490</v>
      </c>
      <c r="D649" s="11">
        <v>45969.725694444445</v>
      </c>
      <c r="E649" s="11">
        <v>45969.725694444445</v>
      </c>
      <c r="F649" s="11">
        <v>45970.260416666664</v>
      </c>
      <c r="G649" s="12">
        <v>0.53472222221898846</v>
      </c>
      <c r="H649" s="2" t="s">
        <v>248</v>
      </c>
      <c r="J649" s="2" t="s">
        <v>249</v>
      </c>
      <c r="K649" s="2" t="s">
        <v>349</v>
      </c>
      <c r="L649" s="2" t="s">
        <v>971</v>
      </c>
      <c r="M649" t="s">
        <v>251</v>
      </c>
      <c r="N649" t="s">
        <v>330</v>
      </c>
      <c r="O649" t="s">
        <v>331</v>
      </c>
      <c r="P649" t="s">
        <v>1672</v>
      </c>
      <c r="Q649" t="s">
        <v>966</v>
      </c>
    </row>
    <row r="650" spans="1:17">
      <c r="A650" s="2" t="s">
        <v>773</v>
      </c>
      <c r="B650" s="2" t="s">
        <v>477</v>
      </c>
      <c r="C650" s="2" t="s">
        <v>978</v>
      </c>
      <c r="D650" s="11">
        <v>45969.725694444445</v>
      </c>
      <c r="E650" s="11">
        <v>45969.725694444445</v>
      </c>
      <c r="F650" s="11">
        <v>45970.260416666664</v>
      </c>
      <c r="G650" s="12">
        <v>0.53472222221898846</v>
      </c>
      <c r="H650" s="2" t="s">
        <v>248</v>
      </c>
      <c r="J650" s="2" t="s">
        <v>249</v>
      </c>
      <c r="K650" s="2" t="s">
        <v>349</v>
      </c>
      <c r="L650" s="2" t="s">
        <v>971</v>
      </c>
      <c r="M650" t="s">
        <v>251</v>
      </c>
      <c r="N650" t="s">
        <v>330</v>
      </c>
      <c r="O650" t="s">
        <v>331</v>
      </c>
      <c r="P650" t="s">
        <v>1673</v>
      </c>
      <c r="Q650" t="s">
        <v>966</v>
      </c>
    </row>
    <row r="651" spans="1:17">
      <c r="A651" s="2" t="s">
        <v>782</v>
      </c>
      <c r="B651" s="2" t="s">
        <v>477</v>
      </c>
      <c r="C651" s="2" t="s">
        <v>489</v>
      </c>
      <c r="D651" s="11">
        <v>45969.725694444445</v>
      </c>
      <c r="E651" s="11">
        <v>45969.725694444445</v>
      </c>
      <c r="F651" s="11">
        <v>45970.260416666664</v>
      </c>
      <c r="G651" s="12">
        <v>0.53472222221898846</v>
      </c>
      <c r="H651" s="2" t="s">
        <v>248</v>
      </c>
      <c r="J651" s="2" t="s">
        <v>249</v>
      </c>
      <c r="K651" s="2" t="s">
        <v>349</v>
      </c>
      <c r="L651" s="2" t="s">
        <v>971</v>
      </c>
      <c r="M651" t="s">
        <v>251</v>
      </c>
      <c r="N651" t="s">
        <v>330</v>
      </c>
      <c r="O651" t="s">
        <v>331</v>
      </c>
      <c r="P651" t="s">
        <v>1674</v>
      </c>
      <c r="Q651" t="s">
        <v>966</v>
      </c>
    </row>
    <row r="652" spans="1:17">
      <c r="A652" s="2" t="s">
        <v>782</v>
      </c>
      <c r="B652" s="2" t="s">
        <v>477</v>
      </c>
      <c r="C652" s="2" t="s">
        <v>713</v>
      </c>
      <c r="D652" s="11">
        <v>45969.725694444445</v>
      </c>
      <c r="E652" s="11">
        <v>45969.725694444445</v>
      </c>
      <c r="F652" s="11">
        <v>45970.260416666664</v>
      </c>
      <c r="G652" s="12">
        <v>0.53472222221898846</v>
      </c>
      <c r="H652" s="2" t="s">
        <v>248</v>
      </c>
      <c r="J652" s="2" t="s">
        <v>249</v>
      </c>
      <c r="K652" s="2" t="s">
        <v>349</v>
      </c>
      <c r="L652" s="2" t="s">
        <v>971</v>
      </c>
      <c r="M652" t="s">
        <v>251</v>
      </c>
      <c r="N652" t="s">
        <v>330</v>
      </c>
      <c r="O652" t="s">
        <v>331</v>
      </c>
      <c r="P652" t="s">
        <v>1675</v>
      </c>
      <c r="Q652" t="s">
        <v>966</v>
      </c>
    </row>
    <row r="653" spans="1:17">
      <c r="A653" s="2" t="s">
        <v>782</v>
      </c>
      <c r="B653" s="2" t="s">
        <v>477</v>
      </c>
      <c r="C653" s="2" t="s">
        <v>486</v>
      </c>
      <c r="D653" s="11">
        <v>45969.725694444445</v>
      </c>
      <c r="E653" s="11">
        <v>45969.725694444445</v>
      </c>
      <c r="F653" s="11">
        <v>45970.260416666664</v>
      </c>
      <c r="G653" s="12">
        <v>0.53472222221898846</v>
      </c>
      <c r="H653" s="2" t="s">
        <v>248</v>
      </c>
      <c r="J653" s="2" t="s">
        <v>249</v>
      </c>
      <c r="K653" s="2" t="s">
        <v>349</v>
      </c>
      <c r="L653" s="2" t="s">
        <v>971</v>
      </c>
      <c r="M653" t="s">
        <v>251</v>
      </c>
      <c r="N653" t="s">
        <v>330</v>
      </c>
      <c r="O653" t="s">
        <v>331</v>
      </c>
      <c r="P653" t="s">
        <v>1676</v>
      </c>
      <c r="Q653" t="s">
        <v>966</v>
      </c>
    </row>
    <row r="654" spans="1:17">
      <c r="A654" s="2" t="s">
        <v>782</v>
      </c>
      <c r="B654" s="2" t="s">
        <v>477</v>
      </c>
      <c r="C654" s="2" t="s">
        <v>478</v>
      </c>
      <c r="D654" s="11">
        <v>45969.725694444445</v>
      </c>
      <c r="E654" s="11">
        <v>45969.725694444445</v>
      </c>
      <c r="F654" s="11">
        <v>45970.260416666664</v>
      </c>
      <c r="G654" s="12">
        <v>0.53472222221898846</v>
      </c>
      <c r="H654" s="2" t="s">
        <v>248</v>
      </c>
      <c r="J654" s="2" t="s">
        <v>249</v>
      </c>
      <c r="K654" s="2" t="s">
        <v>349</v>
      </c>
      <c r="L654" s="2" t="s">
        <v>971</v>
      </c>
      <c r="M654" t="s">
        <v>251</v>
      </c>
      <c r="N654" t="s">
        <v>330</v>
      </c>
      <c r="O654" t="s">
        <v>331</v>
      </c>
      <c r="P654" t="s">
        <v>1677</v>
      </c>
      <c r="Q654" t="s">
        <v>966</v>
      </c>
    </row>
    <row r="655" spans="1:17">
      <c r="A655" s="2" t="s">
        <v>782</v>
      </c>
      <c r="B655" s="2" t="s">
        <v>477</v>
      </c>
      <c r="C655" s="2" t="s">
        <v>632</v>
      </c>
      <c r="D655" s="11">
        <v>45969.725694444445</v>
      </c>
      <c r="E655" s="11">
        <v>45969.725694444445</v>
      </c>
      <c r="F655" s="11">
        <v>45970.260416666664</v>
      </c>
      <c r="G655" s="12">
        <v>0.53472222221898846</v>
      </c>
      <c r="H655" s="2" t="s">
        <v>248</v>
      </c>
      <c r="J655" s="2" t="s">
        <v>249</v>
      </c>
      <c r="K655" s="2" t="s">
        <v>349</v>
      </c>
      <c r="L655" s="2" t="s">
        <v>971</v>
      </c>
      <c r="M655" t="s">
        <v>251</v>
      </c>
      <c r="N655" t="s">
        <v>330</v>
      </c>
      <c r="O655" t="s">
        <v>331</v>
      </c>
      <c r="P655" t="s">
        <v>1678</v>
      </c>
      <c r="Q655" t="s">
        <v>966</v>
      </c>
    </row>
    <row r="656" spans="1:17">
      <c r="A656" s="2" t="s">
        <v>782</v>
      </c>
      <c r="B656" s="2" t="s">
        <v>477</v>
      </c>
      <c r="C656" s="2" t="s">
        <v>629</v>
      </c>
      <c r="D656" s="11">
        <v>45969.725694444445</v>
      </c>
      <c r="E656" s="11">
        <v>45969.725694444445</v>
      </c>
      <c r="F656" s="11">
        <v>45970.260416666664</v>
      </c>
      <c r="G656" s="12">
        <v>0.53472222221898846</v>
      </c>
      <c r="H656" s="2" t="s">
        <v>248</v>
      </c>
      <c r="J656" s="2" t="s">
        <v>249</v>
      </c>
      <c r="K656" s="2" t="s">
        <v>349</v>
      </c>
      <c r="L656" s="2" t="s">
        <v>971</v>
      </c>
      <c r="M656" t="s">
        <v>251</v>
      </c>
      <c r="N656" t="s">
        <v>330</v>
      </c>
      <c r="O656" t="s">
        <v>331</v>
      </c>
      <c r="P656" t="s">
        <v>1679</v>
      </c>
      <c r="Q656" t="s">
        <v>966</v>
      </c>
    </row>
    <row r="657" spans="1:17">
      <c r="A657" s="2" t="s">
        <v>782</v>
      </c>
      <c r="B657" s="2" t="s">
        <v>477</v>
      </c>
      <c r="C657" s="2" t="s">
        <v>631</v>
      </c>
      <c r="D657" s="11">
        <v>45969.725694444445</v>
      </c>
      <c r="E657" s="11">
        <v>45969.725694444445</v>
      </c>
      <c r="F657" s="11">
        <v>45970.260416666664</v>
      </c>
      <c r="G657" s="12">
        <v>0.53472222221898846</v>
      </c>
      <c r="H657" s="2" t="s">
        <v>248</v>
      </c>
      <c r="J657" s="2" t="s">
        <v>249</v>
      </c>
      <c r="K657" s="2" t="s">
        <v>349</v>
      </c>
      <c r="L657" s="2" t="s">
        <v>971</v>
      </c>
      <c r="M657" t="s">
        <v>251</v>
      </c>
      <c r="N657" t="s">
        <v>330</v>
      </c>
      <c r="O657" t="s">
        <v>331</v>
      </c>
      <c r="P657" t="s">
        <v>1680</v>
      </c>
      <c r="Q657" t="s">
        <v>966</v>
      </c>
    </row>
    <row r="658" spans="1:17">
      <c r="A658" s="2" t="s">
        <v>782</v>
      </c>
      <c r="B658" s="2" t="s">
        <v>477</v>
      </c>
      <c r="C658" s="2" t="s">
        <v>635</v>
      </c>
      <c r="D658" s="11">
        <v>45969.725694444445</v>
      </c>
      <c r="E658" s="11">
        <v>45969.725694444445</v>
      </c>
      <c r="F658" s="11">
        <v>45970.260416666664</v>
      </c>
      <c r="G658" s="12">
        <v>0.53472222221898846</v>
      </c>
      <c r="H658" s="2" t="s">
        <v>248</v>
      </c>
      <c r="J658" s="2" t="s">
        <v>249</v>
      </c>
      <c r="K658" s="2" t="s">
        <v>349</v>
      </c>
      <c r="L658" s="2" t="s">
        <v>971</v>
      </c>
      <c r="M658" t="s">
        <v>251</v>
      </c>
      <c r="N658" t="s">
        <v>330</v>
      </c>
      <c r="O658" t="s">
        <v>331</v>
      </c>
      <c r="P658" t="s">
        <v>1681</v>
      </c>
      <c r="Q658" t="s">
        <v>966</v>
      </c>
    </row>
    <row r="659" spans="1:17">
      <c r="A659" s="2" t="s">
        <v>782</v>
      </c>
      <c r="B659" s="2" t="s">
        <v>477</v>
      </c>
      <c r="C659" s="2" t="s">
        <v>487</v>
      </c>
      <c r="D659" s="11">
        <v>45969.725694444445</v>
      </c>
      <c r="E659" s="11">
        <v>45969.725694444445</v>
      </c>
      <c r="F659" s="11">
        <v>45970.260416666664</v>
      </c>
      <c r="G659" s="12">
        <v>0.53472222221898846</v>
      </c>
      <c r="H659" s="2" t="s">
        <v>248</v>
      </c>
      <c r="J659" s="2" t="s">
        <v>249</v>
      </c>
      <c r="K659" s="2" t="s">
        <v>349</v>
      </c>
      <c r="L659" s="2" t="s">
        <v>971</v>
      </c>
      <c r="M659" t="s">
        <v>251</v>
      </c>
      <c r="N659" t="s">
        <v>330</v>
      </c>
      <c r="O659" t="s">
        <v>331</v>
      </c>
      <c r="P659" t="s">
        <v>1682</v>
      </c>
      <c r="Q659" t="s">
        <v>966</v>
      </c>
    </row>
    <row r="660" spans="1:17">
      <c r="A660" s="2" t="s">
        <v>782</v>
      </c>
      <c r="B660" s="2" t="s">
        <v>477</v>
      </c>
      <c r="C660" s="2" t="s">
        <v>627</v>
      </c>
      <c r="D660" s="11">
        <v>45969.725694444445</v>
      </c>
      <c r="E660" s="11">
        <v>45969.725694444445</v>
      </c>
      <c r="F660" s="11">
        <v>45970.260416666664</v>
      </c>
      <c r="G660" s="12">
        <v>0.53472222221898846</v>
      </c>
      <c r="H660" s="2" t="s">
        <v>248</v>
      </c>
      <c r="J660" s="2" t="s">
        <v>249</v>
      </c>
      <c r="K660" s="2" t="s">
        <v>349</v>
      </c>
      <c r="L660" s="2" t="s">
        <v>971</v>
      </c>
      <c r="M660" t="s">
        <v>251</v>
      </c>
      <c r="N660" t="s">
        <v>330</v>
      </c>
      <c r="O660" t="s">
        <v>331</v>
      </c>
      <c r="P660" t="s">
        <v>1683</v>
      </c>
      <c r="Q660" t="s">
        <v>966</v>
      </c>
    </row>
    <row r="661" spans="1:17">
      <c r="A661" s="2" t="s">
        <v>416</v>
      </c>
      <c r="B661" s="2" t="s">
        <v>416</v>
      </c>
      <c r="C661" s="2" t="s">
        <v>358</v>
      </c>
      <c r="D661" s="11">
        <v>45970.25</v>
      </c>
      <c r="E661" s="11">
        <v>45970.25</v>
      </c>
      <c r="F661" s="11">
        <v>45970.375</v>
      </c>
      <c r="G661" s="12">
        <v>0.125</v>
      </c>
      <c r="H661" s="2" t="s">
        <v>260</v>
      </c>
      <c r="I661" s="2" t="s">
        <v>261</v>
      </c>
      <c r="J661" s="2" t="s">
        <v>262</v>
      </c>
      <c r="K661" s="2" t="s">
        <v>263</v>
      </c>
      <c r="L661" s="2" t="s">
        <v>737</v>
      </c>
      <c r="M661" t="s">
        <v>265</v>
      </c>
      <c r="N661" t="s">
        <v>266</v>
      </c>
      <c r="O661" t="s">
        <v>1684</v>
      </c>
      <c r="P661" t="s">
        <v>1685</v>
      </c>
      <c r="Q661" t="s">
        <v>1401</v>
      </c>
    </row>
    <row r="662" spans="1:17">
      <c r="A662" s="2" t="s">
        <v>416</v>
      </c>
      <c r="B662" s="2" t="s">
        <v>416</v>
      </c>
      <c r="C662" s="2" t="s">
        <v>359</v>
      </c>
      <c r="D662" s="11">
        <v>45970.25</v>
      </c>
      <c r="E662" s="11">
        <v>45970.25</v>
      </c>
      <c r="F662" s="11">
        <v>45970.375</v>
      </c>
      <c r="G662" s="12">
        <v>0.125</v>
      </c>
      <c r="H662" s="2" t="s">
        <v>260</v>
      </c>
      <c r="I662" s="2" t="s">
        <v>261</v>
      </c>
      <c r="J662" s="2" t="s">
        <v>262</v>
      </c>
      <c r="K662" s="2" t="s">
        <v>263</v>
      </c>
      <c r="L662" s="2" t="s">
        <v>737</v>
      </c>
      <c r="M662" t="s">
        <v>265</v>
      </c>
      <c r="N662" t="s">
        <v>266</v>
      </c>
      <c r="O662" t="s">
        <v>1684</v>
      </c>
      <c r="P662" t="s">
        <v>1686</v>
      </c>
      <c r="Q662" t="s">
        <v>1401</v>
      </c>
    </row>
    <row r="663" spans="1:17">
      <c r="A663" s="2" t="s">
        <v>416</v>
      </c>
      <c r="B663" s="2" t="s">
        <v>416</v>
      </c>
      <c r="C663" s="2" t="s">
        <v>386</v>
      </c>
      <c r="D663" s="11">
        <v>45970.25</v>
      </c>
      <c r="E663" s="11">
        <v>45970.25</v>
      </c>
      <c r="F663" s="11">
        <v>45970.375</v>
      </c>
      <c r="G663" s="12">
        <v>0.125</v>
      </c>
      <c r="H663" s="2" t="s">
        <v>260</v>
      </c>
      <c r="I663" s="2" t="s">
        <v>261</v>
      </c>
      <c r="J663" s="2" t="s">
        <v>262</v>
      </c>
      <c r="K663" s="2" t="s">
        <v>263</v>
      </c>
      <c r="L663" s="2" t="s">
        <v>737</v>
      </c>
      <c r="M663" t="s">
        <v>265</v>
      </c>
      <c r="N663" t="s">
        <v>266</v>
      </c>
      <c r="O663" t="s">
        <v>1684</v>
      </c>
      <c r="P663" t="s">
        <v>1687</v>
      </c>
      <c r="Q663" t="s">
        <v>1401</v>
      </c>
    </row>
    <row r="664" spans="1:17">
      <c r="A664" s="2" t="s">
        <v>416</v>
      </c>
      <c r="B664" s="2" t="s">
        <v>416</v>
      </c>
      <c r="C664" s="2" t="s">
        <v>417</v>
      </c>
      <c r="D664" s="11">
        <v>45970.25</v>
      </c>
      <c r="E664" s="11">
        <v>45970.25</v>
      </c>
      <c r="F664" s="11">
        <v>45970.375</v>
      </c>
      <c r="G664" s="12">
        <v>0.125</v>
      </c>
      <c r="H664" s="2" t="s">
        <v>260</v>
      </c>
      <c r="I664" s="2" t="s">
        <v>261</v>
      </c>
      <c r="J664" s="2" t="s">
        <v>262</v>
      </c>
      <c r="K664" s="2" t="s">
        <v>263</v>
      </c>
      <c r="L664" s="2" t="s">
        <v>737</v>
      </c>
      <c r="M664" t="s">
        <v>265</v>
      </c>
      <c r="N664" t="s">
        <v>266</v>
      </c>
      <c r="O664" t="s">
        <v>1684</v>
      </c>
      <c r="P664" t="s">
        <v>1688</v>
      </c>
      <c r="Q664" t="s">
        <v>1401</v>
      </c>
    </row>
    <row r="665" spans="1:17">
      <c r="A665" s="2" t="s">
        <v>416</v>
      </c>
      <c r="B665" s="2" t="s">
        <v>416</v>
      </c>
      <c r="C665" s="2" t="s">
        <v>418</v>
      </c>
      <c r="D665" s="11">
        <v>45970.25</v>
      </c>
      <c r="E665" s="11">
        <v>45970.25</v>
      </c>
      <c r="F665" s="11">
        <v>45970.375</v>
      </c>
      <c r="G665" s="12">
        <v>0.125</v>
      </c>
      <c r="H665" s="2" t="s">
        <v>260</v>
      </c>
      <c r="I665" s="2" t="s">
        <v>261</v>
      </c>
      <c r="J665" s="2" t="s">
        <v>262</v>
      </c>
      <c r="K665" s="2" t="s">
        <v>263</v>
      </c>
      <c r="L665" s="2" t="s">
        <v>737</v>
      </c>
      <c r="M665" t="s">
        <v>265</v>
      </c>
      <c r="N665" t="s">
        <v>266</v>
      </c>
      <c r="O665" t="s">
        <v>1684</v>
      </c>
      <c r="P665" t="s">
        <v>1689</v>
      </c>
      <c r="Q665" t="s">
        <v>1401</v>
      </c>
    </row>
    <row r="666" spans="1:17">
      <c r="A666" s="2" t="s">
        <v>421</v>
      </c>
      <c r="B666" s="2" t="s">
        <v>421</v>
      </c>
      <c r="C666" s="2" t="s">
        <v>357</v>
      </c>
      <c r="D666" s="11">
        <v>45970.253472222219</v>
      </c>
      <c r="E666" s="11">
        <v>45970.253472222219</v>
      </c>
      <c r="F666" s="11">
        <v>45971.559027777781</v>
      </c>
      <c r="G666" s="12">
        <v>1.3055555555620231</v>
      </c>
      <c r="H666" s="2" t="s">
        <v>248</v>
      </c>
      <c r="J666" s="2" t="s">
        <v>230</v>
      </c>
      <c r="K666" s="2" t="s">
        <v>230</v>
      </c>
      <c r="L666" s="2" t="s">
        <v>1690</v>
      </c>
      <c r="M666" t="s">
        <v>302</v>
      </c>
      <c r="N666" t="s">
        <v>303</v>
      </c>
      <c r="O666" t="s">
        <v>1691</v>
      </c>
      <c r="P666" t="s">
        <v>1692</v>
      </c>
      <c r="Q666" t="s">
        <v>1693</v>
      </c>
    </row>
    <row r="667" spans="1:17">
      <c r="A667" s="2" t="s">
        <v>421</v>
      </c>
      <c r="B667" s="2" t="s">
        <v>421</v>
      </c>
      <c r="C667" s="2" t="s">
        <v>354</v>
      </c>
      <c r="D667" s="11">
        <v>45970.253472222219</v>
      </c>
      <c r="E667" s="11">
        <v>45970.253472222219</v>
      </c>
      <c r="F667" s="11">
        <v>45971.559027777781</v>
      </c>
      <c r="G667" s="12">
        <v>1.3055555555620231</v>
      </c>
      <c r="H667" s="2" t="s">
        <v>248</v>
      </c>
      <c r="J667" s="2" t="s">
        <v>230</v>
      </c>
      <c r="K667" s="2" t="s">
        <v>230</v>
      </c>
      <c r="L667" s="2" t="s">
        <v>1690</v>
      </c>
      <c r="M667" t="s">
        <v>302</v>
      </c>
      <c r="N667" t="s">
        <v>303</v>
      </c>
      <c r="O667" t="s">
        <v>1691</v>
      </c>
      <c r="P667" t="s">
        <v>1694</v>
      </c>
      <c r="Q667" t="s">
        <v>1693</v>
      </c>
    </row>
    <row r="668" spans="1:17">
      <c r="A668" s="2" t="s">
        <v>421</v>
      </c>
      <c r="B668" s="2" t="s">
        <v>421</v>
      </c>
      <c r="C668" s="2" t="s">
        <v>359</v>
      </c>
      <c r="D668" s="11">
        <v>45970.253472222219</v>
      </c>
      <c r="E668" s="11">
        <v>45970.253472222219</v>
      </c>
      <c r="F668" s="11">
        <v>45971.559027777781</v>
      </c>
      <c r="G668" s="12">
        <v>1.3055555555620231</v>
      </c>
      <c r="H668" s="2" t="s">
        <v>248</v>
      </c>
      <c r="J668" s="2" t="s">
        <v>230</v>
      </c>
      <c r="K668" s="2" t="s">
        <v>230</v>
      </c>
      <c r="L668" s="2" t="s">
        <v>1690</v>
      </c>
      <c r="M668" t="s">
        <v>302</v>
      </c>
      <c r="N668" t="s">
        <v>303</v>
      </c>
      <c r="O668" t="s">
        <v>1691</v>
      </c>
      <c r="P668" t="s">
        <v>1695</v>
      </c>
      <c r="Q668" t="s">
        <v>1693</v>
      </c>
    </row>
    <row r="669" spans="1:17">
      <c r="A669" s="2" t="s">
        <v>421</v>
      </c>
      <c r="B669" s="2" t="s">
        <v>421</v>
      </c>
      <c r="C669" s="2" t="s">
        <v>358</v>
      </c>
      <c r="D669" s="11">
        <v>45970.253472222219</v>
      </c>
      <c r="E669" s="11">
        <v>45970.253472222219</v>
      </c>
      <c r="F669" s="11">
        <v>45971.559027777781</v>
      </c>
      <c r="G669" s="12">
        <v>1.3055555555620231</v>
      </c>
      <c r="H669" s="2" t="s">
        <v>248</v>
      </c>
      <c r="J669" s="2" t="s">
        <v>230</v>
      </c>
      <c r="K669" s="2" t="s">
        <v>230</v>
      </c>
      <c r="L669" s="2" t="s">
        <v>1690</v>
      </c>
      <c r="M669" t="s">
        <v>302</v>
      </c>
      <c r="N669" t="s">
        <v>303</v>
      </c>
      <c r="O669" t="s">
        <v>1691</v>
      </c>
      <c r="P669" t="s">
        <v>1696</v>
      </c>
      <c r="Q669" t="s">
        <v>1693</v>
      </c>
    </row>
    <row r="670" spans="1:17">
      <c r="A670" s="2" t="s">
        <v>1126</v>
      </c>
      <c r="B670" s="2" t="s">
        <v>493</v>
      </c>
      <c r="C670" s="2" t="s">
        <v>494</v>
      </c>
      <c r="D670" s="11">
        <v>45970.694444444445</v>
      </c>
      <c r="E670" s="11">
        <v>45970.694444444445</v>
      </c>
      <c r="F670" s="11">
        <v>45970.72152777778</v>
      </c>
      <c r="G670" s="12">
        <v>2.7083333334303461E-2</v>
      </c>
      <c r="H670" s="2" t="s">
        <v>260</v>
      </c>
      <c r="I670" s="2" t="s">
        <v>261</v>
      </c>
      <c r="J670" s="2" t="s">
        <v>262</v>
      </c>
      <c r="K670" s="2" t="s">
        <v>263</v>
      </c>
      <c r="L670" s="2" t="s">
        <v>1697</v>
      </c>
      <c r="M670" t="s">
        <v>265</v>
      </c>
      <c r="N670" t="s">
        <v>266</v>
      </c>
      <c r="O670" t="s">
        <v>1698</v>
      </c>
      <c r="P670" t="s">
        <v>1699</v>
      </c>
      <c r="Q670" t="s">
        <v>1401</v>
      </c>
    </row>
    <row r="671" spans="1:17">
      <c r="A671" s="2" t="s">
        <v>1126</v>
      </c>
      <c r="B671" s="2" t="s">
        <v>493</v>
      </c>
      <c r="C671" s="2" t="s">
        <v>497</v>
      </c>
      <c r="D671" s="11">
        <v>45970.694444444445</v>
      </c>
      <c r="E671" s="11">
        <v>45970.694444444445</v>
      </c>
      <c r="F671" s="11">
        <v>45970.72152777778</v>
      </c>
      <c r="G671" s="12">
        <v>2.7083333334303461E-2</v>
      </c>
      <c r="H671" s="2" t="s">
        <v>260</v>
      </c>
      <c r="I671" s="2" t="s">
        <v>261</v>
      </c>
      <c r="J671" s="2" t="s">
        <v>262</v>
      </c>
      <c r="K671" s="2" t="s">
        <v>263</v>
      </c>
      <c r="L671" s="2" t="s">
        <v>1697</v>
      </c>
      <c r="M671" t="s">
        <v>265</v>
      </c>
      <c r="N671" t="s">
        <v>266</v>
      </c>
      <c r="O671" t="s">
        <v>1698</v>
      </c>
      <c r="P671" t="s">
        <v>1700</v>
      </c>
      <c r="Q671" t="s">
        <v>1401</v>
      </c>
    </row>
    <row r="672" spans="1:17">
      <c r="A672" s="2" t="s">
        <v>1126</v>
      </c>
      <c r="B672" s="2" t="s">
        <v>493</v>
      </c>
      <c r="C672" s="2" t="s">
        <v>498</v>
      </c>
      <c r="D672" s="11">
        <v>45970.694444444445</v>
      </c>
      <c r="E672" s="11">
        <v>45970.694444444445</v>
      </c>
      <c r="F672" s="11">
        <v>45970.72152777778</v>
      </c>
      <c r="G672" s="12">
        <v>2.7083333334303461E-2</v>
      </c>
      <c r="H672" s="2" t="s">
        <v>260</v>
      </c>
      <c r="I672" s="2" t="s">
        <v>261</v>
      </c>
      <c r="J672" s="2" t="s">
        <v>262</v>
      </c>
      <c r="K672" s="2" t="s">
        <v>263</v>
      </c>
      <c r="L672" s="2" t="s">
        <v>1697</v>
      </c>
      <c r="M672" t="s">
        <v>265</v>
      </c>
      <c r="N672" t="s">
        <v>266</v>
      </c>
      <c r="O672" t="s">
        <v>1698</v>
      </c>
      <c r="P672" t="s">
        <v>1701</v>
      </c>
      <c r="Q672" t="s">
        <v>1401</v>
      </c>
    </row>
    <row r="673" spans="1:17">
      <c r="A673" s="2" t="s">
        <v>1126</v>
      </c>
      <c r="B673" s="2" t="s">
        <v>493</v>
      </c>
      <c r="C673" s="2" t="s">
        <v>499</v>
      </c>
      <c r="D673" s="11">
        <v>45970.694444444445</v>
      </c>
      <c r="E673" s="11">
        <v>45970.694444444445</v>
      </c>
      <c r="F673" s="11">
        <v>45970.72152777778</v>
      </c>
      <c r="G673" s="12">
        <v>2.7083333334303461E-2</v>
      </c>
      <c r="H673" s="2" t="s">
        <v>260</v>
      </c>
      <c r="I673" s="2" t="s">
        <v>261</v>
      </c>
      <c r="J673" s="2" t="s">
        <v>262</v>
      </c>
      <c r="K673" s="2" t="s">
        <v>263</v>
      </c>
      <c r="L673" s="2" t="s">
        <v>1697</v>
      </c>
      <c r="M673" t="s">
        <v>265</v>
      </c>
      <c r="N673" t="s">
        <v>266</v>
      </c>
      <c r="O673" t="s">
        <v>1698</v>
      </c>
      <c r="P673" t="s">
        <v>1702</v>
      </c>
      <c r="Q673" t="s">
        <v>1401</v>
      </c>
    </row>
    <row r="674" spans="1:17">
      <c r="A674" s="2" t="s">
        <v>1446</v>
      </c>
      <c r="B674" s="2" t="s">
        <v>508</v>
      </c>
      <c r="C674" s="2" t="s">
        <v>512</v>
      </c>
      <c r="D674" s="11">
        <v>45970.982638888891</v>
      </c>
      <c r="E674" s="11">
        <v>45970.982638888891</v>
      </c>
      <c r="F674" s="11">
        <v>45988.739583333336</v>
      </c>
      <c r="G674" s="12">
        <v>17.756944444445253</v>
      </c>
      <c r="H674" s="2" t="s">
        <v>336</v>
      </c>
      <c r="J674" s="2" t="s">
        <v>230</v>
      </c>
      <c r="K674" s="2" t="s">
        <v>230</v>
      </c>
      <c r="L674" s="2" t="s">
        <v>958</v>
      </c>
      <c r="M674" t="s">
        <v>302</v>
      </c>
      <c r="N674" t="s">
        <v>303</v>
      </c>
      <c r="O674" t="s">
        <v>1703</v>
      </c>
      <c r="P674" t="s">
        <v>1704</v>
      </c>
      <c r="Q674" t="s">
        <v>1705</v>
      </c>
    </row>
    <row r="675" spans="1:17">
      <c r="A675" s="2" t="s">
        <v>1446</v>
      </c>
      <c r="B675" s="2" t="s">
        <v>508</v>
      </c>
      <c r="C675" s="2" t="s">
        <v>513</v>
      </c>
      <c r="D675" s="11">
        <v>45970.982638888891</v>
      </c>
      <c r="E675" s="11">
        <v>45970.982638888891</v>
      </c>
      <c r="F675" s="11">
        <v>45988.739583333336</v>
      </c>
      <c r="G675" s="12">
        <v>17.756944444445253</v>
      </c>
      <c r="H675" s="2" t="s">
        <v>336</v>
      </c>
      <c r="J675" s="2" t="s">
        <v>230</v>
      </c>
      <c r="K675" s="2" t="s">
        <v>230</v>
      </c>
      <c r="L675" s="2" t="s">
        <v>958</v>
      </c>
      <c r="M675" t="s">
        <v>302</v>
      </c>
      <c r="N675" t="s">
        <v>303</v>
      </c>
      <c r="O675" t="s">
        <v>1703</v>
      </c>
      <c r="P675" t="s">
        <v>1706</v>
      </c>
      <c r="Q675" t="s">
        <v>1705</v>
      </c>
    </row>
    <row r="676" spans="1:17">
      <c r="A676" s="2" t="s">
        <v>1446</v>
      </c>
      <c r="B676" s="2" t="s">
        <v>508</v>
      </c>
      <c r="C676" s="2" t="s">
        <v>514</v>
      </c>
      <c r="D676" s="11">
        <v>45970.982638888891</v>
      </c>
      <c r="E676" s="11">
        <v>45970.982638888891</v>
      </c>
      <c r="F676" s="11">
        <v>45988.739583333336</v>
      </c>
      <c r="G676" s="12">
        <v>17.756944444445253</v>
      </c>
      <c r="H676" s="2" t="s">
        <v>336</v>
      </c>
      <c r="J676" s="2" t="s">
        <v>230</v>
      </c>
      <c r="K676" s="2" t="s">
        <v>230</v>
      </c>
      <c r="L676" s="2" t="s">
        <v>958</v>
      </c>
      <c r="M676" t="s">
        <v>302</v>
      </c>
      <c r="N676" t="s">
        <v>303</v>
      </c>
      <c r="O676" t="s">
        <v>1703</v>
      </c>
      <c r="P676" t="s">
        <v>1707</v>
      </c>
      <c r="Q676" t="s">
        <v>1705</v>
      </c>
    </row>
    <row r="677" spans="1:17">
      <c r="A677" s="2" t="s">
        <v>1446</v>
      </c>
      <c r="B677" s="2" t="s">
        <v>508</v>
      </c>
      <c r="C677" s="2" t="s">
        <v>515</v>
      </c>
      <c r="D677" s="11">
        <v>45970.982638888891</v>
      </c>
      <c r="E677" s="11">
        <v>45970.982638888891</v>
      </c>
      <c r="F677" s="11">
        <v>45988.739583333336</v>
      </c>
      <c r="G677" s="12">
        <v>17.756944444445253</v>
      </c>
      <c r="H677" s="2" t="s">
        <v>336</v>
      </c>
      <c r="J677" s="2" t="s">
        <v>230</v>
      </c>
      <c r="K677" s="2" t="s">
        <v>230</v>
      </c>
      <c r="L677" s="2" t="s">
        <v>958</v>
      </c>
      <c r="M677" t="s">
        <v>302</v>
      </c>
      <c r="N677" t="s">
        <v>303</v>
      </c>
      <c r="O677" t="s">
        <v>1703</v>
      </c>
      <c r="P677" t="s">
        <v>1708</v>
      </c>
      <c r="Q677" t="s">
        <v>1705</v>
      </c>
    </row>
    <row r="678" spans="1:17">
      <c r="A678" s="2" t="s">
        <v>1446</v>
      </c>
      <c r="B678" s="2" t="s">
        <v>508</v>
      </c>
      <c r="C678" s="2" t="s">
        <v>516</v>
      </c>
      <c r="D678" s="11">
        <v>45970.982638888891</v>
      </c>
      <c r="E678" s="11">
        <v>45970.982638888891</v>
      </c>
      <c r="F678" s="11">
        <v>45988.739583333336</v>
      </c>
      <c r="G678" s="12">
        <v>17.756944444445253</v>
      </c>
      <c r="H678" s="2" t="s">
        <v>336</v>
      </c>
      <c r="J678" s="2" t="s">
        <v>230</v>
      </c>
      <c r="K678" s="2" t="s">
        <v>230</v>
      </c>
      <c r="L678" s="2" t="s">
        <v>958</v>
      </c>
      <c r="M678" t="s">
        <v>302</v>
      </c>
      <c r="N678" t="s">
        <v>303</v>
      </c>
      <c r="O678" t="s">
        <v>1703</v>
      </c>
      <c r="P678" t="s">
        <v>1709</v>
      </c>
      <c r="Q678" t="s">
        <v>1705</v>
      </c>
    </row>
    <row r="679" spans="1:17">
      <c r="A679" s="2" t="s">
        <v>1446</v>
      </c>
      <c r="B679" s="2" t="s">
        <v>508</v>
      </c>
      <c r="C679" s="2" t="s">
        <v>517</v>
      </c>
      <c r="D679" s="11">
        <v>45970.982638888891</v>
      </c>
      <c r="E679" s="11">
        <v>45970.982638888891</v>
      </c>
      <c r="F679" s="11">
        <v>45988.739583333336</v>
      </c>
      <c r="G679" s="12">
        <v>17.756944444445253</v>
      </c>
      <c r="H679" s="2" t="s">
        <v>336</v>
      </c>
      <c r="J679" s="2" t="s">
        <v>230</v>
      </c>
      <c r="K679" s="2" t="s">
        <v>230</v>
      </c>
      <c r="L679" s="2" t="s">
        <v>958</v>
      </c>
      <c r="M679" t="s">
        <v>302</v>
      </c>
      <c r="N679" t="s">
        <v>303</v>
      </c>
      <c r="O679" t="s">
        <v>1703</v>
      </c>
      <c r="P679" t="s">
        <v>1710</v>
      </c>
      <c r="Q679" t="s">
        <v>1705</v>
      </c>
    </row>
    <row r="680" spans="1:17">
      <c r="A680" s="2" t="s">
        <v>1446</v>
      </c>
      <c r="B680" s="2" t="s">
        <v>508</v>
      </c>
      <c r="C680" s="2" t="s">
        <v>518</v>
      </c>
      <c r="D680" s="11">
        <v>45970.982638888891</v>
      </c>
      <c r="E680" s="11">
        <v>45970.982638888891</v>
      </c>
      <c r="F680" s="11">
        <v>45988.739583333336</v>
      </c>
      <c r="G680" s="12">
        <v>17.756944444445253</v>
      </c>
      <c r="H680" s="2" t="s">
        <v>336</v>
      </c>
      <c r="J680" s="2" t="s">
        <v>230</v>
      </c>
      <c r="K680" s="2" t="s">
        <v>230</v>
      </c>
      <c r="L680" s="2" t="s">
        <v>958</v>
      </c>
      <c r="M680" t="s">
        <v>302</v>
      </c>
      <c r="N680" t="s">
        <v>303</v>
      </c>
      <c r="O680" t="s">
        <v>1703</v>
      </c>
      <c r="P680" t="s">
        <v>1711</v>
      </c>
      <c r="Q680" t="s">
        <v>1705</v>
      </c>
    </row>
    <row r="681" spans="1:17">
      <c r="A681" s="2" t="s">
        <v>1457</v>
      </c>
      <c r="B681" s="2" t="s">
        <v>508</v>
      </c>
      <c r="C681" s="2" t="s">
        <v>519</v>
      </c>
      <c r="D681" s="11">
        <v>45970.982638888891</v>
      </c>
      <c r="E681" s="11">
        <v>45970.982638888891</v>
      </c>
      <c r="F681" s="11">
        <v>45989.635416666664</v>
      </c>
      <c r="G681" s="12">
        <v>18.652777777773736</v>
      </c>
      <c r="H681" s="2" t="s">
        <v>336</v>
      </c>
      <c r="J681" s="2" t="s">
        <v>230</v>
      </c>
      <c r="K681" s="2" t="s">
        <v>230</v>
      </c>
      <c r="L681" s="2" t="s">
        <v>958</v>
      </c>
      <c r="M681" t="s">
        <v>302</v>
      </c>
      <c r="N681" t="s">
        <v>303</v>
      </c>
      <c r="O681" t="s">
        <v>1703</v>
      </c>
      <c r="P681" t="s">
        <v>1712</v>
      </c>
      <c r="Q681" t="s">
        <v>1705</v>
      </c>
    </row>
    <row r="682" spans="1:17">
      <c r="A682" s="2" t="s">
        <v>1457</v>
      </c>
      <c r="B682" s="2" t="s">
        <v>508</v>
      </c>
      <c r="C682" s="2" t="s">
        <v>520</v>
      </c>
      <c r="D682" s="11">
        <v>45970.982638888891</v>
      </c>
      <c r="E682" s="11">
        <v>45970.982638888891</v>
      </c>
      <c r="F682" s="11">
        <v>45989.635416666664</v>
      </c>
      <c r="G682" s="12">
        <v>18.652777777773736</v>
      </c>
      <c r="H682" s="2" t="s">
        <v>336</v>
      </c>
      <c r="J682" s="2" t="s">
        <v>230</v>
      </c>
      <c r="K682" s="2" t="s">
        <v>230</v>
      </c>
      <c r="L682" s="2" t="s">
        <v>958</v>
      </c>
      <c r="M682" t="s">
        <v>302</v>
      </c>
      <c r="N682" t="s">
        <v>303</v>
      </c>
      <c r="O682" t="s">
        <v>1703</v>
      </c>
      <c r="P682" t="s">
        <v>1713</v>
      </c>
      <c r="Q682" t="s">
        <v>1705</v>
      </c>
    </row>
    <row r="683" spans="1:17">
      <c r="A683" s="2" t="s">
        <v>1457</v>
      </c>
      <c r="B683" s="2" t="s">
        <v>508</v>
      </c>
      <c r="C683" s="2" t="s">
        <v>521</v>
      </c>
      <c r="D683" s="11">
        <v>45970.982638888891</v>
      </c>
      <c r="E683" s="11">
        <v>45970.982638888891</v>
      </c>
      <c r="F683" s="11">
        <v>45989.635416666664</v>
      </c>
      <c r="G683" s="12">
        <v>18.652777777773736</v>
      </c>
      <c r="H683" s="2" t="s">
        <v>336</v>
      </c>
      <c r="J683" s="2" t="s">
        <v>230</v>
      </c>
      <c r="K683" s="2" t="s">
        <v>230</v>
      </c>
      <c r="L683" s="2" t="s">
        <v>958</v>
      </c>
      <c r="M683" t="s">
        <v>302</v>
      </c>
      <c r="N683" t="s">
        <v>303</v>
      </c>
      <c r="O683" t="s">
        <v>1703</v>
      </c>
      <c r="P683" t="s">
        <v>1714</v>
      </c>
      <c r="Q683" t="s">
        <v>1705</v>
      </c>
    </row>
    <row r="684" spans="1:17">
      <c r="A684" s="2" t="s">
        <v>1457</v>
      </c>
      <c r="B684" s="2" t="s">
        <v>508</v>
      </c>
      <c r="C684" s="2" t="s">
        <v>522</v>
      </c>
      <c r="D684" s="11">
        <v>45970.982638888891</v>
      </c>
      <c r="E684" s="11">
        <v>45970.982638888891</v>
      </c>
      <c r="F684" s="11">
        <v>45989.635416666664</v>
      </c>
      <c r="G684" s="12">
        <v>18.652777777773736</v>
      </c>
      <c r="H684" s="2" t="s">
        <v>336</v>
      </c>
      <c r="J684" s="2" t="s">
        <v>230</v>
      </c>
      <c r="K684" s="2" t="s">
        <v>230</v>
      </c>
      <c r="L684" s="2" t="s">
        <v>958</v>
      </c>
      <c r="M684" t="s">
        <v>302</v>
      </c>
      <c r="N684" t="s">
        <v>303</v>
      </c>
      <c r="O684" t="s">
        <v>1703</v>
      </c>
      <c r="P684" t="s">
        <v>1715</v>
      </c>
      <c r="Q684" t="s">
        <v>1705</v>
      </c>
    </row>
    <row r="685" spans="1:17">
      <c r="A685" s="2" t="s">
        <v>1457</v>
      </c>
      <c r="B685" s="2" t="s">
        <v>508</v>
      </c>
      <c r="C685" s="2" t="s">
        <v>523</v>
      </c>
      <c r="D685" s="11">
        <v>45970.982638888891</v>
      </c>
      <c r="E685" s="11">
        <v>45970.982638888891</v>
      </c>
      <c r="F685" s="11">
        <v>45989.635416666664</v>
      </c>
      <c r="G685" s="12">
        <v>18.652777777773736</v>
      </c>
      <c r="H685" s="2" t="s">
        <v>336</v>
      </c>
      <c r="J685" s="2" t="s">
        <v>230</v>
      </c>
      <c r="K685" s="2" t="s">
        <v>230</v>
      </c>
      <c r="L685" s="2" t="s">
        <v>958</v>
      </c>
      <c r="M685" t="s">
        <v>302</v>
      </c>
      <c r="N685" t="s">
        <v>303</v>
      </c>
      <c r="O685" t="s">
        <v>1703</v>
      </c>
      <c r="P685" t="s">
        <v>1716</v>
      </c>
      <c r="Q685" t="s">
        <v>1705</v>
      </c>
    </row>
    <row r="686" spans="1:17">
      <c r="A686" s="2" t="s">
        <v>1463</v>
      </c>
      <c r="B686" s="2" t="s">
        <v>508</v>
      </c>
      <c r="C686" s="2" t="s">
        <v>524</v>
      </c>
      <c r="D686" s="11">
        <v>45970.982638888891</v>
      </c>
      <c r="E686" s="11">
        <v>45970.982638888891</v>
      </c>
      <c r="F686" s="11">
        <v>45991.999988425923</v>
      </c>
      <c r="G686" s="12">
        <v>21.017349537032715</v>
      </c>
      <c r="H686" s="2" t="s">
        <v>336</v>
      </c>
      <c r="J686" s="2" t="s">
        <v>230</v>
      </c>
      <c r="K686" s="2" t="s">
        <v>230</v>
      </c>
      <c r="L686" s="2" t="s">
        <v>958</v>
      </c>
      <c r="M686" t="s">
        <v>302</v>
      </c>
      <c r="N686" t="s">
        <v>303</v>
      </c>
      <c r="O686" t="s">
        <v>1703</v>
      </c>
      <c r="P686" t="s">
        <v>1717</v>
      </c>
      <c r="Q686" t="s">
        <v>1705</v>
      </c>
    </row>
    <row r="687" spans="1:17">
      <c r="A687" s="2" t="s">
        <v>1463</v>
      </c>
      <c r="B687" s="2" t="s">
        <v>508</v>
      </c>
      <c r="C687" s="2" t="s">
        <v>525</v>
      </c>
      <c r="D687" s="11">
        <v>45970.982638888891</v>
      </c>
      <c r="E687" s="11">
        <v>45970.982638888891</v>
      </c>
      <c r="F687" s="11">
        <v>45991.999988425923</v>
      </c>
      <c r="G687" s="12">
        <v>21.017349537032715</v>
      </c>
      <c r="H687" s="2" t="s">
        <v>336</v>
      </c>
      <c r="J687" s="2" t="s">
        <v>230</v>
      </c>
      <c r="K687" s="2" t="s">
        <v>230</v>
      </c>
      <c r="L687" s="2" t="s">
        <v>958</v>
      </c>
      <c r="M687" t="s">
        <v>302</v>
      </c>
      <c r="N687" t="s">
        <v>303</v>
      </c>
      <c r="O687" t="s">
        <v>1703</v>
      </c>
      <c r="P687" t="s">
        <v>1718</v>
      </c>
      <c r="Q687" t="s">
        <v>1705</v>
      </c>
    </row>
    <row r="688" spans="1:17">
      <c r="A688" s="2" t="s">
        <v>1463</v>
      </c>
      <c r="B688" s="2" t="s">
        <v>508</v>
      </c>
      <c r="C688" s="2" t="s">
        <v>526</v>
      </c>
      <c r="D688" s="11">
        <v>45970.982638888891</v>
      </c>
      <c r="E688" s="11">
        <v>45970.982638888891</v>
      </c>
      <c r="F688" s="11">
        <v>45991.999988425923</v>
      </c>
      <c r="G688" s="12">
        <v>21.017349537032715</v>
      </c>
      <c r="H688" s="2" t="s">
        <v>336</v>
      </c>
      <c r="J688" s="2" t="s">
        <v>230</v>
      </c>
      <c r="K688" s="2" t="s">
        <v>230</v>
      </c>
      <c r="L688" s="2" t="s">
        <v>958</v>
      </c>
      <c r="M688" t="s">
        <v>302</v>
      </c>
      <c r="N688" t="s">
        <v>303</v>
      </c>
      <c r="O688" t="s">
        <v>1703</v>
      </c>
      <c r="P688" t="s">
        <v>1719</v>
      </c>
      <c r="Q688" t="s">
        <v>1705</v>
      </c>
    </row>
    <row r="689" spans="1:17">
      <c r="A689" s="2" t="s">
        <v>1463</v>
      </c>
      <c r="B689" s="2" t="s">
        <v>508</v>
      </c>
      <c r="C689" s="2" t="s">
        <v>527</v>
      </c>
      <c r="D689" s="11">
        <v>45970.982638888891</v>
      </c>
      <c r="E689" s="11">
        <v>45970.982638888891</v>
      </c>
      <c r="F689" s="11">
        <v>45991.999988425923</v>
      </c>
      <c r="G689" s="12">
        <v>21.017349537032715</v>
      </c>
      <c r="H689" s="2" t="s">
        <v>336</v>
      </c>
      <c r="J689" s="2" t="s">
        <v>230</v>
      </c>
      <c r="K689" s="2" t="s">
        <v>230</v>
      </c>
      <c r="L689" s="2" t="s">
        <v>958</v>
      </c>
      <c r="M689" t="s">
        <v>302</v>
      </c>
      <c r="N689" t="s">
        <v>303</v>
      </c>
      <c r="O689" t="s">
        <v>1703</v>
      </c>
      <c r="P689" t="s">
        <v>1720</v>
      </c>
      <c r="Q689" t="s">
        <v>1705</v>
      </c>
    </row>
    <row r="690" spans="1:17">
      <c r="A690" s="2" t="s">
        <v>1463</v>
      </c>
      <c r="B690" s="2" t="s">
        <v>508</v>
      </c>
      <c r="C690" s="2" t="s">
        <v>528</v>
      </c>
      <c r="D690" s="11">
        <v>45970.982638888891</v>
      </c>
      <c r="E690" s="11">
        <v>45970.982638888891</v>
      </c>
      <c r="F690" s="11">
        <v>45991.999988425923</v>
      </c>
      <c r="G690" s="12">
        <v>21.017349537032715</v>
      </c>
      <c r="H690" s="2" t="s">
        <v>336</v>
      </c>
      <c r="J690" s="2" t="s">
        <v>230</v>
      </c>
      <c r="K690" s="2" t="s">
        <v>230</v>
      </c>
      <c r="L690" s="2" t="s">
        <v>958</v>
      </c>
      <c r="M690" t="s">
        <v>302</v>
      </c>
      <c r="N690" t="s">
        <v>303</v>
      </c>
      <c r="O690" t="s">
        <v>1703</v>
      </c>
      <c r="P690" t="s">
        <v>1721</v>
      </c>
      <c r="Q690" t="s">
        <v>1705</v>
      </c>
    </row>
    <row r="691" spans="1:17">
      <c r="A691" s="2" t="s">
        <v>1463</v>
      </c>
      <c r="B691" s="2" t="s">
        <v>508</v>
      </c>
      <c r="C691" s="2" t="s">
        <v>529</v>
      </c>
      <c r="D691" s="11">
        <v>45970.982638888891</v>
      </c>
      <c r="E691" s="11">
        <v>45970.982638888891</v>
      </c>
      <c r="F691" s="11">
        <v>45991.999988425923</v>
      </c>
      <c r="G691" s="12">
        <v>21.017349537032715</v>
      </c>
      <c r="H691" s="2" t="s">
        <v>336</v>
      </c>
      <c r="J691" s="2" t="s">
        <v>230</v>
      </c>
      <c r="K691" s="2" t="s">
        <v>230</v>
      </c>
      <c r="L691" s="2" t="s">
        <v>958</v>
      </c>
      <c r="M691" t="s">
        <v>302</v>
      </c>
      <c r="N691" t="s">
        <v>303</v>
      </c>
      <c r="O691" t="s">
        <v>1703</v>
      </c>
      <c r="P691" t="s">
        <v>1722</v>
      </c>
      <c r="Q691" t="s">
        <v>1705</v>
      </c>
    </row>
    <row r="692" spans="1:17">
      <c r="A692" s="2" t="s">
        <v>1470</v>
      </c>
      <c r="B692" s="2" t="s">
        <v>508</v>
      </c>
      <c r="C692" s="2" t="s">
        <v>530</v>
      </c>
      <c r="D692" s="11">
        <v>45970.982638888891</v>
      </c>
      <c r="E692" s="11">
        <v>45970.982638888891</v>
      </c>
      <c r="F692" s="11">
        <v>45973.333333333336</v>
      </c>
      <c r="G692" s="12">
        <v>2.3506944444452529</v>
      </c>
      <c r="H692" s="2" t="s">
        <v>336</v>
      </c>
      <c r="J692" s="2" t="s">
        <v>230</v>
      </c>
      <c r="K692" s="2" t="s">
        <v>230</v>
      </c>
      <c r="L692" s="2" t="s">
        <v>958</v>
      </c>
      <c r="M692" t="s">
        <v>302</v>
      </c>
      <c r="N692" t="s">
        <v>303</v>
      </c>
      <c r="O692" t="s">
        <v>1703</v>
      </c>
      <c r="P692" t="s">
        <v>1723</v>
      </c>
      <c r="Q692" t="s">
        <v>1705</v>
      </c>
    </row>
    <row r="693" spans="1:17">
      <c r="A693" s="2" t="s">
        <v>1470</v>
      </c>
      <c r="B693" s="2" t="s">
        <v>508</v>
      </c>
      <c r="C693" s="2" t="s">
        <v>531</v>
      </c>
      <c r="D693" s="11">
        <v>45970.982638888891</v>
      </c>
      <c r="E693" s="11">
        <v>45970.982638888891</v>
      </c>
      <c r="F693" s="11">
        <v>45973.333333333336</v>
      </c>
      <c r="G693" s="12">
        <v>2.3506944444452529</v>
      </c>
      <c r="H693" s="2" t="s">
        <v>336</v>
      </c>
      <c r="J693" s="2" t="s">
        <v>230</v>
      </c>
      <c r="K693" s="2" t="s">
        <v>230</v>
      </c>
      <c r="L693" s="2" t="s">
        <v>958</v>
      </c>
      <c r="M693" t="s">
        <v>302</v>
      </c>
      <c r="N693" t="s">
        <v>303</v>
      </c>
      <c r="O693" t="s">
        <v>1703</v>
      </c>
      <c r="P693" t="s">
        <v>1724</v>
      </c>
      <c r="Q693" t="s">
        <v>1705</v>
      </c>
    </row>
    <row r="694" spans="1:17">
      <c r="A694" s="2" t="s">
        <v>1470</v>
      </c>
      <c r="B694" s="2" t="s">
        <v>508</v>
      </c>
      <c r="C694" s="2" t="s">
        <v>532</v>
      </c>
      <c r="D694" s="11">
        <v>45970.982638888891</v>
      </c>
      <c r="E694" s="11">
        <v>45970.982638888891</v>
      </c>
      <c r="F694" s="11">
        <v>45973.333333333336</v>
      </c>
      <c r="G694" s="12">
        <v>2.3506944444452529</v>
      </c>
      <c r="H694" s="2" t="s">
        <v>336</v>
      </c>
      <c r="J694" s="2" t="s">
        <v>230</v>
      </c>
      <c r="K694" s="2" t="s">
        <v>230</v>
      </c>
      <c r="L694" s="2" t="s">
        <v>958</v>
      </c>
      <c r="M694" t="s">
        <v>302</v>
      </c>
      <c r="N694" t="s">
        <v>303</v>
      </c>
      <c r="O694" t="s">
        <v>1703</v>
      </c>
      <c r="P694" t="s">
        <v>1725</v>
      </c>
      <c r="Q694" t="s">
        <v>1705</v>
      </c>
    </row>
    <row r="695" spans="1:17">
      <c r="A695" s="2" t="s">
        <v>1470</v>
      </c>
      <c r="B695" s="2" t="s">
        <v>508</v>
      </c>
      <c r="C695" s="2" t="s">
        <v>533</v>
      </c>
      <c r="D695" s="11">
        <v>45970.982638888891</v>
      </c>
      <c r="E695" s="11">
        <v>45970.982638888891</v>
      </c>
      <c r="F695" s="11">
        <v>45973.333333333336</v>
      </c>
      <c r="G695" s="12">
        <v>2.3506944444452529</v>
      </c>
      <c r="H695" s="2" t="s">
        <v>336</v>
      </c>
      <c r="J695" s="2" t="s">
        <v>230</v>
      </c>
      <c r="K695" s="2" t="s">
        <v>230</v>
      </c>
      <c r="L695" s="2" t="s">
        <v>958</v>
      </c>
      <c r="M695" t="s">
        <v>302</v>
      </c>
      <c r="N695" t="s">
        <v>303</v>
      </c>
      <c r="O695" t="s">
        <v>1703</v>
      </c>
      <c r="P695" t="s">
        <v>1726</v>
      </c>
      <c r="Q695" t="s">
        <v>1705</v>
      </c>
    </row>
    <row r="696" spans="1:17">
      <c r="A696" s="2" t="s">
        <v>1470</v>
      </c>
      <c r="B696" s="2" t="s">
        <v>508</v>
      </c>
      <c r="C696" s="2" t="s">
        <v>534</v>
      </c>
      <c r="D696" s="11">
        <v>45970.982638888891</v>
      </c>
      <c r="E696" s="11">
        <v>45970.982638888891</v>
      </c>
      <c r="F696" s="11">
        <v>45973.333333333336</v>
      </c>
      <c r="G696" s="12">
        <v>2.3506944444452529</v>
      </c>
      <c r="H696" s="2" t="s">
        <v>336</v>
      </c>
      <c r="J696" s="2" t="s">
        <v>230</v>
      </c>
      <c r="K696" s="2" t="s">
        <v>230</v>
      </c>
      <c r="L696" s="2" t="s">
        <v>958</v>
      </c>
      <c r="M696" t="s">
        <v>302</v>
      </c>
      <c r="N696" t="s">
        <v>303</v>
      </c>
      <c r="O696" t="s">
        <v>1703</v>
      </c>
      <c r="P696" t="s">
        <v>1727</v>
      </c>
      <c r="Q696" t="s">
        <v>1705</v>
      </c>
    </row>
    <row r="697" spans="1:17">
      <c r="A697" s="2" t="s">
        <v>1470</v>
      </c>
      <c r="B697" s="2" t="s">
        <v>508</v>
      </c>
      <c r="C697" s="2" t="s">
        <v>535</v>
      </c>
      <c r="D697" s="11">
        <v>45970.982638888891</v>
      </c>
      <c r="E697" s="11">
        <v>45970.982638888891</v>
      </c>
      <c r="F697" s="11">
        <v>45973.333333333336</v>
      </c>
      <c r="G697" s="12">
        <v>2.3506944444452529</v>
      </c>
      <c r="H697" s="2" t="s">
        <v>336</v>
      </c>
      <c r="J697" s="2" t="s">
        <v>230</v>
      </c>
      <c r="K697" s="2" t="s">
        <v>230</v>
      </c>
      <c r="L697" s="2" t="s">
        <v>958</v>
      </c>
      <c r="M697" t="s">
        <v>302</v>
      </c>
      <c r="N697" t="s">
        <v>303</v>
      </c>
      <c r="O697" t="s">
        <v>1703</v>
      </c>
      <c r="P697" t="s">
        <v>1728</v>
      </c>
      <c r="Q697" t="s">
        <v>1705</v>
      </c>
    </row>
    <row r="698" spans="1:17">
      <c r="A698" s="2" t="s">
        <v>1477</v>
      </c>
      <c r="B698" s="2" t="s">
        <v>508</v>
      </c>
      <c r="C698" s="2" t="s">
        <v>536</v>
      </c>
      <c r="D698" s="11">
        <v>45970.982638888891</v>
      </c>
      <c r="E698" s="11">
        <v>45970.982638888891</v>
      </c>
      <c r="F698" s="11">
        <v>45973.333333333336</v>
      </c>
      <c r="G698" s="12">
        <v>2.3506944444452529</v>
      </c>
      <c r="H698" s="2" t="s">
        <v>336</v>
      </c>
      <c r="J698" s="2" t="s">
        <v>230</v>
      </c>
      <c r="K698" s="2" t="s">
        <v>230</v>
      </c>
      <c r="L698" s="2" t="s">
        <v>958</v>
      </c>
      <c r="M698" t="s">
        <v>302</v>
      </c>
      <c r="N698" t="s">
        <v>303</v>
      </c>
      <c r="O698" t="s">
        <v>1703</v>
      </c>
      <c r="P698" t="s">
        <v>1729</v>
      </c>
      <c r="Q698" t="s">
        <v>1705</v>
      </c>
    </row>
    <row r="699" spans="1:17">
      <c r="A699" s="2" t="s">
        <v>1477</v>
      </c>
      <c r="B699" s="2" t="s">
        <v>508</v>
      </c>
      <c r="C699" s="2" t="s">
        <v>537</v>
      </c>
      <c r="D699" s="11">
        <v>45970.982638888891</v>
      </c>
      <c r="E699" s="11">
        <v>45970.982638888891</v>
      </c>
      <c r="F699" s="11">
        <v>45973.333333333336</v>
      </c>
      <c r="G699" s="12">
        <v>2.3506944444452529</v>
      </c>
      <c r="H699" s="2" t="s">
        <v>336</v>
      </c>
      <c r="J699" s="2" t="s">
        <v>230</v>
      </c>
      <c r="K699" s="2" t="s">
        <v>230</v>
      </c>
      <c r="L699" s="2" t="s">
        <v>958</v>
      </c>
      <c r="M699" t="s">
        <v>302</v>
      </c>
      <c r="N699" t="s">
        <v>303</v>
      </c>
      <c r="O699" t="s">
        <v>1703</v>
      </c>
      <c r="P699" t="s">
        <v>1730</v>
      </c>
      <c r="Q699" t="s">
        <v>1705</v>
      </c>
    </row>
    <row r="700" spans="1:17">
      <c r="A700" s="2" t="s">
        <v>1477</v>
      </c>
      <c r="B700" s="2" t="s">
        <v>508</v>
      </c>
      <c r="C700" s="2" t="s">
        <v>538</v>
      </c>
      <c r="D700" s="11">
        <v>45970.982638888891</v>
      </c>
      <c r="E700" s="11">
        <v>45970.982638888891</v>
      </c>
      <c r="F700" s="11">
        <v>45973.333333333336</v>
      </c>
      <c r="G700" s="12">
        <v>2.3506944444452529</v>
      </c>
      <c r="H700" s="2" t="s">
        <v>336</v>
      </c>
      <c r="J700" s="2" t="s">
        <v>230</v>
      </c>
      <c r="K700" s="2" t="s">
        <v>230</v>
      </c>
      <c r="L700" s="2" t="s">
        <v>958</v>
      </c>
      <c r="M700" t="s">
        <v>302</v>
      </c>
      <c r="N700" t="s">
        <v>303</v>
      </c>
      <c r="O700" t="s">
        <v>1703</v>
      </c>
      <c r="P700" t="s">
        <v>1731</v>
      </c>
      <c r="Q700" t="s">
        <v>1705</v>
      </c>
    </row>
    <row r="701" spans="1:17">
      <c r="A701" s="2" t="s">
        <v>1481</v>
      </c>
      <c r="B701" s="2" t="s">
        <v>508</v>
      </c>
      <c r="C701" s="2" t="s">
        <v>539</v>
      </c>
      <c r="D701" s="11">
        <v>45970.982638888891</v>
      </c>
      <c r="E701" s="11">
        <v>45970.982638888891</v>
      </c>
      <c r="F701" s="11">
        <v>45973.333333333336</v>
      </c>
      <c r="G701" s="12">
        <v>2.3506944444452529</v>
      </c>
      <c r="H701" s="2" t="s">
        <v>336</v>
      </c>
      <c r="J701" s="2" t="s">
        <v>230</v>
      </c>
      <c r="K701" s="2" t="s">
        <v>230</v>
      </c>
      <c r="L701" s="2" t="s">
        <v>958</v>
      </c>
      <c r="M701" t="s">
        <v>302</v>
      </c>
      <c r="N701" t="s">
        <v>303</v>
      </c>
      <c r="O701" t="s">
        <v>1703</v>
      </c>
      <c r="P701" t="s">
        <v>1732</v>
      </c>
      <c r="Q701" t="s">
        <v>1705</v>
      </c>
    </row>
    <row r="702" spans="1:17">
      <c r="A702" s="2" t="s">
        <v>1481</v>
      </c>
      <c r="B702" s="2" t="s">
        <v>508</v>
      </c>
      <c r="C702" s="2" t="s">
        <v>540</v>
      </c>
      <c r="D702" s="11">
        <v>45970.982638888891</v>
      </c>
      <c r="E702" s="11">
        <v>45970.982638888891</v>
      </c>
      <c r="F702" s="11">
        <v>45973.333333333336</v>
      </c>
      <c r="G702" s="12">
        <v>2.3506944444452529</v>
      </c>
      <c r="H702" s="2" t="s">
        <v>336</v>
      </c>
      <c r="J702" s="2" t="s">
        <v>230</v>
      </c>
      <c r="K702" s="2" t="s">
        <v>230</v>
      </c>
      <c r="L702" s="2" t="s">
        <v>958</v>
      </c>
      <c r="M702" t="s">
        <v>302</v>
      </c>
      <c r="N702" t="s">
        <v>303</v>
      </c>
      <c r="O702" t="s">
        <v>1703</v>
      </c>
      <c r="P702" t="s">
        <v>1733</v>
      </c>
      <c r="Q702" t="s">
        <v>1705</v>
      </c>
    </row>
    <row r="703" spans="1:17">
      <c r="A703" s="2" t="s">
        <v>1481</v>
      </c>
      <c r="B703" s="2" t="s">
        <v>508</v>
      </c>
      <c r="C703" s="2" t="s">
        <v>541</v>
      </c>
      <c r="D703" s="11">
        <v>45970.982638888891</v>
      </c>
      <c r="E703" s="11">
        <v>45970.982638888891</v>
      </c>
      <c r="F703" s="11">
        <v>45973.333333333336</v>
      </c>
      <c r="G703" s="12">
        <v>2.3506944444452529</v>
      </c>
      <c r="H703" s="2" t="s">
        <v>336</v>
      </c>
      <c r="J703" s="2" t="s">
        <v>230</v>
      </c>
      <c r="K703" s="2" t="s">
        <v>230</v>
      </c>
      <c r="L703" s="2" t="s">
        <v>958</v>
      </c>
      <c r="M703" t="s">
        <v>302</v>
      </c>
      <c r="N703" t="s">
        <v>303</v>
      </c>
      <c r="O703" t="s">
        <v>1703</v>
      </c>
      <c r="P703" t="s">
        <v>1734</v>
      </c>
      <c r="Q703" t="s">
        <v>1705</v>
      </c>
    </row>
    <row r="704" spans="1:17">
      <c r="A704" s="2" t="s">
        <v>1485</v>
      </c>
      <c r="B704" s="2" t="s">
        <v>508</v>
      </c>
      <c r="C704" s="2" t="s">
        <v>542</v>
      </c>
      <c r="D704" s="11">
        <v>45970.982638888891</v>
      </c>
      <c r="E704" s="11">
        <v>45970.982638888891</v>
      </c>
      <c r="F704" s="11">
        <v>45991.999988425923</v>
      </c>
      <c r="G704" s="12">
        <v>21.017349537032715</v>
      </c>
      <c r="H704" s="2" t="s">
        <v>336</v>
      </c>
      <c r="J704" s="2" t="s">
        <v>230</v>
      </c>
      <c r="K704" s="2" t="s">
        <v>230</v>
      </c>
      <c r="L704" s="2" t="s">
        <v>958</v>
      </c>
      <c r="M704" t="s">
        <v>302</v>
      </c>
      <c r="N704" t="s">
        <v>303</v>
      </c>
      <c r="O704" t="s">
        <v>1703</v>
      </c>
      <c r="P704" t="s">
        <v>1735</v>
      </c>
      <c r="Q704" t="s">
        <v>1705</v>
      </c>
    </row>
    <row r="705" spans="1:17">
      <c r="A705" s="2" t="s">
        <v>1485</v>
      </c>
      <c r="B705" s="2" t="s">
        <v>508</v>
      </c>
      <c r="C705" s="2" t="s">
        <v>543</v>
      </c>
      <c r="D705" s="11">
        <v>45970.982638888891</v>
      </c>
      <c r="E705" s="11">
        <v>45970.982638888891</v>
      </c>
      <c r="F705" s="11">
        <v>45991.999988425923</v>
      </c>
      <c r="G705" s="12">
        <v>21.017349537032715</v>
      </c>
      <c r="H705" s="2" t="s">
        <v>336</v>
      </c>
      <c r="J705" s="2" t="s">
        <v>230</v>
      </c>
      <c r="K705" s="2" t="s">
        <v>230</v>
      </c>
      <c r="L705" s="2" t="s">
        <v>958</v>
      </c>
      <c r="M705" t="s">
        <v>302</v>
      </c>
      <c r="N705" t="s">
        <v>303</v>
      </c>
      <c r="O705" t="s">
        <v>1703</v>
      </c>
      <c r="P705" t="s">
        <v>1736</v>
      </c>
      <c r="Q705" t="s">
        <v>1705</v>
      </c>
    </row>
    <row r="706" spans="1:17">
      <c r="A706" s="2" t="s">
        <v>1485</v>
      </c>
      <c r="B706" s="2" t="s">
        <v>508</v>
      </c>
      <c r="C706" s="2" t="s">
        <v>544</v>
      </c>
      <c r="D706" s="11">
        <v>45970.982638888891</v>
      </c>
      <c r="E706" s="11">
        <v>45970.982638888891</v>
      </c>
      <c r="F706" s="11">
        <v>45991.999988425923</v>
      </c>
      <c r="G706" s="12">
        <v>21.017349537032715</v>
      </c>
      <c r="H706" s="2" t="s">
        <v>336</v>
      </c>
      <c r="J706" s="2" t="s">
        <v>230</v>
      </c>
      <c r="K706" s="2" t="s">
        <v>230</v>
      </c>
      <c r="L706" s="2" t="s">
        <v>958</v>
      </c>
      <c r="M706" t="s">
        <v>302</v>
      </c>
      <c r="N706" t="s">
        <v>303</v>
      </c>
      <c r="O706" t="s">
        <v>1703</v>
      </c>
      <c r="P706" t="s">
        <v>1737</v>
      </c>
      <c r="Q706" t="s">
        <v>1705</v>
      </c>
    </row>
    <row r="707" spans="1:17">
      <c r="A707" s="2" t="s">
        <v>1485</v>
      </c>
      <c r="B707" s="2" t="s">
        <v>508</v>
      </c>
      <c r="C707" s="2" t="s">
        <v>545</v>
      </c>
      <c r="D707" s="11">
        <v>45970.982638888891</v>
      </c>
      <c r="E707" s="11">
        <v>45970.982638888891</v>
      </c>
      <c r="F707" s="11">
        <v>45991.999988425923</v>
      </c>
      <c r="G707" s="12">
        <v>21.017349537032715</v>
      </c>
      <c r="H707" s="2" t="s">
        <v>336</v>
      </c>
      <c r="J707" s="2" t="s">
        <v>230</v>
      </c>
      <c r="K707" s="2" t="s">
        <v>230</v>
      </c>
      <c r="L707" s="2" t="s">
        <v>958</v>
      </c>
      <c r="M707" t="s">
        <v>302</v>
      </c>
      <c r="N707" t="s">
        <v>303</v>
      </c>
      <c r="O707" t="s">
        <v>1703</v>
      </c>
      <c r="P707" t="s">
        <v>1738</v>
      </c>
      <c r="Q707" t="s">
        <v>1705</v>
      </c>
    </row>
    <row r="708" spans="1:17">
      <c r="A708" s="2" t="s">
        <v>1485</v>
      </c>
      <c r="B708" s="2" t="s">
        <v>508</v>
      </c>
      <c r="C708" s="2" t="s">
        <v>546</v>
      </c>
      <c r="D708" s="11">
        <v>45970.982638888891</v>
      </c>
      <c r="E708" s="11">
        <v>45970.982638888891</v>
      </c>
      <c r="F708" s="11">
        <v>45991.999988425923</v>
      </c>
      <c r="G708" s="12">
        <v>21.017349537032715</v>
      </c>
      <c r="H708" s="2" t="s">
        <v>336</v>
      </c>
      <c r="J708" s="2" t="s">
        <v>230</v>
      </c>
      <c r="K708" s="2" t="s">
        <v>230</v>
      </c>
      <c r="L708" s="2" t="s">
        <v>958</v>
      </c>
      <c r="M708" t="s">
        <v>302</v>
      </c>
      <c r="N708" t="s">
        <v>303</v>
      </c>
      <c r="O708" t="s">
        <v>1703</v>
      </c>
      <c r="P708" t="s">
        <v>1739</v>
      </c>
      <c r="Q708" t="s">
        <v>1705</v>
      </c>
    </row>
    <row r="709" spans="1:17">
      <c r="A709" s="2" t="s">
        <v>1485</v>
      </c>
      <c r="B709" s="2" t="s">
        <v>508</v>
      </c>
      <c r="C709" s="2" t="s">
        <v>547</v>
      </c>
      <c r="D709" s="11">
        <v>45970.982638888891</v>
      </c>
      <c r="E709" s="11">
        <v>45970.982638888891</v>
      </c>
      <c r="F709" s="11">
        <v>45991.999988425923</v>
      </c>
      <c r="G709" s="12">
        <v>21.017349537032715</v>
      </c>
      <c r="H709" s="2" t="s">
        <v>336</v>
      </c>
      <c r="J709" s="2" t="s">
        <v>230</v>
      </c>
      <c r="K709" s="2" t="s">
        <v>230</v>
      </c>
      <c r="L709" s="2" t="s">
        <v>958</v>
      </c>
      <c r="M709" t="s">
        <v>302</v>
      </c>
      <c r="N709" t="s">
        <v>303</v>
      </c>
      <c r="O709" t="s">
        <v>1703</v>
      </c>
      <c r="P709" t="s">
        <v>1740</v>
      </c>
      <c r="Q709" t="s">
        <v>1705</v>
      </c>
    </row>
    <row r="710" spans="1:17">
      <c r="A710" s="2" t="s">
        <v>1492</v>
      </c>
      <c r="B710" s="2" t="s">
        <v>508</v>
      </c>
      <c r="C710" s="2" t="s">
        <v>548</v>
      </c>
      <c r="D710" s="11">
        <v>45970.982638888891</v>
      </c>
      <c r="E710" s="11">
        <v>45970.982638888891</v>
      </c>
      <c r="F710" s="11">
        <v>45973.333333333336</v>
      </c>
      <c r="G710" s="12">
        <v>2.3506944444452529</v>
      </c>
      <c r="H710" s="2" t="s">
        <v>336</v>
      </c>
      <c r="J710" s="2" t="s">
        <v>230</v>
      </c>
      <c r="K710" s="2" t="s">
        <v>230</v>
      </c>
      <c r="L710" s="2" t="s">
        <v>958</v>
      </c>
      <c r="M710" t="s">
        <v>302</v>
      </c>
      <c r="N710" t="s">
        <v>303</v>
      </c>
      <c r="O710" t="s">
        <v>1703</v>
      </c>
      <c r="P710" t="s">
        <v>1741</v>
      </c>
      <c r="Q710" t="s">
        <v>1705</v>
      </c>
    </row>
    <row r="711" spans="1:17">
      <c r="A711" s="2" t="s">
        <v>1492</v>
      </c>
      <c r="B711" s="2" t="s">
        <v>508</v>
      </c>
      <c r="C711" s="2" t="s">
        <v>549</v>
      </c>
      <c r="D711" s="11">
        <v>45970.982638888891</v>
      </c>
      <c r="E711" s="11">
        <v>45970.982638888891</v>
      </c>
      <c r="F711" s="11">
        <v>45973.333333333336</v>
      </c>
      <c r="G711" s="12">
        <v>2.3506944444452529</v>
      </c>
      <c r="H711" s="2" t="s">
        <v>336</v>
      </c>
      <c r="J711" s="2" t="s">
        <v>230</v>
      </c>
      <c r="K711" s="2" t="s">
        <v>230</v>
      </c>
      <c r="L711" s="2" t="s">
        <v>958</v>
      </c>
      <c r="M711" t="s">
        <v>302</v>
      </c>
      <c r="N711" t="s">
        <v>303</v>
      </c>
      <c r="O711" t="s">
        <v>1703</v>
      </c>
      <c r="P711" t="s">
        <v>1742</v>
      </c>
      <c r="Q711" t="s">
        <v>1705</v>
      </c>
    </row>
    <row r="712" spans="1:17">
      <c r="A712" s="2" t="s">
        <v>1492</v>
      </c>
      <c r="B712" s="2" t="s">
        <v>508</v>
      </c>
      <c r="C712" s="2" t="s">
        <v>550</v>
      </c>
      <c r="D712" s="11">
        <v>45970.982638888891</v>
      </c>
      <c r="E712" s="11">
        <v>45970.982638888891</v>
      </c>
      <c r="F712" s="11">
        <v>45973.333333333336</v>
      </c>
      <c r="G712" s="12">
        <v>2.3506944444452529</v>
      </c>
      <c r="H712" s="2" t="s">
        <v>336</v>
      </c>
      <c r="J712" s="2" t="s">
        <v>230</v>
      </c>
      <c r="K712" s="2" t="s">
        <v>230</v>
      </c>
      <c r="L712" s="2" t="s">
        <v>958</v>
      </c>
      <c r="M712" t="s">
        <v>302</v>
      </c>
      <c r="N712" t="s">
        <v>303</v>
      </c>
      <c r="O712" t="s">
        <v>1703</v>
      </c>
      <c r="P712" t="s">
        <v>1743</v>
      </c>
      <c r="Q712" t="s">
        <v>1705</v>
      </c>
    </row>
    <row r="713" spans="1:17">
      <c r="A713" s="2" t="s">
        <v>1446</v>
      </c>
      <c r="B713" s="2" t="s">
        <v>508</v>
      </c>
      <c r="C713" s="2" t="s">
        <v>509</v>
      </c>
      <c r="D713" s="11">
        <v>45970.982638888891</v>
      </c>
      <c r="E713" s="11">
        <v>45970.982638888891</v>
      </c>
      <c r="F713" s="11">
        <v>45988.739583333336</v>
      </c>
      <c r="G713" s="12">
        <v>17.756944444445253</v>
      </c>
      <c r="H713" s="2" t="s">
        <v>336</v>
      </c>
      <c r="J713" s="2" t="s">
        <v>230</v>
      </c>
      <c r="K713" s="2" t="s">
        <v>230</v>
      </c>
      <c r="L713" s="2" t="s">
        <v>958</v>
      </c>
      <c r="M713" t="s">
        <v>302</v>
      </c>
      <c r="N713" t="s">
        <v>303</v>
      </c>
      <c r="O713" t="s">
        <v>1703</v>
      </c>
      <c r="P713" t="s">
        <v>1744</v>
      </c>
      <c r="Q713" t="s">
        <v>1705</v>
      </c>
    </row>
    <row r="714" spans="1:17">
      <c r="A714" s="2" t="s">
        <v>1446</v>
      </c>
      <c r="B714" s="2" t="s">
        <v>508</v>
      </c>
      <c r="C714" s="2" t="s">
        <v>511</v>
      </c>
      <c r="D714" s="11">
        <v>45970.982638888891</v>
      </c>
      <c r="E714" s="11">
        <v>45970.982638888891</v>
      </c>
      <c r="F714" s="11">
        <v>45988.739583333336</v>
      </c>
      <c r="G714" s="12">
        <v>17.756944444445253</v>
      </c>
      <c r="H714" s="2" t="s">
        <v>336</v>
      </c>
      <c r="J714" s="2" t="s">
        <v>230</v>
      </c>
      <c r="K714" s="2" t="s">
        <v>230</v>
      </c>
      <c r="L714" s="2" t="s">
        <v>958</v>
      </c>
      <c r="M714" t="s">
        <v>302</v>
      </c>
      <c r="N714" t="s">
        <v>303</v>
      </c>
      <c r="O714" t="s">
        <v>1703</v>
      </c>
      <c r="P714" t="s">
        <v>1745</v>
      </c>
      <c r="Q714" t="s">
        <v>1705</v>
      </c>
    </row>
    <row r="715" spans="1:17">
      <c r="A715" s="2" t="s">
        <v>771</v>
      </c>
      <c r="B715" s="2" t="s">
        <v>477</v>
      </c>
      <c r="C715" s="2" t="s">
        <v>634</v>
      </c>
      <c r="D715" s="11">
        <v>45971.255555555559</v>
      </c>
      <c r="E715" s="11">
        <v>45971.255555555559</v>
      </c>
      <c r="F715" s="11">
        <v>45971.385416666664</v>
      </c>
      <c r="G715" s="12">
        <v>0.12986111110512866</v>
      </c>
      <c r="H715" s="2" t="s">
        <v>248</v>
      </c>
      <c r="J715" s="2" t="s">
        <v>249</v>
      </c>
      <c r="K715" s="2" t="s">
        <v>349</v>
      </c>
      <c r="L715" s="2" t="s">
        <v>971</v>
      </c>
      <c r="M715" t="s">
        <v>251</v>
      </c>
      <c r="N715" t="s">
        <v>330</v>
      </c>
      <c r="O715" t="s">
        <v>331</v>
      </c>
      <c r="P715" t="s">
        <v>1746</v>
      </c>
      <c r="Q715" t="s">
        <v>966</v>
      </c>
    </row>
    <row r="716" spans="1:17">
      <c r="A716" s="2" t="s">
        <v>773</v>
      </c>
      <c r="B716" s="2" t="s">
        <v>477</v>
      </c>
      <c r="C716" s="2" t="s">
        <v>628</v>
      </c>
      <c r="D716" s="11">
        <v>45971.255555555559</v>
      </c>
      <c r="E716" s="11">
        <v>45971.255555555559</v>
      </c>
      <c r="F716" s="11">
        <v>45971.385416666664</v>
      </c>
      <c r="G716" s="12">
        <v>0.12986111110512866</v>
      </c>
      <c r="H716" s="2" t="s">
        <v>248</v>
      </c>
      <c r="J716" s="2" t="s">
        <v>249</v>
      </c>
      <c r="K716" s="2" t="s">
        <v>349</v>
      </c>
      <c r="L716" s="2" t="s">
        <v>971</v>
      </c>
      <c r="M716" t="s">
        <v>251</v>
      </c>
      <c r="N716" t="s">
        <v>330</v>
      </c>
      <c r="O716" t="s">
        <v>331</v>
      </c>
      <c r="P716" t="s">
        <v>1747</v>
      </c>
      <c r="Q716" t="s">
        <v>966</v>
      </c>
    </row>
    <row r="717" spans="1:17">
      <c r="A717" s="2" t="s">
        <v>773</v>
      </c>
      <c r="B717" s="2" t="s">
        <v>477</v>
      </c>
      <c r="C717" s="2" t="s">
        <v>491</v>
      </c>
      <c r="D717" s="11">
        <v>45971.255555555559</v>
      </c>
      <c r="E717" s="11">
        <v>45971.255555555559</v>
      </c>
      <c r="F717" s="11">
        <v>45971.385416666664</v>
      </c>
      <c r="G717" s="12">
        <v>0.12986111110512866</v>
      </c>
      <c r="H717" s="2" t="s">
        <v>248</v>
      </c>
      <c r="J717" s="2" t="s">
        <v>249</v>
      </c>
      <c r="K717" s="2" t="s">
        <v>349</v>
      </c>
      <c r="L717" s="2" t="s">
        <v>971</v>
      </c>
      <c r="M717" t="s">
        <v>251</v>
      </c>
      <c r="N717" t="s">
        <v>330</v>
      </c>
      <c r="O717" t="s">
        <v>331</v>
      </c>
      <c r="P717" t="s">
        <v>1748</v>
      </c>
      <c r="Q717" t="s">
        <v>966</v>
      </c>
    </row>
    <row r="718" spans="1:17">
      <c r="A718" s="2" t="s">
        <v>773</v>
      </c>
      <c r="B718" s="2" t="s">
        <v>477</v>
      </c>
      <c r="C718" s="2" t="s">
        <v>488</v>
      </c>
      <c r="D718" s="11">
        <v>45971.255555555559</v>
      </c>
      <c r="E718" s="11">
        <v>45971.255555555559</v>
      </c>
      <c r="F718" s="11">
        <v>45971.385416666664</v>
      </c>
      <c r="G718" s="12">
        <v>0.12986111110512866</v>
      </c>
      <c r="H718" s="2" t="s">
        <v>248</v>
      </c>
      <c r="J718" s="2" t="s">
        <v>249</v>
      </c>
      <c r="K718" s="2" t="s">
        <v>349</v>
      </c>
      <c r="L718" s="2" t="s">
        <v>971</v>
      </c>
      <c r="M718" t="s">
        <v>251</v>
      </c>
      <c r="N718" t="s">
        <v>330</v>
      </c>
      <c r="O718" t="s">
        <v>331</v>
      </c>
      <c r="P718" t="s">
        <v>1749</v>
      </c>
      <c r="Q718" t="s">
        <v>966</v>
      </c>
    </row>
    <row r="719" spans="1:17">
      <c r="A719" s="2" t="s">
        <v>773</v>
      </c>
      <c r="B719" s="2" t="s">
        <v>477</v>
      </c>
      <c r="C719" s="2" t="s">
        <v>492</v>
      </c>
      <c r="D719" s="11">
        <v>45971.255555555559</v>
      </c>
      <c r="E719" s="11">
        <v>45971.255555555559</v>
      </c>
      <c r="F719" s="11">
        <v>45971.385416666664</v>
      </c>
      <c r="G719" s="12">
        <v>0.12986111110512866</v>
      </c>
      <c r="H719" s="2" t="s">
        <v>248</v>
      </c>
      <c r="J719" s="2" t="s">
        <v>249</v>
      </c>
      <c r="K719" s="2" t="s">
        <v>349</v>
      </c>
      <c r="L719" s="2" t="s">
        <v>971</v>
      </c>
      <c r="M719" t="s">
        <v>251</v>
      </c>
      <c r="N719" t="s">
        <v>330</v>
      </c>
      <c r="O719" t="s">
        <v>331</v>
      </c>
      <c r="P719" t="s">
        <v>1750</v>
      </c>
      <c r="Q719" t="s">
        <v>966</v>
      </c>
    </row>
    <row r="720" spans="1:17">
      <c r="A720" s="2" t="s">
        <v>773</v>
      </c>
      <c r="B720" s="2" t="s">
        <v>477</v>
      </c>
      <c r="C720" s="2" t="s">
        <v>490</v>
      </c>
      <c r="D720" s="11">
        <v>45971.255555555559</v>
      </c>
      <c r="E720" s="11">
        <v>45971.255555555559</v>
      </c>
      <c r="F720" s="11">
        <v>45971.385416666664</v>
      </c>
      <c r="G720" s="12">
        <v>0.12986111110512866</v>
      </c>
      <c r="H720" s="2" t="s">
        <v>248</v>
      </c>
      <c r="J720" s="2" t="s">
        <v>249</v>
      </c>
      <c r="K720" s="2" t="s">
        <v>349</v>
      </c>
      <c r="L720" s="2" t="s">
        <v>971</v>
      </c>
      <c r="M720" t="s">
        <v>251</v>
      </c>
      <c r="N720" t="s">
        <v>330</v>
      </c>
      <c r="O720" t="s">
        <v>331</v>
      </c>
      <c r="P720" t="s">
        <v>1751</v>
      </c>
      <c r="Q720" t="s">
        <v>966</v>
      </c>
    </row>
    <row r="721" spans="1:17">
      <c r="A721" s="2" t="s">
        <v>773</v>
      </c>
      <c r="B721" s="2" t="s">
        <v>477</v>
      </c>
      <c r="C721" s="2" t="s">
        <v>978</v>
      </c>
      <c r="D721" s="11">
        <v>45971.255555555559</v>
      </c>
      <c r="E721" s="11">
        <v>45971.255555555559</v>
      </c>
      <c r="F721" s="11">
        <v>45971.385416666664</v>
      </c>
      <c r="G721" s="12">
        <v>0.12986111110512866</v>
      </c>
      <c r="H721" s="2" t="s">
        <v>248</v>
      </c>
      <c r="J721" s="2" t="s">
        <v>249</v>
      </c>
      <c r="K721" s="2" t="s">
        <v>349</v>
      </c>
      <c r="L721" s="2" t="s">
        <v>971</v>
      </c>
      <c r="M721" t="s">
        <v>251</v>
      </c>
      <c r="N721" t="s">
        <v>330</v>
      </c>
      <c r="O721" t="s">
        <v>331</v>
      </c>
      <c r="P721" t="s">
        <v>1752</v>
      </c>
      <c r="Q721" t="s">
        <v>966</v>
      </c>
    </row>
    <row r="722" spans="1:17">
      <c r="A722" s="2" t="s">
        <v>782</v>
      </c>
      <c r="B722" s="2" t="s">
        <v>477</v>
      </c>
      <c r="C722" s="2" t="s">
        <v>489</v>
      </c>
      <c r="D722" s="11">
        <v>45971.255555555559</v>
      </c>
      <c r="E722" s="11">
        <v>45971.255555555559</v>
      </c>
      <c r="F722" s="11">
        <v>45971.385416666664</v>
      </c>
      <c r="G722" s="12">
        <v>0.12986111110512866</v>
      </c>
      <c r="H722" s="2" t="s">
        <v>248</v>
      </c>
      <c r="J722" s="2" t="s">
        <v>249</v>
      </c>
      <c r="K722" s="2" t="s">
        <v>349</v>
      </c>
      <c r="L722" s="2" t="s">
        <v>971</v>
      </c>
      <c r="M722" t="s">
        <v>251</v>
      </c>
      <c r="N722" t="s">
        <v>330</v>
      </c>
      <c r="O722" t="s">
        <v>331</v>
      </c>
      <c r="P722" t="s">
        <v>1753</v>
      </c>
      <c r="Q722" t="s">
        <v>966</v>
      </c>
    </row>
    <row r="723" spans="1:17">
      <c r="A723" s="2" t="s">
        <v>782</v>
      </c>
      <c r="B723" s="2" t="s">
        <v>477</v>
      </c>
      <c r="C723" s="2" t="s">
        <v>713</v>
      </c>
      <c r="D723" s="11">
        <v>45971.255555555559</v>
      </c>
      <c r="E723" s="11">
        <v>45971.255555555559</v>
      </c>
      <c r="F723" s="11">
        <v>45971.385416666664</v>
      </c>
      <c r="G723" s="12">
        <v>0.12986111110512866</v>
      </c>
      <c r="H723" s="2" t="s">
        <v>248</v>
      </c>
      <c r="J723" s="2" t="s">
        <v>249</v>
      </c>
      <c r="K723" s="2" t="s">
        <v>349</v>
      </c>
      <c r="L723" s="2" t="s">
        <v>971</v>
      </c>
      <c r="M723" t="s">
        <v>251</v>
      </c>
      <c r="N723" t="s">
        <v>330</v>
      </c>
      <c r="O723" t="s">
        <v>331</v>
      </c>
      <c r="P723" t="s">
        <v>1754</v>
      </c>
      <c r="Q723" t="s">
        <v>966</v>
      </c>
    </row>
    <row r="724" spans="1:17">
      <c r="A724" s="2" t="s">
        <v>782</v>
      </c>
      <c r="B724" s="2" t="s">
        <v>477</v>
      </c>
      <c r="C724" s="2" t="s">
        <v>486</v>
      </c>
      <c r="D724" s="11">
        <v>45971.255555555559</v>
      </c>
      <c r="E724" s="11">
        <v>45971.255555555559</v>
      </c>
      <c r="F724" s="11">
        <v>45971.385416666664</v>
      </c>
      <c r="G724" s="12">
        <v>0.12986111110512866</v>
      </c>
      <c r="H724" s="2" t="s">
        <v>248</v>
      </c>
      <c r="J724" s="2" t="s">
        <v>249</v>
      </c>
      <c r="K724" s="2" t="s">
        <v>349</v>
      </c>
      <c r="L724" s="2" t="s">
        <v>971</v>
      </c>
      <c r="M724" t="s">
        <v>251</v>
      </c>
      <c r="N724" t="s">
        <v>330</v>
      </c>
      <c r="O724" t="s">
        <v>331</v>
      </c>
      <c r="P724" t="s">
        <v>1755</v>
      </c>
      <c r="Q724" t="s">
        <v>966</v>
      </c>
    </row>
    <row r="725" spans="1:17">
      <c r="A725" s="2" t="s">
        <v>782</v>
      </c>
      <c r="B725" s="2" t="s">
        <v>477</v>
      </c>
      <c r="C725" s="2" t="s">
        <v>478</v>
      </c>
      <c r="D725" s="11">
        <v>45971.255555555559</v>
      </c>
      <c r="E725" s="11">
        <v>45971.255555555559</v>
      </c>
      <c r="F725" s="11">
        <v>45971.385416666664</v>
      </c>
      <c r="G725" s="12">
        <v>0.12986111110512866</v>
      </c>
      <c r="H725" s="2" t="s">
        <v>248</v>
      </c>
      <c r="J725" s="2" t="s">
        <v>249</v>
      </c>
      <c r="K725" s="2" t="s">
        <v>349</v>
      </c>
      <c r="L725" s="2" t="s">
        <v>971</v>
      </c>
      <c r="M725" t="s">
        <v>251</v>
      </c>
      <c r="N725" t="s">
        <v>330</v>
      </c>
      <c r="O725" t="s">
        <v>331</v>
      </c>
      <c r="P725" t="s">
        <v>1756</v>
      </c>
      <c r="Q725" t="s">
        <v>966</v>
      </c>
    </row>
    <row r="726" spans="1:17">
      <c r="A726" s="2" t="s">
        <v>782</v>
      </c>
      <c r="B726" s="2" t="s">
        <v>477</v>
      </c>
      <c r="C726" s="2" t="s">
        <v>632</v>
      </c>
      <c r="D726" s="11">
        <v>45971.255555555559</v>
      </c>
      <c r="E726" s="11">
        <v>45971.255555555559</v>
      </c>
      <c r="F726" s="11">
        <v>45971.385416666664</v>
      </c>
      <c r="G726" s="12">
        <v>0.12986111110512866</v>
      </c>
      <c r="H726" s="2" t="s">
        <v>248</v>
      </c>
      <c r="J726" s="2" t="s">
        <v>249</v>
      </c>
      <c r="K726" s="2" t="s">
        <v>349</v>
      </c>
      <c r="L726" s="2" t="s">
        <v>971</v>
      </c>
      <c r="M726" t="s">
        <v>251</v>
      </c>
      <c r="N726" t="s">
        <v>330</v>
      </c>
      <c r="O726" t="s">
        <v>331</v>
      </c>
      <c r="P726" t="s">
        <v>1757</v>
      </c>
      <c r="Q726" t="s">
        <v>966</v>
      </c>
    </row>
    <row r="727" spans="1:17">
      <c r="A727" s="2" t="s">
        <v>782</v>
      </c>
      <c r="B727" s="2" t="s">
        <v>477</v>
      </c>
      <c r="C727" s="2" t="s">
        <v>629</v>
      </c>
      <c r="D727" s="11">
        <v>45971.255555555559</v>
      </c>
      <c r="E727" s="11">
        <v>45971.255555555559</v>
      </c>
      <c r="F727" s="11">
        <v>45971.385416666664</v>
      </c>
      <c r="G727" s="12">
        <v>0.12986111110512866</v>
      </c>
      <c r="H727" s="2" t="s">
        <v>248</v>
      </c>
      <c r="J727" s="2" t="s">
        <v>249</v>
      </c>
      <c r="K727" s="2" t="s">
        <v>349</v>
      </c>
      <c r="L727" s="2" t="s">
        <v>971</v>
      </c>
      <c r="M727" t="s">
        <v>251</v>
      </c>
      <c r="N727" t="s">
        <v>330</v>
      </c>
      <c r="O727" t="s">
        <v>331</v>
      </c>
      <c r="P727" t="s">
        <v>1758</v>
      </c>
      <c r="Q727" t="s">
        <v>966</v>
      </c>
    </row>
    <row r="728" spans="1:17">
      <c r="A728" s="2" t="s">
        <v>782</v>
      </c>
      <c r="B728" s="2" t="s">
        <v>477</v>
      </c>
      <c r="C728" s="2" t="s">
        <v>631</v>
      </c>
      <c r="D728" s="11">
        <v>45971.255555555559</v>
      </c>
      <c r="E728" s="11">
        <v>45971.255555555559</v>
      </c>
      <c r="F728" s="11">
        <v>45971.385416666664</v>
      </c>
      <c r="G728" s="12">
        <v>0.12986111110512866</v>
      </c>
      <c r="H728" s="2" t="s">
        <v>248</v>
      </c>
      <c r="J728" s="2" t="s">
        <v>249</v>
      </c>
      <c r="K728" s="2" t="s">
        <v>349</v>
      </c>
      <c r="L728" s="2" t="s">
        <v>971</v>
      </c>
      <c r="M728" t="s">
        <v>251</v>
      </c>
      <c r="N728" t="s">
        <v>330</v>
      </c>
      <c r="O728" t="s">
        <v>331</v>
      </c>
      <c r="P728" t="s">
        <v>1759</v>
      </c>
      <c r="Q728" t="s">
        <v>966</v>
      </c>
    </row>
    <row r="729" spans="1:17">
      <c r="A729" s="2" t="s">
        <v>782</v>
      </c>
      <c r="B729" s="2" t="s">
        <v>477</v>
      </c>
      <c r="C729" s="2" t="s">
        <v>635</v>
      </c>
      <c r="D729" s="11">
        <v>45971.255555555559</v>
      </c>
      <c r="E729" s="11">
        <v>45971.255555555559</v>
      </c>
      <c r="F729" s="11">
        <v>45971.385416666664</v>
      </c>
      <c r="G729" s="12">
        <v>0.12986111110512866</v>
      </c>
      <c r="H729" s="2" t="s">
        <v>248</v>
      </c>
      <c r="J729" s="2" t="s">
        <v>249</v>
      </c>
      <c r="K729" s="2" t="s">
        <v>349</v>
      </c>
      <c r="L729" s="2" t="s">
        <v>971</v>
      </c>
      <c r="M729" t="s">
        <v>251</v>
      </c>
      <c r="N729" t="s">
        <v>330</v>
      </c>
      <c r="O729" t="s">
        <v>331</v>
      </c>
      <c r="P729" t="s">
        <v>1760</v>
      </c>
      <c r="Q729" t="s">
        <v>966</v>
      </c>
    </row>
    <row r="730" spans="1:17">
      <c r="A730" s="2" t="s">
        <v>782</v>
      </c>
      <c r="B730" s="2" t="s">
        <v>477</v>
      </c>
      <c r="C730" s="2" t="s">
        <v>487</v>
      </c>
      <c r="D730" s="11">
        <v>45971.255555555559</v>
      </c>
      <c r="E730" s="11">
        <v>45971.255555555559</v>
      </c>
      <c r="F730" s="11">
        <v>45971.385416666664</v>
      </c>
      <c r="G730" s="12">
        <v>0.12986111110512866</v>
      </c>
      <c r="H730" s="2" t="s">
        <v>248</v>
      </c>
      <c r="J730" s="2" t="s">
        <v>249</v>
      </c>
      <c r="K730" s="2" t="s">
        <v>349</v>
      </c>
      <c r="L730" s="2" t="s">
        <v>971</v>
      </c>
      <c r="M730" t="s">
        <v>251</v>
      </c>
      <c r="N730" t="s">
        <v>330</v>
      </c>
      <c r="O730" t="s">
        <v>331</v>
      </c>
      <c r="P730" t="s">
        <v>1761</v>
      </c>
      <c r="Q730" t="s">
        <v>966</v>
      </c>
    </row>
    <row r="731" spans="1:17">
      <c r="A731" s="2" t="s">
        <v>782</v>
      </c>
      <c r="B731" s="2" t="s">
        <v>477</v>
      </c>
      <c r="C731" s="2" t="s">
        <v>627</v>
      </c>
      <c r="D731" s="11">
        <v>45971.255555555559</v>
      </c>
      <c r="E731" s="11">
        <v>45971.255555555559</v>
      </c>
      <c r="F731" s="11">
        <v>45971.385416666664</v>
      </c>
      <c r="G731" s="12">
        <v>0.12986111110512866</v>
      </c>
      <c r="H731" s="2" t="s">
        <v>248</v>
      </c>
      <c r="J731" s="2" t="s">
        <v>249</v>
      </c>
      <c r="K731" s="2" t="s">
        <v>349</v>
      </c>
      <c r="L731" s="2" t="s">
        <v>971</v>
      </c>
      <c r="M731" t="s">
        <v>251</v>
      </c>
      <c r="N731" t="s">
        <v>330</v>
      </c>
      <c r="O731" t="s">
        <v>331</v>
      </c>
      <c r="P731" t="s">
        <v>1762</v>
      </c>
      <c r="Q731" t="s">
        <v>966</v>
      </c>
    </row>
    <row r="732" spans="1:17">
      <c r="A732" s="2" t="s">
        <v>780</v>
      </c>
      <c r="B732" s="2" t="s">
        <v>268</v>
      </c>
      <c r="C732" s="2" t="s">
        <v>269</v>
      </c>
      <c r="D732" s="11">
        <v>45971.259027777778</v>
      </c>
      <c r="E732" s="11">
        <v>45971.259027777778</v>
      </c>
      <c r="F732" s="11">
        <v>45971.319444444445</v>
      </c>
      <c r="G732" s="12">
        <v>6.0416666667151731E-2</v>
      </c>
      <c r="H732" s="2" t="s">
        <v>248</v>
      </c>
      <c r="J732" s="2" t="s">
        <v>249</v>
      </c>
      <c r="K732" s="2" t="s">
        <v>349</v>
      </c>
      <c r="L732" s="2" t="s">
        <v>677</v>
      </c>
      <c r="M732" t="s">
        <v>251</v>
      </c>
      <c r="N732" t="s">
        <v>330</v>
      </c>
      <c r="O732" t="s">
        <v>331</v>
      </c>
      <c r="P732" t="s">
        <v>1763</v>
      </c>
      <c r="Q732" t="s">
        <v>966</v>
      </c>
    </row>
    <row r="733" spans="1:17">
      <c r="A733" s="2" t="s">
        <v>780</v>
      </c>
      <c r="B733" s="2" t="s">
        <v>268</v>
      </c>
      <c r="C733" s="2" t="s">
        <v>270</v>
      </c>
      <c r="D733" s="11">
        <v>45971.259027777778</v>
      </c>
      <c r="E733" s="11">
        <v>45971.259027777778</v>
      </c>
      <c r="F733" s="11">
        <v>45971.319444444445</v>
      </c>
      <c r="G733" s="12">
        <v>6.0416666667151731E-2</v>
      </c>
      <c r="H733" s="2" t="s">
        <v>248</v>
      </c>
      <c r="J733" s="2" t="s">
        <v>249</v>
      </c>
      <c r="K733" s="2" t="s">
        <v>349</v>
      </c>
      <c r="L733" s="2" t="s">
        <v>677</v>
      </c>
      <c r="M733" t="s">
        <v>251</v>
      </c>
      <c r="N733" t="s">
        <v>330</v>
      </c>
      <c r="O733" t="s">
        <v>331</v>
      </c>
      <c r="P733" t="s">
        <v>1764</v>
      </c>
      <c r="Q733" t="s">
        <v>966</v>
      </c>
    </row>
    <row r="734" spans="1:17">
      <c r="A734" s="2" t="s">
        <v>780</v>
      </c>
      <c r="B734" s="2" t="s">
        <v>268</v>
      </c>
      <c r="C734" s="2" t="s">
        <v>271</v>
      </c>
      <c r="D734" s="11">
        <v>45971.259027777778</v>
      </c>
      <c r="E734" s="11">
        <v>45971.259027777778</v>
      </c>
      <c r="F734" s="11">
        <v>45971.319444444445</v>
      </c>
      <c r="G734" s="12">
        <v>6.0416666667151731E-2</v>
      </c>
      <c r="H734" s="2" t="s">
        <v>248</v>
      </c>
      <c r="J734" s="2" t="s">
        <v>249</v>
      </c>
      <c r="K734" s="2" t="s">
        <v>349</v>
      </c>
      <c r="L734" s="2" t="s">
        <v>677</v>
      </c>
      <c r="M734" t="s">
        <v>251</v>
      </c>
      <c r="N734" t="s">
        <v>330</v>
      </c>
      <c r="O734" t="s">
        <v>331</v>
      </c>
      <c r="P734" t="s">
        <v>1765</v>
      </c>
      <c r="Q734" t="s">
        <v>966</v>
      </c>
    </row>
    <row r="735" spans="1:17">
      <c r="A735" s="2" t="s">
        <v>780</v>
      </c>
      <c r="B735" s="2" t="s">
        <v>268</v>
      </c>
      <c r="C735" s="2" t="s">
        <v>272</v>
      </c>
      <c r="D735" s="11">
        <v>45971.259027777778</v>
      </c>
      <c r="E735" s="11">
        <v>45971.259027777778</v>
      </c>
      <c r="F735" s="11">
        <v>45971.319444444445</v>
      </c>
      <c r="G735" s="12">
        <v>6.0416666667151731E-2</v>
      </c>
      <c r="H735" s="2" t="s">
        <v>248</v>
      </c>
      <c r="J735" s="2" t="s">
        <v>249</v>
      </c>
      <c r="K735" s="2" t="s">
        <v>349</v>
      </c>
      <c r="L735" s="2" t="s">
        <v>677</v>
      </c>
      <c r="M735" t="s">
        <v>251</v>
      </c>
      <c r="N735" t="s">
        <v>330</v>
      </c>
      <c r="O735" t="s">
        <v>331</v>
      </c>
      <c r="P735" t="s">
        <v>1766</v>
      </c>
      <c r="Q735" t="s">
        <v>966</v>
      </c>
    </row>
    <row r="736" spans="1:17">
      <c r="A736" s="2" t="s">
        <v>780</v>
      </c>
      <c r="B736" s="2" t="s">
        <v>268</v>
      </c>
      <c r="C736" s="2" t="s">
        <v>273</v>
      </c>
      <c r="D736" s="11">
        <v>45971.259027777778</v>
      </c>
      <c r="E736" s="11">
        <v>45971.259027777778</v>
      </c>
      <c r="F736" s="11">
        <v>45971.319444444445</v>
      </c>
      <c r="G736" s="12">
        <v>6.0416666667151731E-2</v>
      </c>
      <c r="H736" s="2" t="s">
        <v>248</v>
      </c>
      <c r="J736" s="2" t="s">
        <v>249</v>
      </c>
      <c r="K736" s="2" t="s">
        <v>349</v>
      </c>
      <c r="L736" s="2" t="s">
        <v>677</v>
      </c>
      <c r="M736" t="s">
        <v>251</v>
      </c>
      <c r="N736" t="s">
        <v>330</v>
      </c>
      <c r="O736" t="s">
        <v>331</v>
      </c>
      <c r="P736" t="s">
        <v>1767</v>
      </c>
      <c r="Q736" t="s">
        <v>966</v>
      </c>
    </row>
    <row r="737" spans="1:17">
      <c r="A737" s="2" t="s">
        <v>780</v>
      </c>
      <c r="B737" s="2" t="s">
        <v>268</v>
      </c>
      <c r="C737" s="2" t="s">
        <v>274</v>
      </c>
      <c r="D737" s="11">
        <v>45971.259027777778</v>
      </c>
      <c r="E737" s="11">
        <v>45971.259027777778</v>
      </c>
      <c r="F737" s="11">
        <v>45971.319444444445</v>
      </c>
      <c r="G737" s="12">
        <v>6.0416666667151731E-2</v>
      </c>
      <c r="H737" s="2" t="s">
        <v>248</v>
      </c>
      <c r="J737" s="2" t="s">
        <v>249</v>
      </c>
      <c r="K737" s="2" t="s">
        <v>349</v>
      </c>
      <c r="L737" s="2" t="s">
        <v>677</v>
      </c>
      <c r="M737" t="s">
        <v>251</v>
      </c>
      <c r="N737" t="s">
        <v>330</v>
      </c>
      <c r="O737" t="s">
        <v>331</v>
      </c>
      <c r="P737" t="s">
        <v>1768</v>
      </c>
      <c r="Q737" t="s">
        <v>966</v>
      </c>
    </row>
    <row r="738" spans="1:17">
      <c r="A738" s="2" t="s">
        <v>780</v>
      </c>
      <c r="B738" s="2" t="s">
        <v>268</v>
      </c>
      <c r="C738" s="2" t="s">
        <v>275</v>
      </c>
      <c r="D738" s="11">
        <v>45971.259027777778</v>
      </c>
      <c r="E738" s="11">
        <v>45971.259027777778</v>
      </c>
      <c r="F738" s="11">
        <v>45971.319444444445</v>
      </c>
      <c r="G738" s="12">
        <v>6.0416666667151731E-2</v>
      </c>
      <c r="H738" s="2" t="s">
        <v>248</v>
      </c>
      <c r="J738" s="2" t="s">
        <v>249</v>
      </c>
      <c r="K738" s="2" t="s">
        <v>349</v>
      </c>
      <c r="L738" s="2" t="s">
        <v>677</v>
      </c>
      <c r="M738" t="s">
        <v>251</v>
      </c>
      <c r="N738" t="s">
        <v>330</v>
      </c>
      <c r="O738" t="s">
        <v>331</v>
      </c>
      <c r="P738" t="s">
        <v>1769</v>
      </c>
      <c r="Q738" t="s">
        <v>966</v>
      </c>
    </row>
    <row r="739" spans="1:17">
      <c r="A739" s="2" t="s">
        <v>780</v>
      </c>
      <c r="B739" s="2" t="s">
        <v>268</v>
      </c>
      <c r="C739" s="2" t="s">
        <v>276</v>
      </c>
      <c r="D739" s="11">
        <v>45971.259027777778</v>
      </c>
      <c r="E739" s="11">
        <v>45971.259027777778</v>
      </c>
      <c r="F739" s="11">
        <v>45971.319444444445</v>
      </c>
      <c r="G739" s="12">
        <v>6.0416666667151731E-2</v>
      </c>
      <c r="H739" s="2" t="s">
        <v>248</v>
      </c>
      <c r="J739" s="2" t="s">
        <v>249</v>
      </c>
      <c r="K739" s="2" t="s">
        <v>349</v>
      </c>
      <c r="L739" s="2" t="s">
        <v>677</v>
      </c>
      <c r="M739" t="s">
        <v>251</v>
      </c>
      <c r="N739" t="s">
        <v>330</v>
      </c>
      <c r="O739" t="s">
        <v>331</v>
      </c>
      <c r="P739" t="s">
        <v>1770</v>
      </c>
      <c r="Q739" t="s">
        <v>966</v>
      </c>
    </row>
    <row r="740" spans="1:17">
      <c r="A740" s="2" t="s">
        <v>781</v>
      </c>
      <c r="B740" s="2" t="s">
        <v>268</v>
      </c>
      <c r="C740" s="2" t="s">
        <v>277</v>
      </c>
      <c r="D740" s="11">
        <v>45971.259027777778</v>
      </c>
      <c r="E740" s="11">
        <v>45971.259027777778</v>
      </c>
      <c r="F740" s="11">
        <v>45971.319444444445</v>
      </c>
      <c r="G740" s="12">
        <v>6.0416666667151731E-2</v>
      </c>
      <c r="H740" s="2" t="s">
        <v>248</v>
      </c>
      <c r="J740" s="2" t="s">
        <v>249</v>
      </c>
      <c r="K740" s="2" t="s">
        <v>349</v>
      </c>
      <c r="L740" s="2" t="s">
        <v>677</v>
      </c>
      <c r="M740" t="s">
        <v>251</v>
      </c>
      <c r="N740" t="s">
        <v>330</v>
      </c>
      <c r="O740" t="s">
        <v>331</v>
      </c>
      <c r="P740" t="s">
        <v>1771</v>
      </c>
      <c r="Q740" t="s">
        <v>966</v>
      </c>
    </row>
    <row r="741" spans="1:17">
      <c r="A741" s="2" t="s">
        <v>781</v>
      </c>
      <c r="B741" s="2" t="s">
        <v>268</v>
      </c>
      <c r="C741" s="2" t="s">
        <v>278</v>
      </c>
      <c r="D741" s="11">
        <v>45971.259027777778</v>
      </c>
      <c r="E741" s="11">
        <v>45971.259027777778</v>
      </c>
      <c r="F741" s="11">
        <v>45971.319444444445</v>
      </c>
      <c r="G741" s="12">
        <v>6.0416666667151731E-2</v>
      </c>
      <c r="H741" s="2" t="s">
        <v>248</v>
      </c>
      <c r="J741" s="2" t="s">
        <v>249</v>
      </c>
      <c r="K741" s="2" t="s">
        <v>349</v>
      </c>
      <c r="L741" s="2" t="s">
        <v>677</v>
      </c>
      <c r="M741" t="s">
        <v>251</v>
      </c>
      <c r="N741" t="s">
        <v>330</v>
      </c>
      <c r="O741" t="s">
        <v>331</v>
      </c>
      <c r="P741" t="s">
        <v>1772</v>
      </c>
      <c r="Q741" t="s">
        <v>966</v>
      </c>
    </row>
    <row r="742" spans="1:17">
      <c r="A742" s="2" t="s">
        <v>781</v>
      </c>
      <c r="B742" s="2" t="s">
        <v>268</v>
      </c>
      <c r="C742" s="2" t="s">
        <v>279</v>
      </c>
      <c r="D742" s="11">
        <v>45971.259027777778</v>
      </c>
      <c r="E742" s="11">
        <v>45971.259027777778</v>
      </c>
      <c r="F742" s="11">
        <v>45971.319444444445</v>
      </c>
      <c r="G742" s="12">
        <v>6.0416666667151731E-2</v>
      </c>
      <c r="H742" s="2" t="s">
        <v>248</v>
      </c>
      <c r="J742" s="2" t="s">
        <v>249</v>
      </c>
      <c r="K742" s="2" t="s">
        <v>349</v>
      </c>
      <c r="L742" s="2" t="s">
        <v>677</v>
      </c>
      <c r="M742" t="s">
        <v>251</v>
      </c>
      <c r="N742" t="s">
        <v>330</v>
      </c>
      <c r="O742" t="s">
        <v>331</v>
      </c>
      <c r="P742" t="s">
        <v>1773</v>
      </c>
      <c r="Q742" t="s">
        <v>966</v>
      </c>
    </row>
    <row r="743" spans="1:17">
      <c r="A743" s="2" t="s">
        <v>781</v>
      </c>
      <c r="B743" s="2" t="s">
        <v>268</v>
      </c>
      <c r="C743" s="2" t="s">
        <v>280</v>
      </c>
      <c r="D743" s="11">
        <v>45971.259027777778</v>
      </c>
      <c r="E743" s="11">
        <v>45971.259027777778</v>
      </c>
      <c r="F743" s="11">
        <v>45971.319444444445</v>
      </c>
      <c r="G743" s="12">
        <v>6.0416666667151731E-2</v>
      </c>
      <c r="H743" s="2" t="s">
        <v>248</v>
      </c>
      <c r="J743" s="2" t="s">
        <v>249</v>
      </c>
      <c r="K743" s="2" t="s">
        <v>349</v>
      </c>
      <c r="L743" s="2" t="s">
        <v>677</v>
      </c>
      <c r="M743" t="s">
        <v>251</v>
      </c>
      <c r="N743" t="s">
        <v>330</v>
      </c>
      <c r="O743" t="s">
        <v>331</v>
      </c>
      <c r="P743" t="s">
        <v>1774</v>
      </c>
      <c r="Q743" t="s">
        <v>966</v>
      </c>
    </row>
    <row r="744" spans="1:17">
      <c r="A744" s="2" t="s">
        <v>781</v>
      </c>
      <c r="B744" s="2" t="s">
        <v>268</v>
      </c>
      <c r="C744" s="2" t="s">
        <v>281</v>
      </c>
      <c r="D744" s="11">
        <v>45971.259027777778</v>
      </c>
      <c r="E744" s="11">
        <v>45971.259027777778</v>
      </c>
      <c r="F744" s="11">
        <v>45971.319444444445</v>
      </c>
      <c r="G744" s="12">
        <v>6.0416666667151731E-2</v>
      </c>
      <c r="H744" s="2" t="s">
        <v>248</v>
      </c>
      <c r="J744" s="2" t="s">
        <v>249</v>
      </c>
      <c r="K744" s="2" t="s">
        <v>349</v>
      </c>
      <c r="L744" s="2" t="s">
        <v>677</v>
      </c>
      <c r="M744" t="s">
        <v>251</v>
      </c>
      <c r="N744" t="s">
        <v>330</v>
      </c>
      <c r="O744" t="s">
        <v>331</v>
      </c>
      <c r="P744" t="s">
        <v>1775</v>
      </c>
      <c r="Q744" t="s">
        <v>966</v>
      </c>
    </row>
    <row r="745" spans="1:17">
      <c r="A745" s="2" t="s">
        <v>781</v>
      </c>
      <c r="B745" s="2" t="s">
        <v>268</v>
      </c>
      <c r="C745" s="2" t="s">
        <v>282</v>
      </c>
      <c r="D745" s="11">
        <v>45971.259027777778</v>
      </c>
      <c r="E745" s="11">
        <v>45971.259027777778</v>
      </c>
      <c r="F745" s="11">
        <v>45971.319444444445</v>
      </c>
      <c r="G745" s="12">
        <v>6.0416666667151731E-2</v>
      </c>
      <c r="H745" s="2" t="s">
        <v>248</v>
      </c>
      <c r="J745" s="2" t="s">
        <v>249</v>
      </c>
      <c r="K745" s="2" t="s">
        <v>349</v>
      </c>
      <c r="L745" s="2" t="s">
        <v>677</v>
      </c>
      <c r="M745" t="s">
        <v>251</v>
      </c>
      <c r="N745" t="s">
        <v>330</v>
      </c>
      <c r="O745" t="s">
        <v>331</v>
      </c>
      <c r="P745" t="s">
        <v>1776</v>
      </c>
      <c r="Q745" t="s">
        <v>966</v>
      </c>
    </row>
    <row r="746" spans="1:17">
      <c r="A746" s="2" t="s">
        <v>781</v>
      </c>
      <c r="B746" s="2" t="s">
        <v>268</v>
      </c>
      <c r="C746" s="2" t="s">
        <v>283</v>
      </c>
      <c r="D746" s="11">
        <v>45971.259027777778</v>
      </c>
      <c r="E746" s="11">
        <v>45971.259027777778</v>
      </c>
      <c r="F746" s="11">
        <v>45971.319444444445</v>
      </c>
      <c r="G746" s="12">
        <v>6.0416666667151731E-2</v>
      </c>
      <c r="H746" s="2" t="s">
        <v>248</v>
      </c>
      <c r="J746" s="2" t="s">
        <v>249</v>
      </c>
      <c r="K746" s="2" t="s">
        <v>349</v>
      </c>
      <c r="L746" s="2" t="s">
        <v>677</v>
      </c>
      <c r="M746" t="s">
        <v>251</v>
      </c>
      <c r="N746" t="s">
        <v>330</v>
      </c>
      <c r="O746" t="s">
        <v>331</v>
      </c>
      <c r="P746" t="s">
        <v>1777</v>
      </c>
      <c r="Q746" t="s">
        <v>966</v>
      </c>
    </row>
    <row r="747" spans="1:17">
      <c r="A747" s="2" t="s">
        <v>794</v>
      </c>
      <c r="B747" s="2" t="s">
        <v>268</v>
      </c>
      <c r="C747" s="2" t="s">
        <v>284</v>
      </c>
      <c r="D747" s="11">
        <v>45971.259027777778</v>
      </c>
      <c r="E747" s="11">
        <v>45971.259027777778</v>
      </c>
      <c r="F747" s="11">
        <v>45971.319444444445</v>
      </c>
      <c r="G747" s="12">
        <v>6.0416666667151731E-2</v>
      </c>
      <c r="H747" s="2" t="s">
        <v>248</v>
      </c>
      <c r="J747" s="2" t="s">
        <v>249</v>
      </c>
      <c r="K747" s="2" t="s">
        <v>349</v>
      </c>
      <c r="L747" s="2" t="s">
        <v>677</v>
      </c>
      <c r="M747" t="s">
        <v>251</v>
      </c>
      <c r="N747" t="s">
        <v>330</v>
      </c>
      <c r="O747" t="s">
        <v>331</v>
      </c>
      <c r="P747" t="s">
        <v>1778</v>
      </c>
      <c r="Q747" t="s">
        <v>966</v>
      </c>
    </row>
    <row r="748" spans="1:17">
      <c r="A748" s="2" t="s">
        <v>794</v>
      </c>
      <c r="B748" s="2" t="s">
        <v>268</v>
      </c>
      <c r="C748" s="2" t="s">
        <v>285</v>
      </c>
      <c r="D748" s="11">
        <v>45971.259027777778</v>
      </c>
      <c r="E748" s="11">
        <v>45971.259027777778</v>
      </c>
      <c r="F748" s="11">
        <v>45971.319444444445</v>
      </c>
      <c r="G748" s="12">
        <v>6.0416666667151731E-2</v>
      </c>
      <c r="H748" s="2" t="s">
        <v>248</v>
      </c>
      <c r="J748" s="2" t="s">
        <v>249</v>
      </c>
      <c r="K748" s="2" t="s">
        <v>349</v>
      </c>
      <c r="L748" s="2" t="s">
        <v>677</v>
      </c>
      <c r="M748" t="s">
        <v>251</v>
      </c>
      <c r="N748" t="s">
        <v>330</v>
      </c>
      <c r="O748" t="s">
        <v>331</v>
      </c>
      <c r="P748" t="s">
        <v>1779</v>
      </c>
      <c r="Q748" t="s">
        <v>966</v>
      </c>
    </row>
    <row r="749" spans="1:17">
      <c r="A749" s="2" t="s">
        <v>794</v>
      </c>
      <c r="B749" s="2" t="s">
        <v>268</v>
      </c>
      <c r="C749" s="2" t="s">
        <v>286</v>
      </c>
      <c r="D749" s="11">
        <v>45971.259027777778</v>
      </c>
      <c r="E749" s="11">
        <v>45971.259027777778</v>
      </c>
      <c r="F749" s="11">
        <v>45971.319444444445</v>
      </c>
      <c r="G749" s="12">
        <v>6.0416666667151731E-2</v>
      </c>
      <c r="H749" s="2" t="s">
        <v>248</v>
      </c>
      <c r="J749" s="2" t="s">
        <v>249</v>
      </c>
      <c r="K749" s="2" t="s">
        <v>349</v>
      </c>
      <c r="L749" s="2" t="s">
        <v>677</v>
      </c>
      <c r="M749" t="s">
        <v>251</v>
      </c>
      <c r="N749" t="s">
        <v>330</v>
      </c>
      <c r="O749" t="s">
        <v>331</v>
      </c>
      <c r="P749" t="s">
        <v>1780</v>
      </c>
      <c r="Q749" t="s">
        <v>966</v>
      </c>
    </row>
    <row r="750" spans="1:17">
      <c r="A750" s="2" t="s">
        <v>794</v>
      </c>
      <c r="B750" s="2" t="s">
        <v>268</v>
      </c>
      <c r="C750" s="2" t="s">
        <v>287</v>
      </c>
      <c r="D750" s="11">
        <v>45971.259027777778</v>
      </c>
      <c r="E750" s="11">
        <v>45971.259027777778</v>
      </c>
      <c r="F750" s="11">
        <v>45971.319444444445</v>
      </c>
      <c r="G750" s="12">
        <v>6.0416666667151731E-2</v>
      </c>
      <c r="H750" s="2" t="s">
        <v>248</v>
      </c>
      <c r="J750" s="2" t="s">
        <v>249</v>
      </c>
      <c r="K750" s="2" t="s">
        <v>349</v>
      </c>
      <c r="L750" s="2" t="s">
        <v>677</v>
      </c>
      <c r="M750" t="s">
        <v>251</v>
      </c>
      <c r="N750" t="s">
        <v>330</v>
      </c>
      <c r="O750" t="s">
        <v>331</v>
      </c>
      <c r="P750" t="s">
        <v>1781</v>
      </c>
      <c r="Q750" t="s">
        <v>966</v>
      </c>
    </row>
    <row r="751" spans="1:17">
      <c r="A751" s="2" t="s">
        <v>794</v>
      </c>
      <c r="B751" s="2" t="s">
        <v>268</v>
      </c>
      <c r="C751" s="2" t="s">
        <v>288</v>
      </c>
      <c r="D751" s="11">
        <v>45971.259027777778</v>
      </c>
      <c r="E751" s="11">
        <v>45971.259027777778</v>
      </c>
      <c r="F751" s="11">
        <v>45971.319444444445</v>
      </c>
      <c r="G751" s="12">
        <v>6.0416666667151731E-2</v>
      </c>
      <c r="H751" s="2" t="s">
        <v>248</v>
      </c>
      <c r="J751" s="2" t="s">
        <v>249</v>
      </c>
      <c r="K751" s="2" t="s">
        <v>349</v>
      </c>
      <c r="L751" s="2" t="s">
        <v>677</v>
      </c>
      <c r="M751" t="s">
        <v>251</v>
      </c>
      <c r="N751" t="s">
        <v>330</v>
      </c>
      <c r="O751" t="s">
        <v>331</v>
      </c>
      <c r="P751" t="s">
        <v>1782</v>
      </c>
      <c r="Q751" t="s">
        <v>966</v>
      </c>
    </row>
    <row r="752" spans="1:17">
      <c r="A752" s="2" t="s">
        <v>795</v>
      </c>
      <c r="B752" s="2" t="s">
        <v>268</v>
      </c>
      <c r="C752" s="2" t="s">
        <v>289</v>
      </c>
      <c r="D752" s="11">
        <v>45971.259027777778</v>
      </c>
      <c r="E752" s="11">
        <v>45971.259027777778</v>
      </c>
      <c r="F752" s="11">
        <v>45971.319444444445</v>
      </c>
      <c r="G752" s="12">
        <v>6.0416666667151731E-2</v>
      </c>
      <c r="H752" s="2" t="s">
        <v>248</v>
      </c>
      <c r="J752" s="2" t="s">
        <v>249</v>
      </c>
      <c r="K752" s="2" t="s">
        <v>349</v>
      </c>
      <c r="L752" s="2" t="s">
        <v>677</v>
      </c>
      <c r="M752" t="s">
        <v>251</v>
      </c>
      <c r="N752" t="s">
        <v>330</v>
      </c>
      <c r="O752" t="s">
        <v>331</v>
      </c>
      <c r="P752" t="s">
        <v>1783</v>
      </c>
      <c r="Q752" t="s">
        <v>966</v>
      </c>
    </row>
    <row r="753" spans="1:17">
      <c r="A753" s="2" t="s">
        <v>795</v>
      </c>
      <c r="B753" s="2" t="s">
        <v>268</v>
      </c>
      <c r="C753" s="2" t="s">
        <v>290</v>
      </c>
      <c r="D753" s="11">
        <v>45971.259027777778</v>
      </c>
      <c r="E753" s="11">
        <v>45971.259027777778</v>
      </c>
      <c r="F753" s="11">
        <v>45971.319444444445</v>
      </c>
      <c r="G753" s="12">
        <v>6.0416666667151731E-2</v>
      </c>
      <c r="H753" s="2" t="s">
        <v>248</v>
      </c>
      <c r="J753" s="2" t="s">
        <v>249</v>
      </c>
      <c r="K753" s="2" t="s">
        <v>349</v>
      </c>
      <c r="L753" s="2" t="s">
        <v>677</v>
      </c>
      <c r="M753" t="s">
        <v>251</v>
      </c>
      <c r="N753" t="s">
        <v>330</v>
      </c>
      <c r="O753" t="s">
        <v>331</v>
      </c>
      <c r="P753" t="s">
        <v>1784</v>
      </c>
      <c r="Q753" t="s">
        <v>966</v>
      </c>
    </row>
    <row r="754" spans="1:17">
      <c r="A754" s="2" t="s">
        <v>795</v>
      </c>
      <c r="B754" s="2" t="s">
        <v>268</v>
      </c>
      <c r="C754" s="2" t="s">
        <v>291</v>
      </c>
      <c r="D754" s="11">
        <v>45971.259027777778</v>
      </c>
      <c r="E754" s="11">
        <v>45971.259027777778</v>
      </c>
      <c r="F754" s="11">
        <v>45971.319444444445</v>
      </c>
      <c r="G754" s="12">
        <v>6.0416666667151731E-2</v>
      </c>
      <c r="H754" s="2" t="s">
        <v>248</v>
      </c>
      <c r="J754" s="2" t="s">
        <v>249</v>
      </c>
      <c r="K754" s="2" t="s">
        <v>349</v>
      </c>
      <c r="L754" s="2" t="s">
        <v>677</v>
      </c>
      <c r="M754" t="s">
        <v>251</v>
      </c>
      <c r="N754" t="s">
        <v>330</v>
      </c>
      <c r="O754" t="s">
        <v>331</v>
      </c>
      <c r="P754" t="s">
        <v>1785</v>
      </c>
      <c r="Q754" t="s">
        <v>966</v>
      </c>
    </row>
    <row r="755" spans="1:17">
      <c r="A755" s="2" t="s">
        <v>795</v>
      </c>
      <c r="B755" s="2" t="s">
        <v>268</v>
      </c>
      <c r="C755" s="2" t="s">
        <v>292</v>
      </c>
      <c r="D755" s="11">
        <v>45971.259027777778</v>
      </c>
      <c r="E755" s="11">
        <v>45971.259027777778</v>
      </c>
      <c r="F755" s="11">
        <v>45971.319444444445</v>
      </c>
      <c r="G755" s="12">
        <v>6.0416666667151731E-2</v>
      </c>
      <c r="H755" s="2" t="s">
        <v>248</v>
      </c>
      <c r="J755" s="2" t="s">
        <v>249</v>
      </c>
      <c r="K755" s="2" t="s">
        <v>349</v>
      </c>
      <c r="L755" s="2" t="s">
        <v>677</v>
      </c>
      <c r="M755" t="s">
        <v>251</v>
      </c>
      <c r="N755" t="s">
        <v>330</v>
      </c>
      <c r="O755" t="s">
        <v>331</v>
      </c>
      <c r="P755" t="s">
        <v>1786</v>
      </c>
      <c r="Q755" t="s">
        <v>966</v>
      </c>
    </row>
    <row r="756" spans="1:17">
      <c r="A756" s="2" t="s">
        <v>796</v>
      </c>
      <c r="B756" s="2" t="s">
        <v>268</v>
      </c>
      <c r="C756" s="2" t="s">
        <v>293</v>
      </c>
      <c r="D756" s="11">
        <v>45971.259027777778</v>
      </c>
      <c r="E756" s="11">
        <v>45971.259027777778</v>
      </c>
      <c r="F756" s="11">
        <v>45971.319444444445</v>
      </c>
      <c r="G756" s="12">
        <v>6.0416666667151731E-2</v>
      </c>
      <c r="H756" s="2" t="s">
        <v>248</v>
      </c>
      <c r="J756" s="2" t="s">
        <v>249</v>
      </c>
      <c r="K756" s="2" t="s">
        <v>349</v>
      </c>
      <c r="L756" s="2" t="s">
        <v>677</v>
      </c>
      <c r="M756" t="s">
        <v>251</v>
      </c>
      <c r="N756" t="s">
        <v>330</v>
      </c>
      <c r="O756" t="s">
        <v>331</v>
      </c>
      <c r="P756" t="s">
        <v>1787</v>
      </c>
      <c r="Q756" t="s">
        <v>966</v>
      </c>
    </row>
    <row r="757" spans="1:17">
      <c r="A757" s="2" t="s">
        <v>796</v>
      </c>
      <c r="B757" s="2" t="s">
        <v>268</v>
      </c>
      <c r="C757" s="2" t="s">
        <v>294</v>
      </c>
      <c r="D757" s="11">
        <v>45971.259027777778</v>
      </c>
      <c r="E757" s="11">
        <v>45971.259027777778</v>
      </c>
      <c r="F757" s="11">
        <v>45971.319444444445</v>
      </c>
      <c r="G757" s="12">
        <v>6.0416666667151731E-2</v>
      </c>
      <c r="H757" s="2" t="s">
        <v>248</v>
      </c>
      <c r="J757" s="2" t="s">
        <v>249</v>
      </c>
      <c r="K757" s="2" t="s">
        <v>349</v>
      </c>
      <c r="L757" s="2" t="s">
        <v>677</v>
      </c>
      <c r="M757" t="s">
        <v>251</v>
      </c>
      <c r="N757" t="s">
        <v>330</v>
      </c>
      <c r="O757" t="s">
        <v>331</v>
      </c>
      <c r="P757" t="s">
        <v>1788</v>
      </c>
      <c r="Q757" t="s">
        <v>966</v>
      </c>
    </row>
    <row r="758" spans="1:17">
      <c r="A758" s="2" t="s">
        <v>796</v>
      </c>
      <c r="B758" s="2" t="s">
        <v>268</v>
      </c>
      <c r="C758" s="2" t="s">
        <v>295</v>
      </c>
      <c r="D758" s="11">
        <v>45971.259027777778</v>
      </c>
      <c r="E758" s="11">
        <v>45971.259027777778</v>
      </c>
      <c r="F758" s="11">
        <v>45971.319444444445</v>
      </c>
      <c r="G758" s="12">
        <v>6.0416666667151731E-2</v>
      </c>
      <c r="H758" s="2" t="s">
        <v>248</v>
      </c>
      <c r="J758" s="2" t="s">
        <v>249</v>
      </c>
      <c r="K758" s="2" t="s">
        <v>349</v>
      </c>
      <c r="L758" s="2" t="s">
        <v>677</v>
      </c>
      <c r="M758" t="s">
        <v>251</v>
      </c>
      <c r="N758" t="s">
        <v>330</v>
      </c>
      <c r="O758" t="s">
        <v>331</v>
      </c>
      <c r="P758" t="s">
        <v>1789</v>
      </c>
      <c r="Q758" t="s">
        <v>966</v>
      </c>
    </row>
    <row r="759" spans="1:17">
      <c r="A759" s="2" t="s">
        <v>796</v>
      </c>
      <c r="B759" s="2" t="s">
        <v>268</v>
      </c>
      <c r="C759" s="2" t="s">
        <v>296</v>
      </c>
      <c r="D759" s="11">
        <v>45971.259027777778</v>
      </c>
      <c r="E759" s="11">
        <v>45971.259027777778</v>
      </c>
      <c r="F759" s="11">
        <v>45971.319444444445</v>
      </c>
      <c r="G759" s="12">
        <v>6.0416666667151731E-2</v>
      </c>
      <c r="H759" s="2" t="s">
        <v>248</v>
      </c>
      <c r="J759" s="2" t="s">
        <v>249</v>
      </c>
      <c r="K759" s="2" t="s">
        <v>349</v>
      </c>
      <c r="L759" s="2" t="s">
        <v>677</v>
      </c>
      <c r="M759" t="s">
        <v>251</v>
      </c>
      <c r="N759" t="s">
        <v>330</v>
      </c>
      <c r="O759" t="s">
        <v>331</v>
      </c>
      <c r="P759" t="s">
        <v>1790</v>
      </c>
      <c r="Q759" t="s">
        <v>966</v>
      </c>
    </row>
    <row r="760" spans="1:17">
      <c r="A760" s="2" t="s">
        <v>796</v>
      </c>
      <c r="B760" s="2" t="s">
        <v>268</v>
      </c>
      <c r="C760" s="2" t="s">
        <v>297</v>
      </c>
      <c r="D760" s="11">
        <v>45971.259027777778</v>
      </c>
      <c r="E760" s="11">
        <v>45971.259027777778</v>
      </c>
      <c r="F760" s="11">
        <v>45971.319444444445</v>
      </c>
      <c r="G760" s="12">
        <v>6.0416666667151731E-2</v>
      </c>
      <c r="H760" s="2" t="s">
        <v>248</v>
      </c>
      <c r="J760" s="2" t="s">
        <v>249</v>
      </c>
      <c r="K760" s="2" t="s">
        <v>349</v>
      </c>
      <c r="L760" s="2" t="s">
        <v>677</v>
      </c>
      <c r="M760" t="s">
        <v>251</v>
      </c>
      <c r="N760" t="s">
        <v>330</v>
      </c>
      <c r="O760" t="s">
        <v>331</v>
      </c>
      <c r="P760" t="s">
        <v>1791</v>
      </c>
      <c r="Q760" t="s">
        <v>966</v>
      </c>
    </row>
    <row r="761" spans="1:17">
      <c r="A761" s="2" t="s">
        <v>846</v>
      </c>
      <c r="B761" s="2" t="s">
        <v>602</v>
      </c>
      <c r="C761" s="2" t="s">
        <v>1305</v>
      </c>
      <c r="D761" s="11">
        <v>45971.262187499997</v>
      </c>
      <c r="E761" s="11">
        <v>45971.262187499997</v>
      </c>
      <c r="F761" s="11">
        <v>45971.266087962962</v>
      </c>
      <c r="G761" s="12">
        <v>3.9004629652481526E-3</v>
      </c>
      <c r="H761" s="2" t="s">
        <v>248</v>
      </c>
      <c r="J761" s="2" t="s">
        <v>300</v>
      </c>
      <c r="K761" s="2" t="s">
        <v>350</v>
      </c>
      <c r="L761" s="2" t="s">
        <v>1222</v>
      </c>
      <c r="M761" t="s">
        <v>375</v>
      </c>
      <c r="N761" t="s">
        <v>828</v>
      </c>
      <c r="P761" t="s">
        <v>1792</v>
      </c>
      <c r="Q761" t="s">
        <v>1224</v>
      </c>
    </row>
    <row r="762" spans="1:17">
      <c r="A762" s="2" t="s">
        <v>846</v>
      </c>
      <c r="B762" s="2" t="s">
        <v>602</v>
      </c>
      <c r="C762" s="2" t="s">
        <v>1221</v>
      </c>
      <c r="D762" s="11">
        <v>45971.262187499997</v>
      </c>
      <c r="E762" s="11">
        <v>45971.262187499997</v>
      </c>
      <c r="F762" s="11">
        <v>45971.265694444446</v>
      </c>
      <c r="G762" s="12">
        <v>3.5069444493274204E-3</v>
      </c>
      <c r="H762" s="2" t="s">
        <v>248</v>
      </c>
      <c r="J762" s="2" t="s">
        <v>300</v>
      </c>
      <c r="K762" s="2" t="s">
        <v>350</v>
      </c>
      <c r="L762" s="2" t="s">
        <v>1222</v>
      </c>
      <c r="M762" t="s">
        <v>375</v>
      </c>
      <c r="N762" t="s">
        <v>828</v>
      </c>
      <c r="P762" t="s">
        <v>1793</v>
      </c>
      <c r="Q762" t="s">
        <v>1224</v>
      </c>
    </row>
    <row r="763" spans="1:17">
      <c r="A763" s="2" t="s">
        <v>846</v>
      </c>
      <c r="B763" s="2" t="s">
        <v>602</v>
      </c>
      <c r="C763" s="2" t="s">
        <v>1407</v>
      </c>
      <c r="D763" s="11">
        <v>45971.262187499997</v>
      </c>
      <c r="E763" s="11">
        <v>45971.262187499997</v>
      </c>
      <c r="F763" s="11">
        <v>45971.266064814816</v>
      </c>
      <c r="G763" s="12">
        <v>3.8773148189648055E-3</v>
      </c>
      <c r="H763" s="2" t="s">
        <v>248</v>
      </c>
      <c r="J763" s="2" t="s">
        <v>300</v>
      </c>
      <c r="K763" s="2" t="s">
        <v>350</v>
      </c>
      <c r="L763" s="2" t="s">
        <v>1222</v>
      </c>
      <c r="M763" t="s">
        <v>375</v>
      </c>
      <c r="N763" t="s">
        <v>828</v>
      </c>
      <c r="P763" t="s">
        <v>1794</v>
      </c>
      <c r="Q763" t="s">
        <v>1224</v>
      </c>
    </row>
    <row r="764" spans="1:17">
      <c r="A764" s="2" t="s">
        <v>846</v>
      </c>
      <c r="B764" s="2" t="s">
        <v>602</v>
      </c>
      <c r="C764" s="2" t="s">
        <v>1303</v>
      </c>
      <c r="D764" s="11">
        <v>45971.262187499997</v>
      </c>
      <c r="E764" s="11">
        <v>45971.262187499997</v>
      </c>
      <c r="F764" s="11">
        <v>45971.266064814816</v>
      </c>
      <c r="G764" s="12">
        <v>3.8773148189648055E-3</v>
      </c>
      <c r="H764" s="2" t="s">
        <v>248</v>
      </c>
      <c r="J764" s="2" t="s">
        <v>300</v>
      </c>
      <c r="K764" s="2" t="s">
        <v>350</v>
      </c>
      <c r="L764" s="2" t="s">
        <v>1222</v>
      </c>
      <c r="M764" t="s">
        <v>375</v>
      </c>
      <c r="N764" t="s">
        <v>828</v>
      </c>
      <c r="P764" t="s">
        <v>1795</v>
      </c>
      <c r="Q764" t="s">
        <v>1224</v>
      </c>
    </row>
    <row r="765" spans="1:17">
      <c r="A765" s="2" t="s">
        <v>846</v>
      </c>
      <c r="B765" s="2" t="s">
        <v>602</v>
      </c>
      <c r="C765" s="2" t="s">
        <v>1536</v>
      </c>
      <c r="D765" s="11">
        <v>45971.262187499997</v>
      </c>
      <c r="E765" s="11">
        <v>45971.262187499997</v>
      </c>
      <c r="F765" s="11">
        <v>45971.266134259262</v>
      </c>
      <c r="G765" s="12">
        <v>3.9467592650908045E-3</v>
      </c>
      <c r="H765" s="2" t="s">
        <v>248</v>
      </c>
      <c r="J765" s="2" t="s">
        <v>300</v>
      </c>
      <c r="K765" s="2" t="s">
        <v>350</v>
      </c>
      <c r="L765" s="2" t="s">
        <v>1222</v>
      </c>
      <c r="M765" t="s">
        <v>375</v>
      </c>
      <c r="N765" t="s">
        <v>828</v>
      </c>
      <c r="P765" t="s">
        <v>1796</v>
      </c>
      <c r="Q765" t="s">
        <v>1224</v>
      </c>
    </row>
    <row r="766" spans="1:17">
      <c r="A766" s="2" t="s">
        <v>846</v>
      </c>
      <c r="B766" s="2" t="s">
        <v>602</v>
      </c>
      <c r="C766" s="2" t="s">
        <v>1534</v>
      </c>
      <c r="D766" s="11">
        <v>45971.262187499997</v>
      </c>
      <c r="E766" s="11">
        <v>45971.262187499997</v>
      </c>
      <c r="F766" s="11">
        <v>45971.266064814816</v>
      </c>
      <c r="G766" s="12">
        <v>3.8773148189648055E-3</v>
      </c>
      <c r="H766" s="2" t="s">
        <v>248</v>
      </c>
      <c r="J766" s="2" t="s">
        <v>300</v>
      </c>
      <c r="K766" s="2" t="s">
        <v>350</v>
      </c>
      <c r="L766" s="2" t="s">
        <v>1222</v>
      </c>
      <c r="M766" t="s">
        <v>375</v>
      </c>
      <c r="N766" t="s">
        <v>828</v>
      </c>
      <c r="P766" t="s">
        <v>1797</v>
      </c>
      <c r="Q766" t="s">
        <v>1224</v>
      </c>
    </row>
    <row r="767" spans="1:17">
      <c r="A767" s="2" t="s">
        <v>846</v>
      </c>
      <c r="B767" s="2" t="s">
        <v>602</v>
      </c>
      <c r="C767" s="2" t="s">
        <v>313</v>
      </c>
      <c r="D767" s="11">
        <v>45971.262187499997</v>
      </c>
      <c r="E767" s="11">
        <v>45971.262187499997</v>
      </c>
      <c r="F767" s="11">
        <v>45971.266111111108</v>
      </c>
      <c r="G767" s="12">
        <v>3.9236111115314998E-3</v>
      </c>
      <c r="H767" s="2" t="s">
        <v>248</v>
      </c>
      <c r="J767" s="2" t="s">
        <v>300</v>
      </c>
      <c r="K767" s="2" t="s">
        <v>350</v>
      </c>
      <c r="L767" s="2" t="s">
        <v>1222</v>
      </c>
      <c r="M767" t="s">
        <v>375</v>
      </c>
      <c r="N767" t="s">
        <v>828</v>
      </c>
      <c r="P767" t="s">
        <v>1798</v>
      </c>
      <c r="Q767" t="s">
        <v>1224</v>
      </c>
    </row>
    <row r="768" spans="1:17">
      <c r="A768" s="2" t="s">
        <v>246</v>
      </c>
      <c r="B768" s="2" t="s">
        <v>246</v>
      </c>
      <c r="C768" s="2" t="s">
        <v>247</v>
      </c>
      <c r="D768" s="11">
        <v>45971.263888888891</v>
      </c>
      <c r="E768" s="11">
        <v>45971.263888888891</v>
      </c>
      <c r="F768" s="11">
        <v>45971.322916666664</v>
      </c>
      <c r="G768" s="12">
        <v>5.9027777773735579E-2</v>
      </c>
      <c r="H768" s="2" t="s">
        <v>248</v>
      </c>
      <c r="J768" s="2" t="s">
        <v>249</v>
      </c>
      <c r="K768" s="2" t="s">
        <v>349</v>
      </c>
      <c r="L768" s="2" t="s">
        <v>677</v>
      </c>
      <c r="M768" t="s">
        <v>251</v>
      </c>
      <c r="N768" t="s">
        <v>330</v>
      </c>
      <c r="O768" t="s">
        <v>331</v>
      </c>
      <c r="P768" t="s">
        <v>1799</v>
      </c>
      <c r="Q768" t="s">
        <v>966</v>
      </c>
    </row>
    <row r="769" spans="1:17">
      <c r="A769" s="2" t="s">
        <v>246</v>
      </c>
      <c r="B769" s="2" t="s">
        <v>246</v>
      </c>
      <c r="C769" s="2" t="s">
        <v>254</v>
      </c>
      <c r="D769" s="11">
        <v>45971.263888888891</v>
      </c>
      <c r="E769" s="11">
        <v>45971.263888888891</v>
      </c>
      <c r="F769" s="11">
        <v>45971.322916666664</v>
      </c>
      <c r="G769" s="12">
        <v>5.9027777773735579E-2</v>
      </c>
      <c r="H769" s="2" t="s">
        <v>248</v>
      </c>
      <c r="J769" s="2" t="s">
        <v>249</v>
      </c>
      <c r="K769" s="2" t="s">
        <v>349</v>
      </c>
      <c r="L769" s="2" t="s">
        <v>677</v>
      </c>
      <c r="M769" t="s">
        <v>251</v>
      </c>
      <c r="N769" t="s">
        <v>330</v>
      </c>
      <c r="O769" t="s">
        <v>331</v>
      </c>
      <c r="P769" t="s">
        <v>1800</v>
      </c>
      <c r="Q769" t="s">
        <v>966</v>
      </c>
    </row>
    <row r="770" spans="1:17">
      <c r="A770" s="2" t="s">
        <v>246</v>
      </c>
      <c r="B770" s="2" t="s">
        <v>246</v>
      </c>
      <c r="C770" s="2" t="s">
        <v>255</v>
      </c>
      <c r="D770" s="11">
        <v>45971.263888888891</v>
      </c>
      <c r="E770" s="11">
        <v>45971.263888888891</v>
      </c>
      <c r="F770" s="11">
        <v>45971.322916666664</v>
      </c>
      <c r="G770" s="12">
        <v>5.9027777773735579E-2</v>
      </c>
      <c r="H770" s="2" t="s">
        <v>248</v>
      </c>
      <c r="J770" s="2" t="s">
        <v>249</v>
      </c>
      <c r="K770" s="2" t="s">
        <v>349</v>
      </c>
      <c r="L770" s="2" t="s">
        <v>677</v>
      </c>
      <c r="M770" t="s">
        <v>251</v>
      </c>
      <c r="N770" t="s">
        <v>330</v>
      </c>
      <c r="O770" t="s">
        <v>331</v>
      </c>
      <c r="P770" t="s">
        <v>1801</v>
      </c>
      <c r="Q770" t="s">
        <v>966</v>
      </c>
    </row>
    <row r="771" spans="1:17">
      <c r="A771" s="2" t="s">
        <v>246</v>
      </c>
      <c r="B771" s="2" t="s">
        <v>246</v>
      </c>
      <c r="C771" s="2" t="s">
        <v>256</v>
      </c>
      <c r="D771" s="11">
        <v>45971.263888888891</v>
      </c>
      <c r="E771" s="11">
        <v>45971.263888888891</v>
      </c>
      <c r="F771" s="11">
        <v>45971.322916666664</v>
      </c>
      <c r="G771" s="12">
        <v>5.9027777773735579E-2</v>
      </c>
      <c r="H771" s="2" t="s">
        <v>248</v>
      </c>
      <c r="J771" s="2" t="s">
        <v>249</v>
      </c>
      <c r="K771" s="2" t="s">
        <v>349</v>
      </c>
      <c r="L771" s="2" t="s">
        <v>677</v>
      </c>
      <c r="M771" t="s">
        <v>251</v>
      </c>
      <c r="N771" t="s">
        <v>330</v>
      </c>
      <c r="O771" t="s">
        <v>331</v>
      </c>
      <c r="P771" t="s">
        <v>1802</v>
      </c>
      <c r="Q771" t="s">
        <v>966</v>
      </c>
    </row>
    <row r="772" spans="1:17">
      <c r="A772" s="2" t="s">
        <v>246</v>
      </c>
      <c r="B772" s="2" t="s">
        <v>246</v>
      </c>
      <c r="C772" s="2" t="s">
        <v>257</v>
      </c>
      <c r="D772" s="11">
        <v>45971.263888888891</v>
      </c>
      <c r="E772" s="11">
        <v>45971.263888888891</v>
      </c>
      <c r="F772" s="11">
        <v>45971.322916666664</v>
      </c>
      <c r="G772" s="12">
        <v>5.9027777773735579E-2</v>
      </c>
      <c r="H772" s="2" t="s">
        <v>248</v>
      </c>
      <c r="J772" s="2" t="s">
        <v>249</v>
      </c>
      <c r="K772" s="2" t="s">
        <v>349</v>
      </c>
      <c r="L772" s="2" t="s">
        <v>677</v>
      </c>
      <c r="M772" t="s">
        <v>251</v>
      </c>
      <c r="N772" t="s">
        <v>330</v>
      </c>
      <c r="O772" t="s">
        <v>331</v>
      </c>
      <c r="P772" t="s">
        <v>1803</v>
      </c>
      <c r="Q772" t="s">
        <v>966</v>
      </c>
    </row>
    <row r="773" spans="1:17">
      <c r="A773" s="2" t="s">
        <v>258</v>
      </c>
      <c r="B773" s="2" t="s">
        <v>258</v>
      </c>
      <c r="C773" s="2" t="s">
        <v>247</v>
      </c>
      <c r="D773" s="11">
        <v>45971.263888888891</v>
      </c>
      <c r="E773" s="11">
        <v>45971.263888888891</v>
      </c>
      <c r="F773" s="11">
        <v>45971.322916666664</v>
      </c>
      <c r="G773" s="12">
        <v>5.9027777773735579E-2</v>
      </c>
      <c r="H773" s="2" t="s">
        <v>248</v>
      </c>
      <c r="J773" s="2" t="s">
        <v>249</v>
      </c>
      <c r="K773" s="2" t="s">
        <v>349</v>
      </c>
      <c r="L773" s="2" t="s">
        <v>677</v>
      </c>
      <c r="M773" t="s">
        <v>251</v>
      </c>
      <c r="N773" t="s">
        <v>330</v>
      </c>
      <c r="O773" t="s">
        <v>331</v>
      </c>
      <c r="P773" t="s">
        <v>1804</v>
      </c>
      <c r="Q773" t="s">
        <v>966</v>
      </c>
    </row>
    <row r="774" spans="1:17">
      <c r="A774" s="2" t="s">
        <v>258</v>
      </c>
      <c r="B774" s="2" t="s">
        <v>258</v>
      </c>
      <c r="C774" s="2" t="s">
        <v>254</v>
      </c>
      <c r="D774" s="11">
        <v>45971.263888888891</v>
      </c>
      <c r="E774" s="11">
        <v>45971.263888888891</v>
      </c>
      <c r="F774" s="11">
        <v>45971.322916666664</v>
      </c>
      <c r="G774" s="12">
        <v>5.9027777773735579E-2</v>
      </c>
      <c r="H774" s="2" t="s">
        <v>248</v>
      </c>
      <c r="J774" s="2" t="s">
        <v>249</v>
      </c>
      <c r="K774" s="2" t="s">
        <v>349</v>
      </c>
      <c r="L774" s="2" t="s">
        <v>677</v>
      </c>
      <c r="M774" t="s">
        <v>251</v>
      </c>
      <c r="N774" t="s">
        <v>330</v>
      </c>
      <c r="O774" t="s">
        <v>331</v>
      </c>
      <c r="P774" t="s">
        <v>1805</v>
      </c>
      <c r="Q774" t="s">
        <v>966</v>
      </c>
    </row>
    <row r="775" spans="1:17">
      <c r="A775" s="2" t="s">
        <v>258</v>
      </c>
      <c r="B775" s="2" t="s">
        <v>258</v>
      </c>
      <c r="C775" s="2" t="s">
        <v>255</v>
      </c>
      <c r="D775" s="11">
        <v>45971.263888888891</v>
      </c>
      <c r="E775" s="11">
        <v>45971.263888888891</v>
      </c>
      <c r="F775" s="11">
        <v>45971.322916666664</v>
      </c>
      <c r="G775" s="12">
        <v>5.9027777773735579E-2</v>
      </c>
      <c r="H775" s="2" t="s">
        <v>248</v>
      </c>
      <c r="J775" s="2" t="s">
        <v>249</v>
      </c>
      <c r="K775" s="2" t="s">
        <v>349</v>
      </c>
      <c r="L775" s="2" t="s">
        <v>677</v>
      </c>
      <c r="M775" t="s">
        <v>251</v>
      </c>
      <c r="N775" t="s">
        <v>330</v>
      </c>
      <c r="O775" t="s">
        <v>331</v>
      </c>
      <c r="P775" t="s">
        <v>1806</v>
      </c>
      <c r="Q775" t="s">
        <v>966</v>
      </c>
    </row>
    <row r="776" spans="1:17">
      <c r="A776" s="2" t="s">
        <v>258</v>
      </c>
      <c r="B776" s="2" t="s">
        <v>258</v>
      </c>
      <c r="C776" s="2" t="s">
        <v>256</v>
      </c>
      <c r="D776" s="11">
        <v>45971.263888888891</v>
      </c>
      <c r="E776" s="11">
        <v>45971.263888888891</v>
      </c>
      <c r="F776" s="11">
        <v>45971.322916666664</v>
      </c>
      <c r="G776" s="12">
        <v>5.9027777773735579E-2</v>
      </c>
      <c r="H776" s="2" t="s">
        <v>248</v>
      </c>
      <c r="J776" s="2" t="s">
        <v>249</v>
      </c>
      <c r="K776" s="2" t="s">
        <v>349</v>
      </c>
      <c r="L776" s="2" t="s">
        <v>677</v>
      </c>
      <c r="M776" t="s">
        <v>251</v>
      </c>
      <c r="N776" t="s">
        <v>330</v>
      </c>
      <c r="O776" t="s">
        <v>331</v>
      </c>
      <c r="P776" t="s">
        <v>1807</v>
      </c>
      <c r="Q776" t="s">
        <v>966</v>
      </c>
    </row>
    <row r="777" spans="1:17">
      <c r="A777" s="2" t="s">
        <v>258</v>
      </c>
      <c r="B777" s="2" t="s">
        <v>258</v>
      </c>
      <c r="C777" s="2" t="s">
        <v>257</v>
      </c>
      <c r="D777" s="11">
        <v>45971.263888888891</v>
      </c>
      <c r="E777" s="11">
        <v>45971.263888888891</v>
      </c>
      <c r="F777" s="11">
        <v>45971.322916666664</v>
      </c>
      <c r="G777" s="12">
        <v>5.9027777773735579E-2</v>
      </c>
      <c r="H777" s="2" t="s">
        <v>248</v>
      </c>
      <c r="J777" s="2" t="s">
        <v>249</v>
      </c>
      <c r="K777" s="2" t="s">
        <v>349</v>
      </c>
      <c r="L777" s="2" t="s">
        <v>677</v>
      </c>
      <c r="M777" t="s">
        <v>251</v>
      </c>
      <c r="N777" t="s">
        <v>330</v>
      </c>
      <c r="O777" t="s">
        <v>331</v>
      </c>
      <c r="P777" t="s">
        <v>1808</v>
      </c>
      <c r="Q777" t="s">
        <v>966</v>
      </c>
    </row>
    <row r="778" spans="1:17">
      <c r="A778" s="2" t="s">
        <v>259</v>
      </c>
      <c r="B778" s="2" t="s">
        <v>259</v>
      </c>
      <c r="C778" s="2" t="s">
        <v>247</v>
      </c>
      <c r="D778" s="11">
        <v>45971.263888888891</v>
      </c>
      <c r="E778" s="11">
        <v>45971.263888888891</v>
      </c>
      <c r="F778" s="11">
        <v>45971.322916666664</v>
      </c>
      <c r="G778" s="12">
        <v>5.9027777773735579E-2</v>
      </c>
      <c r="H778" s="2" t="s">
        <v>248</v>
      </c>
      <c r="J778" s="2" t="s">
        <v>249</v>
      </c>
      <c r="K778" s="2" t="s">
        <v>349</v>
      </c>
      <c r="L778" s="2" t="s">
        <v>677</v>
      </c>
      <c r="M778" t="s">
        <v>251</v>
      </c>
      <c r="N778" t="s">
        <v>330</v>
      </c>
      <c r="O778" t="s">
        <v>331</v>
      </c>
      <c r="P778" t="s">
        <v>1809</v>
      </c>
      <c r="Q778" t="s">
        <v>966</v>
      </c>
    </row>
    <row r="779" spans="1:17">
      <c r="A779" s="2" t="s">
        <v>259</v>
      </c>
      <c r="B779" s="2" t="s">
        <v>259</v>
      </c>
      <c r="C779" s="2" t="s">
        <v>254</v>
      </c>
      <c r="D779" s="11">
        <v>45971.263888888891</v>
      </c>
      <c r="E779" s="11">
        <v>45971.263888888891</v>
      </c>
      <c r="F779" s="11">
        <v>45971.322916666664</v>
      </c>
      <c r="G779" s="12">
        <v>5.9027777773735579E-2</v>
      </c>
      <c r="H779" s="2" t="s">
        <v>248</v>
      </c>
      <c r="J779" s="2" t="s">
        <v>249</v>
      </c>
      <c r="K779" s="2" t="s">
        <v>349</v>
      </c>
      <c r="L779" s="2" t="s">
        <v>677</v>
      </c>
      <c r="M779" t="s">
        <v>251</v>
      </c>
      <c r="N779" t="s">
        <v>330</v>
      </c>
      <c r="O779" t="s">
        <v>331</v>
      </c>
      <c r="P779" t="s">
        <v>1810</v>
      </c>
      <c r="Q779" t="s">
        <v>966</v>
      </c>
    </row>
    <row r="780" spans="1:17">
      <c r="A780" s="2" t="s">
        <v>259</v>
      </c>
      <c r="B780" s="2" t="s">
        <v>259</v>
      </c>
      <c r="C780" s="2" t="s">
        <v>255</v>
      </c>
      <c r="D780" s="11">
        <v>45971.263888888891</v>
      </c>
      <c r="E780" s="11">
        <v>45971.263888888891</v>
      </c>
      <c r="F780" s="11">
        <v>45971.322916666664</v>
      </c>
      <c r="G780" s="12">
        <v>5.9027777773735579E-2</v>
      </c>
      <c r="H780" s="2" t="s">
        <v>248</v>
      </c>
      <c r="J780" s="2" t="s">
        <v>249</v>
      </c>
      <c r="K780" s="2" t="s">
        <v>349</v>
      </c>
      <c r="L780" s="2" t="s">
        <v>677</v>
      </c>
      <c r="M780" t="s">
        <v>251</v>
      </c>
      <c r="N780" t="s">
        <v>330</v>
      </c>
      <c r="O780" t="s">
        <v>331</v>
      </c>
      <c r="P780" t="s">
        <v>1811</v>
      </c>
      <c r="Q780" t="s">
        <v>966</v>
      </c>
    </row>
    <row r="781" spans="1:17">
      <c r="A781" s="2" t="s">
        <v>259</v>
      </c>
      <c r="B781" s="2" t="s">
        <v>259</v>
      </c>
      <c r="C781" s="2" t="s">
        <v>256</v>
      </c>
      <c r="D781" s="11">
        <v>45971.263888888891</v>
      </c>
      <c r="E781" s="11">
        <v>45971.263888888891</v>
      </c>
      <c r="F781" s="11">
        <v>45971.322916666664</v>
      </c>
      <c r="G781" s="12">
        <v>5.9027777773735579E-2</v>
      </c>
      <c r="H781" s="2" t="s">
        <v>248</v>
      </c>
      <c r="J781" s="2" t="s">
        <v>249</v>
      </c>
      <c r="K781" s="2" t="s">
        <v>349</v>
      </c>
      <c r="L781" s="2" t="s">
        <v>677</v>
      </c>
      <c r="M781" t="s">
        <v>251</v>
      </c>
      <c r="N781" t="s">
        <v>330</v>
      </c>
      <c r="O781" t="s">
        <v>331</v>
      </c>
      <c r="P781" t="s">
        <v>1812</v>
      </c>
      <c r="Q781" t="s">
        <v>966</v>
      </c>
    </row>
    <row r="782" spans="1:17">
      <c r="A782" s="2" t="s">
        <v>259</v>
      </c>
      <c r="B782" s="2" t="s">
        <v>259</v>
      </c>
      <c r="C782" s="2" t="s">
        <v>257</v>
      </c>
      <c r="D782" s="11">
        <v>45971.263888888891</v>
      </c>
      <c r="E782" s="11">
        <v>45971.263888888891</v>
      </c>
      <c r="F782" s="11">
        <v>45971.322916666664</v>
      </c>
      <c r="G782" s="12">
        <v>5.9027777773735579E-2</v>
      </c>
      <c r="H782" s="2" t="s">
        <v>248</v>
      </c>
      <c r="J782" s="2" t="s">
        <v>249</v>
      </c>
      <c r="K782" s="2" t="s">
        <v>349</v>
      </c>
      <c r="L782" s="2" t="s">
        <v>677</v>
      </c>
      <c r="M782" t="s">
        <v>251</v>
      </c>
      <c r="N782" t="s">
        <v>330</v>
      </c>
      <c r="O782" t="s">
        <v>331</v>
      </c>
      <c r="P782" t="s">
        <v>1813</v>
      </c>
      <c r="Q782" t="s">
        <v>966</v>
      </c>
    </row>
    <row r="783" spans="1:17">
      <c r="A783" s="2" t="s">
        <v>258</v>
      </c>
      <c r="B783" s="2" t="s">
        <v>258</v>
      </c>
      <c r="C783" s="2" t="s">
        <v>254</v>
      </c>
      <c r="D783" s="11">
        <v>45972.25</v>
      </c>
      <c r="E783" s="11">
        <v>45972.25</v>
      </c>
      <c r="F783" s="11">
        <v>45974.638888888891</v>
      </c>
      <c r="G783" s="12">
        <v>2.3888888888905058</v>
      </c>
      <c r="H783" s="2" t="s">
        <v>260</v>
      </c>
      <c r="I783" s="2" t="s">
        <v>261</v>
      </c>
      <c r="J783" s="2" t="s">
        <v>262</v>
      </c>
      <c r="K783" s="2" t="s">
        <v>263</v>
      </c>
      <c r="L783" s="2" t="s">
        <v>1814</v>
      </c>
      <c r="M783" t="s">
        <v>265</v>
      </c>
      <c r="N783" t="s">
        <v>266</v>
      </c>
      <c r="O783" t="s">
        <v>1815</v>
      </c>
      <c r="P783" t="s">
        <v>1816</v>
      </c>
      <c r="Q783" t="s">
        <v>1401</v>
      </c>
    </row>
    <row r="784" spans="1:17">
      <c r="A784" s="2" t="s">
        <v>258</v>
      </c>
      <c r="B784" s="2" t="s">
        <v>258</v>
      </c>
      <c r="C784" s="2" t="s">
        <v>255</v>
      </c>
      <c r="D784" s="11">
        <v>45972.25</v>
      </c>
      <c r="E784" s="11">
        <v>45972.25</v>
      </c>
      <c r="F784" s="11">
        <v>45974.638888888891</v>
      </c>
      <c r="G784" s="12">
        <v>2.3888888888905058</v>
      </c>
      <c r="H784" s="2" t="s">
        <v>260</v>
      </c>
      <c r="I784" s="2" t="s">
        <v>261</v>
      </c>
      <c r="J784" s="2" t="s">
        <v>262</v>
      </c>
      <c r="K784" s="2" t="s">
        <v>263</v>
      </c>
      <c r="L784" s="2" t="s">
        <v>1814</v>
      </c>
      <c r="M784" t="s">
        <v>265</v>
      </c>
      <c r="N784" t="s">
        <v>266</v>
      </c>
      <c r="O784" t="s">
        <v>1815</v>
      </c>
      <c r="P784" t="s">
        <v>1817</v>
      </c>
      <c r="Q784" t="s">
        <v>1401</v>
      </c>
    </row>
    <row r="785" spans="1:17">
      <c r="A785" s="2" t="s">
        <v>258</v>
      </c>
      <c r="B785" s="2" t="s">
        <v>258</v>
      </c>
      <c r="C785" s="2" t="s">
        <v>256</v>
      </c>
      <c r="D785" s="11">
        <v>45972.25</v>
      </c>
      <c r="E785" s="11">
        <v>45972.25</v>
      </c>
      <c r="F785" s="11">
        <v>45974.638888888891</v>
      </c>
      <c r="G785" s="12">
        <v>2.3888888888905058</v>
      </c>
      <c r="H785" s="2" t="s">
        <v>260</v>
      </c>
      <c r="I785" s="2" t="s">
        <v>261</v>
      </c>
      <c r="J785" s="2" t="s">
        <v>262</v>
      </c>
      <c r="K785" s="2" t="s">
        <v>263</v>
      </c>
      <c r="L785" s="2" t="s">
        <v>1814</v>
      </c>
      <c r="M785" t="s">
        <v>265</v>
      </c>
      <c r="N785" t="s">
        <v>266</v>
      </c>
      <c r="O785" t="s">
        <v>1815</v>
      </c>
      <c r="P785" t="s">
        <v>1818</v>
      </c>
      <c r="Q785" t="s">
        <v>1401</v>
      </c>
    </row>
    <row r="786" spans="1:17">
      <c r="A786" s="2" t="s">
        <v>258</v>
      </c>
      <c r="B786" s="2" t="s">
        <v>258</v>
      </c>
      <c r="C786" s="2" t="s">
        <v>247</v>
      </c>
      <c r="D786" s="11">
        <v>45972.25</v>
      </c>
      <c r="E786" s="11">
        <v>45972.25</v>
      </c>
      <c r="F786" s="11">
        <v>45974.638888888891</v>
      </c>
      <c r="G786" s="12">
        <v>2.3888888888905058</v>
      </c>
      <c r="H786" s="2" t="s">
        <v>260</v>
      </c>
      <c r="I786" s="2" t="s">
        <v>261</v>
      </c>
      <c r="J786" s="2" t="s">
        <v>262</v>
      </c>
      <c r="K786" s="2" t="s">
        <v>263</v>
      </c>
      <c r="L786" s="2" t="s">
        <v>1814</v>
      </c>
      <c r="M786" t="s">
        <v>265</v>
      </c>
      <c r="N786" t="s">
        <v>266</v>
      </c>
      <c r="O786" t="s">
        <v>1815</v>
      </c>
      <c r="P786" t="s">
        <v>1819</v>
      </c>
      <c r="Q786" t="s">
        <v>1401</v>
      </c>
    </row>
    <row r="787" spans="1:17">
      <c r="A787" s="2" t="s">
        <v>258</v>
      </c>
      <c r="B787" s="2" t="s">
        <v>258</v>
      </c>
      <c r="C787" s="2" t="s">
        <v>257</v>
      </c>
      <c r="D787" s="11">
        <v>45972.25</v>
      </c>
      <c r="E787" s="11">
        <v>45972.25</v>
      </c>
      <c r="F787" s="11">
        <v>45974.638888888891</v>
      </c>
      <c r="G787" s="12">
        <v>2.3888888888905058</v>
      </c>
      <c r="H787" s="2" t="s">
        <v>260</v>
      </c>
      <c r="I787" s="2" t="s">
        <v>261</v>
      </c>
      <c r="J787" s="2" t="s">
        <v>262</v>
      </c>
      <c r="K787" s="2" t="s">
        <v>263</v>
      </c>
      <c r="L787" s="2" t="s">
        <v>1814</v>
      </c>
      <c r="M787" t="s">
        <v>265</v>
      </c>
      <c r="N787" t="s">
        <v>266</v>
      </c>
      <c r="O787" t="s">
        <v>1815</v>
      </c>
      <c r="P787" t="s">
        <v>1820</v>
      </c>
      <c r="Q787" t="s">
        <v>1401</v>
      </c>
    </row>
    <row r="788" spans="1:17">
      <c r="A788" s="2" t="s">
        <v>421</v>
      </c>
      <c r="B788" s="2" t="s">
        <v>421</v>
      </c>
      <c r="C788" s="2" t="s">
        <v>357</v>
      </c>
      <c r="D788" s="11">
        <v>45972.253472222219</v>
      </c>
      <c r="E788" s="11">
        <v>45972.253472222219</v>
      </c>
      <c r="F788" s="11">
        <v>45972.329861111109</v>
      </c>
      <c r="G788" s="12">
        <v>7.6388888890505768E-2</v>
      </c>
      <c r="H788" s="2" t="s">
        <v>248</v>
      </c>
      <c r="J788" s="2" t="s">
        <v>230</v>
      </c>
      <c r="K788" s="2" t="s">
        <v>230</v>
      </c>
      <c r="L788" s="2" t="s">
        <v>1821</v>
      </c>
      <c r="M788" t="s">
        <v>251</v>
      </c>
      <c r="N788" t="s">
        <v>330</v>
      </c>
      <c r="O788" t="s">
        <v>331</v>
      </c>
      <c r="P788" t="s">
        <v>1822</v>
      </c>
      <c r="Q788" t="s">
        <v>1693</v>
      </c>
    </row>
    <row r="789" spans="1:17">
      <c r="A789" s="2" t="s">
        <v>421</v>
      </c>
      <c r="B789" s="2" t="s">
        <v>421</v>
      </c>
      <c r="C789" s="2" t="s">
        <v>354</v>
      </c>
      <c r="D789" s="11">
        <v>45972.253472222219</v>
      </c>
      <c r="E789" s="11">
        <v>45972.253472222219</v>
      </c>
      <c r="F789" s="11">
        <v>45972.329861111109</v>
      </c>
      <c r="G789" s="12">
        <v>7.6388888890505768E-2</v>
      </c>
      <c r="H789" s="2" t="s">
        <v>248</v>
      </c>
      <c r="J789" s="2" t="s">
        <v>230</v>
      </c>
      <c r="K789" s="2" t="s">
        <v>230</v>
      </c>
      <c r="L789" s="2" t="s">
        <v>1821</v>
      </c>
      <c r="M789" t="s">
        <v>251</v>
      </c>
      <c r="N789" t="s">
        <v>330</v>
      </c>
      <c r="O789" t="s">
        <v>331</v>
      </c>
      <c r="P789" t="s">
        <v>1823</v>
      </c>
      <c r="Q789" t="s">
        <v>1693</v>
      </c>
    </row>
    <row r="790" spans="1:17">
      <c r="A790" s="2" t="s">
        <v>421</v>
      </c>
      <c r="B790" s="2" t="s">
        <v>421</v>
      </c>
      <c r="C790" s="2" t="s">
        <v>359</v>
      </c>
      <c r="D790" s="11">
        <v>45972.253472222219</v>
      </c>
      <c r="E790" s="11">
        <v>45972.253472222219</v>
      </c>
      <c r="F790" s="11">
        <v>45972.329861111109</v>
      </c>
      <c r="G790" s="12">
        <v>7.6388888890505768E-2</v>
      </c>
      <c r="H790" s="2" t="s">
        <v>248</v>
      </c>
      <c r="J790" s="2" t="s">
        <v>230</v>
      </c>
      <c r="K790" s="2" t="s">
        <v>230</v>
      </c>
      <c r="L790" s="2" t="s">
        <v>1821</v>
      </c>
      <c r="M790" t="s">
        <v>251</v>
      </c>
      <c r="N790" t="s">
        <v>330</v>
      </c>
      <c r="O790" t="s">
        <v>331</v>
      </c>
      <c r="P790" t="s">
        <v>1824</v>
      </c>
      <c r="Q790" t="s">
        <v>1693</v>
      </c>
    </row>
    <row r="791" spans="1:17">
      <c r="A791" s="2" t="s">
        <v>421</v>
      </c>
      <c r="B791" s="2" t="s">
        <v>421</v>
      </c>
      <c r="C791" s="2" t="s">
        <v>358</v>
      </c>
      <c r="D791" s="11">
        <v>45972.253472222219</v>
      </c>
      <c r="E791" s="11">
        <v>45972.253472222219</v>
      </c>
      <c r="F791" s="11">
        <v>45972.329861111109</v>
      </c>
      <c r="G791" s="12">
        <v>7.6388888890505768E-2</v>
      </c>
      <c r="H791" s="2" t="s">
        <v>248</v>
      </c>
      <c r="J791" s="2" t="s">
        <v>230</v>
      </c>
      <c r="K791" s="2" t="s">
        <v>230</v>
      </c>
      <c r="L791" s="2" t="s">
        <v>1821</v>
      </c>
      <c r="M791" t="s">
        <v>251</v>
      </c>
      <c r="N791" t="s">
        <v>330</v>
      </c>
      <c r="O791" t="s">
        <v>331</v>
      </c>
      <c r="P791" t="s">
        <v>1825</v>
      </c>
      <c r="Q791" t="s">
        <v>1693</v>
      </c>
    </row>
    <row r="792" spans="1:17">
      <c r="A792" s="2" t="s">
        <v>846</v>
      </c>
      <c r="B792" s="2" t="s">
        <v>602</v>
      </c>
      <c r="C792" s="2" t="s">
        <v>1221</v>
      </c>
      <c r="D792" s="11">
        <v>45972.254537037035</v>
      </c>
      <c r="E792" s="11">
        <v>45972.254537037035</v>
      </c>
      <c r="F792" s="11">
        <v>45972.261493055557</v>
      </c>
      <c r="G792" s="12">
        <v>6.9560185220325366E-3</v>
      </c>
      <c r="H792" s="2" t="s">
        <v>248</v>
      </c>
      <c r="J792" s="2" t="s">
        <v>300</v>
      </c>
      <c r="K792" s="2" t="s">
        <v>350</v>
      </c>
      <c r="L792" s="2" t="s">
        <v>1222</v>
      </c>
      <c r="M792" t="s">
        <v>375</v>
      </c>
      <c r="N792" t="s">
        <v>828</v>
      </c>
      <c r="P792" t="s">
        <v>1826</v>
      </c>
      <c r="Q792" t="s">
        <v>1224</v>
      </c>
    </row>
    <row r="793" spans="1:17">
      <c r="A793" s="2" t="s">
        <v>846</v>
      </c>
      <c r="B793" s="2" t="s">
        <v>602</v>
      </c>
      <c r="C793" s="2" t="s">
        <v>1305</v>
      </c>
      <c r="D793" s="11">
        <v>45972.254652777781</v>
      </c>
      <c r="E793" s="11">
        <v>45972.254652777781</v>
      </c>
      <c r="F793" s="11">
        <v>45972.261678240742</v>
      </c>
      <c r="G793" s="12">
        <v>7.025462960882578E-3</v>
      </c>
      <c r="H793" s="2" t="s">
        <v>248</v>
      </c>
      <c r="J793" s="2" t="s">
        <v>300</v>
      </c>
      <c r="K793" s="2" t="s">
        <v>350</v>
      </c>
      <c r="L793" s="2" t="s">
        <v>1222</v>
      </c>
      <c r="M793" t="s">
        <v>375</v>
      </c>
      <c r="N793" t="s">
        <v>828</v>
      </c>
      <c r="P793" t="s">
        <v>1827</v>
      </c>
      <c r="Q793" t="s">
        <v>1224</v>
      </c>
    </row>
    <row r="794" spans="1:17">
      <c r="A794" s="2" t="s">
        <v>846</v>
      </c>
      <c r="B794" s="2" t="s">
        <v>602</v>
      </c>
      <c r="C794" s="2" t="s">
        <v>1303</v>
      </c>
      <c r="D794" s="11">
        <v>45972.254687499997</v>
      </c>
      <c r="E794" s="11">
        <v>45972.254687499997</v>
      </c>
      <c r="F794" s="11">
        <v>45972.261701388888</v>
      </c>
      <c r="G794" s="12">
        <v>7.0138888913788833E-3</v>
      </c>
      <c r="H794" s="2" t="s">
        <v>248</v>
      </c>
      <c r="J794" s="2" t="s">
        <v>300</v>
      </c>
      <c r="K794" s="2" t="s">
        <v>350</v>
      </c>
      <c r="L794" s="2" t="s">
        <v>1222</v>
      </c>
      <c r="M794" t="s">
        <v>375</v>
      </c>
      <c r="N794" t="s">
        <v>828</v>
      </c>
      <c r="P794" t="s">
        <v>1828</v>
      </c>
      <c r="Q794" t="s">
        <v>1224</v>
      </c>
    </row>
    <row r="795" spans="1:17">
      <c r="A795" s="2" t="s">
        <v>846</v>
      </c>
      <c r="B795" s="2" t="s">
        <v>602</v>
      </c>
      <c r="C795" s="2" t="s">
        <v>1534</v>
      </c>
      <c r="D795" s="11">
        <v>45972.25476851852</v>
      </c>
      <c r="E795" s="11">
        <v>45972.25476851852</v>
      </c>
      <c r="F795" s="11">
        <v>45972.261712962965</v>
      </c>
      <c r="G795" s="12">
        <v>6.9444444452528842E-3</v>
      </c>
      <c r="H795" s="2" t="s">
        <v>248</v>
      </c>
      <c r="J795" s="2" t="s">
        <v>300</v>
      </c>
      <c r="K795" s="2" t="s">
        <v>350</v>
      </c>
      <c r="L795" s="2" t="s">
        <v>1222</v>
      </c>
      <c r="M795" t="s">
        <v>375</v>
      </c>
      <c r="N795" t="s">
        <v>828</v>
      </c>
      <c r="P795" t="s">
        <v>1829</v>
      </c>
      <c r="Q795" t="s">
        <v>1224</v>
      </c>
    </row>
    <row r="796" spans="1:17">
      <c r="A796" s="2" t="s">
        <v>846</v>
      </c>
      <c r="B796" s="2" t="s">
        <v>602</v>
      </c>
      <c r="C796" s="2" t="s">
        <v>1536</v>
      </c>
      <c r="D796" s="11">
        <v>45972.254837962966</v>
      </c>
      <c r="E796" s="11">
        <v>45972.254837962966</v>
      </c>
      <c r="F796" s="11">
        <v>45972.261874999997</v>
      </c>
      <c r="G796" s="12">
        <v>7.0370370303862728E-3</v>
      </c>
      <c r="H796" s="2" t="s">
        <v>248</v>
      </c>
      <c r="J796" s="2" t="s">
        <v>300</v>
      </c>
      <c r="K796" s="2" t="s">
        <v>350</v>
      </c>
      <c r="L796" s="2" t="s">
        <v>1222</v>
      </c>
      <c r="M796" t="s">
        <v>375</v>
      </c>
      <c r="N796" t="s">
        <v>828</v>
      </c>
      <c r="P796" t="s">
        <v>1830</v>
      </c>
      <c r="Q796" t="s">
        <v>1224</v>
      </c>
    </row>
    <row r="797" spans="1:17">
      <c r="A797" s="2" t="s">
        <v>771</v>
      </c>
      <c r="B797" s="2" t="s">
        <v>477</v>
      </c>
      <c r="C797" s="2" t="s">
        <v>634</v>
      </c>
      <c r="D797" s="11">
        <v>45972.305555555555</v>
      </c>
      <c r="E797" s="11">
        <v>45972.305555555555</v>
      </c>
      <c r="F797" s="11">
        <v>45972.706250000003</v>
      </c>
      <c r="G797" s="12">
        <v>0.40069444444816327</v>
      </c>
      <c r="H797" s="2" t="s">
        <v>343</v>
      </c>
      <c r="J797" s="2" t="s">
        <v>230</v>
      </c>
      <c r="K797" s="2" t="s">
        <v>230</v>
      </c>
      <c r="L797" s="2" t="s">
        <v>1831</v>
      </c>
      <c r="M797" t="s">
        <v>302</v>
      </c>
      <c r="N797" t="s">
        <v>345</v>
      </c>
      <c r="O797" t="s">
        <v>1832</v>
      </c>
      <c r="P797" t="s">
        <v>1833</v>
      </c>
      <c r="Q797" t="s">
        <v>1364</v>
      </c>
    </row>
    <row r="798" spans="1:17">
      <c r="A798" s="2" t="s">
        <v>773</v>
      </c>
      <c r="B798" s="2" t="s">
        <v>477</v>
      </c>
      <c r="C798" s="2" t="s">
        <v>628</v>
      </c>
      <c r="D798" s="11">
        <v>45972.305555555555</v>
      </c>
      <c r="E798" s="11">
        <v>45972.305555555555</v>
      </c>
      <c r="F798" s="11">
        <v>45972.706250000003</v>
      </c>
      <c r="G798" s="12">
        <v>0.40069444444816327</v>
      </c>
      <c r="H798" s="2" t="s">
        <v>343</v>
      </c>
      <c r="J798" s="2" t="s">
        <v>230</v>
      </c>
      <c r="K798" s="2" t="s">
        <v>230</v>
      </c>
      <c r="L798" s="2" t="s">
        <v>1831</v>
      </c>
      <c r="M798" t="s">
        <v>302</v>
      </c>
      <c r="N798" t="s">
        <v>345</v>
      </c>
      <c r="O798" t="s">
        <v>1832</v>
      </c>
      <c r="P798" t="s">
        <v>1834</v>
      </c>
      <c r="Q798" t="s">
        <v>1364</v>
      </c>
    </row>
    <row r="799" spans="1:17">
      <c r="A799" s="2" t="s">
        <v>773</v>
      </c>
      <c r="B799" s="2" t="s">
        <v>477</v>
      </c>
      <c r="C799" s="2" t="s">
        <v>491</v>
      </c>
      <c r="D799" s="11">
        <v>45972.305555555555</v>
      </c>
      <c r="E799" s="11">
        <v>45972.305555555555</v>
      </c>
      <c r="F799" s="11">
        <v>45972.706250000003</v>
      </c>
      <c r="G799" s="12">
        <v>0.40069444444816327</v>
      </c>
      <c r="H799" s="2" t="s">
        <v>343</v>
      </c>
      <c r="J799" s="2" t="s">
        <v>230</v>
      </c>
      <c r="K799" s="2" t="s">
        <v>230</v>
      </c>
      <c r="L799" s="2" t="s">
        <v>1831</v>
      </c>
      <c r="M799" t="s">
        <v>302</v>
      </c>
      <c r="N799" t="s">
        <v>345</v>
      </c>
      <c r="O799" t="s">
        <v>1832</v>
      </c>
      <c r="P799" t="s">
        <v>1835</v>
      </c>
      <c r="Q799" t="s">
        <v>1364</v>
      </c>
    </row>
    <row r="800" spans="1:17">
      <c r="A800" s="2" t="s">
        <v>773</v>
      </c>
      <c r="B800" s="2" t="s">
        <v>477</v>
      </c>
      <c r="C800" s="2" t="s">
        <v>488</v>
      </c>
      <c r="D800" s="11">
        <v>45972.305555555555</v>
      </c>
      <c r="E800" s="11">
        <v>45972.305555555555</v>
      </c>
      <c r="F800" s="11">
        <v>45972.706250000003</v>
      </c>
      <c r="G800" s="12">
        <v>0.40069444444816327</v>
      </c>
      <c r="H800" s="2" t="s">
        <v>343</v>
      </c>
      <c r="J800" s="2" t="s">
        <v>230</v>
      </c>
      <c r="K800" s="2" t="s">
        <v>230</v>
      </c>
      <c r="L800" s="2" t="s">
        <v>1831</v>
      </c>
      <c r="M800" t="s">
        <v>302</v>
      </c>
      <c r="N800" t="s">
        <v>345</v>
      </c>
      <c r="O800" t="s">
        <v>1832</v>
      </c>
      <c r="P800" t="s">
        <v>1836</v>
      </c>
      <c r="Q800" t="s">
        <v>1364</v>
      </c>
    </row>
    <row r="801" spans="1:17">
      <c r="A801" s="2" t="s">
        <v>773</v>
      </c>
      <c r="B801" s="2" t="s">
        <v>477</v>
      </c>
      <c r="C801" s="2" t="s">
        <v>492</v>
      </c>
      <c r="D801" s="11">
        <v>45972.305555555555</v>
      </c>
      <c r="E801" s="11">
        <v>45972.305555555555</v>
      </c>
      <c r="F801" s="11">
        <v>45972.706250000003</v>
      </c>
      <c r="G801" s="12">
        <v>0.40069444444816327</v>
      </c>
      <c r="H801" s="2" t="s">
        <v>343</v>
      </c>
      <c r="J801" s="2" t="s">
        <v>230</v>
      </c>
      <c r="K801" s="2" t="s">
        <v>230</v>
      </c>
      <c r="L801" s="2" t="s">
        <v>1831</v>
      </c>
      <c r="M801" t="s">
        <v>302</v>
      </c>
      <c r="N801" t="s">
        <v>345</v>
      </c>
      <c r="O801" t="s">
        <v>1832</v>
      </c>
      <c r="P801" t="s">
        <v>1837</v>
      </c>
      <c r="Q801" t="s">
        <v>1364</v>
      </c>
    </row>
    <row r="802" spans="1:17">
      <c r="A802" s="2" t="s">
        <v>773</v>
      </c>
      <c r="B802" s="2" t="s">
        <v>477</v>
      </c>
      <c r="C802" s="2" t="s">
        <v>490</v>
      </c>
      <c r="D802" s="11">
        <v>45972.305555555555</v>
      </c>
      <c r="E802" s="11">
        <v>45972.305555555555</v>
      </c>
      <c r="F802" s="11">
        <v>45972.706250000003</v>
      </c>
      <c r="G802" s="12">
        <v>0.40069444444816327</v>
      </c>
      <c r="H802" s="2" t="s">
        <v>343</v>
      </c>
      <c r="J802" s="2" t="s">
        <v>230</v>
      </c>
      <c r="K802" s="2" t="s">
        <v>230</v>
      </c>
      <c r="L802" s="2" t="s">
        <v>1831</v>
      </c>
      <c r="M802" t="s">
        <v>302</v>
      </c>
      <c r="N802" t="s">
        <v>345</v>
      </c>
      <c r="O802" t="s">
        <v>1832</v>
      </c>
      <c r="P802" t="s">
        <v>1838</v>
      </c>
      <c r="Q802" t="s">
        <v>1364</v>
      </c>
    </row>
    <row r="803" spans="1:17">
      <c r="A803" s="2" t="s">
        <v>773</v>
      </c>
      <c r="B803" s="2" t="s">
        <v>477</v>
      </c>
      <c r="C803" s="2" t="s">
        <v>978</v>
      </c>
      <c r="D803" s="11">
        <v>45972.305555555555</v>
      </c>
      <c r="E803" s="11">
        <v>45972.305555555555</v>
      </c>
      <c r="F803" s="11">
        <v>45972.706250000003</v>
      </c>
      <c r="G803" s="12">
        <v>0.40069444444816327</v>
      </c>
      <c r="H803" s="2" t="s">
        <v>343</v>
      </c>
      <c r="J803" s="2" t="s">
        <v>230</v>
      </c>
      <c r="K803" s="2" t="s">
        <v>230</v>
      </c>
      <c r="L803" s="2" t="s">
        <v>1831</v>
      </c>
      <c r="M803" t="s">
        <v>302</v>
      </c>
      <c r="N803" t="s">
        <v>345</v>
      </c>
      <c r="O803" t="s">
        <v>1832</v>
      </c>
      <c r="P803" t="s">
        <v>1839</v>
      </c>
      <c r="Q803" t="s">
        <v>1364</v>
      </c>
    </row>
    <row r="804" spans="1:17">
      <c r="A804" s="2" t="s">
        <v>1126</v>
      </c>
      <c r="B804" s="2" t="s">
        <v>493</v>
      </c>
      <c r="C804" s="2" t="s">
        <v>494</v>
      </c>
      <c r="D804" s="11">
        <v>45972.470833333333</v>
      </c>
      <c r="E804" s="11">
        <v>45972.470833333333</v>
      </c>
      <c r="F804" s="11">
        <v>45972.690972222219</v>
      </c>
      <c r="G804" s="12">
        <v>0.22013888888614019</v>
      </c>
      <c r="H804" s="2" t="s">
        <v>260</v>
      </c>
      <c r="I804" s="2" t="s">
        <v>261</v>
      </c>
      <c r="J804" s="2" t="s">
        <v>262</v>
      </c>
      <c r="K804" s="2" t="s">
        <v>263</v>
      </c>
      <c r="L804" s="2" t="s">
        <v>1840</v>
      </c>
      <c r="M804" t="s">
        <v>265</v>
      </c>
      <c r="N804" t="s">
        <v>266</v>
      </c>
      <c r="O804" t="s">
        <v>1841</v>
      </c>
      <c r="P804" t="s">
        <v>1842</v>
      </c>
      <c r="Q804" t="s">
        <v>1401</v>
      </c>
    </row>
    <row r="805" spans="1:17">
      <c r="A805" s="2" t="s">
        <v>1126</v>
      </c>
      <c r="B805" s="2" t="s">
        <v>493</v>
      </c>
      <c r="C805" s="2" t="s">
        <v>497</v>
      </c>
      <c r="D805" s="11">
        <v>45972.470833333333</v>
      </c>
      <c r="E805" s="11">
        <v>45972.470833333333</v>
      </c>
      <c r="F805" s="11">
        <v>45972.690972222219</v>
      </c>
      <c r="G805" s="12">
        <v>0.22013888888614019</v>
      </c>
      <c r="H805" s="2" t="s">
        <v>260</v>
      </c>
      <c r="I805" s="2" t="s">
        <v>261</v>
      </c>
      <c r="J805" s="2" t="s">
        <v>262</v>
      </c>
      <c r="K805" s="2" t="s">
        <v>263</v>
      </c>
      <c r="L805" s="2" t="s">
        <v>1840</v>
      </c>
      <c r="M805" t="s">
        <v>265</v>
      </c>
      <c r="N805" t="s">
        <v>266</v>
      </c>
      <c r="O805" t="s">
        <v>1841</v>
      </c>
      <c r="P805" t="s">
        <v>1843</v>
      </c>
      <c r="Q805" t="s">
        <v>1401</v>
      </c>
    </row>
    <row r="806" spans="1:17">
      <c r="A806" s="2" t="s">
        <v>1126</v>
      </c>
      <c r="B806" s="2" t="s">
        <v>493</v>
      </c>
      <c r="C806" s="2" t="s">
        <v>498</v>
      </c>
      <c r="D806" s="11">
        <v>45972.470833333333</v>
      </c>
      <c r="E806" s="11">
        <v>45972.470833333333</v>
      </c>
      <c r="F806" s="11">
        <v>45972.690972222219</v>
      </c>
      <c r="G806" s="12">
        <v>0.22013888888614019</v>
      </c>
      <c r="H806" s="2" t="s">
        <v>260</v>
      </c>
      <c r="I806" s="2" t="s">
        <v>261</v>
      </c>
      <c r="J806" s="2" t="s">
        <v>262</v>
      </c>
      <c r="K806" s="2" t="s">
        <v>263</v>
      </c>
      <c r="L806" s="2" t="s">
        <v>1840</v>
      </c>
      <c r="M806" t="s">
        <v>265</v>
      </c>
      <c r="N806" t="s">
        <v>266</v>
      </c>
      <c r="O806" t="s">
        <v>1841</v>
      </c>
      <c r="P806" t="s">
        <v>1844</v>
      </c>
      <c r="Q806" t="s">
        <v>1401</v>
      </c>
    </row>
    <row r="807" spans="1:17">
      <c r="A807" s="2" t="s">
        <v>1126</v>
      </c>
      <c r="B807" s="2" t="s">
        <v>493</v>
      </c>
      <c r="C807" s="2" t="s">
        <v>499</v>
      </c>
      <c r="D807" s="11">
        <v>45972.470833333333</v>
      </c>
      <c r="E807" s="11">
        <v>45972.470833333333</v>
      </c>
      <c r="F807" s="11">
        <v>45972.690972222219</v>
      </c>
      <c r="G807" s="12">
        <v>0.22013888888614019</v>
      </c>
      <c r="H807" s="2" t="s">
        <v>260</v>
      </c>
      <c r="I807" s="2" t="s">
        <v>261</v>
      </c>
      <c r="J807" s="2" t="s">
        <v>262</v>
      </c>
      <c r="K807" s="2" t="s">
        <v>263</v>
      </c>
      <c r="L807" s="2" t="s">
        <v>1840</v>
      </c>
      <c r="M807" t="s">
        <v>265</v>
      </c>
      <c r="N807" t="s">
        <v>266</v>
      </c>
      <c r="O807" t="s">
        <v>1841</v>
      </c>
      <c r="P807" t="s">
        <v>1845</v>
      </c>
      <c r="Q807" t="s">
        <v>1401</v>
      </c>
    </row>
    <row r="808" spans="1:17">
      <c r="A808" s="2" t="s">
        <v>771</v>
      </c>
      <c r="B808" s="2" t="s">
        <v>477</v>
      </c>
      <c r="C808" s="2" t="s">
        <v>634</v>
      </c>
      <c r="D808" s="11">
        <v>45972.611805555556</v>
      </c>
      <c r="E808" s="11">
        <v>45972.611805555556</v>
      </c>
      <c r="F808" s="11">
        <v>45973.246527777781</v>
      </c>
      <c r="G808" s="12">
        <v>0.63472222222480923</v>
      </c>
      <c r="H808" s="2" t="s">
        <v>260</v>
      </c>
      <c r="I808" s="2" t="s">
        <v>261</v>
      </c>
      <c r="J808" s="2" t="s">
        <v>262</v>
      </c>
      <c r="K808" s="2" t="s">
        <v>263</v>
      </c>
      <c r="L808" s="2" t="s">
        <v>1846</v>
      </c>
      <c r="M808" t="s">
        <v>265</v>
      </c>
      <c r="N808" t="s">
        <v>1847</v>
      </c>
      <c r="O808" t="s">
        <v>1848</v>
      </c>
      <c r="P808" t="s">
        <v>1849</v>
      </c>
      <c r="Q808" t="s">
        <v>1401</v>
      </c>
    </row>
    <row r="809" spans="1:17">
      <c r="A809" s="2" t="s">
        <v>773</v>
      </c>
      <c r="B809" s="2" t="s">
        <v>477</v>
      </c>
      <c r="C809" s="2" t="s">
        <v>628</v>
      </c>
      <c r="D809" s="11">
        <v>45972.611805555556</v>
      </c>
      <c r="E809" s="11">
        <v>45972.611805555556</v>
      </c>
      <c r="F809" s="11">
        <v>45973.246527777781</v>
      </c>
      <c r="G809" s="12">
        <v>0.63472222222480923</v>
      </c>
      <c r="H809" s="2" t="s">
        <v>260</v>
      </c>
      <c r="I809" s="2" t="s">
        <v>261</v>
      </c>
      <c r="J809" s="2" t="s">
        <v>262</v>
      </c>
      <c r="K809" s="2" t="s">
        <v>263</v>
      </c>
      <c r="L809" s="2" t="s">
        <v>1846</v>
      </c>
      <c r="M809" t="s">
        <v>265</v>
      </c>
      <c r="N809" t="s">
        <v>1847</v>
      </c>
      <c r="O809" t="s">
        <v>1848</v>
      </c>
      <c r="P809" t="s">
        <v>1850</v>
      </c>
      <c r="Q809" t="s">
        <v>1401</v>
      </c>
    </row>
    <row r="810" spans="1:17">
      <c r="A810" s="2" t="s">
        <v>773</v>
      </c>
      <c r="B810" s="2" t="s">
        <v>477</v>
      </c>
      <c r="C810" s="2" t="s">
        <v>491</v>
      </c>
      <c r="D810" s="11">
        <v>45972.611805555556</v>
      </c>
      <c r="E810" s="11">
        <v>45972.611805555556</v>
      </c>
      <c r="F810" s="11">
        <v>45973.246527777781</v>
      </c>
      <c r="G810" s="12">
        <v>0.63472222222480923</v>
      </c>
      <c r="H810" s="2" t="s">
        <v>260</v>
      </c>
      <c r="I810" s="2" t="s">
        <v>261</v>
      </c>
      <c r="J810" s="2" t="s">
        <v>262</v>
      </c>
      <c r="K810" s="2" t="s">
        <v>263</v>
      </c>
      <c r="L810" s="2" t="s">
        <v>1846</v>
      </c>
      <c r="M810" t="s">
        <v>265</v>
      </c>
      <c r="N810" t="s">
        <v>1847</v>
      </c>
      <c r="O810" t="s">
        <v>1848</v>
      </c>
      <c r="P810" t="s">
        <v>1851</v>
      </c>
      <c r="Q810" t="s">
        <v>1401</v>
      </c>
    </row>
    <row r="811" spans="1:17">
      <c r="A811" s="2" t="s">
        <v>773</v>
      </c>
      <c r="B811" s="2" t="s">
        <v>477</v>
      </c>
      <c r="C811" s="2" t="s">
        <v>488</v>
      </c>
      <c r="D811" s="11">
        <v>45972.611805555556</v>
      </c>
      <c r="E811" s="11">
        <v>45972.611805555556</v>
      </c>
      <c r="F811" s="11">
        <v>45973.246527777781</v>
      </c>
      <c r="G811" s="12">
        <v>0.63472222222480923</v>
      </c>
      <c r="H811" s="2" t="s">
        <v>260</v>
      </c>
      <c r="I811" s="2" t="s">
        <v>261</v>
      </c>
      <c r="J811" s="2" t="s">
        <v>262</v>
      </c>
      <c r="K811" s="2" t="s">
        <v>263</v>
      </c>
      <c r="L811" s="2" t="s">
        <v>1846</v>
      </c>
      <c r="M811" t="s">
        <v>265</v>
      </c>
      <c r="N811" t="s">
        <v>1847</v>
      </c>
      <c r="O811" t="s">
        <v>1848</v>
      </c>
      <c r="P811" t="s">
        <v>1852</v>
      </c>
      <c r="Q811" t="s">
        <v>1401</v>
      </c>
    </row>
    <row r="812" spans="1:17">
      <c r="A812" s="2" t="s">
        <v>773</v>
      </c>
      <c r="B812" s="2" t="s">
        <v>477</v>
      </c>
      <c r="C812" s="2" t="s">
        <v>492</v>
      </c>
      <c r="D812" s="11">
        <v>45972.611805555556</v>
      </c>
      <c r="E812" s="11">
        <v>45972.611805555556</v>
      </c>
      <c r="F812" s="11">
        <v>45973.246527777781</v>
      </c>
      <c r="G812" s="12">
        <v>0.63472222222480923</v>
      </c>
      <c r="H812" s="2" t="s">
        <v>260</v>
      </c>
      <c r="I812" s="2" t="s">
        <v>261</v>
      </c>
      <c r="J812" s="2" t="s">
        <v>262</v>
      </c>
      <c r="K812" s="2" t="s">
        <v>263</v>
      </c>
      <c r="L812" s="2" t="s">
        <v>1846</v>
      </c>
      <c r="M812" t="s">
        <v>265</v>
      </c>
      <c r="N812" t="s">
        <v>1847</v>
      </c>
      <c r="O812" t="s">
        <v>1848</v>
      </c>
      <c r="P812" t="s">
        <v>1853</v>
      </c>
      <c r="Q812" t="s">
        <v>1401</v>
      </c>
    </row>
    <row r="813" spans="1:17">
      <c r="A813" s="2" t="s">
        <v>773</v>
      </c>
      <c r="B813" s="2" t="s">
        <v>477</v>
      </c>
      <c r="C813" s="2" t="s">
        <v>490</v>
      </c>
      <c r="D813" s="11">
        <v>45972.611805555556</v>
      </c>
      <c r="E813" s="11">
        <v>45972.611805555556</v>
      </c>
      <c r="F813" s="11">
        <v>45973.246527777781</v>
      </c>
      <c r="G813" s="12">
        <v>0.63472222222480923</v>
      </c>
      <c r="H813" s="2" t="s">
        <v>260</v>
      </c>
      <c r="I813" s="2" t="s">
        <v>261</v>
      </c>
      <c r="J813" s="2" t="s">
        <v>262</v>
      </c>
      <c r="K813" s="2" t="s">
        <v>263</v>
      </c>
      <c r="L813" s="2" t="s">
        <v>1846</v>
      </c>
      <c r="M813" t="s">
        <v>265</v>
      </c>
      <c r="N813" t="s">
        <v>1847</v>
      </c>
      <c r="O813" t="s">
        <v>1848</v>
      </c>
      <c r="P813" t="s">
        <v>1854</v>
      </c>
      <c r="Q813" t="s">
        <v>1401</v>
      </c>
    </row>
    <row r="814" spans="1:17">
      <c r="A814" s="2" t="s">
        <v>773</v>
      </c>
      <c r="B814" s="2" t="s">
        <v>477</v>
      </c>
      <c r="C814" s="2" t="s">
        <v>978</v>
      </c>
      <c r="D814" s="11">
        <v>45972.611805555556</v>
      </c>
      <c r="E814" s="11">
        <v>45972.611805555556</v>
      </c>
      <c r="F814" s="11">
        <v>45973.246527777781</v>
      </c>
      <c r="G814" s="12">
        <v>0.63472222222480923</v>
      </c>
      <c r="H814" s="2" t="s">
        <v>260</v>
      </c>
      <c r="I814" s="2" t="s">
        <v>261</v>
      </c>
      <c r="J814" s="2" t="s">
        <v>262</v>
      </c>
      <c r="K814" s="2" t="s">
        <v>263</v>
      </c>
      <c r="L814" s="2" t="s">
        <v>1846</v>
      </c>
      <c r="M814" t="s">
        <v>265</v>
      </c>
      <c r="N814" t="s">
        <v>1847</v>
      </c>
      <c r="O814" t="s">
        <v>1848</v>
      </c>
      <c r="P814" t="s">
        <v>1855</v>
      </c>
      <c r="Q814" t="s">
        <v>1401</v>
      </c>
    </row>
    <row r="815" spans="1:17">
      <c r="A815" s="2" t="s">
        <v>782</v>
      </c>
      <c r="B815" s="2" t="s">
        <v>477</v>
      </c>
      <c r="C815" s="2" t="s">
        <v>489</v>
      </c>
      <c r="D815" s="11">
        <v>45972.611805555556</v>
      </c>
      <c r="E815" s="11">
        <v>45972.611805555556</v>
      </c>
      <c r="F815" s="11">
        <v>45973.246527777781</v>
      </c>
      <c r="G815" s="12">
        <v>0.63472222222480923</v>
      </c>
      <c r="H815" s="2" t="s">
        <v>260</v>
      </c>
      <c r="I815" s="2" t="s">
        <v>261</v>
      </c>
      <c r="J815" s="2" t="s">
        <v>262</v>
      </c>
      <c r="K815" s="2" t="s">
        <v>263</v>
      </c>
      <c r="L815" s="2" t="s">
        <v>1846</v>
      </c>
      <c r="M815" t="s">
        <v>265</v>
      </c>
      <c r="N815" t="s">
        <v>1847</v>
      </c>
      <c r="O815" t="s">
        <v>1848</v>
      </c>
      <c r="P815" t="s">
        <v>1856</v>
      </c>
      <c r="Q815" t="s">
        <v>1401</v>
      </c>
    </row>
    <row r="816" spans="1:17">
      <c r="A816" s="2" t="s">
        <v>782</v>
      </c>
      <c r="B816" s="2" t="s">
        <v>477</v>
      </c>
      <c r="C816" s="2" t="s">
        <v>713</v>
      </c>
      <c r="D816" s="11">
        <v>45972.611805555556</v>
      </c>
      <c r="E816" s="11">
        <v>45972.611805555556</v>
      </c>
      <c r="F816" s="11">
        <v>45973.246527777781</v>
      </c>
      <c r="G816" s="12">
        <v>0.63472222222480923</v>
      </c>
      <c r="H816" s="2" t="s">
        <v>260</v>
      </c>
      <c r="I816" s="2" t="s">
        <v>261</v>
      </c>
      <c r="J816" s="2" t="s">
        <v>262</v>
      </c>
      <c r="K816" s="2" t="s">
        <v>263</v>
      </c>
      <c r="L816" s="2" t="s">
        <v>1846</v>
      </c>
      <c r="M816" t="s">
        <v>265</v>
      </c>
      <c r="N816" t="s">
        <v>1847</v>
      </c>
      <c r="O816" t="s">
        <v>1848</v>
      </c>
      <c r="P816" t="s">
        <v>1857</v>
      </c>
      <c r="Q816" t="s">
        <v>1401</v>
      </c>
    </row>
    <row r="817" spans="1:17">
      <c r="A817" s="2" t="s">
        <v>782</v>
      </c>
      <c r="B817" s="2" t="s">
        <v>477</v>
      </c>
      <c r="C817" s="2" t="s">
        <v>486</v>
      </c>
      <c r="D817" s="11">
        <v>45972.611805555556</v>
      </c>
      <c r="E817" s="11">
        <v>45972.611805555556</v>
      </c>
      <c r="F817" s="11">
        <v>45973.246527777781</v>
      </c>
      <c r="G817" s="12">
        <v>0.63472222222480923</v>
      </c>
      <c r="H817" s="2" t="s">
        <v>260</v>
      </c>
      <c r="I817" s="2" t="s">
        <v>261</v>
      </c>
      <c r="J817" s="2" t="s">
        <v>262</v>
      </c>
      <c r="K817" s="2" t="s">
        <v>263</v>
      </c>
      <c r="L817" s="2" t="s">
        <v>1846</v>
      </c>
      <c r="M817" t="s">
        <v>265</v>
      </c>
      <c r="N817" t="s">
        <v>1847</v>
      </c>
      <c r="O817" t="s">
        <v>1848</v>
      </c>
      <c r="P817" t="s">
        <v>1858</v>
      </c>
      <c r="Q817" t="s">
        <v>1401</v>
      </c>
    </row>
    <row r="818" spans="1:17">
      <c r="A818" s="2" t="s">
        <v>782</v>
      </c>
      <c r="B818" s="2" t="s">
        <v>477</v>
      </c>
      <c r="C818" s="2" t="s">
        <v>478</v>
      </c>
      <c r="D818" s="11">
        <v>45972.611805555556</v>
      </c>
      <c r="E818" s="11">
        <v>45972.611805555556</v>
      </c>
      <c r="F818" s="11">
        <v>45973.246527777781</v>
      </c>
      <c r="G818" s="12">
        <v>0.63472222222480923</v>
      </c>
      <c r="H818" s="2" t="s">
        <v>260</v>
      </c>
      <c r="I818" s="2" t="s">
        <v>261</v>
      </c>
      <c r="J818" s="2" t="s">
        <v>262</v>
      </c>
      <c r="K818" s="2" t="s">
        <v>263</v>
      </c>
      <c r="L818" s="2" t="s">
        <v>1846</v>
      </c>
      <c r="M818" t="s">
        <v>265</v>
      </c>
      <c r="N818" t="s">
        <v>1847</v>
      </c>
      <c r="O818" t="s">
        <v>1848</v>
      </c>
      <c r="P818" t="s">
        <v>1859</v>
      </c>
      <c r="Q818" t="s">
        <v>1401</v>
      </c>
    </row>
    <row r="819" spans="1:17">
      <c r="A819" s="2" t="s">
        <v>782</v>
      </c>
      <c r="B819" s="2" t="s">
        <v>477</v>
      </c>
      <c r="C819" s="2" t="s">
        <v>632</v>
      </c>
      <c r="D819" s="11">
        <v>45972.611805555556</v>
      </c>
      <c r="E819" s="11">
        <v>45972.611805555556</v>
      </c>
      <c r="F819" s="11">
        <v>45973.246527777781</v>
      </c>
      <c r="G819" s="12">
        <v>0.63472222222480923</v>
      </c>
      <c r="H819" s="2" t="s">
        <v>260</v>
      </c>
      <c r="I819" s="2" t="s">
        <v>261</v>
      </c>
      <c r="J819" s="2" t="s">
        <v>262</v>
      </c>
      <c r="K819" s="2" t="s">
        <v>263</v>
      </c>
      <c r="L819" s="2" t="s">
        <v>1846</v>
      </c>
      <c r="M819" t="s">
        <v>265</v>
      </c>
      <c r="N819" t="s">
        <v>1847</v>
      </c>
      <c r="O819" t="s">
        <v>1848</v>
      </c>
      <c r="P819" t="s">
        <v>1860</v>
      </c>
      <c r="Q819" t="s">
        <v>1401</v>
      </c>
    </row>
    <row r="820" spans="1:17">
      <c r="A820" s="2" t="s">
        <v>782</v>
      </c>
      <c r="B820" s="2" t="s">
        <v>477</v>
      </c>
      <c r="C820" s="2" t="s">
        <v>629</v>
      </c>
      <c r="D820" s="11">
        <v>45972.611805555556</v>
      </c>
      <c r="E820" s="11">
        <v>45972.611805555556</v>
      </c>
      <c r="F820" s="11">
        <v>45973.246527777781</v>
      </c>
      <c r="G820" s="12">
        <v>0.63472222222480923</v>
      </c>
      <c r="H820" s="2" t="s">
        <v>260</v>
      </c>
      <c r="I820" s="2" t="s">
        <v>261</v>
      </c>
      <c r="J820" s="2" t="s">
        <v>262</v>
      </c>
      <c r="K820" s="2" t="s">
        <v>263</v>
      </c>
      <c r="L820" s="2" t="s">
        <v>1846</v>
      </c>
      <c r="M820" t="s">
        <v>265</v>
      </c>
      <c r="N820" t="s">
        <v>1847</v>
      </c>
      <c r="O820" t="s">
        <v>1848</v>
      </c>
      <c r="P820" t="s">
        <v>1861</v>
      </c>
      <c r="Q820" t="s">
        <v>1401</v>
      </c>
    </row>
    <row r="821" spans="1:17">
      <c r="A821" s="2" t="s">
        <v>782</v>
      </c>
      <c r="B821" s="2" t="s">
        <v>477</v>
      </c>
      <c r="C821" s="2" t="s">
        <v>631</v>
      </c>
      <c r="D821" s="11">
        <v>45972.611805555556</v>
      </c>
      <c r="E821" s="11">
        <v>45972.611805555556</v>
      </c>
      <c r="F821" s="11">
        <v>45973.246527777781</v>
      </c>
      <c r="G821" s="12">
        <v>0.63472222222480923</v>
      </c>
      <c r="H821" s="2" t="s">
        <v>260</v>
      </c>
      <c r="I821" s="2" t="s">
        <v>261</v>
      </c>
      <c r="J821" s="2" t="s">
        <v>262</v>
      </c>
      <c r="K821" s="2" t="s">
        <v>263</v>
      </c>
      <c r="L821" s="2" t="s">
        <v>1846</v>
      </c>
      <c r="M821" t="s">
        <v>265</v>
      </c>
      <c r="N821" t="s">
        <v>1847</v>
      </c>
      <c r="O821" t="s">
        <v>1848</v>
      </c>
      <c r="P821" t="s">
        <v>1862</v>
      </c>
      <c r="Q821" t="s">
        <v>1401</v>
      </c>
    </row>
    <row r="822" spans="1:17">
      <c r="A822" s="2" t="s">
        <v>782</v>
      </c>
      <c r="B822" s="2" t="s">
        <v>477</v>
      </c>
      <c r="C822" s="2" t="s">
        <v>635</v>
      </c>
      <c r="D822" s="11">
        <v>45972.611805555556</v>
      </c>
      <c r="E822" s="11">
        <v>45972.611805555556</v>
      </c>
      <c r="F822" s="11">
        <v>45973.246527777781</v>
      </c>
      <c r="G822" s="12">
        <v>0.63472222222480923</v>
      </c>
      <c r="H822" s="2" t="s">
        <v>260</v>
      </c>
      <c r="I822" s="2" t="s">
        <v>261</v>
      </c>
      <c r="J822" s="2" t="s">
        <v>262</v>
      </c>
      <c r="K822" s="2" t="s">
        <v>263</v>
      </c>
      <c r="L822" s="2" t="s">
        <v>1846</v>
      </c>
      <c r="M822" t="s">
        <v>265</v>
      </c>
      <c r="N822" t="s">
        <v>1847</v>
      </c>
      <c r="O822" t="s">
        <v>1848</v>
      </c>
      <c r="P822" t="s">
        <v>1863</v>
      </c>
      <c r="Q822" t="s">
        <v>1401</v>
      </c>
    </row>
    <row r="823" spans="1:17">
      <c r="A823" s="2" t="s">
        <v>782</v>
      </c>
      <c r="B823" s="2" t="s">
        <v>477</v>
      </c>
      <c r="C823" s="2" t="s">
        <v>487</v>
      </c>
      <c r="D823" s="11">
        <v>45972.611805555556</v>
      </c>
      <c r="E823" s="11">
        <v>45972.611805555556</v>
      </c>
      <c r="F823" s="11">
        <v>45973.246527777781</v>
      </c>
      <c r="G823" s="12">
        <v>0.63472222222480923</v>
      </c>
      <c r="H823" s="2" t="s">
        <v>260</v>
      </c>
      <c r="I823" s="2" t="s">
        <v>261</v>
      </c>
      <c r="J823" s="2" t="s">
        <v>262</v>
      </c>
      <c r="K823" s="2" t="s">
        <v>263</v>
      </c>
      <c r="L823" s="2" t="s">
        <v>1846</v>
      </c>
      <c r="M823" t="s">
        <v>265</v>
      </c>
      <c r="N823" t="s">
        <v>1847</v>
      </c>
      <c r="O823" t="s">
        <v>1848</v>
      </c>
      <c r="P823" t="s">
        <v>1864</v>
      </c>
      <c r="Q823" t="s">
        <v>1401</v>
      </c>
    </row>
    <row r="824" spans="1:17">
      <c r="A824" s="2" t="s">
        <v>782</v>
      </c>
      <c r="B824" s="2" t="s">
        <v>477</v>
      </c>
      <c r="C824" s="2" t="s">
        <v>627</v>
      </c>
      <c r="D824" s="11">
        <v>45972.611805555556</v>
      </c>
      <c r="E824" s="11">
        <v>45972.611805555556</v>
      </c>
      <c r="F824" s="11">
        <v>45973.246527777781</v>
      </c>
      <c r="G824" s="12">
        <v>0.63472222222480923</v>
      </c>
      <c r="H824" s="2" t="s">
        <v>260</v>
      </c>
      <c r="I824" s="2" t="s">
        <v>261</v>
      </c>
      <c r="J824" s="2" t="s">
        <v>262</v>
      </c>
      <c r="K824" s="2" t="s">
        <v>263</v>
      </c>
      <c r="L824" s="2" t="s">
        <v>1846</v>
      </c>
      <c r="M824" t="s">
        <v>265</v>
      </c>
      <c r="N824" t="s">
        <v>1847</v>
      </c>
      <c r="O824" t="s">
        <v>1848</v>
      </c>
      <c r="P824" t="s">
        <v>1865</v>
      </c>
      <c r="Q824" t="s">
        <v>1401</v>
      </c>
    </row>
    <row r="825" spans="1:17">
      <c r="A825" s="2" t="s">
        <v>1866</v>
      </c>
      <c r="B825" s="2" t="s">
        <v>610</v>
      </c>
      <c r="C825" s="2" t="s">
        <v>1867</v>
      </c>
      <c r="D825" s="11">
        <v>45972.611805555556</v>
      </c>
      <c r="E825" s="11">
        <v>45972.611805555556</v>
      </c>
      <c r="F825" s="11">
        <v>45973.246527777781</v>
      </c>
      <c r="G825" s="12">
        <v>0.63472222222480923</v>
      </c>
      <c r="H825" s="2" t="s">
        <v>260</v>
      </c>
      <c r="I825" s="2" t="s">
        <v>261</v>
      </c>
      <c r="J825" s="2" t="s">
        <v>262</v>
      </c>
      <c r="K825" s="2" t="s">
        <v>263</v>
      </c>
      <c r="L825" s="2" t="s">
        <v>1868</v>
      </c>
      <c r="M825" t="s">
        <v>265</v>
      </c>
      <c r="N825" t="s">
        <v>1847</v>
      </c>
      <c r="O825" t="s">
        <v>1848</v>
      </c>
      <c r="P825" t="s">
        <v>1869</v>
      </c>
      <c r="Q825" t="s">
        <v>1401</v>
      </c>
    </row>
    <row r="826" spans="1:17">
      <c r="A826" s="2" t="s">
        <v>1870</v>
      </c>
      <c r="B826" s="2" t="s">
        <v>610</v>
      </c>
      <c r="C826" s="2" t="s">
        <v>1871</v>
      </c>
      <c r="D826" s="11">
        <v>45972.611805555556</v>
      </c>
      <c r="E826" s="11">
        <v>45972.611805555556</v>
      </c>
      <c r="F826" s="11">
        <v>45973.246527777781</v>
      </c>
      <c r="G826" s="12">
        <v>0.63472222222480923</v>
      </c>
      <c r="H826" s="2" t="s">
        <v>260</v>
      </c>
      <c r="I826" s="2" t="s">
        <v>261</v>
      </c>
      <c r="J826" s="2" t="s">
        <v>262</v>
      </c>
      <c r="K826" s="2" t="s">
        <v>263</v>
      </c>
      <c r="L826" s="2" t="s">
        <v>1868</v>
      </c>
      <c r="M826" t="s">
        <v>265</v>
      </c>
      <c r="N826" t="s">
        <v>1847</v>
      </c>
      <c r="O826" t="s">
        <v>1848</v>
      </c>
      <c r="P826" t="s">
        <v>1872</v>
      </c>
      <c r="Q826" t="s">
        <v>1401</v>
      </c>
    </row>
    <row r="827" spans="1:17">
      <c r="A827" s="2" t="s">
        <v>1870</v>
      </c>
      <c r="B827" s="2" t="s">
        <v>610</v>
      </c>
      <c r="C827" s="2" t="s">
        <v>1873</v>
      </c>
      <c r="D827" s="11">
        <v>45972.611805555556</v>
      </c>
      <c r="E827" s="11">
        <v>45972.611805555556</v>
      </c>
      <c r="F827" s="11">
        <v>45973.246527777781</v>
      </c>
      <c r="G827" s="12">
        <v>0.63472222222480923</v>
      </c>
      <c r="H827" s="2" t="s">
        <v>260</v>
      </c>
      <c r="I827" s="2" t="s">
        <v>261</v>
      </c>
      <c r="J827" s="2" t="s">
        <v>262</v>
      </c>
      <c r="K827" s="2" t="s">
        <v>263</v>
      </c>
      <c r="L827" s="2" t="s">
        <v>1868</v>
      </c>
      <c r="M827" t="s">
        <v>265</v>
      </c>
      <c r="N827" t="s">
        <v>1847</v>
      </c>
      <c r="O827" t="s">
        <v>1848</v>
      </c>
      <c r="P827" t="s">
        <v>1874</v>
      </c>
      <c r="Q827" t="s">
        <v>1401</v>
      </c>
    </row>
    <row r="828" spans="1:17">
      <c r="A828" s="2" t="s">
        <v>1866</v>
      </c>
      <c r="B828" s="2" t="s">
        <v>610</v>
      </c>
      <c r="C828" s="2" t="s">
        <v>1875</v>
      </c>
      <c r="D828" s="11">
        <v>45972.611805555556</v>
      </c>
      <c r="E828" s="11">
        <v>45972.611805555556</v>
      </c>
      <c r="F828" s="11">
        <v>45973.246527777781</v>
      </c>
      <c r="G828" s="12">
        <v>0.63472222222480923</v>
      </c>
      <c r="H828" s="2" t="s">
        <v>260</v>
      </c>
      <c r="I828" s="2" t="s">
        <v>261</v>
      </c>
      <c r="J828" s="2" t="s">
        <v>262</v>
      </c>
      <c r="K828" s="2" t="s">
        <v>263</v>
      </c>
      <c r="L828" s="2" t="s">
        <v>1868</v>
      </c>
      <c r="M828" t="s">
        <v>265</v>
      </c>
      <c r="N828" t="s">
        <v>1847</v>
      </c>
      <c r="O828" t="s">
        <v>1848</v>
      </c>
      <c r="P828" t="s">
        <v>1876</v>
      </c>
      <c r="Q828" t="s">
        <v>1401</v>
      </c>
    </row>
    <row r="829" spans="1:17">
      <c r="A829" s="2" t="s">
        <v>327</v>
      </c>
      <c r="B829" s="2" t="s">
        <v>327</v>
      </c>
      <c r="C829" s="2" t="s">
        <v>328</v>
      </c>
      <c r="D829" s="11">
        <v>45972.742361111108</v>
      </c>
      <c r="E829" s="11">
        <v>45972.742361111108</v>
      </c>
      <c r="F829" s="11">
        <v>45972.763888888891</v>
      </c>
      <c r="G829" s="12">
        <v>2.1527777782466728E-2</v>
      </c>
      <c r="H829" s="2" t="s">
        <v>248</v>
      </c>
      <c r="J829" s="2" t="s">
        <v>249</v>
      </c>
      <c r="K829" s="2" t="s">
        <v>349</v>
      </c>
      <c r="L829" s="2" t="s">
        <v>1877</v>
      </c>
      <c r="M829" t="s">
        <v>251</v>
      </c>
      <c r="N829" t="s">
        <v>330</v>
      </c>
      <c r="O829" t="s">
        <v>331</v>
      </c>
      <c r="P829" t="s">
        <v>1878</v>
      </c>
      <c r="Q829" t="s">
        <v>966</v>
      </c>
    </row>
    <row r="830" spans="1:17">
      <c r="A830" s="2" t="s">
        <v>332</v>
      </c>
      <c r="B830" s="2" t="s">
        <v>332</v>
      </c>
      <c r="C830" s="2" t="s">
        <v>328</v>
      </c>
      <c r="D830" s="11">
        <v>45972.742361111108</v>
      </c>
      <c r="E830" s="11">
        <v>45972.742361111108</v>
      </c>
      <c r="F830" s="11">
        <v>45972.763888888891</v>
      </c>
      <c r="G830" s="12">
        <v>2.1527777782466728E-2</v>
      </c>
      <c r="H830" s="2" t="s">
        <v>248</v>
      </c>
      <c r="J830" s="2" t="s">
        <v>249</v>
      </c>
      <c r="K830" s="2" t="s">
        <v>349</v>
      </c>
      <c r="L830" s="2" t="s">
        <v>1877</v>
      </c>
      <c r="M830" t="s">
        <v>251</v>
      </c>
      <c r="N830" t="s">
        <v>330</v>
      </c>
      <c r="O830" t="s">
        <v>331</v>
      </c>
      <c r="P830" t="s">
        <v>1879</v>
      </c>
      <c r="Q830" t="s">
        <v>966</v>
      </c>
    </row>
    <row r="831" spans="1:17">
      <c r="A831" s="2" t="s">
        <v>333</v>
      </c>
      <c r="B831" s="2" t="s">
        <v>333</v>
      </c>
      <c r="C831" s="2" t="s">
        <v>328</v>
      </c>
      <c r="D831" s="11">
        <v>45972.742361111108</v>
      </c>
      <c r="E831" s="11">
        <v>45972.742361111108</v>
      </c>
      <c r="F831" s="11">
        <v>45972.763888888891</v>
      </c>
      <c r="G831" s="12">
        <v>2.1527777782466728E-2</v>
      </c>
      <c r="H831" s="2" t="s">
        <v>248</v>
      </c>
      <c r="J831" s="2" t="s">
        <v>249</v>
      </c>
      <c r="K831" s="2" t="s">
        <v>349</v>
      </c>
      <c r="L831" s="2" t="s">
        <v>1877</v>
      </c>
      <c r="M831" t="s">
        <v>251</v>
      </c>
      <c r="N831" t="s">
        <v>330</v>
      </c>
      <c r="O831" t="s">
        <v>331</v>
      </c>
      <c r="P831" t="s">
        <v>1880</v>
      </c>
      <c r="Q831" t="s">
        <v>966</v>
      </c>
    </row>
    <row r="832" spans="1:17">
      <c r="A832" s="2" t="s">
        <v>334</v>
      </c>
      <c r="B832" s="2" t="s">
        <v>334</v>
      </c>
      <c r="C832" s="2" t="s">
        <v>328</v>
      </c>
      <c r="D832" s="11">
        <v>45972.742361111108</v>
      </c>
      <c r="E832" s="11">
        <v>45972.742361111108</v>
      </c>
      <c r="F832" s="11">
        <v>45972.763888888891</v>
      </c>
      <c r="G832" s="12">
        <v>2.1527777782466728E-2</v>
      </c>
      <c r="H832" s="2" t="s">
        <v>248</v>
      </c>
      <c r="J832" s="2" t="s">
        <v>249</v>
      </c>
      <c r="K832" s="2" t="s">
        <v>349</v>
      </c>
      <c r="L832" s="2" t="s">
        <v>1877</v>
      </c>
      <c r="M832" t="s">
        <v>251</v>
      </c>
      <c r="N832" t="s">
        <v>330</v>
      </c>
      <c r="O832" t="s">
        <v>331</v>
      </c>
      <c r="P832" t="s">
        <v>1881</v>
      </c>
      <c r="Q832" t="s">
        <v>966</v>
      </c>
    </row>
    <row r="833" spans="1:17">
      <c r="A833" s="2" t="s">
        <v>335</v>
      </c>
      <c r="B833" s="2" t="s">
        <v>335</v>
      </c>
      <c r="C833" s="2" t="s">
        <v>328</v>
      </c>
      <c r="D833" s="11">
        <v>45972.742361111108</v>
      </c>
      <c r="E833" s="11">
        <v>45972.742361111108</v>
      </c>
      <c r="F833" s="11">
        <v>45972.763888888891</v>
      </c>
      <c r="G833" s="12">
        <v>2.1527777782466728E-2</v>
      </c>
      <c r="H833" s="2" t="s">
        <v>248</v>
      </c>
      <c r="J833" s="2" t="s">
        <v>249</v>
      </c>
      <c r="K833" s="2" t="s">
        <v>349</v>
      </c>
      <c r="L833" s="2" t="s">
        <v>1877</v>
      </c>
      <c r="M833" t="s">
        <v>251</v>
      </c>
      <c r="N833" t="s">
        <v>330</v>
      </c>
      <c r="O833" t="s">
        <v>331</v>
      </c>
      <c r="P833" t="s">
        <v>1882</v>
      </c>
      <c r="Q833" t="s">
        <v>966</v>
      </c>
    </row>
    <row r="834" spans="1:17">
      <c r="A834" s="2" t="s">
        <v>424</v>
      </c>
      <c r="B834" s="2" t="s">
        <v>424</v>
      </c>
      <c r="C834" s="2" t="s">
        <v>358</v>
      </c>
      <c r="D834" s="11">
        <v>45972.744444444441</v>
      </c>
      <c r="E834" s="11">
        <v>45972.744444444441</v>
      </c>
      <c r="F834" s="11">
        <v>45972.770833333336</v>
      </c>
      <c r="G834" s="12">
        <v>2.6388888894871343E-2</v>
      </c>
      <c r="H834" s="2" t="s">
        <v>343</v>
      </c>
      <c r="J834" s="2" t="s">
        <v>230</v>
      </c>
      <c r="K834" s="2" t="s">
        <v>230</v>
      </c>
      <c r="L834" s="2" t="s">
        <v>1883</v>
      </c>
      <c r="M834" t="s">
        <v>302</v>
      </c>
      <c r="N834" t="s">
        <v>345</v>
      </c>
      <c r="O834" t="s">
        <v>1884</v>
      </c>
      <c r="P834" t="s">
        <v>1885</v>
      </c>
      <c r="Q834" t="s">
        <v>1364</v>
      </c>
    </row>
    <row r="835" spans="1:17">
      <c r="A835" s="2" t="s">
        <v>424</v>
      </c>
      <c r="B835" s="2" t="s">
        <v>424</v>
      </c>
      <c r="C835" s="2" t="s">
        <v>357</v>
      </c>
      <c r="D835" s="11">
        <v>45972.744444444441</v>
      </c>
      <c r="E835" s="11">
        <v>45972.744444444441</v>
      </c>
      <c r="F835" s="11">
        <v>45972.770833333336</v>
      </c>
      <c r="G835" s="12">
        <v>2.6388888894871343E-2</v>
      </c>
      <c r="H835" s="2" t="s">
        <v>343</v>
      </c>
      <c r="J835" s="2" t="s">
        <v>230</v>
      </c>
      <c r="K835" s="2" t="s">
        <v>230</v>
      </c>
      <c r="L835" s="2" t="s">
        <v>1883</v>
      </c>
      <c r="M835" t="s">
        <v>302</v>
      </c>
      <c r="N835" t="s">
        <v>345</v>
      </c>
      <c r="O835" t="s">
        <v>1884</v>
      </c>
      <c r="P835" t="s">
        <v>1886</v>
      </c>
      <c r="Q835" t="s">
        <v>1364</v>
      </c>
    </row>
    <row r="836" spans="1:17">
      <c r="A836" s="2" t="s">
        <v>424</v>
      </c>
      <c r="B836" s="2" t="s">
        <v>424</v>
      </c>
      <c r="C836" s="2" t="s">
        <v>354</v>
      </c>
      <c r="D836" s="11">
        <v>45972.744444444441</v>
      </c>
      <c r="E836" s="11">
        <v>45972.744444444441</v>
      </c>
      <c r="F836" s="11">
        <v>45972.770833333336</v>
      </c>
      <c r="G836" s="12">
        <v>2.6388888894871343E-2</v>
      </c>
      <c r="H836" s="2" t="s">
        <v>343</v>
      </c>
      <c r="J836" s="2" t="s">
        <v>230</v>
      </c>
      <c r="K836" s="2" t="s">
        <v>230</v>
      </c>
      <c r="L836" s="2" t="s">
        <v>1883</v>
      </c>
      <c r="M836" t="s">
        <v>302</v>
      </c>
      <c r="N836" t="s">
        <v>345</v>
      </c>
      <c r="O836" t="s">
        <v>1884</v>
      </c>
      <c r="P836" t="s">
        <v>1887</v>
      </c>
      <c r="Q836" t="s">
        <v>1364</v>
      </c>
    </row>
    <row r="837" spans="1:17">
      <c r="A837" s="2" t="s">
        <v>424</v>
      </c>
      <c r="B837" s="2" t="s">
        <v>424</v>
      </c>
      <c r="C837" s="2" t="s">
        <v>328</v>
      </c>
      <c r="D837" s="11">
        <v>45972.744444444441</v>
      </c>
      <c r="E837" s="11">
        <v>45972.744444444441</v>
      </c>
      <c r="F837" s="11">
        <v>45972.770833333336</v>
      </c>
      <c r="G837" s="12">
        <v>2.6388888894871343E-2</v>
      </c>
      <c r="H837" s="2" t="s">
        <v>343</v>
      </c>
      <c r="J837" s="2" t="s">
        <v>230</v>
      </c>
      <c r="K837" s="2" t="s">
        <v>230</v>
      </c>
      <c r="L837" s="2" t="s">
        <v>1883</v>
      </c>
      <c r="M837" t="s">
        <v>302</v>
      </c>
      <c r="N837" t="s">
        <v>345</v>
      </c>
      <c r="O837" t="s">
        <v>1884</v>
      </c>
      <c r="P837" t="s">
        <v>1888</v>
      </c>
      <c r="Q837" t="s">
        <v>1364</v>
      </c>
    </row>
    <row r="838" spans="1:17">
      <c r="A838" s="2" t="s">
        <v>425</v>
      </c>
      <c r="B838" s="2" t="s">
        <v>425</v>
      </c>
      <c r="C838" s="2" t="s">
        <v>357</v>
      </c>
      <c r="D838" s="11">
        <v>45972.744444444441</v>
      </c>
      <c r="E838" s="11">
        <v>45972.744444444441</v>
      </c>
      <c r="F838" s="11">
        <v>45972.770833333336</v>
      </c>
      <c r="G838" s="12">
        <v>2.6388888894871343E-2</v>
      </c>
      <c r="H838" s="2" t="s">
        <v>343</v>
      </c>
      <c r="J838" s="2" t="s">
        <v>230</v>
      </c>
      <c r="K838" s="2" t="s">
        <v>230</v>
      </c>
      <c r="L838" s="2" t="s">
        <v>1883</v>
      </c>
      <c r="M838" t="s">
        <v>302</v>
      </c>
      <c r="N838" t="s">
        <v>345</v>
      </c>
      <c r="O838" t="s">
        <v>1884</v>
      </c>
      <c r="P838" t="s">
        <v>1889</v>
      </c>
      <c r="Q838" t="s">
        <v>1364</v>
      </c>
    </row>
    <row r="839" spans="1:17">
      <c r="A839" s="2" t="s">
        <v>425</v>
      </c>
      <c r="B839" s="2" t="s">
        <v>425</v>
      </c>
      <c r="C839" s="2" t="s">
        <v>354</v>
      </c>
      <c r="D839" s="11">
        <v>45972.744444444441</v>
      </c>
      <c r="E839" s="11">
        <v>45972.744444444441</v>
      </c>
      <c r="F839" s="11">
        <v>45972.770833333336</v>
      </c>
      <c r="G839" s="12">
        <v>2.6388888894871343E-2</v>
      </c>
      <c r="H839" s="2" t="s">
        <v>343</v>
      </c>
      <c r="J839" s="2" t="s">
        <v>230</v>
      </c>
      <c r="K839" s="2" t="s">
        <v>230</v>
      </c>
      <c r="L839" s="2" t="s">
        <v>1883</v>
      </c>
      <c r="M839" t="s">
        <v>302</v>
      </c>
      <c r="N839" t="s">
        <v>345</v>
      </c>
      <c r="O839" t="s">
        <v>1884</v>
      </c>
      <c r="P839" t="s">
        <v>1890</v>
      </c>
      <c r="Q839" t="s">
        <v>1364</v>
      </c>
    </row>
    <row r="840" spans="1:17">
      <c r="A840" s="2" t="s">
        <v>423</v>
      </c>
      <c r="B840" s="2" t="s">
        <v>423</v>
      </c>
      <c r="C840" s="2" t="s">
        <v>354</v>
      </c>
      <c r="D840" s="11">
        <v>45972.744444444441</v>
      </c>
      <c r="E840" s="11">
        <v>45972.744444444441</v>
      </c>
      <c r="F840" s="11">
        <v>45973.447916666664</v>
      </c>
      <c r="G840" s="12">
        <v>0.70347222222335404</v>
      </c>
      <c r="H840" s="2" t="s">
        <v>343</v>
      </c>
      <c r="J840" s="2" t="s">
        <v>230</v>
      </c>
      <c r="K840" s="2" t="s">
        <v>230</v>
      </c>
      <c r="L840" s="2" t="s">
        <v>1891</v>
      </c>
      <c r="M840" t="s">
        <v>302</v>
      </c>
      <c r="N840" t="s">
        <v>303</v>
      </c>
      <c r="O840" t="s">
        <v>1892</v>
      </c>
      <c r="P840" t="s">
        <v>1893</v>
      </c>
      <c r="Q840" t="s">
        <v>1364</v>
      </c>
    </row>
    <row r="841" spans="1:17">
      <c r="A841" s="2" t="s">
        <v>423</v>
      </c>
      <c r="B841" s="2" t="s">
        <v>423</v>
      </c>
      <c r="C841" s="2" t="s">
        <v>358</v>
      </c>
      <c r="D841" s="11">
        <v>45972.744444444441</v>
      </c>
      <c r="E841" s="11">
        <v>45972.744444444441</v>
      </c>
      <c r="F841" s="11">
        <v>45973.447916666664</v>
      </c>
      <c r="G841" s="12">
        <v>0.70347222222335404</v>
      </c>
      <c r="H841" s="2" t="s">
        <v>343</v>
      </c>
      <c r="J841" s="2" t="s">
        <v>230</v>
      </c>
      <c r="K841" s="2" t="s">
        <v>230</v>
      </c>
      <c r="L841" s="2" t="s">
        <v>1891</v>
      </c>
      <c r="M841" t="s">
        <v>302</v>
      </c>
      <c r="N841" t="s">
        <v>303</v>
      </c>
      <c r="O841" t="s">
        <v>1892</v>
      </c>
      <c r="P841" t="s">
        <v>1894</v>
      </c>
      <c r="Q841" t="s">
        <v>1364</v>
      </c>
    </row>
    <row r="842" spans="1:17">
      <c r="A842" s="2" t="s">
        <v>423</v>
      </c>
      <c r="B842" s="2" t="s">
        <v>423</v>
      </c>
      <c r="C842" s="2" t="s">
        <v>357</v>
      </c>
      <c r="D842" s="11">
        <v>45972.744444444441</v>
      </c>
      <c r="E842" s="11">
        <v>45972.744444444441</v>
      </c>
      <c r="F842" s="11">
        <v>45973.447916666664</v>
      </c>
      <c r="G842" s="12">
        <v>0.70347222222335404</v>
      </c>
      <c r="H842" s="2" t="s">
        <v>343</v>
      </c>
      <c r="J842" s="2" t="s">
        <v>230</v>
      </c>
      <c r="K842" s="2" t="s">
        <v>230</v>
      </c>
      <c r="L842" s="2" t="s">
        <v>1891</v>
      </c>
      <c r="M842" t="s">
        <v>302</v>
      </c>
      <c r="N842" t="s">
        <v>303</v>
      </c>
      <c r="O842" t="s">
        <v>1892</v>
      </c>
      <c r="P842" t="s">
        <v>1895</v>
      </c>
      <c r="Q842" t="s">
        <v>1364</v>
      </c>
    </row>
    <row r="843" spans="1:17">
      <c r="A843" s="2" t="s">
        <v>423</v>
      </c>
      <c r="B843" s="2" t="s">
        <v>423</v>
      </c>
      <c r="C843" s="2" t="s">
        <v>328</v>
      </c>
      <c r="D843" s="11">
        <v>45972.744444444441</v>
      </c>
      <c r="E843" s="11">
        <v>45972.744444444441</v>
      </c>
      <c r="F843" s="11">
        <v>45973.447916666664</v>
      </c>
      <c r="G843" s="12">
        <v>0.70347222222335404</v>
      </c>
      <c r="H843" s="2" t="s">
        <v>343</v>
      </c>
      <c r="J843" s="2" t="s">
        <v>230</v>
      </c>
      <c r="K843" s="2" t="s">
        <v>230</v>
      </c>
      <c r="L843" s="2" t="s">
        <v>1891</v>
      </c>
      <c r="M843" t="s">
        <v>302</v>
      </c>
      <c r="N843" t="s">
        <v>303</v>
      </c>
      <c r="O843" t="s">
        <v>1892</v>
      </c>
      <c r="P843" t="s">
        <v>1896</v>
      </c>
      <c r="Q843" t="s">
        <v>1364</v>
      </c>
    </row>
    <row r="844" spans="1:17">
      <c r="A844" s="2" t="s">
        <v>771</v>
      </c>
      <c r="B844" s="2" t="s">
        <v>477</v>
      </c>
      <c r="C844" s="2" t="s">
        <v>634</v>
      </c>
      <c r="D844" s="11">
        <v>45973.25</v>
      </c>
      <c r="E844" s="11">
        <v>45973.25</v>
      </c>
      <c r="F844" s="11">
        <v>45973.290277777778</v>
      </c>
      <c r="G844" s="12">
        <v>4.0277777778101154E-2</v>
      </c>
      <c r="H844" s="2" t="s">
        <v>248</v>
      </c>
      <c r="J844" s="2" t="s">
        <v>249</v>
      </c>
      <c r="K844" s="2" t="s">
        <v>349</v>
      </c>
      <c r="L844" s="2" t="s">
        <v>711</v>
      </c>
      <c r="M844" t="s">
        <v>251</v>
      </c>
      <c r="N844" t="s">
        <v>330</v>
      </c>
      <c r="O844" t="s">
        <v>331</v>
      </c>
      <c r="P844" t="s">
        <v>1897</v>
      </c>
      <c r="Q844" t="s">
        <v>966</v>
      </c>
    </row>
    <row r="845" spans="1:17">
      <c r="A845" s="2" t="s">
        <v>773</v>
      </c>
      <c r="B845" s="2" t="s">
        <v>477</v>
      </c>
      <c r="C845" s="2" t="s">
        <v>628</v>
      </c>
      <c r="D845" s="11">
        <v>45973.25</v>
      </c>
      <c r="E845" s="11">
        <v>45973.25</v>
      </c>
      <c r="F845" s="11">
        <v>45973.290277777778</v>
      </c>
      <c r="G845" s="12">
        <v>4.0277777778101154E-2</v>
      </c>
      <c r="H845" s="2" t="s">
        <v>248</v>
      </c>
      <c r="J845" s="2" t="s">
        <v>249</v>
      </c>
      <c r="K845" s="2" t="s">
        <v>349</v>
      </c>
      <c r="L845" s="2" t="s">
        <v>711</v>
      </c>
      <c r="M845" t="s">
        <v>251</v>
      </c>
      <c r="N845" t="s">
        <v>330</v>
      </c>
      <c r="O845" t="s">
        <v>331</v>
      </c>
      <c r="P845" t="s">
        <v>1898</v>
      </c>
      <c r="Q845" t="s">
        <v>966</v>
      </c>
    </row>
    <row r="846" spans="1:17">
      <c r="A846" s="2" t="s">
        <v>773</v>
      </c>
      <c r="B846" s="2" t="s">
        <v>477</v>
      </c>
      <c r="C846" s="2" t="s">
        <v>491</v>
      </c>
      <c r="D846" s="11">
        <v>45973.25</v>
      </c>
      <c r="E846" s="11">
        <v>45973.25</v>
      </c>
      <c r="F846" s="11">
        <v>45973.290277777778</v>
      </c>
      <c r="G846" s="12">
        <v>4.0277777778101154E-2</v>
      </c>
      <c r="H846" s="2" t="s">
        <v>248</v>
      </c>
      <c r="J846" s="2" t="s">
        <v>249</v>
      </c>
      <c r="K846" s="2" t="s">
        <v>349</v>
      </c>
      <c r="L846" s="2" t="s">
        <v>711</v>
      </c>
      <c r="M846" t="s">
        <v>251</v>
      </c>
      <c r="N846" t="s">
        <v>330</v>
      </c>
      <c r="O846" t="s">
        <v>331</v>
      </c>
      <c r="P846" t="s">
        <v>1899</v>
      </c>
      <c r="Q846" t="s">
        <v>966</v>
      </c>
    </row>
    <row r="847" spans="1:17">
      <c r="A847" s="2" t="s">
        <v>773</v>
      </c>
      <c r="B847" s="2" t="s">
        <v>477</v>
      </c>
      <c r="C847" s="2" t="s">
        <v>488</v>
      </c>
      <c r="D847" s="11">
        <v>45973.25</v>
      </c>
      <c r="E847" s="11">
        <v>45973.25</v>
      </c>
      <c r="F847" s="11">
        <v>45973.290277777778</v>
      </c>
      <c r="G847" s="12">
        <v>4.0277777778101154E-2</v>
      </c>
      <c r="H847" s="2" t="s">
        <v>248</v>
      </c>
      <c r="J847" s="2" t="s">
        <v>249</v>
      </c>
      <c r="K847" s="2" t="s">
        <v>349</v>
      </c>
      <c r="L847" s="2" t="s">
        <v>711</v>
      </c>
      <c r="M847" t="s">
        <v>251</v>
      </c>
      <c r="N847" t="s">
        <v>330</v>
      </c>
      <c r="O847" t="s">
        <v>331</v>
      </c>
      <c r="P847" t="s">
        <v>1900</v>
      </c>
      <c r="Q847" t="s">
        <v>966</v>
      </c>
    </row>
    <row r="848" spans="1:17">
      <c r="A848" s="2" t="s">
        <v>773</v>
      </c>
      <c r="B848" s="2" t="s">
        <v>477</v>
      </c>
      <c r="C848" s="2" t="s">
        <v>492</v>
      </c>
      <c r="D848" s="11">
        <v>45973.25</v>
      </c>
      <c r="E848" s="11">
        <v>45973.25</v>
      </c>
      <c r="F848" s="11">
        <v>45973.290277777778</v>
      </c>
      <c r="G848" s="12">
        <v>4.0277777778101154E-2</v>
      </c>
      <c r="H848" s="2" t="s">
        <v>248</v>
      </c>
      <c r="J848" s="2" t="s">
        <v>249</v>
      </c>
      <c r="K848" s="2" t="s">
        <v>349</v>
      </c>
      <c r="L848" s="2" t="s">
        <v>711</v>
      </c>
      <c r="M848" t="s">
        <v>251</v>
      </c>
      <c r="N848" t="s">
        <v>330</v>
      </c>
      <c r="O848" t="s">
        <v>331</v>
      </c>
      <c r="P848" t="s">
        <v>1901</v>
      </c>
      <c r="Q848" t="s">
        <v>966</v>
      </c>
    </row>
    <row r="849" spans="1:17">
      <c r="A849" s="2" t="s">
        <v>773</v>
      </c>
      <c r="B849" s="2" t="s">
        <v>477</v>
      </c>
      <c r="C849" s="2" t="s">
        <v>490</v>
      </c>
      <c r="D849" s="11">
        <v>45973.25</v>
      </c>
      <c r="E849" s="11">
        <v>45973.25</v>
      </c>
      <c r="F849" s="11">
        <v>45973.290277777778</v>
      </c>
      <c r="G849" s="12">
        <v>4.0277777778101154E-2</v>
      </c>
      <c r="H849" s="2" t="s">
        <v>248</v>
      </c>
      <c r="J849" s="2" t="s">
        <v>249</v>
      </c>
      <c r="K849" s="2" t="s">
        <v>349</v>
      </c>
      <c r="L849" s="2" t="s">
        <v>711</v>
      </c>
      <c r="M849" t="s">
        <v>251</v>
      </c>
      <c r="N849" t="s">
        <v>330</v>
      </c>
      <c r="O849" t="s">
        <v>331</v>
      </c>
      <c r="P849" t="s">
        <v>1902</v>
      </c>
      <c r="Q849" t="s">
        <v>966</v>
      </c>
    </row>
    <row r="850" spans="1:17">
      <c r="A850" s="2" t="s">
        <v>773</v>
      </c>
      <c r="B850" s="2" t="s">
        <v>477</v>
      </c>
      <c r="C850" s="2" t="s">
        <v>978</v>
      </c>
      <c r="D850" s="11">
        <v>45973.25</v>
      </c>
      <c r="E850" s="11">
        <v>45973.25</v>
      </c>
      <c r="F850" s="11">
        <v>45973.290277777778</v>
      </c>
      <c r="G850" s="12">
        <v>4.0277777778101154E-2</v>
      </c>
      <c r="H850" s="2" t="s">
        <v>248</v>
      </c>
      <c r="J850" s="2" t="s">
        <v>249</v>
      </c>
      <c r="K850" s="2" t="s">
        <v>349</v>
      </c>
      <c r="L850" s="2" t="s">
        <v>711</v>
      </c>
      <c r="M850" t="s">
        <v>251</v>
      </c>
      <c r="N850" t="s">
        <v>330</v>
      </c>
      <c r="O850" t="s">
        <v>331</v>
      </c>
      <c r="P850" t="s">
        <v>1903</v>
      </c>
      <c r="Q850" t="s">
        <v>966</v>
      </c>
    </row>
    <row r="851" spans="1:17">
      <c r="A851" s="2" t="s">
        <v>846</v>
      </c>
      <c r="B851" s="2" t="s">
        <v>602</v>
      </c>
      <c r="C851" s="2" t="s">
        <v>1303</v>
      </c>
      <c r="D851" s="11">
        <v>45973.250532407408</v>
      </c>
      <c r="E851" s="11">
        <v>45973.250532407408</v>
      </c>
      <c r="F851" s="11">
        <v>45973.274305555555</v>
      </c>
      <c r="G851" s="12">
        <v>2.3773148146574385E-2</v>
      </c>
      <c r="H851" s="2" t="s">
        <v>248</v>
      </c>
      <c r="J851" s="2" t="s">
        <v>300</v>
      </c>
      <c r="K851" s="2" t="s">
        <v>350</v>
      </c>
      <c r="L851" s="2" t="s">
        <v>1222</v>
      </c>
      <c r="M851" t="s">
        <v>375</v>
      </c>
      <c r="N851" t="s">
        <v>828</v>
      </c>
      <c r="P851" t="s">
        <v>1904</v>
      </c>
      <c r="Q851" t="s">
        <v>1224</v>
      </c>
    </row>
    <row r="852" spans="1:17">
      <c r="A852" s="2" t="s">
        <v>846</v>
      </c>
      <c r="B852" s="2" t="s">
        <v>602</v>
      </c>
      <c r="C852" s="2" t="s">
        <v>1221</v>
      </c>
      <c r="D852" s="11">
        <v>45973.256886574076</v>
      </c>
      <c r="E852" s="11">
        <v>45973.256886574076</v>
      </c>
      <c r="F852" s="11">
        <v>45973.263807870368</v>
      </c>
      <c r="G852" s="12">
        <v>6.9212962916935794E-3</v>
      </c>
      <c r="H852" s="2" t="s">
        <v>248</v>
      </c>
      <c r="J852" s="2" t="s">
        <v>300</v>
      </c>
      <c r="K852" s="2" t="s">
        <v>350</v>
      </c>
      <c r="L852" s="2" t="s">
        <v>1222</v>
      </c>
      <c r="M852" t="s">
        <v>375</v>
      </c>
      <c r="N852" t="s">
        <v>828</v>
      </c>
      <c r="P852" t="s">
        <v>1905</v>
      </c>
      <c r="Q852" t="s">
        <v>1224</v>
      </c>
    </row>
    <row r="853" spans="1:17">
      <c r="A853" s="2" t="s">
        <v>846</v>
      </c>
      <c r="B853" s="2" t="s">
        <v>602</v>
      </c>
      <c r="C853" s="2" t="s">
        <v>1305</v>
      </c>
      <c r="D853" s="11">
        <v>45973.257002314815</v>
      </c>
      <c r="E853" s="11">
        <v>45973.257002314815</v>
      </c>
      <c r="F853" s="11">
        <v>45973.263923611114</v>
      </c>
      <c r="G853" s="12">
        <v>6.921296298969537E-3</v>
      </c>
      <c r="H853" s="2" t="s">
        <v>248</v>
      </c>
      <c r="J853" s="2" t="s">
        <v>300</v>
      </c>
      <c r="K853" s="2" t="s">
        <v>350</v>
      </c>
      <c r="L853" s="2" t="s">
        <v>1222</v>
      </c>
      <c r="M853" t="s">
        <v>375</v>
      </c>
      <c r="N853" t="s">
        <v>828</v>
      </c>
      <c r="P853" t="s">
        <v>1906</v>
      </c>
      <c r="Q853" t="s">
        <v>1224</v>
      </c>
    </row>
    <row r="854" spans="1:17">
      <c r="A854" s="2" t="s">
        <v>846</v>
      </c>
      <c r="B854" s="2" t="s">
        <v>602</v>
      </c>
      <c r="C854" s="2" t="s">
        <v>1407</v>
      </c>
      <c r="D854" s="11">
        <v>45973.257025462961</v>
      </c>
      <c r="E854" s="11">
        <v>45973.257025462961</v>
      </c>
      <c r="F854" s="11">
        <v>45973.263981481483</v>
      </c>
      <c r="G854" s="12">
        <v>6.9560185220325366E-3</v>
      </c>
      <c r="H854" s="2" t="s">
        <v>248</v>
      </c>
      <c r="J854" s="2" t="s">
        <v>300</v>
      </c>
      <c r="K854" s="2" t="s">
        <v>350</v>
      </c>
      <c r="L854" s="2" t="s">
        <v>1222</v>
      </c>
      <c r="M854" t="s">
        <v>375</v>
      </c>
      <c r="N854" t="s">
        <v>828</v>
      </c>
      <c r="P854" t="s">
        <v>1907</v>
      </c>
      <c r="Q854" t="s">
        <v>1224</v>
      </c>
    </row>
    <row r="855" spans="1:17">
      <c r="A855" s="2" t="s">
        <v>846</v>
      </c>
      <c r="B855" s="2" t="s">
        <v>602</v>
      </c>
      <c r="C855" s="2" t="s">
        <v>1534</v>
      </c>
      <c r="D855" s="11">
        <v>45973.257048611114</v>
      </c>
      <c r="E855" s="11">
        <v>45973.257048611114</v>
      </c>
      <c r="F855" s="11">
        <v>45973.263981481483</v>
      </c>
      <c r="G855" s="12">
        <v>6.9328703684732318E-3</v>
      </c>
      <c r="H855" s="2" t="s">
        <v>248</v>
      </c>
      <c r="J855" s="2" t="s">
        <v>300</v>
      </c>
      <c r="K855" s="2" t="s">
        <v>350</v>
      </c>
      <c r="L855" s="2" t="s">
        <v>1222</v>
      </c>
      <c r="M855" t="s">
        <v>375</v>
      </c>
      <c r="N855" t="s">
        <v>828</v>
      </c>
      <c r="P855" t="s">
        <v>1908</v>
      </c>
      <c r="Q855" t="s">
        <v>1224</v>
      </c>
    </row>
    <row r="856" spans="1:17">
      <c r="A856" s="2" t="s">
        <v>846</v>
      </c>
      <c r="B856" s="2" t="s">
        <v>602</v>
      </c>
      <c r="C856" s="2" t="s">
        <v>1536</v>
      </c>
      <c r="D856" s="11">
        <v>45973.257106481484</v>
      </c>
      <c r="E856" s="11">
        <v>45973.257106481484</v>
      </c>
      <c r="F856" s="11">
        <v>45973.264039351852</v>
      </c>
      <c r="G856" s="12">
        <v>6.9328703684732318E-3</v>
      </c>
      <c r="H856" s="2" t="s">
        <v>248</v>
      </c>
      <c r="J856" s="2" t="s">
        <v>300</v>
      </c>
      <c r="K856" s="2" t="s">
        <v>350</v>
      </c>
      <c r="L856" s="2" t="s">
        <v>1222</v>
      </c>
      <c r="M856" t="s">
        <v>375</v>
      </c>
      <c r="N856" t="s">
        <v>828</v>
      </c>
      <c r="P856" t="s">
        <v>1909</v>
      </c>
      <c r="Q856" t="s">
        <v>1224</v>
      </c>
    </row>
    <row r="857" spans="1:17">
      <c r="A857" s="2" t="s">
        <v>846</v>
      </c>
      <c r="B857" s="2" t="s">
        <v>602</v>
      </c>
      <c r="C857" s="2" t="s">
        <v>313</v>
      </c>
      <c r="D857" s="11">
        <v>45973.257164351853</v>
      </c>
      <c r="E857" s="11">
        <v>45973.257164351853</v>
      </c>
      <c r="F857" s="11">
        <v>45973.264120370368</v>
      </c>
      <c r="G857" s="12">
        <v>6.956018514756579E-3</v>
      </c>
      <c r="H857" s="2" t="s">
        <v>248</v>
      </c>
      <c r="J857" s="2" t="s">
        <v>300</v>
      </c>
      <c r="K857" s="2" t="s">
        <v>350</v>
      </c>
      <c r="L857" s="2" t="s">
        <v>1222</v>
      </c>
      <c r="M857" t="s">
        <v>375</v>
      </c>
      <c r="N857" t="s">
        <v>828</v>
      </c>
      <c r="P857" t="s">
        <v>1910</v>
      </c>
      <c r="Q857" t="s">
        <v>1224</v>
      </c>
    </row>
    <row r="858" spans="1:17">
      <c r="A858" s="2" t="s">
        <v>327</v>
      </c>
      <c r="B858" s="2" t="s">
        <v>327</v>
      </c>
      <c r="C858" s="2" t="s">
        <v>328</v>
      </c>
      <c r="D858" s="11">
        <v>45973.263888888891</v>
      </c>
      <c r="E858" s="11">
        <v>45973.263888888891</v>
      </c>
      <c r="F858" s="11">
        <v>45973.283333333333</v>
      </c>
      <c r="G858" s="12">
        <v>1.9444444442342501E-2</v>
      </c>
      <c r="H858" s="2" t="s">
        <v>248</v>
      </c>
      <c r="J858" s="2" t="s">
        <v>249</v>
      </c>
      <c r="K858" s="2" t="s">
        <v>349</v>
      </c>
      <c r="L858" s="2" t="s">
        <v>849</v>
      </c>
      <c r="M858" t="s">
        <v>251</v>
      </c>
      <c r="N858" t="s">
        <v>330</v>
      </c>
      <c r="O858" t="s">
        <v>331</v>
      </c>
      <c r="P858" t="s">
        <v>1911</v>
      </c>
      <c r="Q858" t="s">
        <v>966</v>
      </c>
    </row>
    <row r="859" spans="1:17">
      <c r="A859" s="2" t="s">
        <v>332</v>
      </c>
      <c r="B859" s="2" t="s">
        <v>332</v>
      </c>
      <c r="C859" s="2" t="s">
        <v>328</v>
      </c>
      <c r="D859" s="11">
        <v>45973.263888888891</v>
      </c>
      <c r="E859" s="11">
        <v>45973.263888888891</v>
      </c>
      <c r="F859" s="11">
        <v>45973.283333333333</v>
      </c>
      <c r="G859" s="12">
        <v>1.9444444442342501E-2</v>
      </c>
      <c r="H859" s="2" t="s">
        <v>248</v>
      </c>
      <c r="J859" s="2" t="s">
        <v>249</v>
      </c>
      <c r="K859" s="2" t="s">
        <v>349</v>
      </c>
      <c r="L859" s="2" t="s">
        <v>849</v>
      </c>
      <c r="M859" t="s">
        <v>251</v>
      </c>
      <c r="N859" t="s">
        <v>330</v>
      </c>
      <c r="O859" t="s">
        <v>331</v>
      </c>
      <c r="P859" t="s">
        <v>1912</v>
      </c>
      <c r="Q859" t="s">
        <v>966</v>
      </c>
    </row>
    <row r="860" spans="1:17">
      <c r="A860" s="2" t="s">
        <v>333</v>
      </c>
      <c r="B860" s="2" t="s">
        <v>333</v>
      </c>
      <c r="C860" s="2" t="s">
        <v>328</v>
      </c>
      <c r="D860" s="11">
        <v>45973.263888888891</v>
      </c>
      <c r="E860" s="11">
        <v>45973.263888888891</v>
      </c>
      <c r="F860" s="11">
        <v>45973.283333333333</v>
      </c>
      <c r="G860" s="12">
        <v>1.9444444442342501E-2</v>
      </c>
      <c r="H860" s="2" t="s">
        <v>248</v>
      </c>
      <c r="J860" s="2" t="s">
        <v>249</v>
      </c>
      <c r="K860" s="2" t="s">
        <v>349</v>
      </c>
      <c r="L860" s="2" t="s">
        <v>849</v>
      </c>
      <c r="M860" t="s">
        <v>251</v>
      </c>
      <c r="N860" t="s">
        <v>330</v>
      </c>
      <c r="O860" t="s">
        <v>331</v>
      </c>
      <c r="P860" t="s">
        <v>1913</v>
      </c>
      <c r="Q860" t="s">
        <v>966</v>
      </c>
    </row>
    <row r="861" spans="1:17">
      <c r="A861" s="2" t="s">
        <v>334</v>
      </c>
      <c r="B861" s="2" t="s">
        <v>334</v>
      </c>
      <c r="C861" s="2" t="s">
        <v>328</v>
      </c>
      <c r="D861" s="11">
        <v>45973.263888888891</v>
      </c>
      <c r="E861" s="11">
        <v>45973.263888888891</v>
      </c>
      <c r="F861" s="11">
        <v>45973.283333333333</v>
      </c>
      <c r="G861" s="12">
        <v>1.9444444442342501E-2</v>
      </c>
      <c r="H861" s="2" t="s">
        <v>248</v>
      </c>
      <c r="J861" s="2" t="s">
        <v>249</v>
      </c>
      <c r="K861" s="2" t="s">
        <v>349</v>
      </c>
      <c r="L861" s="2" t="s">
        <v>849</v>
      </c>
      <c r="M861" t="s">
        <v>251</v>
      </c>
      <c r="N861" t="s">
        <v>330</v>
      </c>
      <c r="O861" t="s">
        <v>331</v>
      </c>
      <c r="P861" t="s">
        <v>1914</v>
      </c>
      <c r="Q861" t="s">
        <v>966</v>
      </c>
    </row>
    <row r="862" spans="1:17">
      <c r="A862" s="2" t="s">
        <v>335</v>
      </c>
      <c r="B862" s="2" t="s">
        <v>335</v>
      </c>
      <c r="C862" s="2" t="s">
        <v>328</v>
      </c>
      <c r="D862" s="11">
        <v>45973.263888888891</v>
      </c>
      <c r="E862" s="11">
        <v>45973.263888888891</v>
      </c>
      <c r="F862" s="11">
        <v>45973.283333333333</v>
      </c>
      <c r="G862" s="12">
        <v>1.9444444442342501E-2</v>
      </c>
      <c r="H862" s="2" t="s">
        <v>248</v>
      </c>
      <c r="J862" s="2" t="s">
        <v>249</v>
      </c>
      <c r="K862" s="2" t="s">
        <v>349</v>
      </c>
      <c r="L862" s="2" t="s">
        <v>849</v>
      </c>
      <c r="M862" t="s">
        <v>251</v>
      </c>
      <c r="N862" t="s">
        <v>330</v>
      </c>
      <c r="O862" t="s">
        <v>331</v>
      </c>
      <c r="P862" t="s">
        <v>1915</v>
      </c>
      <c r="Q862" t="s">
        <v>966</v>
      </c>
    </row>
    <row r="863" spans="1:17">
      <c r="A863" s="2" t="s">
        <v>869</v>
      </c>
      <c r="B863" s="2" t="s">
        <v>746</v>
      </c>
      <c r="C863" s="2" t="s">
        <v>747</v>
      </c>
      <c r="D863" s="11">
        <v>45973.451388888891</v>
      </c>
      <c r="E863" s="11">
        <v>45973.451388888891</v>
      </c>
      <c r="F863" s="11">
        <v>45973.643750000003</v>
      </c>
      <c r="G863" s="12">
        <v>0.19236111111240461</v>
      </c>
      <c r="H863" s="2" t="s">
        <v>343</v>
      </c>
      <c r="J863" s="2" t="s">
        <v>230</v>
      </c>
      <c r="K863" s="2" t="s">
        <v>230</v>
      </c>
      <c r="L863" s="2" t="s">
        <v>1540</v>
      </c>
      <c r="M863" t="s">
        <v>302</v>
      </c>
      <c r="N863" t="s">
        <v>345</v>
      </c>
      <c r="O863" t="s">
        <v>1916</v>
      </c>
      <c r="P863" t="s">
        <v>1917</v>
      </c>
      <c r="Q863" t="s">
        <v>1364</v>
      </c>
    </row>
    <row r="864" spans="1:17">
      <c r="A864" s="2" t="s">
        <v>869</v>
      </c>
      <c r="B864" s="2" t="s">
        <v>746</v>
      </c>
      <c r="C864" s="2" t="s">
        <v>748</v>
      </c>
      <c r="D864" s="11">
        <v>45973.451388888891</v>
      </c>
      <c r="E864" s="11">
        <v>45973.451388888891</v>
      </c>
      <c r="F864" s="11">
        <v>45973.643750000003</v>
      </c>
      <c r="G864" s="12">
        <v>0.19236111111240461</v>
      </c>
      <c r="H864" s="2" t="s">
        <v>343</v>
      </c>
      <c r="J864" s="2" t="s">
        <v>230</v>
      </c>
      <c r="K864" s="2" t="s">
        <v>230</v>
      </c>
      <c r="L864" s="2" t="s">
        <v>1540</v>
      </c>
      <c r="M864" t="s">
        <v>302</v>
      </c>
      <c r="N864" t="s">
        <v>345</v>
      </c>
      <c r="O864" t="s">
        <v>1916</v>
      </c>
      <c r="P864" t="s">
        <v>1918</v>
      </c>
      <c r="Q864" t="s">
        <v>1364</v>
      </c>
    </row>
    <row r="865" spans="1:17">
      <c r="A865" s="2" t="s">
        <v>869</v>
      </c>
      <c r="B865" s="2" t="s">
        <v>746</v>
      </c>
      <c r="C865" s="2" t="s">
        <v>749</v>
      </c>
      <c r="D865" s="11">
        <v>45973.451388888891</v>
      </c>
      <c r="E865" s="11">
        <v>45973.451388888891</v>
      </c>
      <c r="F865" s="11">
        <v>45973.643750000003</v>
      </c>
      <c r="G865" s="12">
        <v>0.19236111111240461</v>
      </c>
      <c r="H865" s="2" t="s">
        <v>343</v>
      </c>
      <c r="J865" s="2" t="s">
        <v>230</v>
      </c>
      <c r="K865" s="2" t="s">
        <v>230</v>
      </c>
      <c r="L865" s="2" t="s">
        <v>1540</v>
      </c>
      <c r="M865" t="s">
        <v>302</v>
      </c>
      <c r="N865" t="s">
        <v>345</v>
      </c>
      <c r="O865" t="s">
        <v>1916</v>
      </c>
      <c r="P865" t="s">
        <v>1919</v>
      </c>
      <c r="Q865" t="s">
        <v>1364</v>
      </c>
    </row>
    <row r="866" spans="1:17">
      <c r="A866" s="2" t="s">
        <v>869</v>
      </c>
      <c r="B866" s="2" t="s">
        <v>746</v>
      </c>
      <c r="C866" s="2" t="s">
        <v>750</v>
      </c>
      <c r="D866" s="11">
        <v>45973.451388888891</v>
      </c>
      <c r="E866" s="11">
        <v>45973.451388888891</v>
      </c>
      <c r="F866" s="11">
        <v>45973.643750000003</v>
      </c>
      <c r="G866" s="12">
        <v>0.19236111111240461</v>
      </c>
      <c r="H866" s="2" t="s">
        <v>343</v>
      </c>
      <c r="J866" s="2" t="s">
        <v>230</v>
      </c>
      <c r="K866" s="2" t="s">
        <v>230</v>
      </c>
      <c r="L866" s="2" t="s">
        <v>1540</v>
      </c>
      <c r="M866" t="s">
        <v>302</v>
      </c>
      <c r="N866" t="s">
        <v>345</v>
      </c>
      <c r="O866" t="s">
        <v>1916</v>
      </c>
      <c r="P866" t="s">
        <v>1920</v>
      </c>
      <c r="Q866" t="s">
        <v>1364</v>
      </c>
    </row>
    <row r="867" spans="1:17">
      <c r="A867" s="2" t="s">
        <v>869</v>
      </c>
      <c r="B867" s="2" t="s">
        <v>746</v>
      </c>
      <c r="C867" s="2" t="s">
        <v>751</v>
      </c>
      <c r="D867" s="11">
        <v>45973.451388888891</v>
      </c>
      <c r="E867" s="11">
        <v>45973.451388888891</v>
      </c>
      <c r="F867" s="11">
        <v>45973.643750000003</v>
      </c>
      <c r="G867" s="12">
        <v>0.19236111111240461</v>
      </c>
      <c r="H867" s="2" t="s">
        <v>343</v>
      </c>
      <c r="J867" s="2" t="s">
        <v>230</v>
      </c>
      <c r="K867" s="2" t="s">
        <v>230</v>
      </c>
      <c r="L867" s="2" t="s">
        <v>1540</v>
      </c>
      <c r="M867" t="s">
        <v>302</v>
      </c>
      <c r="N867" t="s">
        <v>345</v>
      </c>
      <c r="O867" t="s">
        <v>1916</v>
      </c>
      <c r="P867" t="s">
        <v>1921</v>
      </c>
      <c r="Q867" t="s">
        <v>1364</v>
      </c>
    </row>
    <row r="868" spans="1:17">
      <c r="A868" s="2" t="s">
        <v>869</v>
      </c>
      <c r="B868" s="2" t="s">
        <v>746</v>
      </c>
      <c r="C868" s="2" t="s">
        <v>752</v>
      </c>
      <c r="D868" s="11">
        <v>45973.451388888891</v>
      </c>
      <c r="E868" s="11">
        <v>45973.451388888891</v>
      </c>
      <c r="F868" s="11">
        <v>45973.643750000003</v>
      </c>
      <c r="G868" s="12">
        <v>0.19236111111240461</v>
      </c>
      <c r="H868" s="2" t="s">
        <v>343</v>
      </c>
      <c r="J868" s="2" t="s">
        <v>230</v>
      </c>
      <c r="K868" s="2" t="s">
        <v>230</v>
      </c>
      <c r="L868" s="2" t="s">
        <v>1540</v>
      </c>
      <c r="M868" t="s">
        <v>302</v>
      </c>
      <c r="N868" t="s">
        <v>345</v>
      </c>
      <c r="O868" t="s">
        <v>1916</v>
      </c>
      <c r="P868" t="s">
        <v>1922</v>
      </c>
      <c r="Q868" t="s">
        <v>1364</v>
      </c>
    </row>
    <row r="869" spans="1:17">
      <c r="A869" s="2" t="s">
        <v>869</v>
      </c>
      <c r="B869" s="2" t="s">
        <v>746</v>
      </c>
      <c r="C869" s="2" t="s">
        <v>753</v>
      </c>
      <c r="D869" s="11">
        <v>45973.451388888891</v>
      </c>
      <c r="E869" s="11">
        <v>45973.451388888891</v>
      </c>
      <c r="F869" s="11">
        <v>45973.643750000003</v>
      </c>
      <c r="G869" s="12">
        <v>0.19236111111240461</v>
      </c>
      <c r="H869" s="2" t="s">
        <v>343</v>
      </c>
      <c r="J869" s="2" t="s">
        <v>230</v>
      </c>
      <c r="K869" s="2" t="s">
        <v>230</v>
      </c>
      <c r="L869" s="2" t="s">
        <v>1540</v>
      </c>
      <c r="M869" t="s">
        <v>302</v>
      </c>
      <c r="N869" t="s">
        <v>345</v>
      </c>
      <c r="O869" t="s">
        <v>1916</v>
      </c>
      <c r="P869" t="s">
        <v>1923</v>
      </c>
      <c r="Q869" t="s">
        <v>1364</v>
      </c>
    </row>
    <row r="870" spans="1:17">
      <c r="A870" s="2" t="s">
        <v>869</v>
      </c>
      <c r="B870" s="2" t="s">
        <v>746</v>
      </c>
      <c r="C870" s="2" t="s">
        <v>754</v>
      </c>
      <c r="D870" s="11">
        <v>45973.451388888891</v>
      </c>
      <c r="E870" s="11">
        <v>45973.451388888891</v>
      </c>
      <c r="F870" s="11">
        <v>45973.643750000003</v>
      </c>
      <c r="G870" s="12">
        <v>0.19236111111240461</v>
      </c>
      <c r="H870" s="2" t="s">
        <v>343</v>
      </c>
      <c r="J870" s="2" t="s">
        <v>230</v>
      </c>
      <c r="K870" s="2" t="s">
        <v>230</v>
      </c>
      <c r="L870" s="2" t="s">
        <v>1540</v>
      </c>
      <c r="M870" t="s">
        <v>302</v>
      </c>
      <c r="N870" t="s">
        <v>345</v>
      </c>
      <c r="O870" t="s">
        <v>1916</v>
      </c>
      <c r="P870" t="s">
        <v>1924</v>
      </c>
      <c r="Q870" t="s">
        <v>1364</v>
      </c>
    </row>
    <row r="871" spans="1:17">
      <c r="A871" s="2" t="s">
        <v>869</v>
      </c>
      <c r="B871" s="2" t="s">
        <v>746</v>
      </c>
      <c r="C871" s="2" t="s">
        <v>755</v>
      </c>
      <c r="D871" s="11">
        <v>45973.451388888891</v>
      </c>
      <c r="E871" s="11">
        <v>45973.451388888891</v>
      </c>
      <c r="F871" s="11">
        <v>45973.643750000003</v>
      </c>
      <c r="G871" s="12">
        <v>0.19236111111240461</v>
      </c>
      <c r="H871" s="2" t="s">
        <v>343</v>
      </c>
      <c r="J871" s="2" t="s">
        <v>230</v>
      </c>
      <c r="K871" s="2" t="s">
        <v>230</v>
      </c>
      <c r="L871" s="2" t="s">
        <v>1540</v>
      </c>
      <c r="M871" t="s">
        <v>302</v>
      </c>
      <c r="N871" t="s">
        <v>345</v>
      </c>
      <c r="O871" t="s">
        <v>1916</v>
      </c>
      <c r="P871" t="s">
        <v>1925</v>
      </c>
      <c r="Q871" t="s">
        <v>1364</v>
      </c>
    </row>
    <row r="872" spans="1:17">
      <c r="A872" s="2" t="s">
        <v>869</v>
      </c>
      <c r="B872" s="2" t="s">
        <v>746</v>
      </c>
      <c r="C872" s="2" t="s">
        <v>756</v>
      </c>
      <c r="D872" s="11">
        <v>45973.451388888891</v>
      </c>
      <c r="E872" s="11">
        <v>45973.451388888891</v>
      </c>
      <c r="F872" s="11">
        <v>45973.643750000003</v>
      </c>
      <c r="G872" s="12">
        <v>0.19236111111240461</v>
      </c>
      <c r="H872" s="2" t="s">
        <v>343</v>
      </c>
      <c r="J872" s="2" t="s">
        <v>230</v>
      </c>
      <c r="K872" s="2" t="s">
        <v>230</v>
      </c>
      <c r="L872" s="2" t="s">
        <v>1540</v>
      </c>
      <c r="M872" t="s">
        <v>302</v>
      </c>
      <c r="N872" t="s">
        <v>345</v>
      </c>
      <c r="O872" t="s">
        <v>1916</v>
      </c>
      <c r="P872" t="s">
        <v>1926</v>
      </c>
      <c r="Q872" t="s">
        <v>1364</v>
      </c>
    </row>
    <row r="873" spans="1:17">
      <c r="A873" s="2" t="s">
        <v>869</v>
      </c>
      <c r="B873" s="2" t="s">
        <v>746</v>
      </c>
      <c r="C873" s="2" t="s">
        <v>757</v>
      </c>
      <c r="D873" s="11">
        <v>45973.451388888891</v>
      </c>
      <c r="E873" s="11">
        <v>45973.451388888891</v>
      </c>
      <c r="F873" s="11">
        <v>45973.643750000003</v>
      </c>
      <c r="G873" s="12">
        <v>0.19236111111240461</v>
      </c>
      <c r="H873" s="2" t="s">
        <v>343</v>
      </c>
      <c r="J873" s="2" t="s">
        <v>230</v>
      </c>
      <c r="K873" s="2" t="s">
        <v>230</v>
      </c>
      <c r="L873" s="2" t="s">
        <v>1540</v>
      </c>
      <c r="M873" t="s">
        <v>302</v>
      </c>
      <c r="N873" t="s">
        <v>345</v>
      </c>
      <c r="O873" t="s">
        <v>1916</v>
      </c>
      <c r="P873" t="s">
        <v>1927</v>
      </c>
      <c r="Q873" t="s">
        <v>1364</v>
      </c>
    </row>
    <row r="874" spans="1:17">
      <c r="A874" s="2" t="s">
        <v>869</v>
      </c>
      <c r="B874" s="2" t="s">
        <v>746</v>
      </c>
      <c r="C874" s="2" t="s">
        <v>758</v>
      </c>
      <c r="D874" s="11">
        <v>45973.451388888891</v>
      </c>
      <c r="E874" s="11">
        <v>45973.451388888891</v>
      </c>
      <c r="F874" s="11">
        <v>45973.643750000003</v>
      </c>
      <c r="G874" s="12">
        <v>0.19236111111240461</v>
      </c>
      <c r="H874" s="2" t="s">
        <v>343</v>
      </c>
      <c r="J874" s="2" t="s">
        <v>230</v>
      </c>
      <c r="K874" s="2" t="s">
        <v>230</v>
      </c>
      <c r="L874" s="2" t="s">
        <v>1540</v>
      </c>
      <c r="M874" t="s">
        <v>302</v>
      </c>
      <c r="N874" t="s">
        <v>345</v>
      </c>
      <c r="O874" t="s">
        <v>1916</v>
      </c>
      <c r="P874" t="s">
        <v>1928</v>
      </c>
      <c r="Q874" t="s">
        <v>1364</v>
      </c>
    </row>
    <row r="875" spans="1:17">
      <c r="A875" s="2" t="s">
        <v>869</v>
      </c>
      <c r="B875" s="2" t="s">
        <v>746</v>
      </c>
      <c r="C875" s="2" t="s">
        <v>759</v>
      </c>
      <c r="D875" s="11">
        <v>45973.451388888891</v>
      </c>
      <c r="E875" s="11">
        <v>45973.451388888891</v>
      </c>
      <c r="F875" s="11">
        <v>45973.643750000003</v>
      </c>
      <c r="G875" s="12">
        <v>0.19236111111240461</v>
      </c>
      <c r="H875" s="2" t="s">
        <v>343</v>
      </c>
      <c r="J875" s="2" t="s">
        <v>230</v>
      </c>
      <c r="K875" s="2" t="s">
        <v>230</v>
      </c>
      <c r="L875" s="2" t="s">
        <v>1540</v>
      </c>
      <c r="M875" t="s">
        <v>302</v>
      </c>
      <c r="N875" t="s">
        <v>345</v>
      </c>
      <c r="O875" t="s">
        <v>1916</v>
      </c>
      <c r="P875" t="s">
        <v>1929</v>
      </c>
      <c r="Q875" t="s">
        <v>1364</v>
      </c>
    </row>
    <row r="876" spans="1:17">
      <c r="A876" s="2" t="s">
        <v>869</v>
      </c>
      <c r="B876" s="2" t="s">
        <v>746</v>
      </c>
      <c r="C876" s="2" t="s">
        <v>760</v>
      </c>
      <c r="D876" s="11">
        <v>45973.451388888891</v>
      </c>
      <c r="E876" s="11">
        <v>45973.451388888891</v>
      </c>
      <c r="F876" s="11">
        <v>45973.643750000003</v>
      </c>
      <c r="G876" s="12">
        <v>0.19236111111240461</v>
      </c>
      <c r="H876" s="2" t="s">
        <v>343</v>
      </c>
      <c r="J876" s="2" t="s">
        <v>230</v>
      </c>
      <c r="K876" s="2" t="s">
        <v>230</v>
      </c>
      <c r="L876" s="2" t="s">
        <v>1540</v>
      </c>
      <c r="M876" t="s">
        <v>302</v>
      </c>
      <c r="N876" t="s">
        <v>345</v>
      </c>
      <c r="O876" t="s">
        <v>1916</v>
      </c>
      <c r="P876" t="s">
        <v>1930</v>
      </c>
      <c r="Q876" t="s">
        <v>1364</v>
      </c>
    </row>
    <row r="877" spans="1:17">
      <c r="A877" s="2" t="s">
        <v>869</v>
      </c>
      <c r="B877" s="2" t="s">
        <v>746</v>
      </c>
      <c r="C877" s="2" t="s">
        <v>761</v>
      </c>
      <c r="D877" s="11">
        <v>45973.451388888891</v>
      </c>
      <c r="E877" s="11">
        <v>45973.451388888891</v>
      </c>
      <c r="F877" s="11">
        <v>45973.643750000003</v>
      </c>
      <c r="G877" s="12">
        <v>0.19236111111240461</v>
      </c>
      <c r="H877" s="2" t="s">
        <v>343</v>
      </c>
      <c r="J877" s="2" t="s">
        <v>230</v>
      </c>
      <c r="K877" s="2" t="s">
        <v>230</v>
      </c>
      <c r="L877" s="2" t="s">
        <v>1540</v>
      </c>
      <c r="M877" t="s">
        <v>302</v>
      </c>
      <c r="N877" t="s">
        <v>345</v>
      </c>
      <c r="O877" t="s">
        <v>1916</v>
      </c>
      <c r="P877" t="s">
        <v>1931</v>
      </c>
      <c r="Q877" t="s">
        <v>1364</v>
      </c>
    </row>
    <row r="878" spans="1:17">
      <c r="A878" s="2" t="s">
        <v>869</v>
      </c>
      <c r="B878" s="2" t="s">
        <v>746</v>
      </c>
      <c r="C878" s="2" t="s">
        <v>762</v>
      </c>
      <c r="D878" s="11">
        <v>45973.451388888891</v>
      </c>
      <c r="E878" s="11">
        <v>45973.451388888891</v>
      </c>
      <c r="F878" s="11">
        <v>45973.643750000003</v>
      </c>
      <c r="G878" s="12">
        <v>0.19236111111240461</v>
      </c>
      <c r="H878" s="2" t="s">
        <v>343</v>
      </c>
      <c r="J878" s="2" t="s">
        <v>230</v>
      </c>
      <c r="K878" s="2" t="s">
        <v>230</v>
      </c>
      <c r="L878" s="2" t="s">
        <v>1540</v>
      </c>
      <c r="M878" t="s">
        <v>302</v>
      </c>
      <c r="N878" t="s">
        <v>345</v>
      </c>
      <c r="O878" t="s">
        <v>1916</v>
      </c>
      <c r="P878" t="s">
        <v>1932</v>
      </c>
      <c r="Q878" t="s">
        <v>1364</v>
      </c>
    </row>
    <row r="879" spans="1:17">
      <c r="A879" s="2" t="s">
        <v>869</v>
      </c>
      <c r="B879" s="2" t="s">
        <v>746</v>
      </c>
      <c r="C879" s="2" t="s">
        <v>763</v>
      </c>
      <c r="D879" s="11">
        <v>45973.451388888891</v>
      </c>
      <c r="E879" s="11">
        <v>45973.451388888891</v>
      </c>
      <c r="F879" s="11">
        <v>45973.643750000003</v>
      </c>
      <c r="G879" s="12">
        <v>0.19236111111240461</v>
      </c>
      <c r="H879" s="2" t="s">
        <v>343</v>
      </c>
      <c r="J879" s="2" t="s">
        <v>230</v>
      </c>
      <c r="K879" s="2" t="s">
        <v>230</v>
      </c>
      <c r="L879" s="2" t="s">
        <v>1540</v>
      </c>
      <c r="M879" t="s">
        <v>302</v>
      </c>
      <c r="N879" t="s">
        <v>345</v>
      </c>
      <c r="O879" t="s">
        <v>1916</v>
      </c>
      <c r="P879" t="s">
        <v>1933</v>
      </c>
      <c r="Q879" t="s">
        <v>1364</v>
      </c>
    </row>
    <row r="880" spans="1:17">
      <c r="A880" s="2" t="s">
        <v>327</v>
      </c>
      <c r="B880" s="2" t="s">
        <v>327</v>
      </c>
      <c r="C880" s="2" t="s">
        <v>328</v>
      </c>
      <c r="D880" s="11">
        <v>45973.556944444441</v>
      </c>
      <c r="E880" s="11">
        <v>45973.556944444441</v>
      </c>
      <c r="F880" s="11">
        <v>45973.560416666667</v>
      </c>
      <c r="G880" s="12">
        <v>3.4722222262644209E-3</v>
      </c>
      <c r="H880" s="2" t="s">
        <v>248</v>
      </c>
      <c r="J880" s="2" t="s">
        <v>249</v>
      </c>
      <c r="K880" s="2" t="s">
        <v>349</v>
      </c>
      <c r="L880" s="2" t="s">
        <v>849</v>
      </c>
      <c r="M880" t="s">
        <v>251</v>
      </c>
      <c r="N880" t="s">
        <v>330</v>
      </c>
      <c r="O880" t="s">
        <v>331</v>
      </c>
      <c r="P880" t="s">
        <v>1934</v>
      </c>
      <c r="Q880" t="s">
        <v>966</v>
      </c>
    </row>
    <row r="881" spans="1:17">
      <c r="A881" s="2" t="s">
        <v>332</v>
      </c>
      <c r="B881" s="2" t="s">
        <v>332</v>
      </c>
      <c r="C881" s="2" t="s">
        <v>328</v>
      </c>
      <c r="D881" s="11">
        <v>45973.556944444441</v>
      </c>
      <c r="E881" s="11">
        <v>45973.556944444441</v>
      </c>
      <c r="F881" s="11">
        <v>45973.560416666667</v>
      </c>
      <c r="G881" s="12">
        <v>3.4722222262644209E-3</v>
      </c>
      <c r="H881" s="2" t="s">
        <v>248</v>
      </c>
      <c r="J881" s="2" t="s">
        <v>249</v>
      </c>
      <c r="K881" s="2" t="s">
        <v>349</v>
      </c>
      <c r="L881" s="2" t="s">
        <v>849</v>
      </c>
      <c r="M881" t="s">
        <v>251</v>
      </c>
      <c r="N881" t="s">
        <v>330</v>
      </c>
      <c r="O881" t="s">
        <v>331</v>
      </c>
      <c r="P881" t="s">
        <v>1935</v>
      </c>
      <c r="Q881" t="s">
        <v>966</v>
      </c>
    </row>
    <row r="882" spans="1:17">
      <c r="A882" s="2" t="s">
        <v>333</v>
      </c>
      <c r="B882" s="2" t="s">
        <v>333</v>
      </c>
      <c r="C882" s="2" t="s">
        <v>328</v>
      </c>
      <c r="D882" s="11">
        <v>45973.556944444441</v>
      </c>
      <c r="E882" s="11">
        <v>45973.556944444441</v>
      </c>
      <c r="F882" s="11">
        <v>45973.560416666667</v>
      </c>
      <c r="G882" s="12">
        <v>3.4722222262644209E-3</v>
      </c>
      <c r="H882" s="2" t="s">
        <v>248</v>
      </c>
      <c r="J882" s="2" t="s">
        <v>249</v>
      </c>
      <c r="K882" s="2" t="s">
        <v>349</v>
      </c>
      <c r="L882" s="2" t="s">
        <v>849</v>
      </c>
      <c r="M882" t="s">
        <v>251</v>
      </c>
      <c r="N882" t="s">
        <v>330</v>
      </c>
      <c r="O882" t="s">
        <v>331</v>
      </c>
      <c r="P882" t="s">
        <v>1936</v>
      </c>
      <c r="Q882" t="s">
        <v>966</v>
      </c>
    </row>
    <row r="883" spans="1:17">
      <c r="A883" s="2" t="s">
        <v>334</v>
      </c>
      <c r="B883" s="2" t="s">
        <v>334</v>
      </c>
      <c r="C883" s="2" t="s">
        <v>328</v>
      </c>
      <c r="D883" s="11">
        <v>45973.556944444441</v>
      </c>
      <c r="E883" s="11">
        <v>45973.556944444441</v>
      </c>
      <c r="F883" s="11">
        <v>45973.560416666667</v>
      </c>
      <c r="G883" s="12">
        <v>3.4722222262644209E-3</v>
      </c>
      <c r="H883" s="2" t="s">
        <v>248</v>
      </c>
      <c r="J883" s="2" t="s">
        <v>249</v>
      </c>
      <c r="K883" s="2" t="s">
        <v>349</v>
      </c>
      <c r="L883" s="2" t="s">
        <v>849</v>
      </c>
      <c r="M883" t="s">
        <v>251</v>
      </c>
      <c r="N883" t="s">
        <v>330</v>
      </c>
      <c r="O883" t="s">
        <v>331</v>
      </c>
      <c r="P883" t="s">
        <v>1937</v>
      </c>
      <c r="Q883" t="s">
        <v>966</v>
      </c>
    </row>
    <row r="884" spans="1:17">
      <c r="A884" s="2" t="s">
        <v>335</v>
      </c>
      <c r="B884" s="2" t="s">
        <v>335</v>
      </c>
      <c r="C884" s="2" t="s">
        <v>328</v>
      </c>
      <c r="D884" s="11">
        <v>45973.556944444441</v>
      </c>
      <c r="E884" s="11">
        <v>45973.556944444441</v>
      </c>
      <c r="F884" s="11">
        <v>45973.560416666667</v>
      </c>
      <c r="G884" s="12">
        <v>3.4722222262644209E-3</v>
      </c>
      <c r="H884" s="2" t="s">
        <v>248</v>
      </c>
      <c r="J884" s="2" t="s">
        <v>249</v>
      </c>
      <c r="K884" s="2" t="s">
        <v>349</v>
      </c>
      <c r="L884" s="2" t="s">
        <v>849</v>
      </c>
      <c r="M884" t="s">
        <v>251</v>
      </c>
      <c r="N884" t="s">
        <v>330</v>
      </c>
      <c r="O884" t="s">
        <v>331</v>
      </c>
      <c r="P884" t="s">
        <v>1938</v>
      </c>
      <c r="Q884" t="s">
        <v>966</v>
      </c>
    </row>
    <row r="885" spans="1:17">
      <c r="A885" s="2" t="s">
        <v>1126</v>
      </c>
      <c r="B885" s="2" t="s">
        <v>493</v>
      </c>
      <c r="C885" s="2" t="s">
        <v>494</v>
      </c>
      <c r="D885" s="11">
        <v>45973.649305555555</v>
      </c>
      <c r="E885" s="11">
        <v>45973.649305555555</v>
      </c>
      <c r="F885" s="11">
        <v>45973.722916666666</v>
      </c>
      <c r="G885" s="12">
        <v>7.3611111110949423E-2</v>
      </c>
      <c r="H885" s="2" t="s">
        <v>343</v>
      </c>
      <c r="J885" s="2" t="s">
        <v>230</v>
      </c>
      <c r="K885" s="2" t="s">
        <v>230</v>
      </c>
      <c r="L885" s="2" t="s">
        <v>1540</v>
      </c>
      <c r="M885" t="s">
        <v>302</v>
      </c>
      <c r="N885" t="s">
        <v>345</v>
      </c>
      <c r="O885" t="s">
        <v>1916</v>
      </c>
      <c r="P885" t="s">
        <v>1939</v>
      </c>
      <c r="Q885" t="s">
        <v>1364</v>
      </c>
    </row>
    <row r="886" spans="1:17">
      <c r="A886" s="2" t="s">
        <v>1126</v>
      </c>
      <c r="B886" s="2" t="s">
        <v>493</v>
      </c>
      <c r="C886" s="2" t="s">
        <v>497</v>
      </c>
      <c r="D886" s="11">
        <v>45973.649305555555</v>
      </c>
      <c r="E886" s="11">
        <v>45973.649305555555</v>
      </c>
      <c r="F886" s="11">
        <v>45973.722916666666</v>
      </c>
      <c r="G886" s="12">
        <v>7.3611111110949423E-2</v>
      </c>
      <c r="H886" s="2" t="s">
        <v>343</v>
      </c>
      <c r="J886" s="2" t="s">
        <v>230</v>
      </c>
      <c r="K886" s="2" t="s">
        <v>230</v>
      </c>
      <c r="L886" s="2" t="s">
        <v>1540</v>
      </c>
      <c r="M886" t="s">
        <v>302</v>
      </c>
      <c r="N886" t="s">
        <v>345</v>
      </c>
      <c r="O886" t="s">
        <v>1916</v>
      </c>
      <c r="P886" t="s">
        <v>1940</v>
      </c>
      <c r="Q886" t="s">
        <v>1364</v>
      </c>
    </row>
    <row r="887" spans="1:17">
      <c r="A887" s="2" t="s">
        <v>1126</v>
      </c>
      <c r="B887" s="2" t="s">
        <v>493</v>
      </c>
      <c r="C887" s="2" t="s">
        <v>498</v>
      </c>
      <c r="D887" s="11">
        <v>45973.649305555555</v>
      </c>
      <c r="E887" s="11">
        <v>45973.649305555555</v>
      </c>
      <c r="F887" s="11">
        <v>45973.722916666666</v>
      </c>
      <c r="G887" s="12">
        <v>7.3611111110949423E-2</v>
      </c>
      <c r="H887" s="2" t="s">
        <v>343</v>
      </c>
      <c r="J887" s="2" t="s">
        <v>230</v>
      </c>
      <c r="K887" s="2" t="s">
        <v>230</v>
      </c>
      <c r="L887" s="2" t="s">
        <v>1540</v>
      </c>
      <c r="M887" t="s">
        <v>302</v>
      </c>
      <c r="N887" t="s">
        <v>345</v>
      </c>
      <c r="O887" t="s">
        <v>1916</v>
      </c>
      <c r="P887" t="s">
        <v>1941</v>
      </c>
      <c r="Q887" t="s">
        <v>1364</v>
      </c>
    </row>
    <row r="888" spans="1:17">
      <c r="A888" s="2" t="s">
        <v>1126</v>
      </c>
      <c r="B888" s="2" t="s">
        <v>493</v>
      </c>
      <c r="C888" s="2" t="s">
        <v>499</v>
      </c>
      <c r="D888" s="11">
        <v>45973.649305555555</v>
      </c>
      <c r="E888" s="11">
        <v>45973.649305555555</v>
      </c>
      <c r="F888" s="11">
        <v>45973.722916666666</v>
      </c>
      <c r="G888" s="12">
        <v>7.3611111110949423E-2</v>
      </c>
      <c r="H888" s="2" t="s">
        <v>343</v>
      </c>
      <c r="J888" s="2" t="s">
        <v>230</v>
      </c>
      <c r="K888" s="2" t="s">
        <v>230</v>
      </c>
      <c r="L888" s="2" t="s">
        <v>1540</v>
      </c>
      <c r="M888" t="s">
        <v>302</v>
      </c>
      <c r="N888" t="s">
        <v>345</v>
      </c>
      <c r="O888" t="s">
        <v>1916</v>
      </c>
      <c r="P888" t="s">
        <v>1942</v>
      </c>
      <c r="Q888" t="s">
        <v>1364</v>
      </c>
    </row>
    <row r="889" spans="1:17">
      <c r="A889" s="2" t="s">
        <v>1470</v>
      </c>
      <c r="B889" s="2" t="s">
        <v>508</v>
      </c>
      <c r="C889" s="2" t="s">
        <v>530</v>
      </c>
      <c r="D889" s="11">
        <v>45974.09375</v>
      </c>
      <c r="E889" s="11">
        <v>45974.09375</v>
      </c>
      <c r="F889" s="11">
        <v>45974.229166666664</v>
      </c>
      <c r="G889" s="12">
        <v>0.13541666666424135</v>
      </c>
      <c r="H889" s="2" t="s">
        <v>336</v>
      </c>
      <c r="J889" s="2" t="s">
        <v>230</v>
      </c>
      <c r="K889" s="2" t="s">
        <v>230</v>
      </c>
      <c r="L889" s="2" t="s">
        <v>958</v>
      </c>
      <c r="M889" t="s">
        <v>302</v>
      </c>
      <c r="N889" t="s">
        <v>303</v>
      </c>
      <c r="O889" t="s">
        <v>1703</v>
      </c>
      <c r="P889" t="s">
        <v>1943</v>
      </c>
      <c r="Q889" t="s">
        <v>1705</v>
      </c>
    </row>
    <row r="890" spans="1:17">
      <c r="A890" s="2" t="s">
        <v>1470</v>
      </c>
      <c r="B890" s="2" t="s">
        <v>508</v>
      </c>
      <c r="C890" s="2" t="s">
        <v>531</v>
      </c>
      <c r="D890" s="11">
        <v>45974.09375</v>
      </c>
      <c r="E890" s="11">
        <v>45974.09375</v>
      </c>
      <c r="F890" s="11">
        <v>45974.229166666664</v>
      </c>
      <c r="G890" s="12">
        <v>0.13541666666424135</v>
      </c>
      <c r="H890" s="2" t="s">
        <v>336</v>
      </c>
      <c r="J890" s="2" t="s">
        <v>230</v>
      </c>
      <c r="K890" s="2" t="s">
        <v>230</v>
      </c>
      <c r="L890" s="2" t="s">
        <v>958</v>
      </c>
      <c r="M890" t="s">
        <v>302</v>
      </c>
      <c r="N890" t="s">
        <v>303</v>
      </c>
      <c r="O890" t="s">
        <v>1703</v>
      </c>
      <c r="P890" t="s">
        <v>1944</v>
      </c>
      <c r="Q890" t="s">
        <v>1705</v>
      </c>
    </row>
    <row r="891" spans="1:17">
      <c r="A891" s="2" t="s">
        <v>1470</v>
      </c>
      <c r="B891" s="2" t="s">
        <v>508</v>
      </c>
      <c r="C891" s="2" t="s">
        <v>532</v>
      </c>
      <c r="D891" s="11">
        <v>45974.09375</v>
      </c>
      <c r="E891" s="11">
        <v>45974.09375</v>
      </c>
      <c r="F891" s="11">
        <v>45974.229166666664</v>
      </c>
      <c r="G891" s="12">
        <v>0.13541666666424135</v>
      </c>
      <c r="H891" s="2" t="s">
        <v>336</v>
      </c>
      <c r="J891" s="2" t="s">
        <v>230</v>
      </c>
      <c r="K891" s="2" t="s">
        <v>230</v>
      </c>
      <c r="L891" s="2" t="s">
        <v>958</v>
      </c>
      <c r="M891" t="s">
        <v>302</v>
      </c>
      <c r="N891" t="s">
        <v>303</v>
      </c>
      <c r="O891" t="s">
        <v>1703</v>
      </c>
      <c r="P891" t="s">
        <v>1945</v>
      </c>
      <c r="Q891" t="s">
        <v>1705</v>
      </c>
    </row>
    <row r="892" spans="1:17">
      <c r="A892" s="2" t="s">
        <v>1470</v>
      </c>
      <c r="B892" s="2" t="s">
        <v>508</v>
      </c>
      <c r="C892" s="2" t="s">
        <v>533</v>
      </c>
      <c r="D892" s="11">
        <v>45974.09375</v>
      </c>
      <c r="E892" s="11">
        <v>45974.09375</v>
      </c>
      <c r="F892" s="11">
        <v>45974.229166666664</v>
      </c>
      <c r="G892" s="12">
        <v>0.13541666666424135</v>
      </c>
      <c r="H892" s="2" t="s">
        <v>336</v>
      </c>
      <c r="J892" s="2" t="s">
        <v>230</v>
      </c>
      <c r="K892" s="2" t="s">
        <v>230</v>
      </c>
      <c r="L892" s="2" t="s">
        <v>958</v>
      </c>
      <c r="M892" t="s">
        <v>302</v>
      </c>
      <c r="N892" t="s">
        <v>303</v>
      </c>
      <c r="O892" t="s">
        <v>1703</v>
      </c>
      <c r="P892" t="s">
        <v>1946</v>
      </c>
      <c r="Q892" t="s">
        <v>1705</v>
      </c>
    </row>
    <row r="893" spans="1:17">
      <c r="A893" s="2" t="s">
        <v>1470</v>
      </c>
      <c r="B893" s="2" t="s">
        <v>508</v>
      </c>
      <c r="C893" s="2" t="s">
        <v>534</v>
      </c>
      <c r="D893" s="11">
        <v>45974.09375</v>
      </c>
      <c r="E893" s="11">
        <v>45974.09375</v>
      </c>
      <c r="F893" s="11">
        <v>45974.229166666664</v>
      </c>
      <c r="G893" s="12">
        <v>0.13541666666424135</v>
      </c>
      <c r="H893" s="2" t="s">
        <v>336</v>
      </c>
      <c r="J893" s="2" t="s">
        <v>230</v>
      </c>
      <c r="K893" s="2" t="s">
        <v>230</v>
      </c>
      <c r="L893" s="2" t="s">
        <v>958</v>
      </c>
      <c r="M893" t="s">
        <v>302</v>
      </c>
      <c r="N893" t="s">
        <v>303</v>
      </c>
      <c r="O893" t="s">
        <v>1703</v>
      </c>
      <c r="P893" t="s">
        <v>1947</v>
      </c>
      <c r="Q893" t="s">
        <v>1705</v>
      </c>
    </row>
    <row r="894" spans="1:17">
      <c r="A894" s="2" t="s">
        <v>1470</v>
      </c>
      <c r="B894" s="2" t="s">
        <v>508</v>
      </c>
      <c r="C894" s="2" t="s">
        <v>535</v>
      </c>
      <c r="D894" s="11">
        <v>45974.09375</v>
      </c>
      <c r="E894" s="11">
        <v>45974.09375</v>
      </c>
      <c r="F894" s="11">
        <v>45974.229166666664</v>
      </c>
      <c r="G894" s="12">
        <v>0.13541666666424135</v>
      </c>
      <c r="H894" s="2" t="s">
        <v>336</v>
      </c>
      <c r="J894" s="2" t="s">
        <v>230</v>
      </c>
      <c r="K894" s="2" t="s">
        <v>230</v>
      </c>
      <c r="L894" s="2" t="s">
        <v>958</v>
      </c>
      <c r="M894" t="s">
        <v>302</v>
      </c>
      <c r="N894" t="s">
        <v>303</v>
      </c>
      <c r="O894" t="s">
        <v>1703</v>
      </c>
      <c r="P894" t="s">
        <v>1948</v>
      </c>
      <c r="Q894" t="s">
        <v>1705</v>
      </c>
    </row>
    <row r="895" spans="1:17">
      <c r="A895" s="2" t="s">
        <v>1477</v>
      </c>
      <c r="B895" s="2" t="s">
        <v>508</v>
      </c>
      <c r="C895" s="2" t="s">
        <v>536</v>
      </c>
      <c r="D895" s="11">
        <v>45974.09375</v>
      </c>
      <c r="E895" s="11">
        <v>45974.09375</v>
      </c>
      <c r="F895" s="11">
        <v>45974.229166666664</v>
      </c>
      <c r="G895" s="12">
        <v>0.13541666666424135</v>
      </c>
      <c r="H895" s="2" t="s">
        <v>336</v>
      </c>
      <c r="J895" s="2" t="s">
        <v>230</v>
      </c>
      <c r="K895" s="2" t="s">
        <v>230</v>
      </c>
      <c r="L895" s="2" t="s">
        <v>958</v>
      </c>
      <c r="M895" t="s">
        <v>302</v>
      </c>
      <c r="N895" t="s">
        <v>303</v>
      </c>
      <c r="O895" t="s">
        <v>1703</v>
      </c>
      <c r="P895" t="s">
        <v>1949</v>
      </c>
      <c r="Q895" t="s">
        <v>1705</v>
      </c>
    </row>
    <row r="896" spans="1:17">
      <c r="A896" s="2" t="s">
        <v>1477</v>
      </c>
      <c r="B896" s="2" t="s">
        <v>508</v>
      </c>
      <c r="C896" s="2" t="s">
        <v>537</v>
      </c>
      <c r="D896" s="11">
        <v>45974.09375</v>
      </c>
      <c r="E896" s="11">
        <v>45974.09375</v>
      </c>
      <c r="F896" s="11">
        <v>45974.229166666664</v>
      </c>
      <c r="G896" s="12">
        <v>0.13541666666424135</v>
      </c>
      <c r="H896" s="2" t="s">
        <v>336</v>
      </c>
      <c r="J896" s="2" t="s">
        <v>230</v>
      </c>
      <c r="K896" s="2" t="s">
        <v>230</v>
      </c>
      <c r="L896" s="2" t="s">
        <v>958</v>
      </c>
      <c r="M896" t="s">
        <v>302</v>
      </c>
      <c r="N896" t="s">
        <v>303</v>
      </c>
      <c r="O896" t="s">
        <v>1703</v>
      </c>
      <c r="P896" t="s">
        <v>1950</v>
      </c>
      <c r="Q896" t="s">
        <v>1705</v>
      </c>
    </row>
    <row r="897" spans="1:17">
      <c r="A897" s="2" t="s">
        <v>1477</v>
      </c>
      <c r="B897" s="2" t="s">
        <v>508</v>
      </c>
      <c r="C897" s="2" t="s">
        <v>538</v>
      </c>
      <c r="D897" s="11">
        <v>45974.09375</v>
      </c>
      <c r="E897" s="11">
        <v>45974.09375</v>
      </c>
      <c r="F897" s="11">
        <v>45974.229166666664</v>
      </c>
      <c r="G897" s="12">
        <v>0.13541666666424135</v>
      </c>
      <c r="H897" s="2" t="s">
        <v>336</v>
      </c>
      <c r="J897" s="2" t="s">
        <v>230</v>
      </c>
      <c r="K897" s="2" t="s">
        <v>230</v>
      </c>
      <c r="L897" s="2" t="s">
        <v>958</v>
      </c>
      <c r="M897" t="s">
        <v>302</v>
      </c>
      <c r="N897" t="s">
        <v>303</v>
      </c>
      <c r="O897" t="s">
        <v>1703</v>
      </c>
      <c r="P897" t="s">
        <v>1951</v>
      </c>
      <c r="Q897" t="s">
        <v>1705</v>
      </c>
    </row>
    <row r="898" spans="1:17">
      <c r="A898" s="2" t="s">
        <v>1481</v>
      </c>
      <c r="B898" s="2" t="s">
        <v>508</v>
      </c>
      <c r="C898" s="2" t="s">
        <v>539</v>
      </c>
      <c r="D898" s="11">
        <v>45974.09375</v>
      </c>
      <c r="E898" s="11">
        <v>45974.09375</v>
      </c>
      <c r="F898" s="11">
        <v>45974.229166666664</v>
      </c>
      <c r="G898" s="12">
        <v>0.13541666666424135</v>
      </c>
      <c r="H898" s="2" t="s">
        <v>336</v>
      </c>
      <c r="J898" s="2" t="s">
        <v>230</v>
      </c>
      <c r="K898" s="2" t="s">
        <v>230</v>
      </c>
      <c r="L898" s="2" t="s">
        <v>958</v>
      </c>
      <c r="M898" t="s">
        <v>302</v>
      </c>
      <c r="N898" t="s">
        <v>303</v>
      </c>
      <c r="O898" t="s">
        <v>1703</v>
      </c>
      <c r="P898" t="s">
        <v>1952</v>
      </c>
      <c r="Q898" t="s">
        <v>1705</v>
      </c>
    </row>
    <row r="899" spans="1:17">
      <c r="A899" s="2" t="s">
        <v>1481</v>
      </c>
      <c r="B899" s="2" t="s">
        <v>508</v>
      </c>
      <c r="C899" s="2" t="s">
        <v>540</v>
      </c>
      <c r="D899" s="11">
        <v>45974.09375</v>
      </c>
      <c r="E899" s="11">
        <v>45974.09375</v>
      </c>
      <c r="F899" s="11">
        <v>45974.229166666664</v>
      </c>
      <c r="G899" s="12">
        <v>0.13541666666424135</v>
      </c>
      <c r="H899" s="2" t="s">
        <v>336</v>
      </c>
      <c r="J899" s="2" t="s">
        <v>230</v>
      </c>
      <c r="K899" s="2" t="s">
        <v>230</v>
      </c>
      <c r="L899" s="2" t="s">
        <v>958</v>
      </c>
      <c r="M899" t="s">
        <v>302</v>
      </c>
      <c r="N899" t="s">
        <v>303</v>
      </c>
      <c r="O899" t="s">
        <v>1703</v>
      </c>
      <c r="P899" t="s">
        <v>1953</v>
      </c>
      <c r="Q899" t="s">
        <v>1705</v>
      </c>
    </row>
    <row r="900" spans="1:17">
      <c r="A900" s="2" t="s">
        <v>1481</v>
      </c>
      <c r="B900" s="2" t="s">
        <v>508</v>
      </c>
      <c r="C900" s="2" t="s">
        <v>541</v>
      </c>
      <c r="D900" s="11">
        <v>45974.09375</v>
      </c>
      <c r="E900" s="11">
        <v>45974.09375</v>
      </c>
      <c r="F900" s="11">
        <v>45974.229166666664</v>
      </c>
      <c r="G900" s="12">
        <v>0.13541666666424135</v>
      </c>
      <c r="H900" s="2" t="s">
        <v>336</v>
      </c>
      <c r="J900" s="2" t="s">
        <v>230</v>
      </c>
      <c r="K900" s="2" t="s">
        <v>230</v>
      </c>
      <c r="L900" s="2" t="s">
        <v>958</v>
      </c>
      <c r="M900" t="s">
        <v>302</v>
      </c>
      <c r="N900" t="s">
        <v>303</v>
      </c>
      <c r="O900" t="s">
        <v>1703</v>
      </c>
      <c r="P900" t="s">
        <v>1954</v>
      </c>
      <c r="Q900" t="s">
        <v>1705</v>
      </c>
    </row>
    <row r="901" spans="1:17">
      <c r="A901" s="2" t="s">
        <v>1492</v>
      </c>
      <c r="B901" s="2" t="s">
        <v>508</v>
      </c>
      <c r="C901" s="2" t="s">
        <v>548</v>
      </c>
      <c r="D901" s="11">
        <v>45974.09375</v>
      </c>
      <c r="E901" s="11">
        <v>45974.09375</v>
      </c>
      <c r="F901" s="11">
        <v>45974.229166666664</v>
      </c>
      <c r="G901" s="12">
        <v>0.13541666666424135</v>
      </c>
      <c r="H901" s="2" t="s">
        <v>336</v>
      </c>
      <c r="J901" s="2" t="s">
        <v>230</v>
      </c>
      <c r="K901" s="2" t="s">
        <v>230</v>
      </c>
      <c r="L901" s="2" t="s">
        <v>958</v>
      </c>
      <c r="M901" t="s">
        <v>302</v>
      </c>
      <c r="N901" t="s">
        <v>303</v>
      </c>
      <c r="O901" t="s">
        <v>1703</v>
      </c>
      <c r="P901" t="s">
        <v>1955</v>
      </c>
      <c r="Q901" t="s">
        <v>1705</v>
      </c>
    </row>
    <row r="902" spans="1:17">
      <c r="A902" s="2" t="s">
        <v>1492</v>
      </c>
      <c r="B902" s="2" t="s">
        <v>508</v>
      </c>
      <c r="C902" s="2" t="s">
        <v>549</v>
      </c>
      <c r="D902" s="11">
        <v>45974.09375</v>
      </c>
      <c r="E902" s="11">
        <v>45974.09375</v>
      </c>
      <c r="F902" s="11">
        <v>45974.229166666664</v>
      </c>
      <c r="G902" s="12">
        <v>0.13541666666424135</v>
      </c>
      <c r="H902" s="2" t="s">
        <v>336</v>
      </c>
      <c r="J902" s="2" t="s">
        <v>230</v>
      </c>
      <c r="K902" s="2" t="s">
        <v>230</v>
      </c>
      <c r="L902" s="2" t="s">
        <v>958</v>
      </c>
      <c r="M902" t="s">
        <v>302</v>
      </c>
      <c r="N902" t="s">
        <v>303</v>
      </c>
      <c r="O902" t="s">
        <v>1703</v>
      </c>
      <c r="P902" t="s">
        <v>1956</v>
      </c>
      <c r="Q902" t="s">
        <v>1705</v>
      </c>
    </row>
    <row r="903" spans="1:17">
      <c r="A903" s="2" t="s">
        <v>1492</v>
      </c>
      <c r="B903" s="2" t="s">
        <v>508</v>
      </c>
      <c r="C903" s="2" t="s">
        <v>550</v>
      </c>
      <c r="D903" s="11">
        <v>45974.09375</v>
      </c>
      <c r="E903" s="11">
        <v>45974.09375</v>
      </c>
      <c r="F903" s="11">
        <v>45974.229166666664</v>
      </c>
      <c r="G903" s="12">
        <v>0.13541666666424135</v>
      </c>
      <c r="H903" s="2" t="s">
        <v>336</v>
      </c>
      <c r="J903" s="2" t="s">
        <v>230</v>
      </c>
      <c r="K903" s="2" t="s">
        <v>230</v>
      </c>
      <c r="L903" s="2" t="s">
        <v>958</v>
      </c>
      <c r="M903" t="s">
        <v>302</v>
      </c>
      <c r="N903" t="s">
        <v>303</v>
      </c>
      <c r="O903" t="s">
        <v>1703</v>
      </c>
      <c r="P903" t="s">
        <v>1957</v>
      </c>
      <c r="Q903" t="s">
        <v>1705</v>
      </c>
    </row>
    <row r="904" spans="1:17">
      <c r="A904" s="2" t="s">
        <v>846</v>
      </c>
      <c r="B904" s="2" t="s">
        <v>602</v>
      </c>
      <c r="C904" s="2" t="s">
        <v>1534</v>
      </c>
      <c r="D904" s="11">
        <v>45974.266250000001</v>
      </c>
      <c r="E904" s="11">
        <v>45974.266250000001</v>
      </c>
      <c r="F904" s="11">
        <v>45974.281284722223</v>
      </c>
      <c r="G904" s="12">
        <v>1.5034722222480923E-2</v>
      </c>
      <c r="H904" s="2" t="s">
        <v>248</v>
      </c>
      <c r="J904" s="2" t="s">
        <v>300</v>
      </c>
      <c r="K904" s="2" t="s">
        <v>350</v>
      </c>
      <c r="L904" s="2" t="s">
        <v>1222</v>
      </c>
      <c r="M904" t="s">
        <v>375</v>
      </c>
      <c r="N904" t="s">
        <v>828</v>
      </c>
      <c r="P904" t="s">
        <v>1958</v>
      </c>
      <c r="Q904" t="s">
        <v>1224</v>
      </c>
    </row>
    <row r="905" spans="1:17">
      <c r="A905" s="2" t="s">
        <v>846</v>
      </c>
      <c r="B905" s="2" t="s">
        <v>602</v>
      </c>
      <c r="C905" s="2" t="s">
        <v>313</v>
      </c>
      <c r="D905" s="11">
        <v>45974.266250000001</v>
      </c>
      <c r="E905" s="11">
        <v>45974.266250000001</v>
      </c>
      <c r="F905" s="11">
        <v>45974.281284722223</v>
      </c>
      <c r="G905" s="12">
        <v>1.5034722222480923E-2</v>
      </c>
      <c r="H905" s="2" t="s">
        <v>248</v>
      </c>
      <c r="J905" s="2" t="s">
        <v>300</v>
      </c>
      <c r="K905" s="2" t="s">
        <v>350</v>
      </c>
      <c r="L905" s="2" t="s">
        <v>1222</v>
      </c>
      <c r="M905" t="s">
        <v>375</v>
      </c>
      <c r="N905" t="s">
        <v>828</v>
      </c>
      <c r="P905" t="s">
        <v>1959</v>
      </c>
      <c r="Q905" t="s">
        <v>1224</v>
      </c>
    </row>
    <row r="906" spans="1:17">
      <c r="A906" s="2" t="s">
        <v>846</v>
      </c>
      <c r="B906" s="2" t="s">
        <v>602</v>
      </c>
      <c r="C906" s="2" t="s">
        <v>1407</v>
      </c>
      <c r="D906" s="11">
        <v>45974.266250000001</v>
      </c>
      <c r="E906" s="11">
        <v>45974.266250000001</v>
      </c>
      <c r="F906" s="11">
        <v>45974.281284722223</v>
      </c>
      <c r="G906" s="12">
        <v>1.5034722222480923E-2</v>
      </c>
      <c r="H906" s="2" t="s">
        <v>248</v>
      </c>
      <c r="J906" s="2" t="s">
        <v>300</v>
      </c>
      <c r="K906" s="2" t="s">
        <v>350</v>
      </c>
      <c r="L906" s="2" t="s">
        <v>1222</v>
      </c>
      <c r="M906" t="s">
        <v>375</v>
      </c>
      <c r="N906" t="s">
        <v>828</v>
      </c>
      <c r="P906" t="s">
        <v>1960</v>
      </c>
      <c r="Q906" t="s">
        <v>1224</v>
      </c>
    </row>
    <row r="907" spans="1:17">
      <c r="A907" s="2" t="s">
        <v>846</v>
      </c>
      <c r="B907" s="2" t="s">
        <v>602</v>
      </c>
      <c r="C907" s="2" t="s">
        <v>1221</v>
      </c>
      <c r="D907" s="11">
        <v>45974.266250000001</v>
      </c>
      <c r="E907" s="11">
        <v>45974.266250000001</v>
      </c>
      <c r="F907" s="11">
        <v>45974.267280092594</v>
      </c>
      <c r="G907" s="12">
        <v>1.0300925932824612E-3</v>
      </c>
      <c r="H907" s="2" t="s">
        <v>248</v>
      </c>
      <c r="J907" s="2" t="s">
        <v>300</v>
      </c>
      <c r="K907" s="2" t="s">
        <v>350</v>
      </c>
      <c r="L907" s="2" t="s">
        <v>1222</v>
      </c>
      <c r="M907" t="s">
        <v>375</v>
      </c>
      <c r="N907" t="s">
        <v>828</v>
      </c>
      <c r="P907" t="s">
        <v>1961</v>
      </c>
      <c r="Q907" t="s">
        <v>1224</v>
      </c>
    </row>
    <row r="908" spans="1:17">
      <c r="A908" s="2" t="s">
        <v>846</v>
      </c>
      <c r="B908" s="2" t="s">
        <v>602</v>
      </c>
      <c r="C908" s="2" t="s">
        <v>1303</v>
      </c>
      <c r="D908" s="11">
        <v>45974.266250000001</v>
      </c>
      <c r="E908" s="11">
        <v>45974.266250000001</v>
      </c>
      <c r="F908" s="11">
        <v>45974.281284722223</v>
      </c>
      <c r="G908" s="12">
        <v>1.5034722222480923E-2</v>
      </c>
      <c r="H908" s="2" t="s">
        <v>248</v>
      </c>
      <c r="J908" s="2" t="s">
        <v>300</v>
      </c>
      <c r="K908" s="2" t="s">
        <v>350</v>
      </c>
      <c r="L908" s="2" t="s">
        <v>1222</v>
      </c>
      <c r="M908" t="s">
        <v>375</v>
      </c>
      <c r="N908" t="s">
        <v>828</v>
      </c>
      <c r="P908" t="s">
        <v>1962</v>
      </c>
      <c r="Q908" t="s">
        <v>1224</v>
      </c>
    </row>
    <row r="909" spans="1:17">
      <c r="A909" s="2" t="s">
        <v>846</v>
      </c>
      <c r="B909" s="2" t="s">
        <v>602</v>
      </c>
      <c r="C909" s="2" t="s">
        <v>1305</v>
      </c>
      <c r="D909" s="11">
        <v>45974.266250000001</v>
      </c>
      <c r="E909" s="11">
        <v>45974.266250000001</v>
      </c>
      <c r="F909" s="11">
        <v>45974.281284722223</v>
      </c>
      <c r="G909" s="12">
        <v>1.5034722222480923E-2</v>
      </c>
      <c r="H909" s="2" t="s">
        <v>248</v>
      </c>
      <c r="J909" s="2" t="s">
        <v>300</v>
      </c>
      <c r="K909" s="2" t="s">
        <v>350</v>
      </c>
      <c r="L909" s="2" t="s">
        <v>1222</v>
      </c>
      <c r="M909" t="s">
        <v>375</v>
      </c>
      <c r="N909" t="s">
        <v>828</v>
      </c>
      <c r="P909" t="s">
        <v>1963</v>
      </c>
      <c r="Q909" t="s">
        <v>1224</v>
      </c>
    </row>
    <row r="910" spans="1:17">
      <c r="A910" s="2" t="s">
        <v>846</v>
      </c>
      <c r="B910" s="2" t="s">
        <v>602</v>
      </c>
      <c r="C910" s="2" t="s">
        <v>1536</v>
      </c>
      <c r="D910" s="11">
        <v>45974.266250000001</v>
      </c>
      <c r="E910" s="11">
        <v>45974.266250000001</v>
      </c>
      <c r="F910" s="11">
        <v>45974.281284722223</v>
      </c>
      <c r="G910" s="12">
        <v>1.5034722222480923E-2</v>
      </c>
      <c r="H910" s="2" t="s">
        <v>248</v>
      </c>
      <c r="J910" s="2" t="s">
        <v>300</v>
      </c>
      <c r="K910" s="2" t="s">
        <v>350</v>
      </c>
      <c r="L910" s="2" t="s">
        <v>1222</v>
      </c>
      <c r="M910" t="s">
        <v>375</v>
      </c>
      <c r="N910" t="s">
        <v>828</v>
      </c>
      <c r="P910" t="s">
        <v>1964</v>
      </c>
      <c r="Q910" t="s">
        <v>1224</v>
      </c>
    </row>
    <row r="911" spans="1:17">
      <c r="A911" s="2" t="s">
        <v>459</v>
      </c>
      <c r="B911" s="2" t="s">
        <v>459</v>
      </c>
      <c r="C911" s="2" t="s">
        <v>460</v>
      </c>
      <c r="D911" s="11">
        <v>45974.504166666666</v>
      </c>
      <c r="E911" s="11">
        <v>45974.504166666666</v>
      </c>
      <c r="F911" s="11">
        <v>45974.659722222219</v>
      </c>
      <c r="G911" s="12">
        <v>0.15555555555329192</v>
      </c>
      <c r="H911" s="2" t="s">
        <v>343</v>
      </c>
      <c r="J911" s="2" t="s">
        <v>230</v>
      </c>
      <c r="K911" s="2" t="s">
        <v>230</v>
      </c>
      <c r="L911" s="2" t="s">
        <v>1965</v>
      </c>
      <c r="M911" t="s">
        <v>302</v>
      </c>
      <c r="N911" t="s">
        <v>330</v>
      </c>
      <c r="O911" t="s">
        <v>1966</v>
      </c>
      <c r="P911" t="s">
        <v>1967</v>
      </c>
      <c r="Q911" t="s">
        <v>1364</v>
      </c>
    </row>
    <row r="912" spans="1:17">
      <c r="A912" s="2" t="s">
        <v>459</v>
      </c>
      <c r="B912" s="2" t="s">
        <v>459</v>
      </c>
      <c r="C912" s="2" t="s">
        <v>463</v>
      </c>
      <c r="D912" s="11">
        <v>45974.504166666666</v>
      </c>
      <c r="E912" s="11">
        <v>45974.504166666666</v>
      </c>
      <c r="F912" s="11">
        <v>45974.659722222219</v>
      </c>
      <c r="G912" s="12">
        <v>0.15555555555329192</v>
      </c>
      <c r="H912" s="2" t="s">
        <v>343</v>
      </c>
      <c r="J912" s="2" t="s">
        <v>230</v>
      </c>
      <c r="K912" s="2" t="s">
        <v>230</v>
      </c>
      <c r="L912" s="2" t="s">
        <v>1965</v>
      </c>
      <c r="M912" t="s">
        <v>302</v>
      </c>
      <c r="N912" t="s">
        <v>330</v>
      </c>
      <c r="O912" t="s">
        <v>1966</v>
      </c>
      <c r="P912" t="s">
        <v>1968</v>
      </c>
      <c r="Q912" t="s">
        <v>1364</v>
      </c>
    </row>
    <row r="913" spans="1:17">
      <c r="A913" s="2" t="s">
        <v>459</v>
      </c>
      <c r="B913" s="2" t="s">
        <v>459</v>
      </c>
      <c r="C913" s="2" t="s">
        <v>464</v>
      </c>
      <c r="D913" s="11">
        <v>45974.504166666666</v>
      </c>
      <c r="E913" s="11">
        <v>45974.504166666666</v>
      </c>
      <c r="F913" s="11">
        <v>45974.659722222219</v>
      </c>
      <c r="G913" s="12">
        <v>0.15555555555329192</v>
      </c>
      <c r="H913" s="2" t="s">
        <v>343</v>
      </c>
      <c r="J913" s="2" t="s">
        <v>230</v>
      </c>
      <c r="K913" s="2" t="s">
        <v>230</v>
      </c>
      <c r="L913" s="2" t="s">
        <v>1965</v>
      </c>
      <c r="M913" t="s">
        <v>302</v>
      </c>
      <c r="N913" t="s">
        <v>330</v>
      </c>
      <c r="O913" t="s">
        <v>1966</v>
      </c>
      <c r="P913" t="s">
        <v>1969</v>
      </c>
      <c r="Q913" t="s">
        <v>1364</v>
      </c>
    </row>
    <row r="914" spans="1:17">
      <c r="A914" s="2" t="s">
        <v>459</v>
      </c>
      <c r="B914" s="2" t="s">
        <v>459</v>
      </c>
      <c r="C914" s="2" t="s">
        <v>465</v>
      </c>
      <c r="D914" s="11">
        <v>45974.504166666666</v>
      </c>
      <c r="E914" s="11">
        <v>45974.504166666666</v>
      </c>
      <c r="F914" s="11">
        <v>45974.659722222219</v>
      </c>
      <c r="G914" s="12">
        <v>0.15555555555329192</v>
      </c>
      <c r="H914" s="2" t="s">
        <v>343</v>
      </c>
      <c r="J914" s="2" t="s">
        <v>230</v>
      </c>
      <c r="K914" s="2" t="s">
        <v>230</v>
      </c>
      <c r="L914" s="2" t="s">
        <v>1965</v>
      </c>
      <c r="M914" t="s">
        <v>302</v>
      </c>
      <c r="N914" t="s">
        <v>330</v>
      </c>
      <c r="O914" t="s">
        <v>1966</v>
      </c>
      <c r="P914" t="s">
        <v>1970</v>
      </c>
      <c r="Q914" t="s">
        <v>1364</v>
      </c>
    </row>
    <row r="915" spans="1:17">
      <c r="A915" s="2" t="s">
        <v>459</v>
      </c>
      <c r="B915" s="2" t="s">
        <v>459</v>
      </c>
      <c r="C915" s="2" t="s">
        <v>466</v>
      </c>
      <c r="D915" s="11">
        <v>45974.504166666666</v>
      </c>
      <c r="E915" s="11">
        <v>45974.504166666666</v>
      </c>
      <c r="F915" s="11">
        <v>45974.659722222219</v>
      </c>
      <c r="G915" s="12">
        <v>0.15555555555329192</v>
      </c>
      <c r="H915" s="2" t="s">
        <v>343</v>
      </c>
      <c r="J915" s="2" t="s">
        <v>230</v>
      </c>
      <c r="K915" s="2" t="s">
        <v>230</v>
      </c>
      <c r="L915" s="2" t="s">
        <v>1965</v>
      </c>
      <c r="M915" t="s">
        <v>302</v>
      </c>
      <c r="N915" t="s">
        <v>330</v>
      </c>
      <c r="O915" t="s">
        <v>1966</v>
      </c>
      <c r="P915" t="s">
        <v>1971</v>
      </c>
      <c r="Q915" t="s">
        <v>1364</v>
      </c>
    </row>
    <row r="916" spans="1:17">
      <c r="A916" s="2" t="s">
        <v>467</v>
      </c>
      <c r="B916" s="2" t="s">
        <v>467</v>
      </c>
      <c r="C916" s="2" t="s">
        <v>463</v>
      </c>
      <c r="D916" s="11">
        <v>45974.504166666666</v>
      </c>
      <c r="E916" s="11">
        <v>45974.504166666666</v>
      </c>
      <c r="F916" s="11">
        <v>45974.659722222219</v>
      </c>
      <c r="G916" s="12">
        <v>0.15555555555329192</v>
      </c>
      <c r="H916" s="2" t="s">
        <v>343</v>
      </c>
      <c r="J916" s="2" t="s">
        <v>230</v>
      </c>
      <c r="K916" s="2" t="s">
        <v>230</v>
      </c>
      <c r="L916" s="2" t="s">
        <v>1965</v>
      </c>
      <c r="M916" t="s">
        <v>302</v>
      </c>
      <c r="N916" t="s">
        <v>330</v>
      </c>
      <c r="O916" t="s">
        <v>1966</v>
      </c>
      <c r="P916" t="s">
        <v>1972</v>
      </c>
      <c r="Q916" t="s">
        <v>1364</v>
      </c>
    </row>
    <row r="917" spans="1:17">
      <c r="A917" s="2" t="s">
        <v>467</v>
      </c>
      <c r="B917" s="2" t="s">
        <v>467</v>
      </c>
      <c r="C917" s="2" t="s">
        <v>464</v>
      </c>
      <c r="D917" s="11">
        <v>45974.504166666666</v>
      </c>
      <c r="E917" s="11">
        <v>45974.504166666666</v>
      </c>
      <c r="F917" s="11">
        <v>45974.659722222219</v>
      </c>
      <c r="G917" s="12">
        <v>0.15555555555329192</v>
      </c>
      <c r="H917" s="2" t="s">
        <v>343</v>
      </c>
      <c r="J917" s="2" t="s">
        <v>230</v>
      </c>
      <c r="K917" s="2" t="s">
        <v>230</v>
      </c>
      <c r="L917" s="2" t="s">
        <v>1965</v>
      </c>
      <c r="M917" t="s">
        <v>302</v>
      </c>
      <c r="N917" t="s">
        <v>330</v>
      </c>
      <c r="O917" t="s">
        <v>1966</v>
      </c>
      <c r="P917" t="s">
        <v>1973</v>
      </c>
      <c r="Q917" t="s">
        <v>1364</v>
      </c>
    </row>
    <row r="918" spans="1:17">
      <c r="A918" s="2" t="s">
        <v>467</v>
      </c>
      <c r="B918" s="2" t="s">
        <v>467</v>
      </c>
      <c r="C918" s="2" t="s">
        <v>465</v>
      </c>
      <c r="D918" s="11">
        <v>45974.504166666666</v>
      </c>
      <c r="E918" s="11">
        <v>45974.504166666666</v>
      </c>
      <c r="F918" s="11">
        <v>45974.659722222219</v>
      </c>
      <c r="G918" s="12">
        <v>0.15555555555329192</v>
      </c>
      <c r="H918" s="2" t="s">
        <v>343</v>
      </c>
      <c r="J918" s="2" t="s">
        <v>230</v>
      </c>
      <c r="K918" s="2" t="s">
        <v>230</v>
      </c>
      <c r="L918" s="2" t="s">
        <v>1965</v>
      </c>
      <c r="M918" t="s">
        <v>302</v>
      </c>
      <c r="N918" t="s">
        <v>330</v>
      </c>
      <c r="O918" t="s">
        <v>1966</v>
      </c>
      <c r="P918" t="s">
        <v>1974</v>
      </c>
      <c r="Q918" t="s">
        <v>1364</v>
      </c>
    </row>
    <row r="919" spans="1:17">
      <c r="A919" s="2" t="s">
        <v>467</v>
      </c>
      <c r="B919" s="2" t="s">
        <v>467</v>
      </c>
      <c r="C919" s="2" t="s">
        <v>466</v>
      </c>
      <c r="D919" s="11">
        <v>45974.504166666666</v>
      </c>
      <c r="E919" s="11">
        <v>45974.504166666666</v>
      </c>
      <c r="F919" s="11">
        <v>45974.659722222219</v>
      </c>
      <c r="G919" s="12">
        <v>0.15555555555329192</v>
      </c>
      <c r="H919" s="2" t="s">
        <v>343</v>
      </c>
      <c r="J919" s="2" t="s">
        <v>230</v>
      </c>
      <c r="K919" s="2" t="s">
        <v>230</v>
      </c>
      <c r="L919" s="2" t="s">
        <v>1965</v>
      </c>
      <c r="M919" t="s">
        <v>302</v>
      </c>
      <c r="N919" t="s">
        <v>330</v>
      </c>
      <c r="O919" t="s">
        <v>1966</v>
      </c>
      <c r="P919" t="s">
        <v>1975</v>
      </c>
      <c r="Q919" t="s">
        <v>1364</v>
      </c>
    </row>
    <row r="920" spans="1:17">
      <c r="A920" s="2" t="s">
        <v>467</v>
      </c>
      <c r="B920" s="2" t="s">
        <v>467</v>
      </c>
      <c r="C920" s="2" t="s">
        <v>460</v>
      </c>
      <c r="D920" s="11">
        <v>45974.504166666666</v>
      </c>
      <c r="E920" s="11">
        <v>45974.504166666666</v>
      </c>
      <c r="F920" s="11">
        <v>45974.659722222219</v>
      </c>
      <c r="G920" s="12">
        <v>0.15555555555329192</v>
      </c>
      <c r="H920" s="2" t="s">
        <v>343</v>
      </c>
      <c r="J920" s="2" t="s">
        <v>230</v>
      </c>
      <c r="K920" s="2" t="s">
        <v>230</v>
      </c>
      <c r="L920" s="2" t="s">
        <v>1965</v>
      </c>
      <c r="M920" t="s">
        <v>302</v>
      </c>
      <c r="N920" t="s">
        <v>330</v>
      </c>
      <c r="O920" t="s">
        <v>1966</v>
      </c>
      <c r="P920" t="s">
        <v>1976</v>
      </c>
      <c r="Q920" t="s">
        <v>1364</v>
      </c>
    </row>
    <row r="921" spans="1:17">
      <c r="A921" s="2" t="s">
        <v>468</v>
      </c>
      <c r="B921" s="2" t="s">
        <v>468</v>
      </c>
      <c r="C921" s="2" t="s">
        <v>469</v>
      </c>
      <c r="D921" s="11">
        <v>45974.504166666666</v>
      </c>
      <c r="E921" s="11">
        <v>45974.504166666666</v>
      </c>
      <c r="F921" s="11">
        <v>45974.659722222219</v>
      </c>
      <c r="G921" s="12">
        <v>0.15555555555329192</v>
      </c>
      <c r="H921" s="2" t="s">
        <v>343</v>
      </c>
      <c r="J921" s="2" t="s">
        <v>230</v>
      </c>
      <c r="K921" s="2" t="s">
        <v>230</v>
      </c>
      <c r="L921" s="2" t="s">
        <v>1965</v>
      </c>
      <c r="M921" t="s">
        <v>302</v>
      </c>
      <c r="N921" t="s">
        <v>330</v>
      </c>
      <c r="O921" t="s">
        <v>1966</v>
      </c>
      <c r="P921" t="s">
        <v>1977</v>
      </c>
      <c r="Q921" t="s">
        <v>1364</v>
      </c>
    </row>
    <row r="922" spans="1:17">
      <c r="A922" s="2" t="s">
        <v>468</v>
      </c>
      <c r="B922" s="2" t="s">
        <v>468</v>
      </c>
      <c r="C922" s="2" t="s">
        <v>463</v>
      </c>
      <c r="D922" s="11">
        <v>45974.504166666666</v>
      </c>
      <c r="E922" s="11">
        <v>45974.504166666666</v>
      </c>
      <c r="F922" s="11">
        <v>45974.659722222219</v>
      </c>
      <c r="G922" s="12">
        <v>0.15555555555329192</v>
      </c>
      <c r="H922" s="2" t="s">
        <v>343</v>
      </c>
      <c r="J922" s="2" t="s">
        <v>230</v>
      </c>
      <c r="K922" s="2" t="s">
        <v>230</v>
      </c>
      <c r="L922" s="2" t="s">
        <v>1965</v>
      </c>
      <c r="M922" t="s">
        <v>302</v>
      </c>
      <c r="N922" t="s">
        <v>330</v>
      </c>
      <c r="O922" t="s">
        <v>1966</v>
      </c>
      <c r="P922" t="s">
        <v>1978</v>
      </c>
      <c r="Q922" t="s">
        <v>1364</v>
      </c>
    </row>
    <row r="923" spans="1:17">
      <c r="A923" s="2" t="s">
        <v>468</v>
      </c>
      <c r="B923" s="2" t="s">
        <v>468</v>
      </c>
      <c r="C923" s="2" t="s">
        <v>460</v>
      </c>
      <c r="D923" s="11">
        <v>45974.504166666666</v>
      </c>
      <c r="E923" s="11">
        <v>45974.504166666666</v>
      </c>
      <c r="F923" s="11">
        <v>45974.659722222219</v>
      </c>
      <c r="G923" s="12">
        <v>0.15555555555329192</v>
      </c>
      <c r="H923" s="2" t="s">
        <v>343</v>
      </c>
      <c r="J923" s="2" t="s">
        <v>230</v>
      </c>
      <c r="K923" s="2" t="s">
        <v>230</v>
      </c>
      <c r="L923" s="2" t="s">
        <v>1965</v>
      </c>
      <c r="M923" t="s">
        <v>302</v>
      </c>
      <c r="N923" t="s">
        <v>330</v>
      </c>
      <c r="O923" t="s">
        <v>1966</v>
      </c>
      <c r="P923" t="s">
        <v>1979</v>
      </c>
      <c r="Q923" t="s">
        <v>1364</v>
      </c>
    </row>
    <row r="924" spans="1:17">
      <c r="A924" s="2" t="s">
        <v>846</v>
      </c>
      <c r="B924" s="2" t="s">
        <v>602</v>
      </c>
      <c r="C924" s="2" t="s">
        <v>1221</v>
      </c>
      <c r="D924" s="11">
        <v>45975.255173611113</v>
      </c>
      <c r="E924" s="11">
        <v>45975.255173611113</v>
      </c>
      <c r="F924" s="11">
        <v>45975.270069444443</v>
      </c>
      <c r="G924" s="12">
        <v>1.4895833330228925E-2</v>
      </c>
      <c r="H924" s="2" t="s">
        <v>248</v>
      </c>
      <c r="J924" s="2" t="s">
        <v>300</v>
      </c>
      <c r="K924" s="2" t="s">
        <v>350</v>
      </c>
      <c r="L924" s="2" t="s">
        <v>1222</v>
      </c>
      <c r="M924" t="s">
        <v>375</v>
      </c>
      <c r="N924" t="s">
        <v>828</v>
      </c>
      <c r="P924" t="s">
        <v>1980</v>
      </c>
      <c r="Q924" t="s">
        <v>1224</v>
      </c>
    </row>
    <row r="925" spans="1:17">
      <c r="A925" s="2" t="s">
        <v>846</v>
      </c>
      <c r="B925" s="2" t="s">
        <v>602</v>
      </c>
      <c r="C925" s="2" t="s">
        <v>1305</v>
      </c>
      <c r="D925" s="11">
        <v>45975.255300925928</v>
      </c>
      <c r="E925" s="11">
        <v>45975.255300925928</v>
      </c>
      <c r="F925" s="11">
        <v>45975.270069444443</v>
      </c>
      <c r="G925" s="12">
        <v>1.4768518514756579E-2</v>
      </c>
      <c r="H925" s="2" t="s">
        <v>248</v>
      </c>
      <c r="J925" s="2" t="s">
        <v>300</v>
      </c>
      <c r="K925" s="2" t="s">
        <v>350</v>
      </c>
      <c r="L925" s="2" t="s">
        <v>1222</v>
      </c>
      <c r="M925" t="s">
        <v>375</v>
      </c>
      <c r="N925" t="s">
        <v>828</v>
      </c>
      <c r="P925" t="s">
        <v>1981</v>
      </c>
      <c r="Q925" t="s">
        <v>1224</v>
      </c>
    </row>
    <row r="926" spans="1:17">
      <c r="A926" s="2" t="s">
        <v>846</v>
      </c>
      <c r="B926" s="2" t="s">
        <v>602</v>
      </c>
      <c r="C926" s="2" t="s">
        <v>1407</v>
      </c>
      <c r="D926" s="11">
        <v>45975.255312499998</v>
      </c>
      <c r="E926" s="11">
        <v>45975.255312499998</v>
      </c>
      <c r="F926" s="11">
        <v>45975.270069444443</v>
      </c>
      <c r="G926" s="12">
        <v>1.4756944445252884E-2</v>
      </c>
      <c r="H926" s="2" t="s">
        <v>248</v>
      </c>
      <c r="J926" s="2" t="s">
        <v>300</v>
      </c>
      <c r="K926" s="2" t="s">
        <v>350</v>
      </c>
      <c r="L926" s="2" t="s">
        <v>1222</v>
      </c>
      <c r="M926" t="s">
        <v>375</v>
      </c>
      <c r="N926" t="s">
        <v>828</v>
      </c>
      <c r="P926" t="s">
        <v>1982</v>
      </c>
      <c r="Q926" t="s">
        <v>1224</v>
      </c>
    </row>
    <row r="927" spans="1:17">
      <c r="A927" s="2" t="s">
        <v>846</v>
      </c>
      <c r="B927" s="2" t="s">
        <v>602</v>
      </c>
      <c r="C927" s="2" t="s">
        <v>1303</v>
      </c>
      <c r="D927" s="11">
        <v>45975.255312499998</v>
      </c>
      <c r="E927" s="11">
        <v>45975.255312499998</v>
      </c>
      <c r="F927" s="11">
        <v>45975.270069444443</v>
      </c>
      <c r="G927" s="12">
        <v>1.4756944445252884E-2</v>
      </c>
      <c r="H927" s="2" t="s">
        <v>248</v>
      </c>
      <c r="J927" s="2" t="s">
        <v>300</v>
      </c>
      <c r="K927" s="2" t="s">
        <v>350</v>
      </c>
      <c r="L927" s="2" t="s">
        <v>1222</v>
      </c>
      <c r="M927" t="s">
        <v>375</v>
      </c>
      <c r="N927" t="s">
        <v>828</v>
      </c>
      <c r="P927" t="s">
        <v>1983</v>
      </c>
      <c r="Q927" t="s">
        <v>1224</v>
      </c>
    </row>
    <row r="928" spans="1:17">
      <c r="A928" s="2" t="s">
        <v>846</v>
      </c>
      <c r="B928" s="2" t="s">
        <v>602</v>
      </c>
      <c r="C928" s="2" t="s">
        <v>1534</v>
      </c>
      <c r="D928" s="11">
        <v>45975.255324074074</v>
      </c>
      <c r="E928" s="11">
        <v>45975.255324074074</v>
      </c>
      <c r="F928" s="11">
        <v>45975.270069444443</v>
      </c>
      <c r="G928" s="12">
        <v>1.4745370368473232E-2</v>
      </c>
      <c r="H928" s="2" t="s">
        <v>248</v>
      </c>
      <c r="J928" s="2" t="s">
        <v>300</v>
      </c>
      <c r="K928" s="2" t="s">
        <v>350</v>
      </c>
      <c r="L928" s="2" t="s">
        <v>1222</v>
      </c>
      <c r="M928" t="s">
        <v>375</v>
      </c>
      <c r="N928" t="s">
        <v>828</v>
      </c>
      <c r="P928" t="s">
        <v>1984</v>
      </c>
      <c r="Q928" t="s">
        <v>1224</v>
      </c>
    </row>
    <row r="929" spans="1:17">
      <c r="A929" s="2" t="s">
        <v>846</v>
      </c>
      <c r="B929" s="2" t="s">
        <v>602</v>
      </c>
      <c r="C929" s="2" t="s">
        <v>1536</v>
      </c>
      <c r="D929" s="11">
        <v>45975.255370370367</v>
      </c>
      <c r="E929" s="11">
        <v>45975.255370370367</v>
      </c>
      <c r="F929" s="11">
        <v>45975.270069444443</v>
      </c>
      <c r="G929" s="12">
        <v>1.4699074075906537E-2</v>
      </c>
      <c r="H929" s="2" t="s">
        <v>248</v>
      </c>
      <c r="J929" s="2" t="s">
        <v>300</v>
      </c>
      <c r="K929" s="2" t="s">
        <v>350</v>
      </c>
      <c r="L929" s="2" t="s">
        <v>1222</v>
      </c>
      <c r="M929" t="s">
        <v>375</v>
      </c>
      <c r="N929" t="s">
        <v>828</v>
      </c>
      <c r="P929" t="s">
        <v>1985</v>
      </c>
      <c r="Q929" t="s">
        <v>1224</v>
      </c>
    </row>
    <row r="930" spans="1:17">
      <c r="A930" s="2" t="s">
        <v>846</v>
      </c>
      <c r="B930" s="2" t="s">
        <v>602</v>
      </c>
      <c r="C930" s="2" t="s">
        <v>313</v>
      </c>
      <c r="D930" s="11">
        <v>45975.255439814813</v>
      </c>
      <c r="E930" s="11">
        <v>45975.255439814813</v>
      </c>
      <c r="F930" s="11">
        <v>45975.270069444443</v>
      </c>
      <c r="G930" s="12">
        <v>1.4629629629780538E-2</v>
      </c>
      <c r="H930" s="2" t="s">
        <v>248</v>
      </c>
      <c r="J930" s="2" t="s">
        <v>300</v>
      </c>
      <c r="K930" s="2" t="s">
        <v>350</v>
      </c>
      <c r="L930" s="2" t="s">
        <v>1222</v>
      </c>
      <c r="M930" t="s">
        <v>375</v>
      </c>
      <c r="N930" t="s">
        <v>828</v>
      </c>
      <c r="P930" t="s">
        <v>1986</v>
      </c>
      <c r="Q930" t="s">
        <v>1224</v>
      </c>
    </row>
    <row r="931" spans="1:17">
      <c r="A931" s="2" t="s">
        <v>846</v>
      </c>
      <c r="B931" s="2" t="s">
        <v>602</v>
      </c>
      <c r="C931" s="2" t="s">
        <v>1221</v>
      </c>
      <c r="D931" s="11">
        <v>45975.283796296295</v>
      </c>
      <c r="E931" s="11">
        <v>45975.283796296295</v>
      </c>
      <c r="F931" s="11">
        <v>45975.29074074074</v>
      </c>
      <c r="G931" s="12">
        <v>6.9444444452528842E-3</v>
      </c>
      <c r="H931" s="2" t="s">
        <v>248</v>
      </c>
      <c r="J931" s="2" t="s">
        <v>300</v>
      </c>
      <c r="K931" s="2" t="s">
        <v>350</v>
      </c>
      <c r="L931" s="2" t="s">
        <v>1222</v>
      </c>
      <c r="M931" t="s">
        <v>375</v>
      </c>
      <c r="N931" t="s">
        <v>828</v>
      </c>
      <c r="P931" t="s">
        <v>1987</v>
      </c>
      <c r="Q931" t="s">
        <v>1224</v>
      </c>
    </row>
    <row r="932" spans="1:17">
      <c r="A932" s="2" t="s">
        <v>846</v>
      </c>
      <c r="B932" s="2" t="s">
        <v>602</v>
      </c>
      <c r="C932" s="2" t="s">
        <v>1303</v>
      </c>
      <c r="D932" s="11">
        <v>45975.28392361111</v>
      </c>
      <c r="E932" s="11">
        <v>45975.28392361111</v>
      </c>
      <c r="F932" s="11">
        <v>45975.294108796297</v>
      </c>
      <c r="G932" s="12">
        <v>1.0185185186855961E-2</v>
      </c>
      <c r="H932" s="2" t="s">
        <v>248</v>
      </c>
      <c r="J932" s="2" t="s">
        <v>300</v>
      </c>
      <c r="K932" s="2" t="s">
        <v>350</v>
      </c>
      <c r="L932" s="2" t="s">
        <v>1222</v>
      </c>
      <c r="M932" t="s">
        <v>375</v>
      </c>
      <c r="N932" t="s">
        <v>828</v>
      </c>
      <c r="P932" t="s">
        <v>1988</v>
      </c>
      <c r="Q932" t="s">
        <v>1224</v>
      </c>
    </row>
    <row r="933" spans="1:17">
      <c r="A933" s="2" t="s">
        <v>846</v>
      </c>
      <c r="B933" s="2" t="s">
        <v>602</v>
      </c>
      <c r="C933" s="2" t="s">
        <v>1534</v>
      </c>
      <c r="D933" s="11">
        <v>45975.283946759257</v>
      </c>
      <c r="E933" s="11">
        <v>45975.283946759257</v>
      </c>
      <c r="F933" s="11">
        <v>45975.294108796297</v>
      </c>
      <c r="G933" s="12">
        <v>1.0162037040572613E-2</v>
      </c>
      <c r="H933" s="2" t="s">
        <v>248</v>
      </c>
      <c r="J933" s="2" t="s">
        <v>300</v>
      </c>
      <c r="K933" s="2" t="s">
        <v>350</v>
      </c>
      <c r="L933" s="2" t="s">
        <v>1222</v>
      </c>
      <c r="M933" t="s">
        <v>375</v>
      </c>
      <c r="N933" t="s">
        <v>828</v>
      </c>
      <c r="P933" t="s">
        <v>1989</v>
      </c>
      <c r="Q933" t="s">
        <v>1224</v>
      </c>
    </row>
    <row r="934" spans="1:17">
      <c r="A934" s="2" t="s">
        <v>846</v>
      </c>
      <c r="B934" s="2" t="s">
        <v>602</v>
      </c>
      <c r="C934" s="2" t="s">
        <v>1407</v>
      </c>
      <c r="D934" s="11">
        <v>45975.283946759257</v>
      </c>
      <c r="E934" s="11">
        <v>45975.283946759257</v>
      </c>
      <c r="F934" s="11">
        <v>45975.294108796297</v>
      </c>
      <c r="G934" s="12">
        <v>1.0162037040572613E-2</v>
      </c>
      <c r="H934" s="2" t="s">
        <v>248</v>
      </c>
      <c r="J934" s="2" t="s">
        <v>300</v>
      </c>
      <c r="K934" s="2" t="s">
        <v>350</v>
      </c>
      <c r="L934" s="2" t="s">
        <v>1222</v>
      </c>
      <c r="M934" t="s">
        <v>375</v>
      </c>
      <c r="N934" t="s">
        <v>828</v>
      </c>
      <c r="P934" t="s">
        <v>1990</v>
      </c>
      <c r="Q934" t="s">
        <v>1224</v>
      </c>
    </row>
    <row r="935" spans="1:17">
      <c r="A935" s="2" t="s">
        <v>846</v>
      </c>
      <c r="B935" s="2" t="s">
        <v>602</v>
      </c>
      <c r="C935" s="2" t="s">
        <v>1305</v>
      </c>
      <c r="D935" s="11">
        <v>45975.283958333333</v>
      </c>
      <c r="E935" s="11">
        <v>45975.283958333333</v>
      </c>
      <c r="F935" s="11">
        <v>45975.290844907409</v>
      </c>
      <c r="G935" s="12">
        <v>6.8865740759065375E-3</v>
      </c>
      <c r="H935" s="2" t="s">
        <v>248</v>
      </c>
      <c r="J935" s="2" t="s">
        <v>300</v>
      </c>
      <c r="K935" s="2" t="s">
        <v>350</v>
      </c>
      <c r="L935" s="2" t="s">
        <v>1222</v>
      </c>
      <c r="M935" t="s">
        <v>375</v>
      </c>
      <c r="N935" t="s">
        <v>828</v>
      </c>
      <c r="P935" t="s">
        <v>1991</v>
      </c>
      <c r="Q935" t="s">
        <v>1224</v>
      </c>
    </row>
    <row r="936" spans="1:17">
      <c r="A936" s="2" t="s">
        <v>846</v>
      </c>
      <c r="B936" s="2" t="s">
        <v>602</v>
      </c>
      <c r="C936" s="2" t="s">
        <v>1536</v>
      </c>
      <c r="D936" s="11">
        <v>45975.284050925926</v>
      </c>
      <c r="E936" s="11">
        <v>45975.284050925926</v>
      </c>
      <c r="F936" s="11">
        <v>45975.294108796297</v>
      </c>
      <c r="G936" s="12">
        <v>1.0057870371383615E-2</v>
      </c>
      <c r="H936" s="2" t="s">
        <v>248</v>
      </c>
      <c r="J936" s="2" t="s">
        <v>300</v>
      </c>
      <c r="K936" s="2" t="s">
        <v>350</v>
      </c>
      <c r="L936" s="2" t="s">
        <v>1222</v>
      </c>
      <c r="M936" t="s">
        <v>375</v>
      </c>
      <c r="N936" t="s">
        <v>828</v>
      </c>
      <c r="P936" t="s">
        <v>1992</v>
      </c>
      <c r="Q936" t="s">
        <v>1224</v>
      </c>
    </row>
    <row r="937" spans="1:17">
      <c r="A937" s="2" t="s">
        <v>846</v>
      </c>
      <c r="B937" s="2" t="s">
        <v>602</v>
      </c>
      <c r="C937" s="2" t="s">
        <v>313</v>
      </c>
      <c r="D937" s="11">
        <v>45975.284085648149</v>
      </c>
      <c r="E937" s="11">
        <v>45975.284085648149</v>
      </c>
      <c r="F937" s="11">
        <v>45975.294108796297</v>
      </c>
      <c r="G937" s="12">
        <v>1.0023148148320615E-2</v>
      </c>
      <c r="H937" s="2" t="s">
        <v>248</v>
      </c>
      <c r="J937" s="2" t="s">
        <v>300</v>
      </c>
      <c r="K937" s="2" t="s">
        <v>350</v>
      </c>
      <c r="L937" s="2" t="s">
        <v>1222</v>
      </c>
      <c r="M937" t="s">
        <v>375</v>
      </c>
      <c r="N937" t="s">
        <v>828</v>
      </c>
      <c r="P937" t="s">
        <v>1993</v>
      </c>
      <c r="Q937" t="s">
        <v>1224</v>
      </c>
    </row>
    <row r="938" spans="1:17">
      <c r="A938" s="2" t="s">
        <v>1113</v>
      </c>
      <c r="B938" s="2" t="s">
        <v>850</v>
      </c>
      <c r="C938" s="2" t="s">
        <v>851</v>
      </c>
      <c r="D938" s="11">
        <v>45975.447222222225</v>
      </c>
      <c r="E938" s="11">
        <v>45975.447222222225</v>
      </c>
      <c r="F938" s="11">
        <v>45975.625</v>
      </c>
      <c r="G938" s="12">
        <v>0.17777777777519077</v>
      </c>
      <c r="H938" s="2" t="s">
        <v>248</v>
      </c>
      <c r="J938" s="2" t="s">
        <v>249</v>
      </c>
      <c r="K938" s="2" t="s">
        <v>349</v>
      </c>
      <c r="L938" s="2" t="s">
        <v>250</v>
      </c>
      <c r="M938" t="s">
        <v>251</v>
      </c>
      <c r="N938" t="s">
        <v>330</v>
      </c>
      <c r="O938" t="s">
        <v>852</v>
      </c>
      <c r="P938" t="s">
        <v>1994</v>
      </c>
      <c r="Q938" t="s">
        <v>966</v>
      </c>
    </row>
    <row r="939" spans="1:17">
      <c r="A939" s="2" t="s">
        <v>823</v>
      </c>
      <c r="B939" s="2" t="s">
        <v>850</v>
      </c>
      <c r="C939" s="2" t="s">
        <v>824</v>
      </c>
      <c r="D939" s="11">
        <v>45975.447222222225</v>
      </c>
      <c r="E939" s="11">
        <v>45975.447222222225</v>
      </c>
      <c r="F939" s="11">
        <v>45975.625</v>
      </c>
      <c r="G939" s="12">
        <v>0.17777777777519077</v>
      </c>
      <c r="H939" s="2" t="s">
        <v>248</v>
      </c>
      <c r="J939" s="2" t="s">
        <v>249</v>
      </c>
      <c r="K939" s="2" t="s">
        <v>349</v>
      </c>
      <c r="L939" s="2" t="s">
        <v>250</v>
      </c>
      <c r="M939" t="s">
        <v>251</v>
      </c>
      <c r="N939" t="s">
        <v>330</v>
      </c>
      <c r="O939" t="s">
        <v>852</v>
      </c>
      <c r="P939" t="s">
        <v>1995</v>
      </c>
      <c r="Q939" t="s">
        <v>966</v>
      </c>
    </row>
    <row r="940" spans="1:17">
      <c r="A940" s="2" t="s">
        <v>1116</v>
      </c>
      <c r="B940" s="2" t="s">
        <v>850</v>
      </c>
      <c r="C940" s="2" t="s">
        <v>853</v>
      </c>
      <c r="D940" s="11">
        <v>45975.447222222225</v>
      </c>
      <c r="E940" s="11">
        <v>45975.447222222225</v>
      </c>
      <c r="F940" s="11">
        <v>45975.625</v>
      </c>
      <c r="G940" s="12">
        <v>0.17777777777519077</v>
      </c>
      <c r="H940" s="2" t="s">
        <v>248</v>
      </c>
      <c r="J940" s="2" t="s">
        <v>249</v>
      </c>
      <c r="K940" s="2" t="s">
        <v>349</v>
      </c>
      <c r="L940" s="2" t="s">
        <v>250</v>
      </c>
      <c r="M940" t="s">
        <v>251</v>
      </c>
      <c r="N940" t="s">
        <v>330</v>
      </c>
      <c r="O940" t="s">
        <v>852</v>
      </c>
      <c r="P940" t="s">
        <v>1996</v>
      </c>
      <c r="Q940" t="s">
        <v>966</v>
      </c>
    </row>
    <row r="941" spans="1:17">
      <c r="A941" s="2" t="s">
        <v>1118</v>
      </c>
      <c r="B941" s="2" t="s">
        <v>854</v>
      </c>
      <c r="C941" s="2" t="s">
        <v>855</v>
      </c>
      <c r="D941" s="11">
        <v>45975.447222222225</v>
      </c>
      <c r="E941" s="11">
        <v>45975.447222222225</v>
      </c>
      <c r="F941" s="11">
        <v>45975.625</v>
      </c>
      <c r="G941" s="12">
        <v>0.17777777777519077</v>
      </c>
      <c r="H941" s="2" t="s">
        <v>248</v>
      </c>
      <c r="J941" s="2" t="s">
        <v>249</v>
      </c>
      <c r="K941" s="2" t="s">
        <v>349</v>
      </c>
      <c r="L941" s="2" t="s">
        <v>250</v>
      </c>
      <c r="M941" t="s">
        <v>251</v>
      </c>
      <c r="N941" t="s">
        <v>330</v>
      </c>
      <c r="O941" t="s">
        <v>852</v>
      </c>
      <c r="P941" t="s">
        <v>1997</v>
      </c>
      <c r="Q941" t="s">
        <v>966</v>
      </c>
    </row>
    <row r="942" spans="1:17">
      <c r="A942" s="2" t="s">
        <v>1120</v>
      </c>
      <c r="B942" s="2" t="s">
        <v>854</v>
      </c>
      <c r="C942" s="2" t="s">
        <v>856</v>
      </c>
      <c r="D942" s="11">
        <v>45975.447222222225</v>
      </c>
      <c r="E942" s="11">
        <v>45975.447222222225</v>
      </c>
      <c r="F942" s="11">
        <v>45975.625</v>
      </c>
      <c r="G942" s="12">
        <v>0.17777777777519077</v>
      </c>
      <c r="H942" s="2" t="s">
        <v>248</v>
      </c>
      <c r="J942" s="2" t="s">
        <v>249</v>
      </c>
      <c r="K942" s="2" t="s">
        <v>349</v>
      </c>
      <c r="L942" s="2" t="s">
        <v>250</v>
      </c>
      <c r="M942" t="s">
        <v>251</v>
      </c>
      <c r="N942" t="s">
        <v>330</v>
      </c>
      <c r="O942" t="s">
        <v>852</v>
      </c>
      <c r="P942" t="s">
        <v>1998</v>
      </c>
      <c r="Q942" t="s">
        <v>966</v>
      </c>
    </row>
    <row r="943" spans="1:17">
      <c r="A943" s="2" t="s">
        <v>1122</v>
      </c>
      <c r="B943" s="2" t="s">
        <v>854</v>
      </c>
      <c r="C943" s="2" t="s">
        <v>857</v>
      </c>
      <c r="D943" s="11">
        <v>45975.447222222225</v>
      </c>
      <c r="E943" s="11">
        <v>45975.447222222225</v>
      </c>
      <c r="F943" s="11">
        <v>45975.625</v>
      </c>
      <c r="G943" s="12">
        <v>0.17777777777519077</v>
      </c>
      <c r="H943" s="2" t="s">
        <v>248</v>
      </c>
      <c r="J943" s="2" t="s">
        <v>249</v>
      </c>
      <c r="K943" s="2" t="s">
        <v>349</v>
      </c>
      <c r="L943" s="2" t="s">
        <v>250</v>
      </c>
      <c r="M943" t="s">
        <v>251</v>
      </c>
      <c r="N943" t="s">
        <v>330</v>
      </c>
      <c r="O943" t="s">
        <v>852</v>
      </c>
      <c r="P943" t="s">
        <v>1999</v>
      </c>
      <c r="Q943" t="s">
        <v>966</v>
      </c>
    </row>
    <row r="944" spans="1:17">
      <c r="A944" s="2" t="s">
        <v>1124</v>
      </c>
      <c r="B944" s="2" t="s">
        <v>854</v>
      </c>
      <c r="C944" s="2" t="s">
        <v>858</v>
      </c>
      <c r="D944" s="11">
        <v>45975.447222222225</v>
      </c>
      <c r="E944" s="11">
        <v>45975.447222222225</v>
      </c>
      <c r="F944" s="11">
        <v>45975.625</v>
      </c>
      <c r="G944" s="12">
        <v>0.17777777777519077</v>
      </c>
      <c r="H944" s="2" t="s">
        <v>248</v>
      </c>
      <c r="J944" s="2" t="s">
        <v>249</v>
      </c>
      <c r="K944" s="2" t="s">
        <v>349</v>
      </c>
      <c r="L944" s="2" t="s">
        <v>250</v>
      </c>
      <c r="M944" t="s">
        <v>251</v>
      </c>
      <c r="N944" t="s">
        <v>330</v>
      </c>
      <c r="O944" t="s">
        <v>852</v>
      </c>
      <c r="P944" t="s">
        <v>2000</v>
      </c>
      <c r="Q944" t="s">
        <v>966</v>
      </c>
    </row>
    <row r="945" spans="1:17">
      <c r="A945" s="2" t="s">
        <v>327</v>
      </c>
      <c r="B945" s="2" t="s">
        <v>327</v>
      </c>
      <c r="C945" s="2" t="s">
        <v>328</v>
      </c>
      <c r="D945" s="11">
        <v>45976.194444444445</v>
      </c>
      <c r="E945" s="11">
        <v>45976.194444444445</v>
      </c>
      <c r="F945" s="11">
        <v>45976.260416666664</v>
      </c>
      <c r="G945" s="12">
        <v>6.5972222218988463E-2</v>
      </c>
      <c r="H945" s="2" t="s">
        <v>248</v>
      </c>
      <c r="J945" s="2" t="s">
        <v>249</v>
      </c>
      <c r="K945" s="2" t="s">
        <v>349</v>
      </c>
      <c r="L945" s="2" t="s">
        <v>849</v>
      </c>
      <c r="M945" t="s">
        <v>251</v>
      </c>
      <c r="N945" t="s">
        <v>330</v>
      </c>
      <c r="O945" t="s">
        <v>331</v>
      </c>
      <c r="P945" t="s">
        <v>2001</v>
      </c>
      <c r="Q945" t="s">
        <v>966</v>
      </c>
    </row>
    <row r="946" spans="1:17">
      <c r="A946" s="2" t="s">
        <v>332</v>
      </c>
      <c r="B946" s="2" t="s">
        <v>332</v>
      </c>
      <c r="C946" s="2" t="s">
        <v>328</v>
      </c>
      <c r="D946" s="11">
        <v>45976.194444444445</v>
      </c>
      <c r="E946" s="11">
        <v>45976.194444444445</v>
      </c>
      <c r="F946" s="11">
        <v>45976.260416666664</v>
      </c>
      <c r="G946" s="12">
        <v>6.5972222218988463E-2</v>
      </c>
      <c r="H946" s="2" t="s">
        <v>248</v>
      </c>
      <c r="J946" s="2" t="s">
        <v>249</v>
      </c>
      <c r="K946" s="2" t="s">
        <v>349</v>
      </c>
      <c r="L946" s="2" t="s">
        <v>849</v>
      </c>
      <c r="M946" t="s">
        <v>251</v>
      </c>
      <c r="N946" t="s">
        <v>330</v>
      </c>
      <c r="O946" t="s">
        <v>331</v>
      </c>
      <c r="P946" t="s">
        <v>2002</v>
      </c>
      <c r="Q946" t="s">
        <v>966</v>
      </c>
    </row>
    <row r="947" spans="1:17">
      <c r="A947" s="2" t="s">
        <v>333</v>
      </c>
      <c r="B947" s="2" t="s">
        <v>333</v>
      </c>
      <c r="C947" s="2" t="s">
        <v>328</v>
      </c>
      <c r="D947" s="11">
        <v>45976.194444444445</v>
      </c>
      <c r="E947" s="11">
        <v>45976.194444444445</v>
      </c>
      <c r="F947" s="11">
        <v>45976.260416666664</v>
      </c>
      <c r="G947" s="12">
        <v>6.5972222218988463E-2</v>
      </c>
      <c r="H947" s="2" t="s">
        <v>248</v>
      </c>
      <c r="J947" s="2" t="s">
        <v>249</v>
      </c>
      <c r="K947" s="2" t="s">
        <v>349</v>
      </c>
      <c r="L947" s="2" t="s">
        <v>849</v>
      </c>
      <c r="M947" t="s">
        <v>251</v>
      </c>
      <c r="N947" t="s">
        <v>330</v>
      </c>
      <c r="O947" t="s">
        <v>331</v>
      </c>
      <c r="P947" t="s">
        <v>2003</v>
      </c>
      <c r="Q947" t="s">
        <v>966</v>
      </c>
    </row>
    <row r="948" spans="1:17">
      <c r="A948" s="2" t="s">
        <v>334</v>
      </c>
      <c r="B948" s="2" t="s">
        <v>334</v>
      </c>
      <c r="C948" s="2" t="s">
        <v>328</v>
      </c>
      <c r="D948" s="11">
        <v>45976.194444444445</v>
      </c>
      <c r="E948" s="11">
        <v>45976.194444444445</v>
      </c>
      <c r="F948" s="11">
        <v>45976.260416666664</v>
      </c>
      <c r="G948" s="12">
        <v>6.5972222218988463E-2</v>
      </c>
      <c r="H948" s="2" t="s">
        <v>248</v>
      </c>
      <c r="J948" s="2" t="s">
        <v>249</v>
      </c>
      <c r="K948" s="2" t="s">
        <v>349</v>
      </c>
      <c r="L948" s="2" t="s">
        <v>849</v>
      </c>
      <c r="M948" t="s">
        <v>251</v>
      </c>
      <c r="N948" t="s">
        <v>330</v>
      </c>
      <c r="O948" t="s">
        <v>331</v>
      </c>
      <c r="P948" t="s">
        <v>2004</v>
      </c>
      <c r="Q948" t="s">
        <v>966</v>
      </c>
    </row>
    <row r="949" spans="1:17">
      <c r="A949" s="2" t="s">
        <v>335</v>
      </c>
      <c r="B949" s="2" t="s">
        <v>335</v>
      </c>
      <c r="C949" s="2" t="s">
        <v>328</v>
      </c>
      <c r="D949" s="11">
        <v>45976.194444444445</v>
      </c>
      <c r="E949" s="11">
        <v>45976.194444444445</v>
      </c>
      <c r="F949" s="11">
        <v>45976.260416666664</v>
      </c>
      <c r="G949" s="12">
        <v>6.5972222218988463E-2</v>
      </c>
      <c r="H949" s="2" t="s">
        <v>248</v>
      </c>
      <c r="J949" s="2" t="s">
        <v>249</v>
      </c>
      <c r="K949" s="2" t="s">
        <v>349</v>
      </c>
      <c r="L949" s="2" t="s">
        <v>849</v>
      </c>
      <c r="M949" t="s">
        <v>251</v>
      </c>
      <c r="N949" t="s">
        <v>330</v>
      </c>
      <c r="O949" t="s">
        <v>331</v>
      </c>
      <c r="P949" t="s">
        <v>2005</v>
      </c>
      <c r="Q949" t="s">
        <v>966</v>
      </c>
    </row>
    <row r="950" spans="1:17">
      <c r="A950" s="2" t="s">
        <v>258</v>
      </c>
      <c r="B950" s="2" t="s">
        <v>258</v>
      </c>
      <c r="C950" s="2" t="s">
        <v>254</v>
      </c>
      <c r="D950" s="11">
        <v>45976.270833333336</v>
      </c>
      <c r="E950" s="11">
        <v>45976.270833333336</v>
      </c>
      <c r="F950" s="11">
        <v>45976.380555555559</v>
      </c>
      <c r="G950" s="12">
        <v>0.10972222222335404</v>
      </c>
      <c r="H950" s="2" t="s">
        <v>260</v>
      </c>
      <c r="I950" s="2" t="s">
        <v>261</v>
      </c>
      <c r="J950" s="2" t="s">
        <v>262</v>
      </c>
      <c r="K950" s="2" t="s">
        <v>263</v>
      </c>
      <c r="L950" s="2" t="s">
        <v>2006</v>
      </c>
      <c r="M950" t="s">
        <v>265</v>
      </c>
      <c r="N950" t="s">
        <v>266</v>
      </c>
      <c r="O950" t="s">
        <v>2007</v>
      </c>
      <c r="P950" t="s">
        <v>2008</v>
      </c>
      <c r="Q950" t="s">
        <v>1401</v>
      </c>
    </row>
    <row r="951" spans="1:17">
      <c r="A951" s="2" t="s">
        <v>258</v>
      </c>
      <c r="B951" s="2" t="s">
        <v>258</v>
      </c>
      <c r="C951" s="2" t="s">
        <v>255</v>
      </c>
      <c r="D951" s="11">
        <v>45976.270833333336</v>
      </c>
      <c r="E951" s="11">
        <v>45976.270833333336</v>
      </c>
      <c r="F951" s="11">
        <v>45976.380555555559</v>
      </c>
      <c r="G951" s="12">
        <v>0.10972222222335404</v>
      </c>
      <c r="H951" s="2" t="s">
        <v>260</v>
      </c>
      <c r="I951" s="2" t="s">
        <v>261</v>
      </c>
      <c r="J951" s="2" t="s">
        <v>262</v>
      </c>
      <c r="K951" s="2" t="s">
        <v>263</v>
      </c>
      <c r="L951" s="2" t="s">
        <v>2006</v>
      </c>
      <c r="M951" t="s">
        <v>265</v>
      </c>
      <c r="N951" t="s">
        <v>266</v>
      </c>
      <c r="O951" t="s">
        <v>2007</v>
      </c>
      <c r="P951" t="s">
        <v>2009</v>
      </c>
      <c r="Q951" t="s">
        <v>1401</v>
      </c>
    </row>
    <row r="952" spans="1:17">
      <c r="A952" s="2" t="s">
        <v>258</v>
      </c>
      <c r="B952" s="2" t="s">
        <v>258</v>
      </c>
      <c r="C952" s="2" t="s">
        <v>256</v>
      </c>
      <c r="D952" s="11">
        <v>45976.270833333336</v>
      </c>
      <c r="E952" s="11">
        <v>45976.270833333336</v>
      </c>
      <c r="F952" s="11">
        <v>45976.380555555559</v>
      </c>
      <c r="G952" s="12">
        <v>0.10972222222335404</v>
      </c>
      <c r="H952" s="2" t="s">
        <v>260</v>
      </c>
      <c r="I952" s="2" t="s">
        <v>261</v>
      </c>
      <c r="J952" s="2" t="s">
        <v>262</v>
      </c>
      <c r="K952" s="2" t="s">
        <v>263</v>
      </c>
      <c r="L952" s="2" t="s">
        <v>2006</v>
      </c>
      <c r="M952" t="s">
        <v>265</v>
      </c>
      <c r="N952" t="s">
        <v>266</v>
      </c>
      <c r="O952" t="s">
        <v>2007</v>
      </c>
      <c r="P952" t="s">
        <v>2010</v>
      </c>
      <c r="Q952" t="s">
        <v>1401</v>
      </c>
    </row>
    <row r="953" spans="1:17">
      <c r="A953" s="2" t="s">
        <v>258</v>
      </c>
      <c r="B953" s="2" t="s">
        <v>258</v>
      </c>
      <c r="C953" s="2" t="s">
        <v>247</v>
      </c>
      <c r="D953" s="11">
        <v>45976.270833333336</v>
      </c>
      <c r="E953" s="11">
        <v>45976.270833333336</v>
      </c>
      <c r="F953" s="11">
        <v>45976.380555555559</v>
      </c>
      <c r="G953" s="12">
        <v>0.10972222222335404</v>
      </c>
      <c r="H953" s="2" t="s">
        <v>260</v>
      </c>
      <c r="I953" s="2" t="s">
        <v>261</v>
      </c>
      <c r="J953" s="2" t="s">
        <v>262</v>
      </c>
      <c r="K953" s="2" t="s">
        <v>263</v>
      </c>
      <c r="L953" s="2" t="s">
        <v>2006</v>
      </c>
      <c r="M953" t="s">
        <v>265</v>
      </c>
      <c r="N953" t="s">
        <v>266</v>
      </c>
      <c r="O953" t="s">
        <v>2007</v>
      </c>
      <c r="P953" t="s">
        <v>2011</v>
      </c>
      <c r="Q953" t="s">
        <v>1401</v>
      </c>
    </row>
    <row r="954" spans="1:17">
      <c r="A954" s="2" t="s">
        <v>258</v>
      </c>
      <c r="B954" s="2" t="s">
        <v>258</v>
      </c>
      <c r="C954" s="2" t="s">
        <v>257</v>
      </c>
      <c r="D954" s="11">
        <v>45976.270833333336</v>
      </c>
      <c r="E954" s="11">
        <v>45976.270833333336</v>
      </c>
      <c r="F954" s="11">
        <v>45976.380555555559</v>
      </c>
      <c r="G954" s="12">
        <v>0.10972222222335404</v>
      </c>
      <c r="H954" s="2" t="s">
        <v>260</v>
      </c>
      <c r="I954" s="2" t="s">
        <v>261</v>
      </c>
      <c r="J954" s="2" t="s">
        <v>262</v>
      </c>
      <c r="K954" s="2" t="s">
        <v>263</v>
      </c>
      <c r="L954" s="2" t="s">
        <v>2006</v>
      </c>
      <c r="M954" t="s">
        <v>265</v>
      </c>
      <c r="N954" t="s">
        <v>266</v>
      </c>
      <c r="O954" t="s">
        <v>2007</v>
      </c>
      <c r="P954" t="s">
        <v>2012</v>
      </c>
      <c r="Q954" t="s">
        <v>1401</v>
      </c>
    </row>
    <row r="955" spans="1:17">
      <c r="A955" s="2" t="s">
        <v>702</v>
      </c>
      <c r="B955" s="2" t="s">
        <v>702</v>
      </c>
      <c r="C955" s="2" t="s">
        <v>354</v>
      </c>
      <c r="D955" s="11">
        <v>45976.470833333333</v>
      </c>
      <c r="E955" s="11">
        <v>45976.470833333333</v>
      </c>
      <c r="F955" s="11">
        <v>45976.509027777778</v>
      </c>
      <c r="G955" s="12">
        <v>3.8194444445252884E-2</v>
      </c>
      <c r="H955" s="2" t="s">
        <v>260</v>
      </c>
      <c r="I955" s="2" t="s">
        <v>261</v>
      </c>
      <c r="J955" s="2" t="s">
        <v>740</v>
      </c>
      <c r="K955" s="2" t="s">
        <v>1376</v>
      </c>
      <c r="L955" s="2" t="s">
        <v>390</v>
      </c>
      <c r="M955" t="s">
        <v>391</v>
      </c>
      <c r="N955" t="s">
        <v>266</v>
      </c>
      <c r="O955" t="s">
        <v>741</v>
      </c>
      <c r="P955" t="s">
        <v>2013</v>
      </c>
      <c r="Q955" t="s">
        <v>1378</v>
      </c>
    </row>
    <row r="956" spans="1:17">
      <c r="A956" s="2" t="s">
        <v>702</v>
      </c>
      <c r="B956" s="2" t="s">
        <v>702</v>
      </c>
      <c r="C956" s="2" t="s">
        <v>357</v>
      </c>
      <c r="D956" s="11">
        <v>45976.470833333333</v>
      </c>
      <c r="E956" s="11">
        <v>45976.470833333333</v>
      </c>
      <c r="F956" s="11">
        <v>45976.509027777778</v>
      </c>
      <c r="G956" s="12">
        <v>3.8194444445252884E-2</v>
      </c>
      <c r="H956" s="2" t="s">
        <v>260</v>
      </c>
      <c r="I956" s="2" t="s">
        <v>261</v>
      </c>
      <c r="J956" s="2" t="s">
        <v>740</v>
      </c>
      <c r="K956" s="2" t="s">
        <v>1376</v>
      </c>
      <c r="L956" s="2" t="s">
        <v>390</v>
      </c>
      <c r="M956" t="s">
        <v>391</v>
      </c>
      <c r="N956" t="s">
        <v>266</v>
      </c>
      <c r="O956" t="s">
        <v>741</v>
      </c>
      <c r="P956" t="s">
        <v>2014</v>
      </c>
      <c r="Q956" t="s">
        <v>1378</v>
      </c>
    </row>
    <row r="957" spans="1:17">
      <c r="A957" s="2" t="s">
        <v>702</v>
      </c>
      <c r="B957" s="2" t="s">
        <v>702</v>
      </c>
      <c r="C957" s="2" t="s">
        <v>705</v>
      </c>
      <c r="D957" s="11">
        <v>45976.470833333333</v>
      </c>
      <c r="E957" s="11">
        <v>45976.470833333333</v>
      </c>
      <c r="F957" s="11">
        <v>45976.509027777778</v>
      </c>
      <c r="G957" s="12">
        <v>3.8194444445252884E-2</v>
      </c>
      <c r="H957" s="2" t="s">
        <v>260</v>
      </c>
      <c r="I957" s="2" t="s">
        <v>261</v>
      </c>
      <c r="J957" s="2" t="s">
        <v>740</v>
      </c>
      <c r="K957" s="2" t="s">
        <v>1376</v>
      </c>
      <c r="L957" s="2" t="s">
        <v>390</v>
      </c>
      <c r="M957" t="s">
        <v>391</v>
      </c>
      <c r="N957" t="s">
        <v>266</v>
      </c>
      <c r="O957" t="s">
        <v>741</v>
      </c>
      <c r="P957" t="s">
        <v>2015</v>
      </c>
      <c r="Q957" t="s">
        <v>1378</v>
      </c>
    </row>
    <row r="958" spans="1:17">
      <c r="A958" s="2" t="s">
        <v>702</v>
      </c>
      <c r="B958" s="2" t="s">
        <v>702</v>
      </c>
      <c r="C958" s="2" t="s">
        <v>706</v>
      </c>
      <c r="D958" s="11">
        <v>45976.470833333333</v>
      </c>
      <c r="E958" s="11">
        <v>45976.470833333333</v>
      </c>
      <c r="F958" s="11">
        <v>45976.509027777778</v>
      </c>
      <c r="G958" s="12">
        <v>3.8194444445252884E-2</v>
      </c>
      <c r="H958" s="2" t="s">
        <v>260</v>
      </c>
      <c r="I958" s="2" t="s">
        <v>261</v>
      </c>
      <c r="J958" s="2" t="s">
        <v>740</v>
      </c>
      <c r="K958" s="2" t="s">
        <v>1376</v>
      </c>
      <c r="L958" s="2" t="s">
        <v>390</v>
      </c>
      <c r="M958" t="s">
        <v>391</v>
      </c>
      <c r="N958" t="s">
        <v>266</v>
      </c>
      <c r="O958" t="s">
        <v>741</v>
      </c>
      <c r="P958" t="s">
        <v>2016</v>
      </c>
      <c r="Q958" t="s">
        <v>1378</v>
      </c>
    </row>
    <row r="959" spans="1:17">
      <c r="A959" s="2" t="s">
        <v>702</v>
      </c>
      <c r="B959" s="2" t="s">
        <v>702</v>
      </c>
      <c r="C959" s="2" t="s">
        <v>386</v>
      </c>
      <c r="D959" s="11">
        <v>45976.470833333333</v>
      </c>
      <c r="E959" s="11">
        <v>45976.470833333333</v>
      </c>
      <c r="F959" s="11">
        <v>45976.509027777778</v>
      </c>
      <c r="G959" s="12">
        <v>3.8194444445252884E-2</v>
      </c>
      <c r="H959" s="2" t="s">
        <v>260</v>
      </c>
      <c r="I959" s="2" t="s">
        <v>261</v>
      </c>
      <c r="J959" s="2" t="s">
        <v>740</v>
      </c>
      <c r="K959" s="2" t="s">
        <v>1376</v>
      </c>
      <c r="L959" s="2" t="s">
        <v>390</v>
      </c>
      <c r="M959" t="s">
        <v>391</v>
      </c>
      <c r="N959" t="s">
        <v>266</v>
      </c>
      <c r="O959" t="s">
        <v>741</v>
      </c>
      <c r="P959" t="s">
        <v>2017</v>
      </c>
      <c r="Q959" t="s">
        <v>1378</v>
      </c>
    </row>
    <row r="960" spans="1:17">
      <c r="A960" s="2" t="s">
        <v>707</v>
      </c>
      <c r="B960" s="2" t="s">
        <v>707</v>
      </c>
      <c r="C960" s="2" t="s">
        <v>708</v>
      </c>
      <c r="D960" s="11">
        <v>45976.470833333333</v>
      </c>
      <c r="E960" s="11">
        <v>45976.470833333333</v>
      </c>
      <c r="F960" s="11">
        <v>45976.509027777778</v>
      </c>
      <c r="G960" s="12">
        <v>3.8194444445252884E-2</v>
      </c>
      <c r="H960" s="2" t="s">
        <v>260</v>
      </c>
      <c r="I960" s="2" t="s">
        <v>261</v>
      </c>
      <c r="J960" s="2" t="s">
        <v>740</v>
      </c>
      <c r="K960" s="2" t="s">
        <v>1376</v>
      </c>
      <c r="L960" s="2" t="s">
        <v>390</v>
      </c>
      <c r="M960" t="s">
        <v>391</v>
      </c>
      <c r="N960" t="s">
        <v>266</v>
      </c>
      <c r="O960" t="s">
        <v>741</v>
      </c>
      <c r="P960" t="s">
        <v>2018</v>
      </c>
      <c r="Q960" t="s">
        <v>1378</v>
      </c>
    </row>
    <row r="961" spans="1:17">
      <c r="A961" s="2" t="s">
        <v>707</v>
      </c>
      <c r="B961" s="2" t="s">
        <v>707</v>
      </c>
      <c r="C961" s="2" t="s">
        <v>709</v>
      </c>
      <c r="D961" s="11">
        <v>45976.470833333333</v>
      </c>
      <c r="E961" s="11">
        <v>45976.470833333333</v>
      </c>
      <c r="F961" s="11">
        <v>45976.509027777778</v>
      </c>
      <c r="G961" s="12">
        <v>3.8194444445252884E-2</v>
      </c>
      <c r="H961" s="2" t="s">
        <v>260</v>
      </c>
      <c r="I961" s="2" t="s">
        <v>261</v>
      </c>
      <c r="J961" s="2" t="s">
        <v>740</v>
      </c>
      <c r="K961" s="2" t="s">
        <v>1376</v>
      </c>
      <c r="L961" s="2" t="s">
        <v>390</v>
      </c>
      <c r="M961" t="s">
        <v>391</v>
      </c>
      <c r="N961" t="s">
        <v>266</v>
      </c>
      <c r="O961" t="s">
        <v>741</v>
      </c>
      <c r="P961" t="s">
        <v>2019</v>
      </c>
      <c r="Q961" t="s">
        <v>1378</v>
      </c>
    </row>
    <row r="962" spans="1:17">
      <c r="A962" s="2" t="s">
        <v>707</v>
      </c>
      <c r="B962" s="2" t="s">
        <v>707</v>
      </c>
      <c r="C962" s="2" t="s">
        <v>710</v>
      </c>
      <c r="D962" s="11">
        <v>45976.470833333333</v>
      </c>
      <c r="E962" s="11">
        <v>45976.470833333333</v>
      </c>
      <c r="F962" s="11">
        <v>45976.509027777778</v>
      </c>
      <c r="G962" s="12">
        <v>3.8194444445252884E-2</v>
      </c>
      <c r="H962" s="2" t="s">
        <v>260</v>
      </c>
      <c r="I962" s="2" t="s">
        <v>261</v>
      </c>
      <c r="J962" s="2" t="s">
        <v>740</v>
      </c>
      <c r="K962" s="2" t="s">
        <v>1376</v>
      </c>
      <c r="L962" s="2" t="s">
        <v>390</v>
      </c>
      <c r="M962" t="s">
        <v>391</v>
      </c>
      <c r="N962" t="s">
        <v>266</v>
      </c>
      <c r="O962" t="s">
        <v>741</v>
      </c>
      <c r="P962" t="s">
        <v>2020</v>
      </c>
      <c r="Q962" t="s">
        <v>1378</v>
      </c>
    </row>
    <row r="963" spans="1:17">
      <c r="A963" s="2" t="s">
        <v>696</v>
      </c>
      <c r="B963" s="2" t="s">
        <v>696</v>
      </c>
      <c r="C963" s="2" t="s">
        <v>328</v>
      </c>
      <c r="D963" s="11">
        <v>45976.555555555555</v>
      </c>
      <c r="E963" s="11">
        <v>45976.555555555555</v>
      </c>
      <c r="F963" s="11">
        <v>45976.694444444445</v>
      </c>
      <c r="G963" s="12">
        <v>0.13888888889050577</v>
      </c>
      <c r="H963" s="2" t="s">
        <v>260</v>
      </c>
      <c r="I963" s="2" t="s">
        <v>261</v>
      </c>
      <c r="J963" s="2" t="s">
        <v>740</v>
      </c>
      <c r="K963" s="2" t="s">
        <v>1376</v>
      </c>
      <c r="L963" s="2" t="s">
        <v>2021</v>
      </c>
      <c r="M963" t="s">
        <v>391</v>
      </c>
      <c r="N963" t="s">
        <v>266</v>
      </c>
      <c r="O963" t="s">
        <v>2022</v>
      </c>
      <c r="P963" t="s">
        <v>2023</v>
      </c>
      <c r="Q963" t="s">
        <v>1378</v>
      </c>
    </row>
    <row r="964" spans="1:17">
      <c r="A964" s="2" t="s">
        <v>696</v>
      </c>
      <c r="B964" s="2" t="s">
        <v>696</v>
      </c>
      <c r="C964" s="2" t="s">
        <v>699</v>
      </c>
      <c r="D964" s="11">
        <v>45976.555555555555</v>
      </c>
      <c r="E964" s="11">
        <v>45976.555555555555</v>
      </c>
      <c r="F964" s="11">
        <v>45976.694444444445</v>
      </c>
      <c r="G964" s="12">
        <v>0.13888888889050577</v>
      </c>
      <c r="H964" s="2" t="s">
        <v>260</v>
      </c>
      <c r="I964" s="2" t="s">
        <v>261</v>
      </c>
      <c r="J964" s="2" t="s">
        <v>740</v>
      </c>
      <c r="K964" s="2" t="s">
        <v>1376</v>
      </c>
      <c r="L964" s="2" t="s">
        <v>2021</v>
      </c>
      <c r="M964" t="s">
        <v>391</v>
      </c>
      <c r="N964" t="s">
        <v>266</v>
      </c>
      <c r="O964" t="s">
        <v>2022</v>
      </c>
      <c r="P964" t="s">
        <v>2024</v>
      </c>
      <c r="Q964" t="s">
        <v>1378</v>
      </c>
    </row>
    <row r="965" spans="1:17">
      <c r="A965" s="2" t="s">
        <v>696</v>
      </c>
      <c r="B965" s="2" t="s">
        <v>696</v>
      </c>
      <c r="C965" s="2" t="s">
        <v>2025</v>
      </c>
      <c r="D965" s="11">
        <v>45976.555555555555</v>
      </c>
      <c r="E965" s="11">
        <v>45976.555555555555</v>
      </c>
      <c r="F965" s="11">
        <v>45976.694444444445</v>
      </c>
      <c r="G965" s="12">
        <v>0.13888888889050577</v>
      </c>
      <c r="H965" s="2" t="s">
        <v>260</v>
      </c>
      <c r="I965" s="2" t="s">
        <v>261</v>
      </c>
      <c r="J965" s="2" t="s">
        <v>740</v>
      </c>
      <c r="K965" s="2" t="s">
        <v>1376</v>
      </c>
      <c r="L965" s="2" t="s">
        <v>2021</v>
      </c>
      <c r="M965" t="s">
        <v>391</v>
      </c>
      <c r="N965" t="s">
        <v>266</v>
      </c>
      <c r="O965" t="s">
        <v>2022</v>
      </c>
      <c r="P965" t="s">
        <v>2026</v>
      </c>
      <c r="Q965" t="s">
        <v>1378</v>
      </c>
    </row>
    <row r="966" spans="1:17">
      <c r="A966" s="2" t="s">
        <v>696</v>
      </c>
      <c r="B966" s="2" t="s">
        <v>696</v>
      </c>
      <c r="C966" s="2" t="s">
        <v>2027</v>
      </c>
      <c r="D966" s="11">
        <v>45976.555555555555</v>
      </c>
      <c r="E966" s="11">
        <v>45976.555555555555</v>
      </c>
      <c r="F966" s="11">
        <v>45976.694444444445</v>
      </c>
      <c r="G966" s="12">
        <v>0.13888888889050577</v>
      </c>
      <c r="H966" s="2" t="s">
        <v>260</v>
      </c>
      <c r="I966" s="2" t="s">
        <v>261</v>
      </c>
      <c r="J966" s="2" t="s">
        <v>740</v>
      </c>
      <c r="K966" s="2" t="s">
        <v>1376</v>
      </c>
      <c r="L966" s="2" t="s">
        <v>2021</v>
      </c>
      <c r="M966" t="s">
        <v>391</v>
      </c>
      <c r="N966" t="s">
        <v>266</v>
      </c>
      <c r="O966" t="s">
        <v>2022</v>
      </c>
      <c r="P966" t="s">
        <v>2028</v>
      </c>
      <c r="Q966" t="s">
        <v>1378</v>
      </c>
    </row>
    <row r="967" spans="1:17">
      <c r="A967" s="2" t="s">
        <v>696</v>
      </c>
      <c r="B967" s="2" t="s">
        <v>696</v>
      </c>
      <c r="C967" s="2" t="s">
        <v>2029</v>
      </c>
      <c r="D967" s="11">
        <v>45976.555555555555</v>
      </c>
      <c r="E967" s="11">
        <v>45976.555555555555</v>
      </c>
      <c r="F967" s="11">
        <v>45976.694444444445</v>
      </c>
      <c r="G967" s="12">
        <v>0.13888888889050577</v>
      </c>
      <c r="H967" s="2" t="s">
        <v>260</v>
      </c>
      <c r="I967" s="2" t="s">
        <v>261</v>
      </c>
      <c r="J967" s="2" t="s">
        <v>740</v>
      </c>
      <c r="K967" s="2" t="s">
        <v>1376</v>
      </c>
      <c r="L967" s="2" t="s">
        <v>2021</v>
      </c>
      <c r="M967" t="s">
        <v>391</v>
      </c>
      <c r="N967" t="s">
        <v>266</v>
      </c>
      <c r="O967" t="s">
        <v>2022</v>
      </c>
      <c r="P967" t="s">
        <v>2030</v>
      </c>
      <c r="Q967" t="s">
        <v>1378</v>
      </c>
    </row>
    <row r="968" spans="1:17">
      <c r="A968" s="2" t="s">
        <v>644</v>
      </c>
      <c r="B968" s="2" t="s">
        <v>644</v>
      </c>
      <c r="C968" s="2" t="s">
        <v>2031</v>
      </c>
      <c r="D968" s="11">
        <v>45976.555555555555</v>
      </c>
      <c r="E968" s="11">
        <v>45976.555555555555</v>
      </c>
      <c r="F968" s="11">
        <v>45976.694444444445</v>
      </c>
      <c r="G968" s="12">
        <v>0.13888888889050577</v>
      </c>
      <c r="H968" s="2" t="s">
        <v>260</v>
      </c>
      <c r="I968" s="2" t="s">
        <v>261</v>
      </c>
      <c r="J968" s="2" t="s">
        <v>740</v>
      </c>
      <c r="K968" s="2" t="s">
        <v>1376</v>
      </c>
      <c r="L968" s="2" t="s">
        <v>2021</v>
      </c>
      <c r="M968" t="s">
        <v>391</v>
      </c>
      <c r="N968" t="s">
        <v>266</v>
      </c>
      <c r="O968" t="s">
        <v>2022</v>
      </c>
      <c r="P968" t="s">
        <v>2032</v>
      </c>
      <c r="Q968" t="s">
        <v>1378</v>
      </c>
    </row>
    <row r="969" spans="1:17">
      <c r="A969" s="2" t="s">
        <v>644</v>
      </c>
      <c r="B969" s="2" t="s">
        <v>644</v>
      </c>
      <c r="C969" s="2" t="s">
        <v>2033</v>
      </c>
      <c r="D969" s="11">
        <v>45976.555555555555</v>
      </c>
      <c r="E969" s="11">
        <v>45976.555555555555</v>
      </c>
      <c r="F969" s="11">
        <v>45976.694444444445</v>
      </c>
      <c r="G969" s="12">
        <v>0.13888888889050577</v>
      </c>
      <c r="H969" s="2" t="s">
        <v>260</v>
      </c>
      <c r="I969" s="2" t="s">
        <v>261</v>
      </c>
      <c r="J969" s="2" t="s">
        <v>740</v>
      </c>
      <c r="K969" s="2" t="s">
        <v>1376</v>
      </c>
      <c r="L969" s="2" t="s">
        <v>2021</v>
      </c>
      <c r="M969" t="s">
        <v>391</v>
      </c>
      <c r="N969" t="s">
        <v>266</v>
      </c>
      <c r="O969" t="s">
        <v>2022</v>
      </c>
      <c r="P969" t="s">
        <v>2034</v>
      </c>
      <c r="Q969" t="s">
        <v>1378</v>
      </c>
    </row>
    <row r="970" spans="1:17">
      <c r="A970" s="2" t="s">
        <v>644</v>
      </c>
      <c r="B970" s="2" t="s">
        <v>644</v>
      </c>
      <c r="C970" s="2" t="s">
        <v>2035</v>
      </c>
      <c r="D970" s="11">
        <v>45976.555555555555</v>
      </c>
      <c r="E970" s="11">
        <v>45976.555555555555</v>
      </c>
      <c r="F970" s="11">
        <v>45976.694444444445</v>
      </c>
      <c r="G970" s="12">
        <v>0.13888888889050577</v>
      </c>
      <c r="H970" s="2" t="s">
        <v>260</v>
      </c>
      <c r="I970" s="2" t="s">
        <v>261</v>
      </c>
      <c r="J970" s="2" t="s">
        <v>740</v>
      </c>
      <c r="K970" s="2" t="s">
        <v>1376</v>
      </c>
      <c r="L970" s="2" t="s">
        <v>2021</v>
      </c>
      <c r="M970" t="s">
        <v>391</v>
      </c>
      <c r="N970" t="s">
        <v>266</v>
      </c>
      <c r="O970" t="s">
        <v>2022</v>
      </c>
      <c r="P970" t="s">
        <v>2036</v>
      </c>
      <c r="Q970" t="s">
        <v>1378</v>
      </c>
    </row>
    <row r="971" spans="1:17">
      <c r="A971" s="2" t="s">
        <v>644</v>
      </c>
      <c r="B971" s="2" t="s">
        <v>644</v>
      </c>
      <c r="C971" s="2" t="s">
        <v>2037</v>
      </c>
      <c r="D971" s="11">
        <v>45976.555555555555</v>
      </c>
      <c r="E971" s="11">
        <v>45976.555555555555</v>
      </c>
      <c r="F971" s="11">
        <v>45976.694444444445</v>
      </c>
      <c r="G971" s="12">
        <v>0.13888888889050577</v>
      </c>
      <c r="H971" s="2" t="s">
        <v>260</v>
      </c>
      <c r="I971" s="2" t="s">
        <v>261</v>
      </c>
      <c r="J971" s="2" t="s">
        <v>740</v>
      </c>
      <c r="K971" s="2" t="s">
        <v>1376</v>
      </c>
      <c r="L971" s="2" t="s">
        <v>2021</v>
      </c>
      <c r="M971" t="s">
        <v>391</v>
      </c>
      <c r="N971" t="s">
        <v>266</v>
      </c>
      <c r="O971" t="s">
        <v>2022</v>
      </c>
      <c r="P971" t="s">
        <v>2038</v>
      </c>
      <c r="Q971" t="s">
        <v>1378</v>
      </c>
    </row>
    <row r="972" spans="1:17">
      <c r="A972" s="2" t="s">
        <v>644</v>
      </c>
      <c r="B972" s="2" t="s">
        <v>644</v>
      </c>
      <c r="C972" s="2" t="s">
        <v>2039</v>
      </c>
      <c r="D972" s="11">
        <v>45976.555555555555</v>
      </c>
      <c r="E972" s="11">
        <v>45976.555555555555</v>
      </c>
      <c r="F972" s="11">
        <v>45976.694444444445</v>
      </c>
      <c r="G972" s="12">
        <v>0.13888888889050577</v>
      </c>
      <c r="H972" s="2" t="s">
        <v>260</v>
      </c>
      <c r="I972" s="2" t="s">
        <v>261</v>
      </c>
      <c r="J972" s="2" t="s">
        <v>740</v>
      </c>
      <c r="K972" s="2" t="s">
        <v>1376</v>
      </c>
      <c r="L972" s="2" t="s">
        <v>2021</v>
      </c>
      <c r="M972" t="s">
        <v>391</v>
      </c>
      <c r="N972" t="s">
        <v>266</v>
      </c>
      <c r="O972" t="s">
        <v>2022</v>
      </c>
      <c r="P972" t="s">
        <v>2040</v>
      </c>
      <c r="Q972" t="s">
        <v>1378</v>
      </c>
    </row>
    <row r="973" spans="1:17">
      <c r="A973" s="2" t="s">
        <v>615</v>
      </c>
      <c r="B973" s="2" t="s">
        <v>615</v>
      </c>
      <c r="C973" s="2" t="s">
        <v>2041</v>
      </c>
      <c r="D973" s="11">
        <v>45976.555555555555</v>
      </c>
      <c r="E973" s="11">
        <v>45976.555555555555</v>
      </c>
      <c r="F973" s="11">
        <v>45976.694444444445</v>
      </c>
      <c r="G973" s="12">
        <v>0.13888888889050577</v>
      </c>
      <c r="H973" s="2" t="s">
        <v>260</v>
      </c>
      <c r="I973" s="2" t="s">
        <v>261</v>
      </c>
      <c r="J973" s="2" t="s">
        <v>740</v>
      </c>
      <c r="K973" s="2" t="s">
        <v>1376</v>
      </c>
      <c r="L973" s="2" t="s">
        <v>2021</v>
      </c>
      <c r="M973" t="s">
        <v>391</v>
      </c>
      <c r="N973" t="s">
        <v>266</v>
      </c>
      <c r="O973" t="s">
        <v>2022</v>
      </c>
      <c r="P973" t="s">
        <v>2042</v>
      </c>
      <c r="Q973" t="s">
        <v>1378</v>
      </c>
    </row>
    <row r="974" spans="1:17">
      <c r="A974" s="2" t="s">
        <v>615</v>
      </c>
      <c r="B974" s="2" t="s">
        <v>615</v>
      </c>
      <c r="C974" s="2" t="s">
        <v>2029</v>
      </c>
      <c r="D974" s="11">
        <v>45976.555555555555</v>
      </c>
      <c r="E974" s="11">
        <v>45976.555555555555</v>
      </c>
      <c r="F974" s="11">
        <v>45976.694444444445</v>
      </c>
      <c r="G974" s="12">
        <v>0.13888888889050577</v>
      </c>
      <c r="H974" s="2" t="s">
        <v>260</v>
      </c>
      <c r="I974" s="2" t="s">
        <v>261</v>
      </c>
      <c r="J974" s="2" t="s">
        <v>740</v>
      </c>
      <c r="K974" s="2" t="s">
        <v>1376</v>
      </c>
      <c r="L974" s="2" t="s">
        <v>2021</v>
      </c>
      <c r="M974" t="s">
        <v>391</v>
      </c>
      <c r="N974" t="s">
        <v>266</v>
      </c>
      <c r="O974" t="s">
        <v>2022</v>
      </c>
      <c r="P974" t="s">
        <v>2043</v>
      </c>
      <c r="Q974" t="s">
        <v>1378</v>
      </c>
    </row>
    <row r="975" spans="1:17">
      <c r="A975" s="2" t="s">
        <v>615</v>
      </c>
      <c r="B975" s="2" t="s">
        <v>615</v>
      </c>
      <c r="C975" s="2" t="s">
        <v>2044</v>
      </c>
      <c r="D975" s="11">
        <v>45976.555555555555</v>
      </c>
      <c r="E975" s="11">
        <v>45976.555555555555</v>
      </c>
      <c r="F975" s="11">
        <v>45976.694444444445</v>
      </c>
      <c r="G975" s="12">
        <v>0.13888888889050577</v>
      </c>
      <c r="H975" s="2" t="s">
        <v>260</v>
      </c>
      <c r="I975" s="2" t="s">
        <v>261</v>
      </c>
      <c r="J975" s="2" t="s">
        <v>740</v>
      </c>
      <c r="K975" s="2" t="s">
        <v>1376</v>
      </c>
      <c r="L975" s="2" t="s">
        <v>2021</v>
      </c>
      <c r="M975" t="s">
        <v>391</v>
      </c>
      <c r="N975" t="s">
        <v>266</v>
      </c>
      <c r="O975" t="s">
        <v>2022</v>
      </c>
      <c r="P975" t="s">
        <v>2045</v>
      </c>
      <c r="Q975" t="s">
        <v>1378</v>
      </c>
    </row>
    <row r="976" spans="1:17">
      <c r="A976" s="2" t="s">
        <v>327</v>
      </c>
      <c r="B976" s="2" t="s">
        <v>327</v>
      </c>
      <c r="C976" s="2" t="s">
        <v>328</v>
      </c>
      <c r="D976" s="11">
        <v>45976.726388888892</v>
      </c>
      <c r="E976" s="11">
        <v>45976.726388888892</v>
      </c>
      <c r="F976" s="11">
        <v>45977.253472222219</v>
      </c>
      <c r="G976" s="12">
        <v>0.5270833333270275</v>
      </c>
      <c r="H976" s="2" t="s">
        <v>248</v>
      </c>
      <c r="J976" s="2" t="s">
        <v>249</v>
      </c>
      <c r="K976" s="2" t="s">
        <v>349</v>
      </c>
      <c r="L976" s="2" t="s">
        <v>849</v>
      </c>
      <c r="M976" t="s">
        <v>251</v>
      </c>
      <c r="N976" t="s">
        <v>330</v>
      </c>
      <c r="O976" t="s">
        <v>331</v>
      </c>
      <c r="P976" t="s">
        <v>2046</v>
      </c>
      <c r="Q976" t="s">
        <v>966</v>
      </c>
    </row>
    <row r="977" spans="1:17">
      <c r="A977" s="2" t="s">
        <v>332</v>
      </c>
      <c r="B977" s="2" t="s">
        <v>332</v>
      </c>
      <c r="C977" s="2" t="s">
        <v>328</v>
      </c>
      <c r="D977" s="11">
        <v>45976.726388888892</v>
      </c>
      <c r="E977" s="11">
        <v>45976.726388888892</v>
      </c>
      <c r="F977" s="11">
        <v>45977.253472222219</v>
      </c>
      <c r="G977" s="12">
        <v>0.5270833333270275</v>
      </c>
      <c r="H977" s="2" t="s">
        <v>248</v>
      </c>
      <c r="J977" s="2" t="s">
        <v>249</v>
      </c>
      <c r="K977" s="2" t="s">
        <v>349</v>
      </c>
      <c r="L977" s="2" t="s">
        <v>849</v>
      </c>
      <c r="M977" t="s">
        <v>251</v>
      </c>
      <c r="N977" t="s">
        <v>330</v>
      </c>
      <c r="O977" t="s">
        <v>331</v>
      </c>
      <c r="P977" t="s">
        <v>2047</v>
      </c>
      <c r="Q977" t="s">
        <v>966</v>
      </c>
    </row>
    <row r="978" spans="1:17">
      <c r="A978" s="2" t="s">
        <v>333</v>
      </c>
      <c r="B978" s="2" t="s">
        <v>333</v>
      </c>
      <c r="C978" s="2" t="s">
        <v>328</v>
      </c>
      <c r="D978" s="11">
        <v>45976.726388888892</v>
      </c>
      <c r="E978" s="11">
        <v>45976.726388888892</v>
      </c>
      <c r="F978" s="11">
        <v>45977.253472222219</v>
      </c>
      <c r="G978" s="12">
        <v>0.5270833333270275</v>
      </c>
      <c r="H978" s="2" t="s">
        <v>248</v>
      </c>
      <c r="J978" s="2" t="s">
        <v>249</v>
      </c>
      <c r="K978" s="2" t="s">
        <v>349</v>
      </c>
      <c r="L978" s="2" t="s">
        <v>849</v>
      </c>
      <c r="M978" t="s">
        <v>251</v>
      </c>
      <c r="N978" t="s">
        <v>330</v>
      </c>
      <c r="O978" t="s">
        <v>331</v>
      </c>
      <c r="P978" t="s">
        <v>2048</v>
      </c>
      <c r="Q978" t="s">
        <v>966</v>
      </c>
    </row>
    <row r="979" spans="1:17">
      <c r="A979" s="2" t="s">
        <v>334</v>
      </c>
      <c r="B979" s="2" t="s">
        <v>334</v>
      </c>
      <c r="C979" s="2" t="s">
        <v>328</v>
      </c>
      <c r="D979" s="11">
        <v>45976.726388888892</v>
      </c>
      <c r="E979" s="11">
        <v>45976.726388888892</v>
      </c>
      <c r="F979" s="11">
        <v>45977.253472222219</v>
      </c>
      <c r="G979" s="12">
        <v>0.5270833333270275</v>
      </c>
      <c r="H979" s="2" t="s">
        <v>248</v>
      </c>
      <c r="J979" s="2" t="s">
        <v>249</v>
      </c>
      <c r="K979" s="2" t="s">
        <v>349</v>
      </c>
      <c r="L979" s="2" t="s">
        <v>849</v>
      </c>
      <c r="M979" t="s">
        <v>251</v>
      </c>
      <c r="N979" t="s">
        <v>330</v>
      </c>
      <c r="O979" t="s">
        <v>331</v>
      </c>
      <c r="P979" t="s">
        <v>2049</v>
      </c>
      <c r="Q979" t="s">
        <v>966</v>
      </c>
    </row>
    <row r="980" spans="1:17">
      <c r="A980" s="2" t="s">
        <v>335</v>
      </c>
      <c r="B980" s="2" t="s">
        <v>335</v>
      </c>
      <c r="C980" s="2" t="s">
        <v>328</v>
      </c>
      <c r="D980" s="11">
        <v>45976.726388888892</v>
      </c>
      <c r="E980" s="11">
        <v>45976.726388888892</v>
      </c>
      <c r="F980" s="11">
        <v>45977.253472222219</v>
      </c>
      <c r="G980" s="12">
        <v>0.5270833333270275</v>
      </c>
      <c r="H980" s="2" t="s">
        <v>248</v>
      </c>
      <c r="J980" s="2" t="s">
        <v>249</v>
      </c>
      <c r="K980" s="2" t="s">
        <v>349</v>
      </c>
      <c r="L980" s="2" t="s">
        <v>849</v>
      </c>
      <c r="M980" t="s">
        <v>251</v>
      </c>
      <c r="N980" t="s">
        <v>330</v>
      </c>
      <c r="O980" t="s">
        <v>331</v>
      </c>
      <c r="P980" t="s">
        <v>2050</v>
      </c>
      <c r="Q980" t="s">
        <v>966</v>
      </c>
    </row>
    <row r="981" spans="1:17">
      <c r="A981" s="2" t="s">
        <v>696</v>
      </c>
      <c r="B981" s="2" t="s">
        <v>696</v>
      </c>
      <c r="C981" s="2" t="s">
        <v>328</v>
      </c>
      <c r="D981" s="11">
        <v>45976.731944444444</v>
      </c>
      <c r="E981" s="11">
        <v>45976.731944444444</v>
      </c>
      <c r="F981" s="11">
        <v>45977.486111111109</v>
      </c>
      <c r="G981" s="12">
        <v>0.75416666666569654</v>
      </c>
      <c r="H981" s="2" t="s">
        <v>260</v>
      </c>
      <c r="I981" s="2" t="s">
        <v>261</v>
      </c>
      <c r="J981" s="2" t="s">
        <v>262</v>
      </c>
      <c r="K981" s="2" t="s">
        <v>263</v>
      </c>
      <c r="L981" s="2" t="s">
        <v>2051</v>
      </c>
      <c r="M981" t="s">
        <v>265</v>
      </c>
      <c r="N981" t="s">
        <v>266</v>
      </c>
      <c r="O981" t="s">
        <v>2052</v>
      </c>
      <c r="P981" t="s">
        <v>2053</v>
      </c>
      <c r="Q981" t="s">
        <v>1401</v>
      </c>
    </row>
    <row r="982" spans="1:17">
      <c r="A982" s="2" t="s">
        <v>696</v>
      </c>
      <c r="B982" s="2" t="s">
        <v>696</v>
      </c>
      <c r="C982" s="2" t="s">
        <v>699</v>
      </c>
      <c r="D982" s="11">
        <v>45976.731944444444</v>
      </c>
      <c r="E982" s="11">
        <v>45976.731944444444</v>
      </c>
      <c r="F982" s="11">
        <v>45977.486111111109</v>
      </c>
      <c r="G982" s="12">
        <v>0.75416666666569654</v>
      </c>
      <c r="H982" s="2" t="s">
        <v>260</v>
      </c>
      <c r="I982" s="2" t="s">
        <v>261</v>
      </c>
      <c r="J982" s="2" t="s">
        <v>262</v>
      </c>
      <c r="K982" s="2" t="s">
        <v>263</v>
      </c>
      <c r="L982" s="2" t="s">
        <v>2051</v>
      </c>
      <c r="M982" t="s">
        <v>265</v>
      </c>
      <c r="N982" t="s">
        <v>266</v>
      </c>
      <c r="O982" t="s">
        <v>2052</v>
      </c>
      <c r="P982" t="s">
        <v>2054</v>
      </c>
      <c r="Q982" t="s">
        <v>1401</v>
      </c>
    </row>
    <row r="983" spans="1:17">
      <c r="A983" s="2" t="s">
        <v>696</v>
      </c>
      <c r="B983" s="2" t="s">
        <v>696</v>
      </c>
      <c r="C983" s="2" t="s">
        <v>2025</v>
      </c>
      <c r="D983" s="11">
        <v>45976.731944444444</v>
      </c>
      <c r="E983" s="11">
        <v>45976.731944444444</v>
      </c>
      <c r="F983" s="11">
        <v>45977.486111111109</v>
      </c>
      <c r="G983" s="12">
        <v>0.75416666666569654</v>
      </c>
      <c r="H983" s="2" t="s">
        <v>260</v>
      </c>
      <c r="I983" s="2" t="s">
        <v>261</v>
      </c>
      <c r="J983" s="2" t="s">
        <v>262</v>
      </c>
      <c r="K983" s="2" t="s">
        <v>263</v>
      </c>
      <c r="L983" s="2" t="s">
        <v>2051</v>
      </c>
      <c r="M983" t="s">
        <v>265</v>
      </c>
      <c r="N983" t="s">
        <v>266</v>
      </c>
      <c r="O983" t="s">
        <v>2052</v>
      </c>
      <c r="P983" t="s">
        <v>2055</v>
      </c>
      <c r="Q983" t="s">
        <v>1401</v>
      </c>
    </row>
    <row r="984" spans="1:17">
      <c r="A984" s="2" t="s">
        <v>696</v>
      </c>
      <c r="B984" s="2" t="s">
        <v>696</v>
      </c>
      <c r="C984" s="2" t="s">
        <v>2027</v>
      </c>
      <c r="D984" s="11">
        <v>45976.731944444444</v>
      </c>
      <c r="E984" s="11">
        <v>45976.731944444444</v>
      </c>
      <c r="F984" s="11">
        <v>45977.486111111109</v>
      </c>
      <c r="G984" s="12">
        <v>0.75416666666569654</v>
      </c>
      <c r="H984" s="2" t="s">
        <v>260</v>
      </c>
      <c r="I984" s="2" t="s">
        <v>261</v>
      </c>
      <c r="J984" s="2" t="s">
        <v>262</v>
      </c>
      <c r="K984" s="2" t="s">
        <v>263</v>
      </c>
      <c r="L984" s="2" t="s">
        <v>2051</v>
      </c>
      <c r="M984" t="s">
        <v>265</v>
      </c>
      <c r="N984" t="s">
        <v>266</v>
      </c>
      <c r="O984" t="s">
        <v>2052</v>
      </c>
      <c r="P984" t="s">
        <v>2056</v>
      </c>
      <c r="Q984" t="s">
        <v>1401</v>
      </c>
    </row>
    <row r="985" spans="1:17">
      <c r="A985" s="2" t="s">
        <v>696</v>
      </c>
      <c r="B985" s="2" t="s">
        <v>696</v>
      </c>
      <c r="C985" s="2" t="s">
        <v>2029</v>
      </c>
      <c r="D985" s="11">
        <v>45976.731944444444</v>
      </c>
      <c r="E985" s="11">
        <v>45976.731944444444</v>
      </c>
      <c r="F985" s="11">
        <v>45977.486111111109</v>
      </c>
      <c r="G985" s="12">
        <v>0.75416666666569654</v>
      </c>
      <c r="H985" s="2" t="s">
        <v>260</v>
      </c>
      <c r="I985" s="2" t="s">
        <v>261</v>
      </c>
      <c r="J985" s="2" t="s">
        <v>262</v>
      </c>
      <c r="K985" s="2" t="s">
        <v>263</v>
      </c>
      <c r="L985" s="2" t="s">
        <v>2051</v>
      </c>
      <c r="M985" t="s">
        <v>265</v>
      </c>
      <c r="N985" t="s">
        <v>266</v>
      </c>
      <c r="O985" t="s">
        <v>2052</v>
      </c>
      <c r="P985" t="s">
        <v>2057</v>
      </c>
      <c r="Q985" t="s">
        <v>1401</v>
      </c>
    </row>
    <row r="986" spans="1:17">
      <c r="A986" s="2" t="s">
        <v>644</v>
      </c>
      <c r="B986" s="2" t="s">
        <v>644</v>
      </c>
      <c r="C986" s="2" t="s">
        <v>2031</v>
      </c>
      <c r="D986" s="11">
        <v>45976.731944444444</v>
      </c>
      <c r="E986" s="11">
        <v>45976.731944444444</v>
      </c>
      <c r="F986" s="11">
        <v>45977.486111111109</v>
      </c>
      <c r="G986" s="12">
        <v>0.75416666666569654</v>
      </c>
      <c r="H986" s="2" t="s">
        <v>260</v>
      </c>
      <c r="I986" s="2" t="s">
        <v>261</v>
      </c>
      <c r="J986" s="2" t="s">
        <v>262</v>
      </c>
      <c r="K986" s="2" t="s">
        <v>263</v>
      </c>
      <c r="L986" s="2" t="s">
        <v>2051</v>
      </c>
      <c r="M986" t="s">
        <v>265</v>
      </c>
      <c r="N986" t="s">
        <v>266</v>
      </c>
      <c r="O986" t="s">
        <v>2052</v>
      </c>
      <c r="P986" t="s">
        <v>2058</v>
      </c>
      <c r="Q986" t="s">
        <v>1401</v>
      </c>
    </row>
    <row r="987" spans="1:17">
      <c r="A987" s="2" t="s">
        <v>644</v>
      </c>
      <c r="B987" s="2" t="s">
        <v>644</v>
      </c>
      <c r="C987" s="2" t="s">
        <v>2033</v>
      </c>
      <c r="D987" s="11">
        <v>45976.731944444444</v>
      </c>
      <c r="E987" s="11">
        <v>45976.731944444444</v>
      </c>
      <c r="F987" s="11">
        <v>45977.486111111109</v>
      </c>
      <c r="G987" s="12">
        <v>0.75416666666569654</v>
      </c>
      <c r="H987" s="2" t="s">
        <v>260</v>
      </c>
      <c r="I987" s="2" t="s">
        <v>261</v>
      </c>
      <c r="J987" s="2" t="s">
        <v>262</v>
      </c>
      <c r="K987" s="2" t="s">
        <v>263</v>
      </c>
      <c r="L987" s="2" t="s">
        <v>2051</v>
      </c>
      <c r="M987" t="s">
        <v>265</v>
      </c>
      <c r="N987" t="s">
        <v>266</v>
      </c>
      <c r="O987" t="s">
        <v>2052</v>
      </c>
      <c r="P987" t="s">
        <v>2059</v>
      </c>
      <c r="Q987" t="s">
        <v>1401</v>
      </c>
    </row>
    <row r="988" spans="1:17">
      <c r="A988" s="2" t="s">
        <v>644</v>
      </c>
      <c r="B988" s="2" t="s">
        <v>644</v>
      </c>
      <c r="C988" s="2" t="s">
        <v>2035</v>
      </c>
      <c r="D988" s="11">
        <v>45976.731944444444</v>
      </c>
      <c r="E988" s="11">
        <v>45976.731944444444</v>
      </c>
      <c r="F988" s="11">
        <v>45977.486111111109</v>
      </c>
      <c r="G988" s="12">
        <v>0.75416666666569654</v>
      </c>
      <c r="H988" s="2" t="s">
        <v>260</v>
      </c>
      <c r="I988" s="2" t="s">
        <v>261</v>
      </c>
      <c r="J988" s="2" t="s">
        <v>262</v>
      </c>
      <c r="K988" s="2" t="s">
        <v>263</v>
      </c>
      <c r="L988" s="2" t="s">
        <v>2051</v>
      </c>
      <c r="M988" t="s">
        <v>265</v>
      </c>
      <c r="N988" t="s">
        <v>266</v>
      </c>
      <c r="O988" t="s">
        <v>2052</v>
      </c>
      <c r="P988" t="s">
        <v>2060</v>
      </c>
      <c r="Q988" t="s">
        <v>1401</v>
      </c>
    </row>
    <row r="989" spans="1:17">
      <c r="A989" s="2" t="s">
        <v>644</v>
      </c>
      <c r="B989" s="2" t="s">
        <v>644</v>
      </c>
      <c r="C989" s="2" t="s">
        <v>2037</v>
      </c>
      <c r="D989" s="11">
        <v>45976.731944444444</v>
      </c>
      <c r="E989" s="11">
        <v>45976.731944444444</v>
      </c>
      <c r="F989" s="11">
        <v>45977.486111111109</v>
      </c>
      <c r="G989" s="12">
        <v>0.75416666666569654</v>
      </c>
      <c r="H989" s="2" t="s">
        <v>260</v>
      </c>
      <c r="I989" s="2" t="s">
        <v>261</v>
      </c>
      <c r="J989" s="2" t="s">
        <v>262</v>
      </c>
      <c r="K989" s="2" t="s">
        <v>263</v>
      </c>
      <c r="L989" s="2" t="s">
        <v>2051</v>
      </c>
      <c r="M989" t="s">
        <v>265</v>
      </c>
      <c r="N989" t="s">
        <v>266</v>
      </c>
      <c r="O989" t="s">
        <v>2052</v>
      </c>
      <c r="P989" t="s">
        <v>2061</v>
      </c>
      <c r="Q989" t="s">
        <v>1401</v>
      </c>
    </row>
    <row r="990" spans="1:17">
      <c r="A990" s="2" t="s">
        <v>644</v>
      </c>
      <c r="B990" s="2" t="s">
        <v>644</v>
      </c>
      <c r="C990" s="2" t="s">
        <v>2039</v>
      </c>
      <c r="D990" s="11">
        <v>45976.731944444444</v>
      </c>
      <c r="E990" s="11">
        <v>45976.731944444444</v>
      </c>
      <c r="F990" s="11">
        <v>45977.486111111109</v>
      </c>
      <c r="G990" s="12">
        <v>0.75416666666569654</v>
      </c>
      <c r="H990" s="2" t="s">
        <v>260</v>
      </c>
      <c r="I990" s="2" t="s">
        <v>261</v>
      </c>
      <c r="J990" s="2" t="s">
        <v>262</v>
      </c>
      <c r="K990" s="2" t="s">
        <v>263</v>
      </c>
      <c r="L990" s="2" t="s">
        <v>2051</v>
      </c>
      <c r="M990" t="s">
        <v>265</v>
      </c>
      <c r="N990" t="s">
        <v>266</v>
      </c>
      <c r="O990" t="s">
        <v>2052</v>
      </c>
      <c r="P990" t="s">
        <v>2062</v>
      </c>
      <c r="Q990" t="s">
        <v>1401</v>
      </c>
    </row>
    <row r="991" spans="1:17">
      <c r="A991" s="2" t="s">
        <v>615</v>
      </c>
      <c r="B991" s="2" t="s">
        <v>615</v>
      </c>
      <c r="C991" s="2" t="s">
        <v>2041</v>
      </c>
      <c r="D991" s="11">
        <v>45976.731944444444</v>
      </c>
      <c r="E991" s="11">
        <v>45976.731944444444</v>
      </c>
      <c r="F991" s="11">
        <v>45977.486111111109</v>
      </c>
      <c r="G991" s="12">
        <v>0.75416666666569654</v>
      </c>
      <c r="H991" s="2" t="s">
        <v>260</v>
      </c>
      <c r="I991" s="2" t="s">
        <v>261</v>
      </c>
      <c r="J991" s="2" t="s">
        <v>262</v>
      </c>
      <c r="K991" s="2" t="s">
        <v>263</v>
      </c>
      <c r="L991" s="2" t="s">
        <v>2051</v>
      </c>
      <c r="M991" t="s">
        <v>265</v>
      </c>
      <c r="N991" t="s">
        <v>266</v>
      </c>
      <c r="O991" t="s">
        <v>2052</v>
      </c>
      <c r="P991" t="s">
        <v>2063</v>
      </c>
      <c r="Q991" t="s">
        <v>1401</v>
      </c>
    </row>
    <row r="992" spans="1:17">
      <c r="A992" s="2" t="s">
        <v>615</v>
      </c>
      <c r="B992" s="2" t="s">
        <v>615</v>
      </c>
      <c r="C992" s="2" t="s">
        <v>2029</v>
      </c>
      <c r="D992" s="11">
        <v>45976.731944444444</v>
      </c>
      <c r="E992" s="11">
        <v>45976.731944444444</v>
      </c>
      <c r="F992" s="11">
        <v>45977.486111111109</v>
      </c>
      <c r="G992" s="12">
        <v>0.75416666666569654</v>
      </c>
      <c r="H992" s="2" t="s">
        <v>260</v>
      </c>
      <c r="I992" s="2" t="s">
        <v>261</v>
      </c>
      <c r="J992" s="2" t="s">
        <v>262</v>
      </c>
      <c r="K992" s="2" t="s">
        <v>263</v>
      </c>
      <c r="L992" s="2" t="s">
        <v>2051</v>
      </c>
      <c r="M992" t="s">
        <v>265</v>
      </c>
      <c r="N992" t="s">
        <v>266</v>
      </c>
      <c r="O992" t="s">
        <v>2052</v>
      </c>
      <c r="P992" t="s">
        <v>2064</v>
      </c>
      <c r="Q992" t="s">
        <v>1401</v>
      </c>
    </row>
    <row r="993" spans="1:17">
      <c r="A993" s="2" t="s">
        <v>615</v>
      </c>
      <c r="B993" s="2" t="s">
        <v>615</v>
      </c>
      <c r="C993" s="2" t="s">
        <v>2044</v>
      </c>
      <c r="D993" s="11">
        <v>45976.731944444444</v>
      </c>
      <c r="E993" s="11">
        <v>45976.731944444444</v>
      </c>
      <c r="F993" s="11">
        <v>45977.486111111109</v>
      </c>
      <c r="G993" s="12">
        <v>0.75416666666569654</v>
      </c>
      <c r="H993" s="2" t="s">
        <v>260</v>
      </c>
      <c r="I993" s="2" t="s">
        <v>261</v>
      </c>
      <c r="J993" s="2" t="s">
        <v>262</v>
      </c>
      <c r="K993" s="2" t="s">
        <v>263</v>
      </c>
      <c r="L993" s="2" t="s">
        <v>2051</v>
      </c>
      <c r="M993" t="s">
        <v>265</v>
      </c>
      <c r="N993" t="s">
        <v>266</v>
      </c>
      <c r="O993" t="s">
        <v>2052</v>
      </c>
      <c r="P993" t="s">
        <v>2065</v>
      </c>
      <c r="Q993" t="s">
        <v>1401</v>
      </c>
    </row>
    <row r="994" spans="1:17">
      <c r="A994" s="2" t="s">
        <v>780</v>
      </c>
      <c r="B994" s="2" t="s">
        <v>268</v>
      </c>
      <c r="C994" s="2" t="s">
        <v>271</v>
      </c>
      <c r="D994" s="11">
        <v>45977.215972164355</v>
      </c>
      <c r="E994" s="11">
        <v>45977.215972164355</v>
      </c>
      <c r="F994" s="11">
        <v>45977.359722222223</v>
      </c>
      <c r="G994" s="12">
        <v>0.14375005786860129</v>
      </c>
      <c r="H994" s="2" t="s">
        <v>248</v>
      </c>
      <c r="J994" s="2" t="s">
        <v>249</v>
      </c>
      <c r="K994" s="2" t="s">
        <v>349</v>
      </c>
      <c r="L994" s="2" t="s">
        <v>971</v>
      </c>
      <c r="M994" t="s">
        <v>251</v>
      </c>
      <c r="N994" t="s">
        <v>330</v>
      </c>
      <c r="O994" t="s">
        <v>331</v>
      </c>
      <c r="P994" t="s">
        <v>2066</v>
      </c>
      <c r="Q994" t="s">
        <v>966</v>
      </c>
    </row>
    <row r="995" spans="1:17">
      <c r="A995" s="2" t="s">
        <v>780</v>
      </c>
      <c r="B995" s="2" t="s">
        <v>268</v>
      </c>
      <c r="C995" s="2" t="s">
        <v>272</v>
      </c>
      <c r="D995" s="11">
        <v>45977.215972164355</v>
      </c>
      <c r="E995" s="11">
        <v>45977.215972164355</v>
      </c>
      <c r="F995" s="11">
        <v>45977.359722222223</v>
      </c>
      <c r="G995" s="12">
        <v>0.14375005786860129</v>
      </c>
      <c r="H995" s="2" t="s">
        <v>248</v>
      </c>
      <c r="J995" s="2" t="s">
        <v>249</v>
      </c>
      <c r="K995" s="2" t="s">
        <v>349</v>
      </c>
      <c r="L995" s="2" t="s">
        <v>971</v>
      </c>
      <c r="M995" t="s">
        <v>251</v>
      </c>
      <c r="N995" t="s">
        <v>330</v>
      </c>
      <c r="O995" t="s">
        <v>331</v>
      </c>
      <c r="P995" t="s">
        <v>2067</v>
      </c>
      <c r="Q995" t="s">
        <v>966</v>
      </c>
    </row>
    <row r="996" spans="1:17">
      <c r="A996" s="2" t="s">
        <v>780</v>
      </c>
      <c r="B996" s="2" t="s">
        <v>268</v>
      </c>
      <c r="C996" s="2" t="s">
        <v>273</v>
      </c>
      <c r="D996" s="11">
        <v>45977.215972164355</v>
      </c>
      <c r="E996" s="11">
        <v>45977.215972164355</v>
      </c>
      <c r="F996" s="11">
        <v>45977.359722222223</v>
      </c>
      <c r="G996" s="12">
        <v>0.14375005786860129</v>
      </c>
      <c r="H996" s="2" t="s">
        <v>248</v>
      </c>
      <c r="J996" s="2" t="s">
        <v>249</v>
      </c>
      <c r="K996" s="2" t="s">
        <v>349</v>
      </c>
      <c r="L996" s="2" t="s">
        <v>971</v>
      </c>
      <c r="M996" t="s">
        <v>251</v>
      </c>
      <c r="N996" t="s">
        <v>330</v>
      </c>
      <c r="O996" t="s">
        <v>331</v>
      </c>
      <c r="P996" t="s">
        <v>2068</v>
      </c>
      <c r="Q996" t="s">
        <v>966</v>
      </c>
    </row>
    <row r="997" spans="1:17">
      <c r="A997" s="2" t="s">
        <v>780</v>
      </c>
      <c r="B997" s="2" t="s">
        <v>268</v>
      </c>
      <c r="C997" s="2" t="s">
        <v>274</v>
      </c>
      <c r="D997" s="11">
        <v>45977.215972164355</v>
      </c>
      <c r="E997" s="11">
        <v>45977.215972164355</v>
      </c>
      <c r="F997" s="11">
        <v>45977.359722222223</v>
      </c>
      <c r="G997" s="12">
        <v>0.14375005786860129</v>
      </c>
      <c r="H997" s="2" t="s">
        <v>248</v>
      </c>
      <c r="J997" s="2" t="s">
        <v>249</v>
      </c>
      <c r="K997" s="2" t="s">
        <v>349</v>
      </c>
      <c r="L997" s="2" t="s">
        <v>971</v>
      </c>
      <c r="M997" t="s">
        <v>251</v>
      </c>
      <c r="N997" t="s">
        <v>330</v>
      </c>
      <c r="O997" t="s">
        <v>331</v>
      </c>
      <c r="P997" t="s">
        <v>2069</v>
      </c>
      <c r="Q997" t="s">
        <v>966</v>
      </c>
    </row>
    <row r="998" spans="1:17">
      <c r="A998" s="2" t="s">
        <v>780</v>
      </c>
      <c r="B998" s="2" t="s">
        <v>268</v>
      </c>
      <c r="C998" s="2" t="s">
        <v>275</v>
      </c>
      <c r="D998" s="11">
        <v>45977.215972164355</v>
      </c>
      <c r="E998" s="11">
        <v>45977.215972164355</v>
      </c>
      <c r="F998" s="11">
        <v>45977.359722222223</v>
      </c>
      <c r="G998" s="12">
        <v>0.14375005786860129</v>
      </c>
      <c r="H998" s="2" t="s">
        <v>248</v>
      </c>
      <c r="J998" s="2" t="s">
        <v>249</v>
      </c>
      <c r="K998" s="2" t="s">
        <v>349</v>
      </c>
      <c r="L998" s="2" t="s">
        <v>971</v>
      </c>
      <c r="M998" t="s">
        <v>251</v>
      </c>
      <c r="N998" t="s">
        <v>330</v>
      </c>
      <c r="O998" t="s">
        <v>331</v>
      </c>
      <c r="P998" t="s">
        <v>2070</v>
      </c>
      <c r="Q998" t="s">
        <v>966</v>
      </c>
    </row>
    <row r="999" spans="1:17">
      <c r="A999" s="2" t="s">
        <v>780</v>
      </c>
      <c r="B999" s="2" t="s">
        <v>268</v>
      </c>
      <c r="C999" s="2" t="s">
        <v>276</v>
      </c>
      <c r="D999" s="11">
        <v>45977.215972164355</v>
      </c>
      <c r="E999" s="11">
        <v>45977.215972164355</v>
      </c>
      <c r="F999" s="11">
        <v>45977.359722222223</v>
      </c>
      <c r="G999" s="12">
        <v>0.14375005786860129</v>
      </c>
      <c r="H999" s="2" t="s">
        <v>248</v>
      </c>
      <c r="J999" s="2" t="s">
        <v>249</v>
      </c>
      <c r="K999" s="2" t="s">
        <v>349</v>
      </c>
      <c r="L999" s="2" t="s">
        <v>971</v>
      </c>
      <c r="M999" t="s">
        <v>251</v>
      </c>
      <c r="N999" t="s">
        <v>330</v>
      </c>
      <c r="O999" t="s">
        <v>331</v>
      </c>
      <c r="P999" t="s">
        <v>2071</v>
      </c>
      <c r="Q999" t="s">
        <v>966</v>
      </c>
    </row>
    <row r="1000" spans="1:17">
      <c r="A1000" s="2" t="s">
        <v>781</v>
      </c>
      <c r="B1000" s="2" t="s">
        <v>268</v>
      </c>
      <c r="C1000" s="2" t="s">
        <v>277</v>
      </c>
      <c r="D1000" s="11">
        <v>45977.215972164355</v>
      </c>
      <c r="E1000" s="11">
        <v>45977.215972164355</v>
      </c>
      <c r="F1000" s="11">
        <v>45977.359722222223</v>
      </c>
      <c r="G1000" s="12">
        <v>0.14375005786860129</v>
      </c>
      <c r="H1000" s="2" t="s">
        <v>248</v>
      </c>
      <c r="J1000" s="2" t="s">
        <v>249</v>
      </c>
      <c r="K1000" s="2" t="s">
        <v>349</v>
      </c>
      <c r="L1000" s="2" t="s">
        <v>971</v>
      </c>
      <c r="M1000" t="s">
        <v>251</v>
      </c>
      <c r="N1000" t="s">
        <v>330</v>
      </c>
      <c r="O1000" t="s">
        <v>331</v>
      </c>
      <c r="P1000" t="s">
        <v>2072</v>
      </c>
      <c r="Q1000" t="s">
        <v>966</v>
      </c>
    </row>
    <row r="1001" spans="1:17">
      <c r="A1001" s="2" t="s">
        <v>781</v>
      </c>
      <c r="B1001" s="2" t="s">
        <v>268</v>
      </c>
      <c r="C1001" s="2" t="s">
        <v>278</v>
      </c>
      <c r="D1001" s="11">
        <v>45977.215972164355</v>
      </c>
      <c r="E1001" s="11">
        <v>45977.215972164355</v>
      </c>
      <c r="F1001" s="11">
        <v>45977.359722222223</v>
      </c>
      <c r="G1001" s="12">
        <v>0.14375005786860129</v>
      </c>
      <c r="H1001" s="2" t="s">
        <v>248</v>
      </c>
      <c r="J1001" s="2" t="s">
        <v>249</v>
      </c>
      <c r="K1001" s="2" t="s">
        <v>349</v>
      </c>
      <c r="L1001" s="2" t="s">
        <v>971</v>
      </c>
      <c r="M1001" t="s">
        <v>251</v>
      </c>
      <c r="N1001" t="s">
        <v>330</v>
      </c>
      <c r="O1001" t="s">
        <v>331</v>
      </c>
      <c r="P1001" t="s">
        <v>2073</v>
      </c>
      <c r="Q1001" t="s">
        <v>966</v>
      </c>
    </row>
    <row r="1002" spans="1:17">
      <c r="A1002" s="2" t="s">
        <v>781</v>
      </c>
      <c r="B1002" s="2" t="s">
        <v>268</v>
      </c>
      <c r="C1002" s="2" t="s">
        <v>279</v>
      </c>
      <c r="D1002" s="11">
        <v>45977.215972164355</v>
      </c>
      <c r="E1002" s="11">
        <v>45977.215972164355</v>
      </c>
      <c r="F1002" s="11">
        <v>45977.359722222223</v>
      </c>
      <c r="G1002" s="12">
        <v>0.14375005786860129</v>
      </c>
      <c r="H1002" s="2" t="s">
        <v>248</v>
      </c>
      <c r="J1002" s="2" t="s">
        <v>249</v>
      </c>
      <c r="K1002" s="2" t="s">
        <v>349</v>
      </c>
      <c r="L1002" s="2" t="s">
        <v>971</v>
      </c>
      <c r="M1002" t="s">
        <v>251</v>
      </c>
      <c r="N1002" t="s">
        <v>330</v>
      </c>
      <c r="O1002" t="s">
        <v>331</v>
      </c>
      <c r="P1002" t="s">
        <v>2074</v>
      </c>
      <c r="Q1002" t="s">
        <v>966</v>
      </c>
    </row>
    <row r="1003" spans="1:17">
      <c r="A1003" s="2" t="s">
        <v>781</v>
      </c>
      <c r="B1003" s="2" t="s">
        <v>268</v>
      </c>
      <c r="C1003" s="2" t="s">
        <v>280</v>
      </c>
      <c r="D1003" s="11">
        <v>45977.215972164355</v>
      </c>
      <c r="E1003" s="11">
        <v>45977.215972164355</v>
      </c>
      <c r="F1003" s="11">
        <v>45977.359722222223</v>
      </c>
      <c r="G1003" s="12">
        <v>0.14375005786860129</v>
      </c>
      <c r="H1003" s="2" t="s">
        <v>248</v>
      </c>
      <c r="J1003" s="2" t="s">
        <v>249</v>
      </c>
      <c r="K1003" s="2" t="s">
        <v>349</v>
      </c>
      <c r="L1003" s="2" t="s">
        <v>971</v>
      </c>
      <c r="M1003" t="s">
        <v>251</v>
      </c>
      <c r="N1003" t="s">
        <v>330</v>
      </c>
      <c r="O1003" t="s">
        <v>331</v>
      </c>
      <c r="P1003" t="s">
        <v>2075</v>
      </c>
      <c r="Q1003" t="s">
        <v>966</v>
      </c>
    </row>
    <row r="1004" spans="1:17">
      <c r="A1004" s="2" t="s">
        <v>781</v>
      </c>
      <c r="B1004" s="2" t="s">
        <v>268</v>
      </c>
      <c r="C1004" s="2" t="s">
        <v>281</v>
      </c>
      <c r="D1004" s="11">
        <v>45977.215972164355</v>
      </c>
      <c r="E1004" s="11">
        <v>45977.215972164355</v>
      </c>
      <c r="F1004" s="11">
        <v>45977.359722222223</v>
      </c>
      <c r="G1004" s="12">
        <v>0.14375005786860129</v>
      </c>
      <c r="H1004" s="2" t="s">
        <v>248</v>
      </c>
      <c r="J1004" s="2" t="s">
        <v>249</v>
      </c>
      <c r="K1004" s="2" t="s">
        <v>349</v>
      </c>
      <c r="L1004" s="2" t="s">
        <v>971</v>
      </c>
      <c r="M1004" t="s">
        <v>251</v>
      </c>
      <c r="N1004" t="s">
        <v>330</v>
      </c>
      <c r="O1004" t="s">
        <v>331</v>
      </c>
      <c r="P1004" t="s">
        <v>2076</v>
      </c>
      <c r="Q1004" t="s">
        <v>966</v>
      </c>
    </row>
    <row r="1005" spans="1:17">
      <c r="A1005" s="2" t="s">
        <v>781</v>
      </c>
      <c r="B1005" s="2" t="s">
        <v>268</v>
      </c>
      <c r="C1005" s="2" t="s">
        <v>282</v>
      </c>
      <c r="D1005" s="11">
        <v>45977.215972164355</v>
      </c>
      <c r="E1005" s="11">
        <v>45977.215972164355</v>
      </c>
      <c r="F1005" s="11">
        <v>45977.359722222223</v>
      </c>
      <c r="G1005" s="12">
        <v>0.14375005786860129</v>
      </c>
      <c r="H1005" s="2" t="s">
        <v>248</v>
      </c>
      <c r="J1005" s="2" t="s">
        <v>249</v>
      </c>
      <c r="K1005" s="2" t="s">
        <v>349</v>
      </c>
      <c r="L1005" s="2" t="s">
        <v>971</v>
      </c>
      <c r="M1005" t="s">
        <v>251</v>
      </c>
      <c r="N1005" t="s">
        <v>330</v>
      </c>
      <c r="O1005" t="s">
        <v>331</v>
      </c>
      <c r="P1005" t="s">
        <v>2077</v>
      </c>
      <c r="Q1005" t="s">
        <v>966</v>
      </c>
    </row>
    <row r="1006" spans="1:17">
      <c r="A1006" s="2" t="s">
        <v>781</v>
      </c>
      <c r="B1006" s="2" t="s">
        <v>268</v>
      </c>
      <c r="C1006" s="2" t="s">
        <v>283</v>
      </c>
      <c r="D1006" s="11">
        <v>45977.215972164355</v>
      </c>
      <c r="E1006" s="11">
        <v>45977.215972164355</v>
      </c>
      <c r="F1006" s="11">
        <v>45977.359722222223</v>
      </c>
      <c r="G1006" s="12">
        <v>0.14375005786860129</v>
      </c>
      <c r="H1006" s="2" t="s">
        <v>248</v>
      </c>
      <c r="J1006" s="2" t="s">
        <v>249</v>
      </c>
      <c r="K1006" s="2" t="s">
        <v>349</v>
      </c>
      <c r="L1006" s="2" t="s">
        <v>971</v>
      </c>
      <c r="M1006" t="s">
        <v>251</v>
      </c>
      <c r="N1006" t="s">
        <v>330</v>
      </c>
      <c r="O1006" t="s">
        <v>331</v>
      </c>
      <c r="P1006" t="s">
        <v>2078</v>
      </c>
      <c r="Q1006" t="s">
        <v>966</v>
      </c>
    </row>
    <row r="1007" spans="1:17">
      <c r="A1007" s="2" t="s">
        <v>794</v>
      </c>
      <c r="B1007" s="2" t="s">
        <v>268</v>
      </c>
      <c r="C1007" s="2" t="s">
        <v>284</v>
      </c>
      <c r="D1007" s="11">
        <v>45977.215972164355</v>
      </c>
      <c r="E1007" s="11">
        <v>45977.215972164355</v>
      </c>
      <c r="F1007" s="11">
        <v>45977.359722222223</v>
      </c>
      <c r="G1007" s="12">
        <v>0.14375005786860129</v>
      </c>
      <c r="H1007" s="2" t="s">
        <v>248</v>
      </c>
      <c r="J1007" s="2" t="s">
        <v>249</v>
      </c>
      <c r="K1007" s="2" t="s">
        <v>349</v>
      </c>
      <c r="L1007" s="2" t="s">
        <v>971</v>
      </c>
      <c r="M1007" t="s">
        <v>251</v>
      </c>
      <c r="N1007" t="s">
        <v>330</v>
      </c>
      <c r="O1007" t="s">
        <v>331</v>
      </c>
      <c r="P1007" t="s">
        <v>2079</v>
      </c>
      <c r="Q1007" t="s">
        <v>966</v>
      </c>
    </row>
    <row r="1008" spans="1:17">
      <c r="A1008" s="2" t="s">
        <v>794</v>
      </c>
      <c r="B1008" s="2" t="s">
        <v>268</v>
      </c>
      <c r="C1008" s="2" t="s">
        <v>285</v>
      </c>
      <c r="D1008" s="11">
        <v>45977.215972164355</v>
      </c>
      <c r="E1008" s="11">
        <v>45977.215972164355</v>
      </c>
      <c r="F1008" s="11">
        <v>45977.359722222223</v>
      </c>
      <c r="G1008" s="12">
        <v>0.14375005786860129</v>
      </c>
      <c r="H1008" s="2" t="s">
        <v>248</v>
      </c>
      <c r="J1008" s="2" t="s">
        <v>249</v>
      </c>
      <c r="K1008" s="2" t="s">
        <v>349</v>
      </c>
      <c r="L1008" s="2" t="s">
        <v>971</v>
      </c>
      <c r="M1008" t="s">
        <v>251</v>
      </c>
      <c r="N1008" t="s">
        <v>330</v>
      </c>
      <c r="O1008" t="s">
        <v>331</v>
      </c>
      <c r="P1008" t="s">
        <v>2080</v>
      </c>
      <c r="Q1008" t="s">
        <v>966</v>
      </c>
    </row>
    <row r="1009" spans="1:17">
      <c r="A1009" s="2" t="s">
        <v>794</v>
      </c>
      <c r="B1009" s="2" t="s">
        <v>268</v>
      </c>
      <c r="C1009" s="2" t="s">
        <v>286</v>
      </c>
      <c r="D1009" s="11">
        <v>45977.215972164355</v>
      </c>
      <c r="E1009" s="11">
        <v>45977.215972164355</v>
      </c>
      <c r="F1009" s="11">
        <v>45977.359722222223</v>
      </c>
      <c r="G1009" s="12">
        <v>0.14375005786860129</v>
      </c>
      <c r="H1009" s="2" t="s">
        <v>248</v>
      </c>
      <c r="J1009" s="2" t="s">
        <v>249</v>
      </c>
      <c r="K1009" s="2" t="s">
        <v>349</v>
      </c>
      <c r="L1009" s="2" t="s">
        <v>971</v>
      </c>
      <c r="M1009" t="s">
        <v>251</v>
      </c>
      <c r="N1009" t="s">
        <v>330</v>
      </c>
      <c r="O1009" t="s">
        <v>331</v>
      </c>
      <c r="P1009" t="s">
        <v>2081</v>
      </c>
      <c r="Q1009" t="s">
        <v>966</v>
      </c>
    </row>
    <row r="1010" spans="1:17">
      <c r="A1010" s="2" t="s">
        <v>794</v>
      </c>
      <c r="B1010" s="2" t="s">
        <v>268</v>
      </c>
      <c r="C1010" s="2" t="s">
        <v>287</v>
      </c>
      <c r="D1010" s="11">
        <v>45977.215972164355</v>
      </c>
      <c r="E1010" s="11">
        <v>45977.215972164355</v>
      </c>
      <c r="F1010" s="11">
        <v>45977.359722222223</v>
      </c>
      <c r="G1010" s="12">
        <v>0.14375005786860129</v>
      </c>
      <c r="H1010" s="2" t="s">
        <v>248</v>
      </c>
      <c r="J1010" s="2" t="s">
        <v>249</v>
      </c>
      <c r="K1010" s="2" t="s">
        <v>349</v>
      </c>
      <c r="L1010" s="2" t="s">
        <v>971</v>
      </c>
      <c r="M1010" t="s">
        <v>251</v>
      </c>
      <c r="N1010" t="s">
        <v>330</v>
      </c>
      <c r="O1010" t="s">
        <v>331</v>
      </c>
      <c r="P1010" t="s">
        <v>2082</v>
      </c>
      <c r="Q1010" t="s">
        <v>966</v>
      </c>
    </row>
    <row r="1011" spans="1:17">
      <c r="A1011" s="2" t="s">
        <v>794</v>
      </c>
      <c r="B1011" s="2" t="s">
        <v>268</v>
      </c>
      <c r="C1011" s="2" t="s">
        <v>288</v>
      </c>
      <c r="D1011" s="11">
        <v>45977.215972164355</v>
      </c>
      <c r="E1011" s="11">
        <v>45977.215972164355</v>
      </c>
      <c r="F1011" s="11">
        <v>45977.359722222223</v>
      </c>
      <c r="G1011" s="12">
        <v>0.14375005786860129</v>
      </c>
      <c r="H1011" s="2" t="s">
        <v>248</v>
      </c>
      <c r="J1011" s="2" t="s">
        <v>249</v>
      </c>
      <c r="K1011" s="2" t="s">
        <v>349</v>
      </c>
      <c r="L1011" s="2" t="s">
        <v>971</v>
      </c>
      <c r="M1011" t="s">
        <v>251</v>
      </c>
      <c r="N1011" t="s">
        <v>330</v>
      </c>
      <c r="O1011" t="s">
        <v>331</v>
      </c>
      <c r="P1011" t="s">
        <v>2083</v>
      </c>
      <c r="Q1011" t="s">
        <v>966</v>
      </c>
    </row>
    <row r="1012" spans="1:17">
      <c r="A1012" s="2" t="s">
        <v>795</v>
      </c>
      <c r="B1012" s="2" t="s">
        <v>268</v>
      </c>
      <c r="C1012" s="2" t="s">
        <v>289</v>
      </c>
      <c r="D1012" s="11">
        <v>45977.215972164355</v>
      </c>
      <c r="E1012" s="11">
        <v>45977.215972164355</v>
      </c>
      <c r="F1012" s="11">
        <v>45977.359722222223</v>
      </c>
      <c r="G1012" s="12">
        <v>0.14375005786860129</v>
      </c>
      <c r="H1012" s="2" t="s">
        <v>248</v>
      </c>
      <c r="J1012" s="2" t="s">
        <v>249</v>
      </c>
      <c r="K1012" s="2" t="s">
        <v>349</v>
      </c>
      <c r="L1012" s="2" t="s">
        <v>971</v>
      </c>
      <c r="M1012" t="s">
        <v>251</v>
      </c>
      <c r="N1012" t="s">
        <v>330</v>
      </c>
      <c r="O1012" t="s">
        <v>331</v>
      </c>
      <c r="P1012" t="s">
        <v>2084</v>
      </c>
      <c r="Q1012" t="s">
        <v>966</v>
      </c>
    </row>
    <row r="1013" spans="1:17">
      <c r="A1013" s="2" t="s">
        <v>795</v>
      </c>
      <c r="B1013" s="2" t="s">
        <v>268</v>
      </c>
      <c r="C1013" s="2" t="s">
        <v>290</v>
      </c>
      <c r="D1013" s="11">
        <v>45977.215972164355</v>
      </c>
      <c r="E1013" s="11">
        <v>45977.215972164355</v>
      </c>
      <c r="F1013" s="11">
        <v>45977.359722222223</v>
      </c>
      <c r="G1013" s="12">
        <v>0.14375005786860129</v>
      </c>
      <c r="H1013" s="2" t="s">
        <v>248</v>
      </c>
      <c r="J1013" s="2" t="s">
        <v>249</v>
      </c>
      <c r="K1013" s="2" t="s">
        <v>349</v>
      </c>
      <c r="L1013" s="2" t="s">
        <v>971</v>
      </c>
      <c r="M1013" t="s">
        <v>251</v>
      </c>
      <c r="N1013" t="s">
        <v>330</v>
      </c>
      <c r="O1013" t="s">
        <v>331</v>
      </c>
      <c r="P1013" t="s">
        <v>2085</v>
      </c>
      <c r="Q1013" t="s">
        <v>966</v>
      </c>
    </row>
    <row r="1014" spans="1:17">
      <c r="A1014" s="2" t="s">
        <v>795</v>
      </c>
      <c r="B1014" s="2" t="s">
        <v>268</v>
      </c>
      <c r="C1014" s="2" t="s">
        <v>291</v>
      </c>
      <c r="D1014" s="11">
        <v>45977.215972164355</v>
      </c>
      <c r="E1014" s="11">
        <v>45977.215972164355</v>
      </c>
      <c r="F1014" s="11">
        <v>45977.359722222223</v>
      </c>
      <c r="G1014" s="12">
        <v>0.14375005786860129</v>
      </c>
      <c r="H1014" s="2" t="s">
        <v>248</v>
      </c>
      <c r="J1014" s="2" t="s">
        <v>249</v>
      </c>
      <c r="K1014" s="2" t="s">
        <v>349</v>
      </c>
      <c r="L1014" s="2" t="s">
        <v>971</v>
      </c>
      <c r="M1014" t="s">
        <v>251</v>
      </c>
      <c r="N1014" t="s">
        <v>330</v>
      </c>
      <c r="O1014" t="s">
        <v>331</v>
      </c>
      <c r="P1014" t="s">
        <v>2086</v>
      </c>
      <c r="Q1014" t="s">
        <v>966</v>
      </c>
    </row>
    <row r="1015" spans="1:17">
      <c r="A1015" s="2" t="s">
        <v>795</v>
      </c>
      <c r="B1015" s="2" t="s">
        <v>268</v>
      </c>
      <c r="C1015" s="2" t="s">
        <v>292</v>
      </c>
      <c r="D1015" s="11">
        <v>45977.215972164355</v>
      </c>
      <c r="E1015" s="11">
        <v>45977.215972164355</v>
      </c>
      <c r="F1015" s="11">
        <v>45977.359722222223</v>
      </c>
      <c r="G1015" s="12">
        <v>0.14375005786860129</v>
      </c>
      <c r="H1015" s="2" t="s">
        <v>248</v>
      </c>
      <c r="J1015" s="2" t="s">
        <v>249</v>
      </c>
      <c r="K1015" s="2" t="s">
        <v>349</v>
      </c>
      <c r="L1015" s="2" t="s">
        <v>971</v>
      </c>
      <c r="M1015" t="s">
        <v>251</v>
      </c>
      <c r="N1015" t="s">
        <v>330</v>
      </c>
      <c r="O1015" t="s">
        <v>331</v>
      </c>
      <c r="P1015" t="s">
        <v>2087</v>
      </c>
      <c r="Q1015" t="s">
        <v>966</v>
      </c>
    </row>
    <row r="1016" spans="1:17">
      <c r="A1016" s="2" t="s">
        <v>796</v>
      </c>
      <c r="B1016" s="2" t="s">
        <v>268</v>
      </c>
      <c r="C1016" s="2" t="s">
        <v>293</v>
      </c>
      <c r="D1016" s="11">
        <v>45977.215972164355</v>
      </c>
      <c r="E1016" s="11">
        <v>45977.215972164355</v>
      </c>
      <c r="F1016" s="11">
        <v>45977.359722222223</v>
      </c>
      <c r="G1016" s="12">
        <v>0.14375005786860129</v>
      </c>
      <c r="H1016" s="2" t="s">
        <v>248</v>
      </c>
      <c r="J1016" s="2" t="s">
        <v>249</v>
      </c>
      <c r="K1016" s="2" t="s">
        <v>349</v>
      </c>
      <c r="L1016" s="2" t="s">
        <v>971</v>
      </c>
      <c r="M1016" t="s">
        <v>251</v>
      </c>
      <c r="N1016" t="s">
        <v>330</v>
      </c>
      <c r="O1016" t="s">
        <v>331</v>
      </c>
      <c r="P1016" t="s">
        <v>2088</v>
      </c>
      <c r="Q1016" t="s">
        <v>966</v>
      </c>
    </row>
    <row r="1017" spans="1:17">
      <c r="A1017" s="2" t="s">
        <v>796</v>
      </c>
      <c r="B1017" s="2" t="s">
        <v>268</v>
      </c>
      <c r="C1017" s="2" t="s">
        <v>294</v>
      </c>
      <c r="D1017" s="11">
        <v>45977.215972164355</v>
      </c>
      <c r="E1017" s="11">
        <v>45977.215972164355</v>
      </c>
      <c r="F1017" s="11">
        <v>45977.359722222223</v>
      </c>
      <c r="G1017" s="12">
        <v>0.14375005786860129</v>
      </c>
      <c r="H1017" s="2" t="s">
        <v>248</v>
      </c>
      <c r="J1017" s="2" t="s">
        <v>249</v>
      </c>
      <c r="K1017" s="2" t="s">
        <v>349</v>
      </c>
      <c r="L1017" s="2" t="s">
        <v>971</v>
      </c>
      <c r="M1017" t="s">
        <v>251</v>
      </c>
      <c r="N1017" t="s">
        <v>330</v>
      </c>
      <c r="O1017" t="s">
        <v>331</v>
      </c>
      <c r="P1017" t="s">
        <v>2089</v>
      </c>
      <c r="Q1017" t="s">
        <v>966</v>
      </c>
    </row>
    <row r="1018" spans="1:17">
      <c r="A1018" s="2" t="s">
        <v>796</v>
      </c>
      <c r="B1018" s="2" t="s">
        <v>268</v>
      </c>
      <c r="C1018" s="2" t="s">
        <v>295</v>
      </c>
      <c r="D1018" s="11">
        <v>45977.215972164355</v>
      </c>
      <c r="E1018" s="11">
        <v>45977.215972164355</v>
      </c>
      <c r="F1018" s="11">
        <v>45977.359722222223</v>
      </c>
      <c r="G1018" s="12">
        <v>0.14375005786860129</v>
      </c>
      <c r="H1018" s="2" t="s">
        <v>248</v>
      </c>
      <c r="J1018" s="2" t="s">
        <v>249</v>
      </c>
      <c r="K1018" s="2" t="s">
        <v>349</v>
      </c>
      <c r="L1018" s="2" t="s">
        <v>971</v>
      </c>
      <c r="M1018" t="s">
        <v>251</v>
      </c>
      <c r="N1018" t="s">
        <v>330</v>
      </c>
      <c r="O1018" t="s">
        <v>331</v>
      </c>
      <c r="P1018" t="s">
        <v>2090</v>
      </c>
      <c r="Q1018" t="s">
        <v>966</v>
      </c>
    </row>
    <row r="1019" spans="1:17">
      <c r="A1019" s="2" t="s">
        <v>796</v>
      </c>
      <c r="B1019" s="2" t="s">
        <v>268</v>
      </c>
      <c r="C1019" s="2" t="s">
        <v>296</v>
      </c>
      <c r="D1019" s="11">
        <v>45977.215972164355</v>
      </c>
      <c r="E1019" s="11">
        <v>45977.215972164355</v>
      </c>
      <c r="F1019" s="11">
        <v>45977.359722222223</v>
      </c>
      <c r="G1019" s="12">
        <v>0.14375005786860129</v>
      </c>
      <c r="H1019" s="2" t="s">
        <v>248</v>
      </c>
      <c r="J1019" s="2" t="s">
        <v>249</v>
      </c>
      <c r="K1019" s="2" t="s">
        <v>349</v>
      </c>
      <c r="L1019" s="2" t="s">
        <v>971</v>
      </c>
      <c r="M1019" t="s">
        <v>251</v>
      </c>
      <c r="N1019" t="s">
        <v>330</v>
      </c>
      <c r="O1019" t="s">
        <v>331</v>
      </c>
      <c r="P1019" t="s">
        <v>2091</v>
      </c>
      <c r="Q1019" t="s">
        <v>966</v>
      </c>
    </row>
    <row r="1020" spans="1:17">
      <c r="A1020" s="2" t="s">
        <v>796</v>
      </c>
      <c r="B1020" s="2" t="s">
        <v>268</v>
      </c>
      <c r="C1020" s="2" t="s">
        <v>297</v>
      </c>
      <c r="D1020" s="11">
        <v>45977.215972164355</v>
      </c>
      <c r="E1020" s="11">
        <v>45977.215972164355</v>
      </c>
      <c r="F1020" s="11">
        <v>45977.359722222223</v>
      </c>
      <c r="G1020" s="12">
        <v>0.14375005786860129</v>
      </c>
      <c r="H1020" s="2" t="s">
        <v>248</v>
      </c>
      <c r="J1020" s="2" t="s">
        <v>249</v>
      </c>
      <c r="K1020" s="2" t="s">
        <v>349</v>
      </c>
      <c r="L1020" s="2" t="s">
        <v>971</v>
      </c>
      <c r="M1020" t="s">
        <v>251</v>
      </c>
      <c r="N1020" t="s">
        <v>330</v>
      </c>
      <c r="O1020" t="s">
        <v>331</v>
      </c>
      <c r="P1020" t="s">
        <v>2092</v>
      </c>
      <c r="Q1020" t="s">
        <v>966</v>
      </c>
    </row>
    <row r="1021" spans="1:17">
      <c r="A1021" s="2" t="s">
        <v>246</v>
      </c>
      <c r="B1021" s="2" t="s">
        <v>246</v>
      </c>
      <c r="C1021" s="2" t="s">
        <v>247</v>
      </c>
      <c r="D1021" s="11">
        <v>45977.215972164355</v>
      </c>
      <c r="E1021" s="11">
        <v>45977.215972164355</v>
      </c>
      <c r="F1021" s="11">
        <v>45977.359722222223</v>
      </c>
      <c r="G1021" s="12">
        <v>0.14375005786860129</v>
      </c>
      <c r="H1021" s="2" t="s">
        <v>248</v>
      </c>
      <c r="J1021" s="2" t="s">
        <v>249</v>
      </c>
      <c r="K1021" s="2" t="s">
        <v>349</v>
      </c>
      <c r="L1021" s="2" t="s">
        <v>971</v>
      </c>
      <c r="M1021" t="s">
        <v>251</v>
      </c>
      <c r="N1021" t="s">
        <v>330</v>
      </c>
      <c r="O1021" t="s">
        <v>331</v>
      </c>
      <c r="P1021" t="s">
        <v>2093</v>
      </c>
      <c r="Q1021" t="s">
        <v>966</v>
      </c>
    </row>
    <row r="1022" spans="1:17">
      <c r="A1022" s="2" t="s">
        <v>246</v>
      </c>
      <c r="B1022" s="2" t="s">
        <v>246</v>
      </c>
      <c r="C1022" s="2" t="s">
        <v>254</v>
      </c>
      <c r="D1022" s="11">
        <v>45977.215972164355</v>
      </c>
      <c r="E1022" s="11">
        <v>45977.215972164355</v>
      </c>
      <c r="F1022" s="11">
        <v>45977.359722222223</v>
      </c>
      <c r="G1022" s="12">
        <v>0.14375005786860129</v>
      </c>
      <c r="H1022" s="2" t="s">
        <v>248</v>
      </c>
      <c r="J1022" s="2" t="s">
        <v>249</v>
      </c>
      <c r="K1022" s="2" t="s">
        <v>349</v>
      </c>
      <c r="L1022" s="2" t="s">
        <v>971</v>
      </c>
      <c r="M1022" t="s">
        <v>251</v>
      </c>
      <c r="N1022" t="s">
        <v>330</v>
      </c>
      <c r="O1022" t="s">
        <v>331</v>
      </c>
      <c r="P1022" t="s">
        <v>2094</v>
      </c>
      <c r="Q1022" t="s">
        <v>966</v>
      </c>
    </row>
    <row r="1023" spans="1:17">
      <c r="A1023" s="2" t="s">
        <v>246</v>
      </c>
      <c r="B1023" s="2" t="s">
        <v>246</v>
      </c>
      <c r="C1023" s="2" t="s">
        <v>255</v>
      </c>
      <c r="D1023" s="11">
        <v>45977.215972164355</v>
      </c>
      <c r="E1023" s="11">
        <v>45977.215972164355</v>
      </c>
      <c r="F1023" s="11">
        <v>45977.359722222223</v>
      </c>
      <c r="G1023" s="12">
        <v>0.14375005786860129</v>
      </c>
      <c r="H1023" s="2" t="s">
        <v>248</v>
      </c>
      <c r="J1023" s="2" t="s">
        <v>249</v>
      </c>
      <c r="K1023" s="2" t="s">
        <v>349</v>
      </c>
      <c r="L1023" s="2" t="s">
        <v>971</v>
      </c>
      <c r="M1023" t="s">
        <v>251</v>
      </c>
      <c r="N1023" t="s">
        <v>330</v>
      </c>
      <c r="O1023" t="s">
        <v>331</v>
      </c>
      <c r="P1023" t="s">
        <v>2095</v>
      </c>
      <c r="Q1023" t="s">
        <v>966</v>
      </c>
    </row>
    <row r="1024" spans="1:17">
      <c r="A1024" s="2" t="s">
        <v>246</v>
      </c>
      <c r="B1024" s="2" t="s">
        <v>246</v>
      </c>
      <c r="C1024" s="2" t="s">
        <v>256</v>
      </c>
      <c r="D1024" s="11">
        <v>45977.215972164355</v>
      </c>
      <c r="E1024" s="11">
        <v>45977.215972164355</v>
      </c>
      <c r="F1024" s="11">
        <v>45977.359722222223</v>
      </c>
      <c r="G1024" s="12">
        <v>0.14375005786860129</v>
      </c>
      <c r="H1024" s="2" t="s">
        <v>248</v>
      </c>
      <c r="J1024" s="2" t="s">
        <v>249</v>
      </c>
      <c r="K1024" s="2" t="s">
        <v>349</v>
      </c>
      <c r="L1024" s="2" t="s">
        <v>971</v>
      </c>
      <c r="M1024" t="s">
        <v>251</v>
      </c>
      <c r="N1024" t="s">
        <v>330</v>
      </c>
      <c r="O1024" t="s">
        <v>331</v>
      </c>
      <c r="P1024" t="s">
        <v>2096</v>
      </c>
      <c r="Q1024" t="s">
        <v>966</v>
      </c>
    </row>
    <row r="1025" spans="1:17">
      <c r="A1025" s="2" t="s">
        <v>246</v>
      </c>
      <c r="B1025" s="2" t="s">
        <v>246</v>
      </c>
      <c r="C1025" s="2" t="s">
        <v>257</v>
      </c>
      <c r="D1025" s="11">
        <v>45977.215972164355</v>
      </c>
      <c r="E1025" s="11">
        <v>45977.215972164355</v>
      </c>
      <c r="F1025" s="11">
        <v>45977.359722222223</v>
      </c>
      <c r="G1025" s="12">
        <v>0.14375005786860129</v>
      </c>
      <c r="H1025" s="2" t="s">
        <v>248</v>
      </c>
      <c r="J1025" s="2" t="s">
        <v>249</v>
      </c>
      <c r="K1025" s="2" t="s">
        <v>349</v>
      </c>
      <c r="L1025" s="2" t="s">
        <v>971</v>
      </c>
      <c r="M1025" t="s">
        <v>251</v>
      </c>
      <c r="N1025" t="s">
        <v>330</v>
      </c>
      <c r="O1025" t="s">
        <v>331</v>
      </c>
      <c r="P1025" t="s">
        <v>2097</v>
      </c>
      <c r="Q1025" t="s">
        <v>966</v>
      </c>
    </row>
    <row r="1026" spans="1:17">
      <c r="A1026" s="2" t="s">
        <v>258</v>
      </c>
      <c r="B1026" s="2" t="s">
        <v>258</v>
      </c>
      <c r="C1026" s="2" t="s">
        <v>247</v>
      </c>
      <c r="D1026" s="11">
        <v>45977.215972164355</v>
      </c>
      <c r="E1026" s="11">
        <v>45977.215972164355</v>
      </c>
      <c r="F1026" s="11">
        <v>45977.359722222223</v>
      </c>
      <c r="G1026" s="12">
        <v>0.14375005786860129</v>
      </c>
      <c r="H1026" s="2" t="s">
        <v>248</v>
      </c>
      <c r="J1026" s="2" t="s">
        <v>249</v>
      </c>
      <c r="K1026" s="2" t="s">
        <v>349</v>
      </c>
      <c r="L1026" s="2" t="s">
        <v>971</v>
      </c>
      <c r="M1026" t="s">
        <v>251</v>
      </c>
      <c r="N1026" t="s">
        <v>330</v>
      </c>
      <c r="O1026" t="s">
        <v>331</v>
      </c>
      <c r="P1026" t="s">
        <v>2098</v>
      </c>
      <c r="Q1026" t="s">
        <v>966</v>
      </c>
    </row>
    <row r="1027" spans="1:17">
      <c r="A1027" s="2" t="s">
        <v>258</v>
      </c>
      <c r="B1027" s="2" t="s">
        <v>258</v>
      </c>
      <c r="C1027" s="2" t="s">
        <v>254</v>
      </c>
      <c r="D1027" s="11">
        <v>45977.215972164355</v>
      </c>
      <c r="E1027" s="11">
        <v>45977.215972164355</v>
      </c>
      <c r="F1027" s="11">
        <v>45977.359722222223</v>
      </c>
      <c r="G1027" s="12">
        <v>0.14375005786860129</v>
      </c>
      <c r="H1027" s="2" t="s">
        <v>248</v>
      </c>
      <c r="J1027" s="2" t="s">
        <v>249</v>
      </c>
      <c r="K1027" s="2" t="s">
        <v>349</v>
      </c>
      <c r="L1027" s="2" t="s">
        <v>971</v>
      </c>
      <c r="M1027" t="s">
        <v>251</v>
      </c>
      <c r="N1027" t="s">
        <v>330</v>
      </c>
      <c r="O1027" t="s">
        <v>331</v>
      </c>
      <c r="P1027" t="s">
        <v>2099</v>
      </c>
      <c r="Q1027" t="s">
        <v>966</v>
      </c>
    </row>
    <row r="1028" spans="1:17">
      <c r="A1028" s="2" t="s">
        <v>258</v>
      </c>
      <c r="B1028" s="2" t="s">
        <v>258</v>
      </c>
      <c r="C1028" s="2" t="s">
        <v>255</v>
      </c>
      <c r="D1028" s="11">
        <v>45977.215972164355</v>
      </c>
      <c r="E1028" s="11">
        <v>45977.215972164355</v>
      </c>
      <c r="F1028" s="11">
        <v>45977.359722222223</v>
      </c>
      <c r="G1028" s="12">
        <v>0.14375005786860129</v>
      </c>
      <c r="H1028" s="2" t="s">
        <v>248</v>
      </c>
      <c r="J1028" s="2" t="s">
        <v>249</v>
      </c>
      <c r="K1028" s="2" t="s">
        <v>349</v>
      </c>
      <c r="L1028" s="2" t="s">
        <v>971</v>
      </c>
      <c r="M1028" t="s">
        <v>251</v>
      </c>
      <c r="N1028" t="s">
        <v>330</v>
      </c>
      <c r="O1028" t="s">
        <v>331</v>
      </c>
      <c r="P1028" t="s">
        <v>2100</v>
      </c>
      <c r="Q1028" t="s">
        <v>966</v>
      </c>
    </row>
    <row r="1029" spans="1:17">
      <c r="A1029" s="2" t="s">
        <v>258</v>
      </c>
      <c r="B1029" s="2" t="s">
        <v>258</v>
      </c>
      <c r="C1029" s="2" t="s">
        <v>256</v>
      </c>
      <c r="D1029" s="11">
        <v>45977.215972164355</v>
      </c>
      <c r="E1029" s="11">
        <v>45977.215972164355</v>
      </c>
      <c r="F1029" s="11">
        <v>45977.359722222223</v>
      </c>
      <c r="G1029" s="12">
        <v>0.14375005786860129</v>
      </c>
      <c r="H1029" s="2" t="s">
        <v>248</v>
      </c>
      <c r="J1029" s="2" t="s">
        <v>249</v>
      </c>
      <c r="K1029" s="2" t="s">
        <v>349</v>
      </c>
      <c r="L1029" s="2" t="s">
        <v>971</v>
      </c>
      <c r="M1029" t="s">
        <v>251</v>
      </c>
      <c r="N1029" t="s">
        <v>330</v>
      </c>
      <c r="O1029" t="s">
        <v>331</v>
      </c>
      <c r="P1029" t="s">
        <v>2101</v>
      </c>
      <c r="Q1029" t="s">
        <v>966</v>
      </c>
    </row>
    <row r="1030" spans="1:17">
      <c r="A1030" s="2" t="s">
        <v>258</v>
      </c>
      <c r="B1030" s="2" t="s">
        <v>258</v>
      </c>
      <c r="C1030" s="2" t="s">
        <v>257</v>
      </c>
      <c r="D1030" s="11">
        <v>45977.215972164355</v>
      </c>
      <c r="E1030" s="11">
        <v>45977.215972164355</v>
      </c>
      <c r="F1030" s="11">
        <v>45977.359722222223</v>
      </c>
      <c r="G1030" s="12">
        <v>0.14375005786860129</v>
      </c>
      <c r="H1030" s="2" t="s">
        <v>248</v>
      </c>
      <c r="J1030" s="2" t="s">
        <v>249</v>
      </c>
      <c r="K1030" s="2" t="s">
        <v>349</v>
      </c>
      <c r="L1030" s="2" t="s">
        <v>971</v>
      </c>
      <c r="M1030" t="s">
        <v>251</v>
      </c>
      <c r="N1030" t="s">
        <v>330</v>
      </c>
      <c r="O1030" t="s">
        <v>331</v>
      </c>
      <c r="P1030" t="s">
        <v>2102</v>
      </c>
      <c r="Q1030" t="s">
        <v>966</v>
      </c>
    </row>
    <row r="1031" spans="1:17">
      <c r="A1031" s="2" t="s">
        <v>259</v>
      </c>
      <c r="B1031" s="2" t="s">
        <v>259</v>
      </c>
      <c r="C1031" s="2" t="s">
        <v>247</v>
      </c>
      <c r="D1031" s="11">
        <v>45977.215972164355</v>
      </c>
      <c r="E1031" s="11">
        <v>45977.215972164355</v>
      </c>
      <c r="F1031" s="11">
        <v>45977.359722222223</v>
      </c>
      <c r="G1031" s="12">
        <v>0.14375005786860129</v>
      </c>
      <c r="H1031" s="2" t="s">
        <v>248</v>
      </c>
      <c r="J1031" s="2" t="s">
        <v>249</v>
      </c>
      <c r="K1031" s="2" t="s">
        <v>349</v>
      </c>
      <c r="L1031" s="2" t="s">
        <v>971</v>
      </c>
      <c r="M1031" t="s">
        <v>251</v>
      </c>
      <c r="N1031" t="s">
        <v>330</v>
      </c>
      <c r="O1031" t="s">
        <v>331</v>
      </c>
      <c r="P1031" t="s">
        <v>2103</v>
      </c>
      <c r="Q1031" t="s">
        <v>966</v>
      </c>
    </row>
    <row r="1032" spans="1:17">
      <c r="A1032" s="2" t="s">
        <v>259</v>
      </c>
      <c r="B1032" s="2" t="s">
        <v>259</v>
      </c>
      <c r="C1032" s="2" t="s">
        <v>254</v>
      </c>
      <c r="D1032" s="11">
        <v>45977.215972164355</v>
      </c>
      <c r="E1032" s="11">
        <v>45977.215972164355</v>
      </c>
      <c r="F1032" s="11">
        <v>45977.359722222223</v>
      </c>
      <c r="G1032" s="12">
        <v>0.14375005786860129</v>
      </c>
      <c r="H1032" s="2" t="s">
        <v>248</v>
      </c>
      <c r="J1032" s="2" t="s">
        <v>249</v>
      </c>
      <c r="K1032" s="2" t="s">
        <v>349</v>
      </c>
      <c r="L1032" s="2" t="s">
        <v>971</v>
      </c>
      <c r="M1032" t="s">
        <v>251</v>
      </c>
      <c r="N1032" t="s">
        <v>330</v>
      </c>
      <c r="O1032" t="s">
        <v>331</v>
      </c>
      <c r="P1032" t="s">
        <v>2104</v>
      </c>
      <c r="Q1032" t="s">
        <v>966</v>
      </c>
    </row>
    <row r="1033" spans="1:17">
      <c r="A1033" s="2" t="s">
        <v>259</v>
      </c>
      <c r="B1033" s="2" t="s">
        <v>259</v>
      </c>
      <c r="C1033" s="2" t="s">
        <v>255</v>
      </c>
      <c r="D1033" s="11">
        <v>45977.215972164355</v>
      </c>
      <c r="E1033" s="11">
        <v>45977.215972164355</v>
      </c>
      <c r="F1033" s="11">
        <v>45977.359722222223</v>
      </c>
      <c r="G1033" s="12">
        <v>0.14375005786860129</v>
      </c>
      <c r="H1033" s="2" t="s">
        <v>248</v>
      </c>
      <c r="J1033" s="2" t="s">
        <v>249</v>
      </c>
      <c r="K1033" s="2" t="s">
        <v>349</v>
      </c>
      <c r="L1033" s="2" t="s">
        <v>971</v>
      </c>
      <c r="M1033" t="s">
        <v>251</v>
      </c>
      <c r="N1033" t="s">
        <v>330</v>
      </c>
      <c r="O1033" t="s">
        <v>331</v>
      </c>
      <c r="P1033" t="s">
        <v>2105</v>
      </c>
      <c r="Q1033" t="s">
        <v>966</v>
      </c>
    </row>
    <row r="1034" spans="1:17">
      <c r="A1034" s="2" t="s">
        <v>259</v>
      </c>
      <c r="B1034" s="2" t="s">
        <v>259</v>
      </c>
      <c r="C1034" s="2" t="s">
        <v>256</v>
      </c>
      <c r="D1034" s="11">
        <v>45977.215972164355</v>
      </c>
      <c r="E1034" s="11">
        <v>45977.215972164355</v>
      </c>
      <c r="F1034" s="11">
        <v>45977.359722222223</v>
      </c>
      <c r="G1034" s="12">
        <v>0.14375005786860129</v>
      </c>
      <c r="H1034" s="2" t="s">
        <v>248</v>
      </c>
      <c r="J1034" s="2" t="s">
        <v>249</v>
      </c>
      <c r="K1034" s="2" t="s">
        <v>349</v>
      </c>
      <c r="L1034" s="2" t="s">
        <v>971</v>
      </c>
      <c r="M1034" t="s">
        <v>251</v>
      </c>
      <c r="N1034" t="s">
        <v>330</v>
      </c>
      <c r="O1034" t="s">
        <v>331</v>
      </c>
      <c r="P1034" t="s">
        <v>2106</v>
      </c>
      <c r="Q1034" t="s">
        <v>966</v>
      </c>
    </row>
    <row r="1035" spans="1:17">
      <c r="A1035" s="2" t="s">
        <v>259</v>
      </c>
      <c r="B1035" s="2" t="s">
        <v>259</v>
      </c>
      <c r="C1035" s="2" t="s">
        <v>257</v>
      </c>
      <c r="D1035" s="11">
        <v>45977.215972164355</v>
      </c>
      <c r="E1035" s="11">
        <v>45977.215972164355</v>
      </c>
      <c r="F1035" s="11">
        <v>45977.359722222223</v>
      </c>
      <c r="G1035" s="12">
        <v>0.14375005786860129</v>
      </c>
      <c r="H1035" s="2" t="s">
        <v>248</v>
      </c>
      <c r="J1035" s="2" t="s">
        <v>249</v>
      </c>
      <c r="K1035" s="2" t="s">
        <v>349</v>
      </c>
      <c r="L1035" s="2" t="s">
        <v>971</v>
      </c>
      <c r="M1035" t="s">
        <v>251</v>
      </c>
      <c r="N1035" t="s">
        <v>330</v>
      </c>
      <c r="O1035" t="s">
        <v>331</v>
      </c>
      <c r="P1035" t="s">
        <v>2107</v>
      </c>
      <c r="Q1035" t="s">
        <v>966</v>
      </c>
    </row>
    <row r="1036" spans="1:17">
      <c r="A1036" s="2" t="s">
        <v>780</v>
      </c>
      <c r="B1036" s="2" t="s">
        <v>268</v>
      </c>
      <c r="C1036" s="2" t="s">
        <v>269</v>
      </c>
      <c r="D1036" s="11">
        <v>45977.21597222222</v>
      </c>
      <c r="E1036" s="11">
        <v>45977.21597222222</v>
      </c>
      <c r="F1036" s="11">
        <v>45977.359722222223</v>
      </c>
      <c r="G1036" s="12">
        <v>0.14375000000291038</v>
      </c>
      <c r="H1036" s="2" t="s">
        <v>248</v>
      </c>
      <c r="J1036" s="2" t="s">
        <v>249</v>
      </c>
      <c r="K1036" s="2" t="s">
        <v>349</v>
      </c>
      <c r="L1036" s="2" t="s">
        <v>971</v>
      </c>
      <c r="M1036" t="s">
        <v>251</v>
      </c>
      <c r="N1036" t="s">
        <v>330</v>
      </c>
      <c r="O1036" t="s">
        <v>331</v>
      </c>
      <c r="P1036" t="s">
        <v>2108</v>
      </c>
      <c r="Q1036" t="s">
        <v>966</v>
      </c>
    </row>
    <row r="1037" spans="1:17">
      <c r="A1037" s="2" t="s">
        <v>780</v>
      </c>
      <c r="B1037" s="2" t="s">
        <v>268</v>
      </c>
      <c r="C1037" s="2" t="s">
        <v>270</v>
      </c>
      <c r="D1037" s="11">
        <v>45977.21597222222</v>
      </c>
      <c r="E1037" s="11">
        <v>45977.21597222222</v>
      </c>
      <c r="F1037" s="11">
        <v>45977.359722222223</v>
      </c>
      <c r="G1037" s="12">
        <v>0.14375000000291038</v>
      </c>
      <c r="H1037" s="2" t="s">
        <v>248</v>
      </c>
      <c r="J1037" s="2" t="s">
        <v>249</v>
      </c>
      <c r="K1037" s="2" t="s">
        <v>349</v>
      </c>
      <c r="L1037" s="2" t="s">
        <v>971</v>
      </c>
      <c r="M1037" t="s">
        <v>251</v>
      </c>
      <c r="N1037" t="s">
        <v>330</v>
      </c>
      <c r="O1037" t="s">
        <v>331</v>
      </c>
      <c r="P1037" t="s">
        <v>2109</v>
      </c>
      <c r="Q1037" t="s">
        <v>966</v>
      </c>
    </row>
    <row r="1038" spans="1:17">
      <c r="A1038" s="2" t="s">
        <v>1126</v>
      </c>
      <c r="B1038" s="2" t="s">
        <v>493</v>
      </c>
      <c r="C1038" s="2" t="s">
        <v>494</v>
      </c>
      <c r="D1038" s="11">
        <v>45977.545138888891</v>
      </c>
      <c r="E1038" s="11">
        <v>45977.545138888891</v>
      </c>
      <c r="F1038" s="11">
        <v>45977.751388888886</v>
      </c>
      <c r="G1038" s="12">
        <v>0.20624999999563443</v>
      </c>
      <c r="H1038" s="2" t="s">
        <v>248</v>
      </c>
      <c r="J1038" s="2" t="s">
        <v>249</v>
      </c>
      <c r="K1038" s="2" t="s">
        <v>349</v>
      </c>
      <c r="L1038" s="2" t="s">
        <v>971</v>
      </c>
      <c r="M1038" t="s">
        <v>251</v>
      </c>
      <c r="N1038" t="s">
        <v>330</v>
      </c>
      <c r="O1038" t="s">
        <v>331</v>
      </c>
      <c r="P1038" t="s">
        <v>2110</v>
      </c>
      <c r="Q1038" t="s">
        <v>966</v>
      </c>
    </row>
    <row r="1039" spans="1:17">
      <c r="A1039" s="2" t="s">
        <v>1126</v>
      </c>
      <c r="B1039" s="2" t="s">
        <v>493</v>
      </c>
      <c r="C1039" s="2" t="s">
        <v>497</v>
      </c>
      <c r="D1039" s="11">
        <v>45977.545138888891</v>
      </c>
      <c r="E1039" s="11">
        <v>45977.545138888891</v>
      </c>
      <c r="F1039" s="11">
        <v>45977.751388888886</v>
      </c>
      <c r="G1039" s="12">
        <v>0.20624999999563443</v>
      </c>
      <c r="H1039" s="2" t="s">
        <v>248</v>
      </c>
      <c r="J1039" s="2" t="s">
        <v>249</v>
      </c>
      <c r="K1039" s="2" t="s">
        <v>349</v>
      </c>
      <c r="L1039" s="2" t="s">
        <v>971</v>
      </c>
      <c r="M1039" t="s">
        <v>251</v>
      </c>
      <c r="N1039" t="s">
        <v>330</v>
      </c>
      <c r="O1039" t="s">
        <v>331</v>
      </c>
      <c r="P1039" t="s">
        <v>2111</v>
      </c>
      <c r="Q1039" t="s">
        <v>966</v>
      </c>
    </row>
    <row r="1040" spans="1:17">
      <c r="A1040" s="2" t="s">
        <v>1126</v>
      </c>
      <c r="B1040" s="2" t="s">
        <v>493</v>
      </c>
      <c r="C1040" s="2" t="s">
        <v>498</v>
      </c>
      <c r="D1040" s="11">
        <v>45977.545138888891</v>
      </c>
      <c r="E1040" s="11">
        <v>45977.545138888891</v>
      </c>
      <c r="F1040" s="11">
        <v>45977.751388888886</v>
      </c>
      <c r="G1040" s="12">
        <v>0.20624999999563443</v>
      </c>
      <c r="H1040" s="2" t="s">
        <v>248</v>
      </c>
      <c r="J1040" s="2" t="s">
        <v>249</v>
      </c>
      <c r="K1040" s="2" t="s">
        <v>349</v>
      </c>
      <c r="L1040" s="2" t="s">
        <v>971</v>
      </c>
      <c r="M1040" t="s">
        <v>251</v>
      </c>
      <c r="N1040" t="s">
        <v>330</v>
      </c>
      <c r="O1040" t="s">
        <v>331</v>
      </c>
      <c r="P1040" t="s">
        <v>2112</v>
      </c>
      <c r="Q1040" t="s">
        <v>966</v>
      </c>
    </row>
    <row r="1041" spans="1:17">
      <c r="A1041" s="2" t="s">
        <v>1126</v>
      </c>
      <c r="B1041" s="2" t="s">
        <v>493</v>
      </c>
      <c r="C1041" s="2" t="s">
        <v>499</v>
      </c>
      <c r="D1041" s="11">
        <v>45977.545138888891</v>
      </c>
      <c r="E1041" s="11">
        <v>45977.545138888891</v>
      </c>
      <c r="F1041" s="11">
        <v>45977.751388888886</v>
      </c>
      <c r="G1041" s="12">
        <v>0.20624999999563443</v>
      </c>
      <c r="H1041" s="2" t="s">
        <v>248</v>
      </c>
      <c r="J1041" s="2" t="s">
        <v>249</v>
      </c>
      <c r="K1041" s="2" t="s">
        <v>349</v>
      </c>
      <c r="L1041" s="2" t="s">
        <v>971</v>
      </c>
      <c r="M1041" t="s">
        <v>251</v>
      </c>
      <c r="N1041" t="s">
        <v>330</v>
      </c>
      <c r="O1041" t="s">
        <v>331</v>
      </c>
      <c r="P1041" t="s">
        <v>2113</v>
      </c>
      <c r="Q1041" t="s">
        <v>966</v>
      </c>
    </row>
    <row r="1042" spans="1:17">
      <c r="A1042" s="2" t="s">
        <v>869</v>
      </c>
      <c r="B1042" s="2" t="s">
        <v>746</v>
      </c>
      <c r="C1042" s="2" t="s">
        <v>747</v>
      </c>
      <c r="D1042" s="11">
        <v>45977.545138888891</v>
      </c>
      <c r="E1042" s="11">
        <v>45977.545138888891</v>
      </c>
      <c r="F1042" s="11">
        <v>45977.751388888886</v>
      </c>
      <c r="G1042" s="12">
        <v>0.20624999999563443</v>
      </c>
      <c r="H1042" s="2" t="s">
        <v>248</v>
      </c>
      <c r="J1042" s="2" t="s">
        <v>249</v>
      </c>
      <c r="K1042" s="2" t="s">
        <v>349</v>
      </c>
      <c r="L1042" s="2" t="s">
        <v>971</v>
      </c>
      <c r="M1042" t="s">
        <v>251</v>
      </c>
      <c r="N1042" t="s">
        <v>330</v>
      </c>
      <c r="O1042" t="s">
        <v>331</v>
      </c>
      <c r="P1042" t="s">
        <v>2114</v>
      </c>
      <c r="Q1042" t="s">
        <v>966</v>
      </c>
    </row>
    <row r="1043" spans="1:17">
      <c r="A1043" s="2" t="s">
        <v>869</v>
      </c>
      <c r="B1043" s="2" t="s">
        <v>746</v>
      </c>
      <c r="C1043" s="2" t="s">
        <v>748</v>
      </c>
      <c r="D1043" s="11">
        <v>45977.545138888891</v>
      </c>
      <c r="E1043" s="11">
        <v>45977.545138888891</v>
      </c>
      <c r="F1043" s="11">
        <v>45977.751388888886</v>
      </c>
      <c r="G1043" s="12">
        <v>0.20624999999563443</v>
      </c>
      <c r="H1043" s="2" t="s">
        <v>248</v>
      </c>
      <c r="J1043" s="2" t="s">
        <v>249</v>
      </c>
      <c r="K1043" s="2" t="s">
        <v>349</v>
      </c>
      <c r="L1043" s="2" t="s">
        <v>971</v>
      </c>
      <c r="M1043" t="s">
        <v>251</v>
      </c>
      <c r="N1043" t="s">
        <v>330</v>
      </c>
      <c r="O1043" t="s">
        <v>331</v>
      </c>
      <c r="P1043" t="s">
        <v>2115</v>
      </c>
      <c r="Q1043" t="s">
        <v>966</v>
      </c>
    </row>
    <row r="1044" spans="1:17">
      <c r="A1044" s="2" t="s">
        <v>869</v>
      </c>
      <c r="B1044" s="2" t="s">
        <v>746</v>
      </c>
      <c r="C1044" s="2" t="s">
        <v>749</v>
      </c>
      <c r="D1044" s="11">
        <v>45977.545138888891</v>
      </c>
      <c r="E1044" s="11">
        <v>45977.545138888891</v>
      </c>
      <c r="F1044" s="11">
        <v>45977.751388888886</v>
      </c>
      <c r="G1044" s="12">
        <v>0.20624999999563443</v>
      </c>
      <c r="H1044" s="2" t="s">
        <v>248</v>
      </c>
      <c r="J1044" s="2" t="s">
        <v>249</v>
      </c>
      <c r="K1044" s="2" t="s">
        <v>349</v>
      </c>
      <c r="L1044" s="2" t="s">
        <v>971</v>
      </c>
      <c r="M1044" t="s">
        <v>251</v>
      </c>
      <c r="N1044" t="s">
        <v>330</v>
      </c>
      <c r="O1044" t="s">
        <v>331</v>
      </c>
      <c r="P1044" t="s">
        <v>2116</v>
      </c>
      <c r="Q1044" t="s">
        <v>966</v>
      </c>
    </row>
    <row r="1045" spans="1:17">
      <c r="A1045" s="2" t="s">
        <v>869</v>
      </c>
      <c r="B1045" s="2" t="s">
        <v>746</v>
      </c>
      <c r="C1045" s="2" t="s">
        <v>750</v>
      </c>
      <c r="D1045" s="11">
        <v>45977.545138888891</v>
      </c>
      <c r="E1045" s="11">
        <v>45977.545138888891</v>
      </c>
      <c r="F1045" s="11">
        <v>45977.751388888886</v>
      </c>
      <c r="G1045" s="12">
        <v>0.20624999999563443</v>
      </c>
      <c r="H1045" s="2" t="s">
        <v>248</v>
      </c>
      <c r="J1045" s="2" t="s">
        <v>249</v>
      </c>
      <c r="K1045" s="2" t="s">
        <v>349</v>
      </c>
      <c r="L1045" s="2" t="s">
        <v>971</v>
      </c>
      <c r="M1045" t="s">
        <v>251</v>
      </c>
      <c r="N1045" t="s">
        <v>330</v>
      </c>
      <c r="O1045" t="s">
        <v>331</v>
      </c>
      <c r="P1045" t="s">
        <v>2117</v>
      </c>
      <c r="Q1045" t="s">
        <v>966</v>
      </c>
    </row>
    <row r="1046" spans="1:17">
      <c r="A1046" s="2" t="s">
        <v>869</v>
      </c>
      <c r="B1046" s="2" t="s">
        <v>746</v>
      </c>
      <c r="C1046" s="2" t="s">
        <v>751</v>
      </c>
      <c r="D1046" s="11">
        <v>45977.545138888891</v>
      </c>
      <c r="E1046" s="11">
        <v>45977.545138888891</v>
      </c>
      <c r="F1046" s="11">
        <v>45977.751388888886</v>
      </c>
      <c r="G1046" s="12">
        <v>0.20624999999563443</v>
      </c>
      <c r="H1046" s="2" t="s">
        <v>248</v>
      </c>
      <c r="J1046" s="2" t="s">
        <v>249</v>
      </c>
      <c r="K1046" s="2" t="s">
        <v>349</v>
      </c>
      <c r="L1046" s="2" t="s">
        <v>971</v>
      </c>
      <c r="M1046" t="s">
        <v>251</v>
      </c>
      <c r="N1046" t="s">
        <v>330</v>
      </c>
      <c r="O1046" t="s">
        <v>331</v>
      </c>
      <c r="P1046" t="s">
        <v>2118</v>
      </c>
      <c r="Q1046" t="s">
        <v>966</v>
      </c>
    </row>
    <row r="1047" spans="1:17">
      <c r="A1047" s="2" t="s">
        <v>869</v>
      </c>
      <c r="B1047" s="2" t="s">
        <v>746</v>
      </c>
      <c r="C1047" s="2" t="s">
        <v>752</v>
      </c>
      <c r="D1047" s="11">
        <v>45977.545138888891</v>
      </c>
      <c r="E1047" s="11">
        <v>45977.545138888891</v>
      </c>
      <c r="F1047" s="11">
        <v>45977.751388888886</v>
      </c>
      <c r="G1047" s="12">
        <v>0.20624999999563443</v>
      </c>
      <c r="H1047" s="2" t="s">
        <v>248</v>
      </c>
      <c r="J1047" s="2" t="s">
        <v>249</v>
      </c>
      <c r="K1047" s="2" t="s">
        <v>349</v>
      </c>
      <c r="L1047" s="2" t="s">
        <v>971</v>
      </c>
      <c r="M1047" t="s">
        <v>251</v>
      </c>
      <c r="N1047" t="s">
        <v>330</v>
      </c>
      <c r="O1047" t="s">
        <v>331</v>
      </c>
      <c r="P1047" t="s">
        <v>2119</v>
      </c>
      <c r="Q1047" t="s">
        <v>966</v>
      </c>
    </row>
    <row r="1048" spans="1:17">
      <c r="A1048" s="2" t="s">
        <v>869</v>
      </c>
      <c r="B1048" s="2" t="s">
        <v>746</v>
      </c>
      <c r="C1048" s="2" t="s">
        <v>753</v>
      </c>
      <c r="D1048" s="11">
        <v>45977.545138888891</v>
      </c>
      <c r="E1048" s="11">
        <v>45977.545138888891</v>
      </c>
      <c r="F1048" s="11">
        <v>45977.751388888886</v>
      </c>
      <c r="G1048" s="12">
        <v>0.20624999999563443</v>
      </c>
      <c r="H1048" s="2" t="s">
        <v>248</v>
      </c>
      <c r="J1048" s="2" t="s">
        <v>249</v>
      </c>
      <c r="K1048" s="2" t="s">
        <v>349</v>
      </c>
      <c r="L1048" s="2" t="s">
        <v>971</v>
      </c>
      <c r="M1048" t="s">
        <v>251</v>
      </c>
      <c r="N1048" t="s">
        <v>330</v>
      </c>
      <c r="O1048" t="s">
        <v>331</v>
      </c>
      <c r="P1048" t="s">
        <v>2120</v>
      </c>
      <c r="Q1048" t="s">
        <v>966</v>
      </c>
    </row>
    <row r="1049" spans="1:17">
      <c r="A1049" s="2" t="s">
        <v>869</v>
      </c>
      <c r="B1049" s="2" t="s">
        <v>746</v>
      </c>
      <c r="C1049" s="2" t="s">
        <v>754</v>
      </c>
      <c r="D1049" s="11">
        <v>45977.545138888891</v>
      </c>
      <c r="E1049" s="11">
        <v>45977.545138888891</v>
      </c>
      <c r="F1049" s="11">
        <v>45977.751388888886</v>
      </c>
      <c r="G1049" s="12">
        <v>0.20624999999563443</v>
      </c>
      <c r="H1049" s="2" t="s">
        <v>248</v>
      </c>
      <c r="J1049" s="2" t="s">
        <v>249</v>
      </c>
      <c r="K1049" s="2" t="s">
        <v>349</v>
      </c>
      <c r="L1049" s="2" t="s">
        <v>971</v>
      </c>
      <c r="M1049" t="s">
        <v>251</v>
      </c>
      <c r="N1049" t="s">
        <v>330</v>
      </c>
      <c r="O1049" t="s">
        <v>331</v>
      </c>
      <c r="P1049" t="s">
        <v>2121</v>
      </c>
      <c r="Q1049" t="s">
        <v>966</v>
      </c>
    </row>
    <row r="1050" spans="1:17">
      <c r="A1050" s="2" t="s">
        <v>869</v>
      </c>
      <c r="B1050" s="2" t="s">
        <v>746</v>
      </c>
      <c r="C1050" s="2" t="s">
        <v>755</v>
      </c>
      <c r="D1050" s="11">
        <v>45977.545138888891</v>
      </c>
      <c r="E1050" s="11">
        <v>45977.545138888891</v>
      </c>
      <c r="F1050" s="11">
        <v>45977.751388888886</v>
      </c>
      <c r="G1050" s="12">
        <v>0.20624999999563443</v>
      </c>
      <c r="H1050" s="2" t="s">
        <v>248</v>
      </c>
      <c r="J1050" s="2" t="s">
        <v>249</v>
      </c>
      <c r="K1050" s="2" t="s">
        <v>349</v>
      </c>
      <c r="L1050" s="2" t="s">
        <v>971</v>
      </c>
      <c r="M1050" t="s">
        <v>251</v>
      </c>
      <c r="N1050" t="s">
        <v>330</v>
      </c>
      <c r="O1050" t="s">
        <v>331</v>
      </c>
      <c r="P1050" t="s">
        <v>2122</v>
      </c>
      <c r="Q1050" t="s">
        <v>966</v>
      </c>
    </row>
    <row r="1051" spans="1:17">
      <c r="A1051" s="2" t="s">
        <v>869</v>
      </c>
      <c r="B1051" s="2" t="s">
        <v>746</v>
      </c>
      <c r="C1051" s="2" t="s">
        <v>756</v>
      </c>
      <c r="D1051" s="11">
        <v>45977.545138888891</v>
      </c>
      <c r="E1051" s="11">
        <v>45977.545138888891</v>
      </c>
      <c r="F1051" s="11">
        <v>45977.751388888886</v>
      </c>
      <c r="G1051" s="12">
        <v>0.20624999999563443</v>
      </c>
      <c r="H1051" s="2" t="s">
        <v>248</v>
      </c>
      <c r="J1051" s="2" t="s">
        <v>249</v>
      </c>
      <c r="K1051" s="2" t="s">
        <v>349</v>
      </c>
      <c r="L1051" s="2" t="s">
        <v>971</v>
      </c>
      <c r="M1051" t="s">
        <v>251</v>
      </c>
      <c r="N1051" t="s">
        <v>330</v>
      </c>
      <c r="O1051" t="s">
        <v>331</v>
      </c>
      <c r="P1051" t="s">
        <v>2123</v>
      </c>
      <c r="Q1051" t="s">
        <v>966</v>
      </c>
    </row>
    <row r="1052" spans="1:17">
      <c r="A1052" s="2" t="s">
        <v>869</v>
      </c>
      <c r="B1052" s="2" t="s">
        <v>746</v>
      </c>
      <c r="C1052" s="2" t="s">
        <v>757</v>
      </c>
      <c r="D1052" s="11">
        <v>45977.545138888891</v>
      </c>
      <c r="E1052" s="11">
        <v>45977.545138888891</v>
      </c>
      <c r="F1052" s="11">
        <v>45977.751388888886</v>
      </c>
      <c r="G1052" s="12">
        <v>0.20624999999563443</v>
      </c>
      <c r="H1052" s="2" t="s">
        <v>248</v>
      </c>
      <c r="J1052" s="2" t="s">
        <v>249</v>
      </c>
      <c r="K1052" s="2" t="s">
        <v>349</v>
      </c>
      <c r="L1052" s="2" t="s">
        <v>971</v>
      </c>
      <c r="M1052" t="s">
        <v>251</v>
      </c>
      <c r="N1052" t="s">
        <v>330</v>
      </c>
      <c r="O1052" t="s">
        <v>331</v>
      </c>
      <c r="P1052" t="s">
        <v>2124</v>
      </c>
      <c r="Q1052" t="s">
        <v>966</v>
      </c>
    </row>
    <row r="1053" spans="1:17">
      <c r="A1053" s="2" t="s">
        <v>869</v>
      </c>
      <c r="B1053" s="2" t="s">
        <v>746</v>
      </c>
      <c r="C1053" s="2" t="s">
        <v>758</v>
      </c>
      <c r="D1053" s="11">
        <v>45977.545138888891</v>
      </c>
      <c r="E1053" s="11">
        <v>45977.545138888891</v>
      </c>
      <c r="F1053" s="11">
        <v>45977.751388888886</v>
      </c>
      <c r="G1053" s="12">
        <v>0.20624999999563443</v>
      </c>
      <c r="H1053" s="2" t="s">
        <v>248</v>
      </c>
      <c r="J1053" s="2" t="s">
        <v>249</v>
      </c>
      <c r="K1053" s="2" t="s">
        <v>349</v>
      </c>
      <c r="L1053" s="2" t="s">
        <v>971</v>
      </c>
      <c r="M1053" t="s">
        <v>251</v>
      </c>
      <c r="N1053" t="s">
        <v>330</v>
      </c>
      <c r="O1053" t="s">
        <v>331</v>
      </c>
      <c r="P1053" t="s">
        <v>2125</v>
      </c>
      <c r="Q1053" t="s">
        <v>966</v>
      </c>
    </row>
    <row r="1054" spans="1:17">
      <c r="A1054" s="2" t="s">
        <v>869</v>
      </c>
      <c r="B1054" s="2" t="s">
        <v>746</v>
      </c>
      <c r="C1054" s="2" t="s">
        <v>759</v>
      </c>
      <c r="D1054" s="11">
        <v>45977.545138888891</v>
      </c>
      <c r="E1054" s="11">
        <v>45977.545138888891</v>
      </c>
      <c r="F1054" s="11">
        <v>45977.751388888886</v>
      </c>
      <c r="G1054" s="12">
        <v>0.20624999999563443</v>
      </c>
      <c r="H1054" s="2" t="s">
        <v>248</v>
      </c>
      <c r="J1054" s="2" t="s">
        <v>249</v>
      </c>
      <c r="K1054" s="2" t="s">
        <v>349</v>
      </c>
      <c r="L1054" s="2" t="s">
        <v>971</v>
      </c>
      <c r="M1054" t="s">
        <v>251</v>
      </c>
      <c r="N1054" t="s">
        <v>330</v>
      </c>
      <c r="O1054" t="s">
        <v>331</v>
      </c>
      <c r="P1054" t="s">
        <v>2126</v>
      </c>
      <c r="Q1054" t="s">
        <v>966</v>
      </c>
    </row>
    <row r="1055" spans="1:17">
      <c r="A1055" s="2" t="s">
        <v>869</v>
      </c>
      <c r="B1055" s="2" t="s">
        <v>746</v>
      </c>
      <c r="C1055" s="2" t="s">
        <v>760</v>
      </c>
      <c r="D1055" s="11">
        <v>45977.545138888891</v>
      </c>
      <c r="E1055" s="11">
        <v>45977.545138888891</v>
      </c>
      <c r="F1055" s="11">
        <v>45977.751388888886</v>
      </c>
      <c r="G1055" s="12">
        <v>0.20624999999563443</v>
      </c>
      <c r="H1055" s="2" t="s">
        <v>248</v>
      </c>
      <c r="J1055" s="2" t="s">
        <v>249</v>
      </c>
      <c r="K1055" s="2" t="s">
        <v>349</v>
      </c>
      <c r="L1055" s="2" t="s">
        <v>971</v>
      </c>
      <c r="M1055" t="s">
        <v>251</v>
      </c>
      <c r="N1055" t="s">
        <v>330</v>
      </c>
      <c r="O1055" t="s">
        <v>331</v>
      </c>
      <c r="P1055" t="s">
        <v>2127</v>
      </c>
      <c r="Q1055" t="s">
        <v>966</v>
      </c>
    </row>
    <row r="1056" spans="1:17">
      <c r="A1056" s="2" t="s">
        <v>869</v>
      </c>
      <c r="B1056" s="2" t="s">
        <v>746</v>
      </c>
      <c r="C1056" s="2" t="s">
        <v>761</v>
      </c>
      <c r="D1056" s="11">
        <v>45977.545138888891</v>
      </c>
      <c r="E1056" s="11">
        <v>45977.545138888891</v>
      </c>
      <c r="F1056" s="11">
        <v>45977.751388888886</v>
      </c>
      <c r="G1056" s="12">
        <v>0.20624999999563443</v>
      </c>
      <c r="H1056" s="2" t="s">
        <v>248</v>
      </c>
      <c r="J1056" s="2" t="s">
        <v>249</v>
      </c>
      <c r="K1056" s="2" t="s">
        <v>349</v>
      </c>
      <c r="L1056" s="2" t="s">
        <v>971</v>
      </c>
      <c r="M1056" t="s">
        <v>251</v>
      </c>
      <c r="N1056" t="s">
        <v>330</v>
      </c>
      <c r="O1056" t="s">
        <v>331</v>
      </c>
      <c r="P1056" t="s">
        <v>2128</v>
      </c>
      <c r="Q1056" t="s">
        <v>966</v>
      </c>
    </row>
    <row r="1057" spans="1:17">
      <c r="A1057" s="2" t="s">
        <v>869</v>
      </c>
      <c r="B1057" s="2" t="s">
        <v>746</v>
      </c>
      <c r="C1057" s="2" t="s">
        <v>762</v>
      </c>
      <c r="D1057" s="11">
        <v>45977.545138888891</v>
      </c>
      <c r="E1057" s="11">
        <v>45977.545138888891</v>
      </c>
      <c r="F1057" s="11">
        <v>45977.751388888886</v>
      </c>
      <c r="G1057" s="12">
        <v>0.20624999999563443</v>
      </c>
      <c r="H1057" s="2" t="s">
        <v>248</v>
      </c>
      <c r="J1057" s="2" t="s">
        <v>249</v>
      </c>
      <c r="K1057" s="2" t="s">
        <v>349</v>
      </c>
      <c r="L1057" s="2" t="s">
        <v>971</v>
      </c>
      <c r="M1057" t="s">
        <v>251</v>
      </c>
      <c r="N1057" t="s">
        <v>330</v>
      </c>
      <c r="O1057" t="s">
        <v>331</v>
      </c>
      <c r="P1057" t="s">
        <v>2129</v>
      </c>
      <c r="Q1057" t="s">
        <v>966</v>
      </c>
    </row>
    <row r="1058" spans="1:17">
      <c r="A1058" s="2" t="s">
        <v>869</v>
      </c>
      <c r="B1058" s="2" t="s">
        <v>746</v>
      </c>
      <c r="C1058" s="2" t="s">
        <v>763</v>
      </c>
      <c r="D1058" s="11">
        <v>45977.545138888891</v>
      </c>
      <c r="E1058" s="11">
        <v>45977.545138888891</v>
      </c>
      <c r="F1058" s="11">
        <v>45977.751388888886</v>
      </c>
      <c r="G1058" s="12">
        <v>0.20624999999563443</v>
      </c>
      <c r="H1058" s="2" t="s">
        <v>248</v>
      </c>
      <c r="J1058" s="2" t="s">
        <v>249</v>
      </c>
      <c r="K1058" s="2" t="s">
        <v>349</v>
      </c>
      <c r="L1058" s="2" t="s">
        <v>971</v>
      </c>
      <c r="M1058" t="s">
        <v>251</v>
      </c>
      <c r="N1058" t="s">
        <v>330</v>
      </c>
      <c r="O1058" t="s">
        <v>331</v>
      </c>
      <c r="P1058" t="s">
        <v>2130</v>
      </c>
      <c r="Q1058" t="s">
        <v>966</v>
      </c>
    </row>
    <row r="1059" spans="1:17">
      <c r="A1059" s="2" t="s">
        <v>771</v>
      </c>
      <c r="B1059" s="2" t="s">
        <v>477</v>
      </c>
      <c r="C1059" s="2" t="s">
        <v>634</v>
      </c>
      <c r="D1059" s="11">
        <v>45977.9375</v>
      </c>
      <c r="E1059" s="11">
        <v>45977.9375</v>
      </c>
      <c r="F1059" s="11">
        <v>45978.260416666664</v>
      </c>
      <c r="G1059" s="12">
        <v>0.32291666666424135</v>
      </c>
      <c r="H1059" s="2" t="s">
        <v>248</v>
      </c>
      <c r="J1059" s="2" t="s">
        <v>249</v>
      </c>
      <c r="K1059" s="2" t="s">
        <v>349</v>
      </c>
      <c r="L1059" s="2" t="s">
        <v>971</v>
      </c>
      <c r="M1059" t="s">
        <v>251</v>
      </c>
      <c r="N1059" t="s">
        <v>330</v>
      </c>
      <c r="O1059" t="s">
        <v>331</v>
      </c>
      <c r="P1059" t="s">
        <v>2131</v>
      </c>
      <c r="Q1059" t="s">
        <v>966</v>
      </c>
    </row>
    <row r="1060" spans="1:17">
      <c r="A1060" s="2" t="s">
        <v>773</v>
      </c>
      <c r="B1060" s="2" t="s">
        <v>477</v>
      </c>
      <c r="C1060" s="2" t="s">
        <v>628</v>
      </c>
      <c r="D1060" s="11">
        <v>45977.9375</v>
      </c>
      <c r="E1060" s="11">
        <v>45977.9375</v>
      </c>
      <c r="F1060" s="11">
        <v>45978.260416666664</v>
      </c>
      <c r="G1060" s="12">
        <v>0.32291666666424135</v>
      </c>
      <c r="H1060" s="2" t="s">
        <v>248</v>
      </c>
      <c r="J1060" s="2" t="s">
        <v>249</v>
      </c>
      <c r="K1060" s="2" t="s">
        <v>349</v>
      </c>
      <c r="L1060" s="2" t="s">
        <v>971</v>
      </c>
      <c r="M1060" t="s">
        <v>251</v>
      </c>
      <c r="N1060" t="s">
        <v>330</v>
      </c>
      <c r="O1060" t="s">
        <v>331</v>
      </c>
      <c r="P1060" t="s">
        <v>2132</v>
      </c>
      <c r="Q1060" t="s">
        <v>966</v>
      </c>
    </row>
    <row r="1061" spans="1:17">
      <c r="A1061" s="2" t="s">
        <v>773</v>
      </c>
      <c r="B1061" s="2" t="s">
        <v>477</v>
      </c>
      <c r="C1061" s="2" t="s">
        <v>491</v>
      </c>
      <c r="D1061" s="11">
        <v>45977.9375</v>
      </c>
      <c r="E1061" s="11">
        <v>45977.9375</v>
      </c>
      <c r="F1061" s="11">
        <v>45978.260416666664</v>
      </c>
      <c r="G1061" s="12">
        <v>0.32291666666424135</v>
      </c>
      <c r="H1061" s="2" t="s">
        <v>248</v>
      </c>
      <c r="J1061" s="2" t="s">
        <v>249</v>
      </c>
      <c r="K1061" s="2" t="s">
        <v>349</v>
      </c>
      <c r="L1061" s="2" t="s">
        <v>971</v>
      </c>
      <c r="M1061" t="s">
        <v>251</v>
      </c>
      <c r="N1061" t="s">
        <v>330</v>
      </c>
      <c r="O1061" t="s">
        <v>331</v>
      </c>
      <c r="P1061" t="s">
        <v>2133</v>
      </c>
      <c r="Q1061" t="s">
        <v>966</v>
      </c>
    </row>
    <row r="1062" spans="1:17">
      <c r="A1062" s="2" t="s">
        <v>773</v>
      </c>
      <c r="B1062" s="2" t="s">
        <v>477</v>
      </c>
      <c r="C1062" s="2" t="s">
        <v>488</v>
      </c>
      <c r="D1062" s="11">
        <v>45977.9375</v>
      </c>
      <c r="E1062" s="11">
        <v>45977.9375</v>
      </c>
      <c r="F1062" s="11">
        <v>45978.260416666664</v>
      </c>
      <c r="G1062" s="12">
        <v>0.32291666666424135</v>
      </c>
      <c r="H1062" s="2" t="s">
        <v>248</v>
      </c>
      <c r="J1062" s="2" t="s">
        <v>249</v>
      </c>
      <c r="K1062" s="2" t="s">
        <v>349</v>
      </c>
      <c r="L1062" s="2" t="s">
        <v>971</v>
      </c>
      <c r="M1062" t="s">
        <v>251</v>
      </c>
      <c r="N1062" t="s">
        <v>330</v>
      </c>
      <c r="O1062" t="s">
        <v>331</v>
      </c>
      <c r="P1062" t="s">
        <v>2134</v>
      </c>
      <c r="Q1062" t="s">
        <v>966</v>
      </c>
    </row>
    <row r="1063" spans="1:17">
      <c r="A1063" s="2" t="s">
        <v>773</v>
      </c>
      <c r="B1063" s="2" t="s">
        <v>477</v>
      </c>
      <c r="C1063" s="2" t="s">
        <v>492</v>
      </c>
      <c r="D1063" s="11">
        <v>45977.9375</v>
      </c>
      <c r="E1063" s="11">
        <v>45977.9375</v>
      </c>
      <c r="F1063" s="11">
        <v>45978.260416666664</v>
      </c>
      <c r="G1063" s="12">
        <v>0.32291666666424135</v>
      </c>
      <c r="H1063" s="2" t="s">
        <v>248</v>
      </c>
      <c r="J1063" s="2" t="s">
        <v>249</v>
      </c>
      <c r="K1063" s="2" t="s">
        <v>349</v>
      </c>
      <c r="L1063" s="2" t="s">
        <v>971</v>
      </c>
      <c r="M1063" t="s">
        <v>251</v>
      </c>
      <c r="N1063" t="s">
        <v>330</v>
      </c>
      <c r="O1063" t="s">
        <v>331</v>
      </c>
      <c r="P1063" t="s">
        <v>2135</v>
      </c>
      <c r="Q1063" t="s">
        <v>966</v>
      </c>
    </row>
    <row r="1064" spans="1:17">
      <c r="A1064" s="2" t="s">
        <v>773</v>
      </c>
      <c r="B1064" s="2" t="s">
        <v>477</v>
      </c>
      <c r="C1064" s="2" t="s">
        <v>490</v>
      </c>
      <c r="D1064" s="11">
        <v>45977.9375</v>
      </c>
      <c r="E1064" s="11">
        <v>45977.9375</v>
      </c>
      <c r="F1064" s="11">
        <v>45978.260416666664</v>
      </c>
      <c r="G1064" s="12">
        <v>0.32291666666424135</v>
      </c>
      <c r="H1064" s="2" t="s">
        <v>248</v>
      </c>
      <c r="J1064" s="2" t="s">
        <v>249</v>
      </c>
      <c r="K1064" s="2" t="s">
        <v>349</v>
      </c>
      <c r="L1064" s="2" t="s">
        <v>971</v>
      </c>
      <c r="M1064" t="s">
        <v>251</v>
      </c>
      <c r="N1064" t="s">
        <v>330</v>
      </c>
      <c r="O1064" t="s">
        <v>331</v>
      </c>
      <c r="P1064" t="s">
        <v>2136</v>
      </c>
      <c r="Q1064" t="s">
        <v>966</v>
      </c>
    </row>
    <row r="1065" spans="1:17">
      <c r="A1065" s="2" t="s">
        <v>773</v>
      </c>
      <c r="B1065" s="2" t="s">
        <v>477</v>
      </c>
      <c r="C1065" s="2" t="s">
        <v>978</v>
      </c>
      <c r="D1065" s="11">
        <v>45977.9375</v>
      </c>
      <c r="E1065" s="11">
        <v>45977.9375</v>
      </c>
      <c r="F1065" s="11">
        <v>45978.260416666664</v>
      </c>
      <c r="G1065" s="12">
        <v>0.32291666666424135</v>
      </c>
      <c r="H1065" s="2" t="s">
        <v>248</v>
      </c>
      <c r="J1065" s="2" t="s">
        <v>249</v>
      </c>
      <c r="K1065" s="2" t="s">
        <v>349</v>
      </c>
      <c r="L1065" s="2" t="s">
        <v>971</v>
      </c>
      <c r="M1065" t="s">
        <v>251</v>
      </c>
      <c r="N1065" t="s">
        <v>330</v>
      </c>
      <c r="O1065" t="s">
        <v>331</v>
      </c>
      <c r="P1065" t="s">
        <v>2137</v>
      </c>
      <c r="Q1065" t="s">
        <v>966</v>
      </c>
    </row>
    <row r="1066" spans="1:17">
      <c r="A1066" s="2" t="s">
        <v>782</v>
      </c>
      <c r="B1066" s="2" t="s">
        <v>477</v>
      </c>
      <c r="C1066" s="2" t="s">
        <v>489</v>
      </c>
      <c r="D1066" s="11">
        <v>45977.9375</v>
      </c>
      <c r="E1066" s="11">
        <v>45977.9375</v>
      </c>
      <c r="F1066" s="11">
        <v>45978.260416666664</v>
      </c>
      <c r="G1066" s="12">
        <v>0.32291666666424135</v>
      </c>
      <c r="H1066" s="2" t="s">
        <v>248</v>
      </c>
      <c r="J1066" s="2" t="s">
        <v>249</v>
      </c>
      <c r="K1066" s="2" t="s">
        <v>349</v>
      </c>
      <c r="L1066" s="2" t="s">
        <v>971</v>
      </c>
      <c r="M1066" t="s">
        <v>251</v>
      </c>
      <c r="N1066" t="s">
        <v>330</v>
      </c>
      <c r="O1066" t="s">
        <v>331</v>
      </c>
      <c r="P1066" t="s">
        <v>2138</v>
      </c>
      <c r="Q1066" t="s">
        <v>966</v>
      </c>
    </row>
    <row r="1067" spans="1:17">
      <c r="A1067" s="2" t="s">
        <v>782</v>
      </c>
      <c r="B1067" s="2" t="s">
        <v>477</v>
      </c>
      <c r="C1067" s="2" t="s">
        <v>713</v>
      </c>
      <c r="D1067" s="11">
        <v>45977.9375</v>
      </c>
      <c r="E1067" s="11">
        <v>45977.9375</v>
      </c>
      <c r="F1067" s="11">
        <v>45978.260416666664</v>
      </c>
      <c r="G1067" s="12">
        <v>0.32291666666424135</v>
      </c>
      <c r="H1067" s="2" t="s">
        <v>248</v>
      </c>
      <c r="J1067" s="2" t="s">
        <v>249</v>
      </c>
      <c r="K1067" s="2" t="s">
        <v>349</v>
      </c>
      <c r="L1067" s="2" t="s">
        <v>971</v>
      </c>
      <c r="M1067" t="s">
        <v>251</v>
      </c>
      <c r="N1067" t="s">
        <v>330</v>
      </c>
      <c r="O1067" t="s">
        <v>331</v>
      </c>
      <c r="P1067" t="s">
        <v>2139</v>
      </c>
      <c r="Q1067" t="s">
        <v>966</v>
      </c>
    </row>
    <row r="1068" spans="1:17">
      <c r="A1068" s="2" t="s">
        <v>782</v>
      </c>
      <c r="B1068" s="2" t="s">
        <v>477</v>
      </c>
      <c r="C1068" s="2" t="s">
        <v>486</v>
      </c>
      <c r="D1068" s="11">
        <v>45977.9375</v>
      </c>
      <c r="E1068" s="11">
        <v>45977.9375</v>
      </c>
      <c r="F1068" s="11">
        <v>45978.260416666664</v>
      </c>
      <c r="G1068" s="12">
        <v>0.32291666666424135</v>
      </c>
      <c r="H1068" s="2" t="s">
        <v>248</v>
      </c>
      <c r="J1068" s="2" t="s">
        <v>249</v>
      </c>
      <c r="K1068" s="2" t="s">
        <v>349</v>
      </c>
      <c r="L1068" s="2" t="s">
        <v>971</v>
      </c>
      <c r="M1068" t="s">
        <v>251</v>
      </c>
      <c r="N1068" t="s">
        <v>330</v>
      </c>
      <c r="O1068" t="s">
        <v>331</v>
      </c>
      <c r="P1068" t="s">
        <v>2140</v>
      </c>
      <c r="Q1068" t="s">
        <v>966</v>
      </c>
    </row>
    <row r="1069" spans="1:17">
      <c r="A1069" s="2" t="s">
        <v>782</v>
      </c>
      <c r="B1069" s="2" t="s">
        <v>477</v>
      </c>
      <c r="C1069" s="2" t="s">
        <v>478</v>
      </c>
      <c r="D1069" s="11">
        <v>45977.9375</v>
      </c>
      <c r="E1069" s="11">
        <v>45977.9375</v>
      </c>
      <c r="F1069" s="11">
        <v>45978.260416666664</v>
      </c>
      <c r="G1069" s="12">
        <v>0.32291666666424135</v>
      </c>
      <c r="H1069" s="2" t="s">
        <v>248</v>
      </c>
      <c r="J1069" s="2" t="s">
        <v>249</v>
      </c>
      <c r="K1069" s="2" t="s">
        <v>349</v>
      </c>
      <c r="L1069" s="2" t="s">
        <v>971</v>
      </c>
      <c r="M1069" t="s">
        <v>251</v>
      </c>
      <c r="N1069" t="s">
        <v>330</v>
      </c>
      <c r="O1069" t="s">
        <v>331</v>
      </c>
      <c r="P1069" t="s">
        <v>2141</v>
      </c>
      <c r="Q1069" t="s">
        <v>966</v>
      </c>
    </row>
    <row r="1070" spans="1:17">
      <c r="A1070" s="2" t="s">
        <v>782</v>
      </c>
      <c r="B1070" s="2" t="s">
        <v>477</v>
      </c>
      <c r="C1070" s="2" t="s">
        <v>632</v>
      </c>
      <c r="D1070" s="11">
        <v>45977.9375</v>
      </c>
      <c r="E1070" s="11">
        <v>45977.9375</v>
      </c>
      <c r="F1070" s="11">
        <v>45978.260416666664</v>
      </c>
      <c r="G1070" s="12">
        <v>0.32291666666424135</v>
      </c>
      <c r="H1070" s="2" t="s">
        <v>248</v>
      </c>
      <c r="J1070" s="2" t="s">
        <v>249</v>
      </c>
      <c r="K1070" s="2" t="s">
        <v>349</v>
      </c>
      <c r="L1070" s="2" t="s">
        <v>971</v>
      </c>
      <c r="M1070" t="s">
        <v>251</v>
      </c>
      <c r="N1070" t="s">
        <v>330</v>
      </c>
      <c r="O1070" t="s">
        <v>331</v>
      </c>
      <c r="P1070" t="s">
        <v>2142</v>
      </c>
      <c r="Q1070" t="s">
        <v>966</v>
      </c>
    </row>
    <row r="1071" spans="1:17">
      <c r="A1071" s="2" t="s">
        <v>782</v>
      </c>
      <c r="B1071" s="2" t="s">
        <v>477</v>
      </c>
      <c r="C1071" s="2" t="s">
        <v>629</v>
      </c>
      <c r="D1071" s="11">
        <v>45977.9375</v>
      </c>
      <c r="E1071" s="11">
        <v>45977.9375</v>
      </c>
      <c r="F1071" s="11">
        <v>45978.260416666664</v>
      </c>
      <c r="G1071" s="12">
        <v>0.32291666666424135</v>
      </c>
      <c r="H1071" s="2" t="s">
        <v>248</v>
      </c>
      <c r="J1071" s="2" t="s">
        <v>249</v>
      </c>
      <c r="K1071" s="2" t="s">
        <v>349</v>
      </c>
      <c r="L1071" s="2" t="s">
        <v>971</v>
      </c>
      <c r="M1071" t="s">
        <v>251</v>
      </c>
      <c r="N1071" t="s">
        <v>330</v>
      </c>
      <c r="O1071" t="s">
        <v>331</v>
      </c>
      <c r="P1071" t="s">
        <v>2143</v>
      </c>
      <c r="Q1071" t="s">
        <v>966</v>
      </c>
    </row>
    <row r="1072" spans="1:17">
      <c r="A1072" s="2" t="s">
        <v>782</v>
      </c>
      <c r="B1072" s="2" t="s">
        <v>477</v>
      </c>
      <c r="C1072" s="2" t="s">
        <v>631</v>
      </c>
      <c r="D1072" s="11">
        <v>45977.9375</v>
      </c>
      <c r="E1072" s="11">
        <v>45977.9375</v>
      </c>
      <c r="F1072" s="11">
        <v>45978.260416666664</v>
      </c>
      <c r="G1072" s="12">
        <v>0.32291666666424135</v>
      </c>
      <c r="H1072" s="2" t="s">
        <v>248</v>
      </c>
      <c r="J1072" s="2" t="s">
        <v>249</v>
      </c>
      <c r="K1072" s="2" t="s">
        <v>349</v>
      </c>
      <c r="L1072" s="2" t="s">
        <v>971</v>
      </c>
      <c r="M1072" t="s">
        <v>251</v>
      </c>
      <c r="N1072" t="s">
        <v>330</v>
      </c>
      <c r="O1072" t="s">
        <v>331</v>
      </c>
      <c r="P1072" t="s">
        <v>2144</v>
      </c>
      <c r="Q1072" t="s">
        <v>966</v>
      </c>
    </row>
    <row r="1073" spans="1:17">
      <c r="A1073" s="2" t="s">
        <v>782</v>
      </c>
      <c r="B1073" s="2" t="s">
        <v>477</v>
      </c>
      <c r="C1073" s="2" t="s">
        <v>635</v>
      </c>
      <c r="D1073" s="11">
        <v>45977.9375</v>
      </c>
      <c r="E1073" s="11">
        <v>45977.9375</v>
      </c>
      <c r="F1073" s="11">
        <v>45978.260416666664</v>
      </c>
      <c r="G1073" s="12">
        <v>0.32291666666424135</v>
      </c>
      <c r="H1073" s="2" t="s">
        <v>248</v>
      </c>
      <c r="J1073" s="2" t="s">
        <v>249</v>
      </c>
      <c r="K1073" s="2" t="s">
        <v>349</v>
      </c>
      <c r="L1073" s="2" t="s">
        <v>971</v>
      </c>
      <c r="M1073" t="s">
        <v>251</v>
      </c>
      <c r="N1073" t="s">
        <v>330</v>
      </c>
      <c r="O1073" t="s">
        <v>331</v>
      </c>
      <c r="P1073" t="s">
        <v>2145</v>
      </c>
      <c r="Q1073" t="s">
        <v>966</v>
      </c>
    </row>
    <row r="1074" spans="1:17">
      <c r="A1074" s="2" t="s">
        <v>782</v>
      </c>
      <c r="B1074" s="2" t="s">
        <v>477</v>
      </c>
      <c r="C1074" s="2" t="s">
        <v>487</v>
      </c>
      <c r="D1074" s="11">
        <v>45977.9375</v>
      </c>
      <c r="E1074" s="11">
        <v>45977.9375</v>
      </c>
      <c r="F1074" s="11">
        <v>45978.260416666664</v>
      </c>
      <c r="G1074" s="12">
        <v>0.32291666666424135</v>
      </c>
      <c r="H1074" s="2" t="s">
        <v>248</v>
      </c>
      <c r="J1074" s="2" t="s">
        <v>249</v>
      </c>
      <c r="K1074" s="2" t="s">
        <v>349</v>
      </c>
      <c r="L1074" s="2" t="s">
        <v>971</v>
      </c>
      <c r="M1074" t="s">
        <v>251</v>
      </c>
      <c r="N1074" t="s">
        <v>330</v>
      </c>
      <c r="O1074" t="s">
        <v>331</v>
      </c>
      <c r="P1074" t="s">
        <v>2146</v>
      </c>
      <c r="Q1074" t="s">
        <v>966</v>
      </c>
    </row>
    <row r="1075" spans="1:17">
      <c r="A1075" s="2" t="s">
        <v>782</v>
      </c>
      <c r="B1075" s="2" t="s">
        <v>477</v>
      </c>
      <c r="C1075" s="2" t="s">
        <v>627</v>
      </c>
      <c r="D1075" s="11">
        <v>45977.9375</v>
      </c>
      <c r="E1075" s="11">
        <v>45977.9375</v>
      </c>
      <c r="F1075" s="11">
        <v>45978.260416666664</v>
      </c>
      <c r="G1075" s="12">
        <f>F1075-E1075</f>
        <v>0.32291666666424135</v>
      </c>
      <c r="H1075" s="2" t="s">
        <v>248</v>
      </c>
      <c r="J1075" s="2" t="s">
        <v>249</v>
      </c>
      <c r="K1075" s="2" t="s">
        <v>349</v>
      </c>
      <c r="L1075" s="2" t="s">
        <v>971</v>
      </c>
      <c r="M1075" t="s">
        <v>251</v>
      </c>
      <c r="N1075" t="s">
        <v>330</v>
      </c>
      <c r="O1075" t="s">
        <v>331</v>
      </c>
      <c r="P1075" t="s">
        <v>2147</v>
      </c>
      <c r="Q1075" t="s">
        <v>966</v>
      </c>
    </row>
    <row r="1076" spans="1:17">
      <c r="A1076" s="2" t="s">
        <v>780</v>
      </c>
      <c r="B1076" s="2" t="s">
        <v>268</v>
      </c>
      <c r="C1076" s="2" t="s">
        <v>269</v>
      </c>
      <c r="D1076" s="11">
        <v>45977.9375</v>
      </c>
      <c r="E1076" s="11">
        <v>45977.9375</v>
      </c>
      <c r="F1076" s="11">
        <v>45978.319444444445</v>
      </c>
      <c r="G1076" s="12">
        <v>0.38194444444525288</v>
      </c>
      <c r="H1076" s="2" t="s">
        <v>248</v>
      </c>
      <c r="J1076" s="2" t="s">
        <v>249</v>
      </c>
      <c r="K1076" s="2" t="s">
        <v>349</v>
      </c>
      <c r="L1076" s="2" t="s">
        <v>971</v>
      </c>
      <c r="M1076" t="s">
        <v>251</v>
      </c>
      <c r="N1076" t="s">
        <v>330</v>
      </c>
      <c r="O1076" t="s">
        <v>331</v>
      </c>
      <c r="P1076" t="s">
        <v>2148</v>
      </c>
      <c r="Q1076" t="s">
        <v>966</v>
      </c>
    </row>
    <row r="1077" spans="1:17">
      <c r="A1077" s="2" t="s">
        <v>780</v>
      </c>
      <c r="B1077" s="2" t="s">
        <v>268</v>
      </c>
      <c r="C1077" s="2" t="s">
        <v>270</v>
      </c>
      <c r="D1077" s="11">
        <v>45977.9375</v>
      </c>
      <c r="E1077" s="11">
        <v>45977.9375</v>
      </c>
      <c r="F1077" s="11">
        <v>45978.319444444445</v>
      </c>
      <c r="G1077" s="12">
        <v>0.38194444444525288</v>
      </c>
      <c r="H1077" s="2" t="s">
        <v>248</v>
      </c>
      <c r="J1077" s="2" t="s">
        <v>249</v>
      </c>
      <c r="K1077" s="2" t="s">
        <v>349</v>
      </c>
      <c r="L1077" s="2" t="s">
        <v>971</v>
      </c>
      <c r="M1077" t="s">
        <v>251</v>
      </c>
      <c r="N1077" t="s">
        <v>330</v>
      </c>
      <c r="O1077" t="s">
        <v>331</v>
      </c>
      <c r="P1077" t="s">
        <v>2149</v>
      </c>
      <c r="Q1077" t="s">
        <v>966</v>
      </c>
    </row>
    <row r="1078" spans="1:17">
      <c r="A1078" s="2" t="s">
        <v>780</v>
      </c>
      <c r="B1078" s="2" t="s">
        <v>268</v>
      </c>
      <c r="C1078" s="2" t="s">
        <v>271</v>
      </c>
      <c r="D1078" s="11">
        <v>45977.9375</v>
      </c>
      <c r="E1078" s="11">
        <v>45977.9375</v>
      </c>
      <c r="F1078" s="11">
        <v>45978.319444444445</v>
      </c>
      <c r="G1078" s="12">
        <v>0.38194444444525288</v>
      </c>
      <c r="H1078" s="2" t="s">
        <v>248</v>
      </c>
      <c r="J1078" s="2" t="s">
        <v>249</v>
      </c>
      <c r="K1078" s="2" t="s">
        <v>349</v>
      </c>
      <c r="L1078" s="2" t="s">
        <v>971</v>
      </c>
      <c r="M1078" t="s">
        <v>251</v>
      </c>
      <c r="N1078" t="s">
        <v>330</v>
      </c>
      <c r="O1078" t="s">
        <v>331</v>
      </c>
      <c r="P1078" t="s">
        <v>2150</v>
      </c>
      <c r="Q1078" t="s">
        <v>966</v>
      </c>
    </row>
    <row r="1079" spans="1:17">
      <c r="A1079" s="2" t="s">
        <v>780</v>
      </c>
      <c r="B1079" s="2" t="s">
        <v>268</v>
      </c>
      <c r="C1079" s="2" t="s">
        <v>272</v>
      </c>
      <c r="D1079" s="11">
        <v>45977.9375</v>
      </c>
      <c r="E1079" s="11">
        <v>45977.9375</v>
      </c>
      <c r="F1079" s="11">
        <v>45978.319444444445</v>
      </c>
      <c r="G1079" s="12">
        <v>0.38194444444525288</v>
      </c>
      <c r="H1079" s="2" t="s">
        <v>248</v>
      </c>
      <c r="J1079" s="2" t="s">
        <v>249</v>
      </c>
      <c r="K1079" s="2" t="s">
        <v>349</v>
      </c>
      <c r="L1079" s="2" t="s">
        <v>971</v>
      </c>
      <c r="M1079" t="s">
        <v>251</v>
      </c>
      <c r="N1079" t="s">
        <v>330</v>
      </c>
      <c r="O1079" t="s">
        <v>331</v>
      </c>
      <c r="P1079" t="s">
        <v>2151</v>
      </c>
      <c r="Q1079" t="s">
        <v>966</v>
      </c>
    </row>
    <row r="1080" spans="1:17">
      <c r="A1080" s="2" t="s">
        <v>780</v>
      </c>
      <c r="B1080" s="2" t="s">
        <v>268</v>
      </c>
      <c r="C1080" s="2" t="s">
        <v>273</v>
      </c>
      <c r="D1080" s="11">
        <v>45977.9375</v>
      </c>
      <c r="E1080" s="11">
        <v>45977.9375</v>
      </c>
      <c r="F1080" s="11">
        <v>45978.319444444445</v>
      </c>
      <c r="G1080" s="12">
        <v>0.38194444444525288</v>
      </c>
      <c r="H1080" s="2" t="s">
        <v>248</v>
      </c>
      <c r="J1080" s="2" t="s">
        <v>249</v>
      </c>
      <c r="K1080" s="2" t="s">
        <v>349</v>
      </c>
      <c r="L1080" s="2" t="s">
        <v>971</v>
      </c>
      <c r="M1080" t="s">
        <v>251</v>
      </c>
      <c r="N1080" t="s">
        <v>330</v>
      </c>
      <c r="O1080" t="s">
        <v>331</v>
      </c>
      <c r="P1080" t="s">
        <v>2152</v>
      </c>
      <c r="Q1080" t="s">
        <v>966</v>
      </c>
    </row>
    <row r="1081" spans="1:17">
      <c r="A1081" s="2" t="s">
        <v>780</v>
      </c>
      <c r="B1081" s="2" t="s">
        <v>268</v>
      </c>
      <c r="C1081" s="2" t="s">
        <v>274</v>
      </c>
      <c r="D1081" s="11">
        <v>45977.9375</v>
      </c>
      <c r="E1081" s="11">
        <v>45977.9375</v>
      </c>
      <c r="F1081" s="11">
        <v>45978.319444444445</v>
      </c>
      <c r="G1081" s="12">
        <v>0.38194444444525288</v>
      </c>
      <c r="H1081" s="2" t="s">
        <v>248</v>
      </c>
      <c r="J1081" s="2" t="s">
        <v>249</v>
      </c>
      <c r="K1081" s="2" t="s">
        <v>349</v>
      </c>
      <c r="L1081" s="2" t="s">
        <v>971</v>
      </c>
      <c r="M1081" t="s">
        <v>251</v>
      </c>
      <c r="N1081" t="s">
        <v>330</v>
      </c>
      <c r="O1081" t="s">
        <v>331</v>
      </c>
      <c r="P1081" t="s">
        <v>2153</v>
      </c>
      <c r="Q1081" t="s">
        <v>966</v>
      </c>
    </row>
    <row r="1082" spans="1:17">
      <c r="A1082" s="2" t="s">
        <v>780</v>
      </c>
      <c r="B1082" s="2" t="s">
        <v>268</v>
      </c>
      <c r="C1082" s="2" t="s">
        <v>275</v>
      </c>
      <c r="D1082" s="11">
        <v>45977.9375</v>
      </c>
      <c r="E1082" s="11">
        <v>45977.9375</v>
      </c>
      <c r="F1082" s="11">
        <v>45978.319444444445</v>
      </c>
      <c r="G1082" s="12">
        <v>0.38194444444525288</v>
      </c>
      <c r="H1082" s="2" t="s">
        <v>248</v>
      </c>
      <c r="J1082" s="2" t="s">
        <v>249</v>
      </c>
      <c r="K1082" s="2" t="s">
        <v>349</v>
      </c>
      <c r="L1082" s="2" t="s">
        <v>971</v>
      </c>
      <c r="M1082" t="s">
        <v>251</v>
      </c>
      <c r="N1082" t="s">
        <v>330</v>
      </c>
      <c r="O1082" t="s">
        <v>331</v>
      </c>
      <c r="P1082" t="s">
        <v>2154</v>
      </c>
      <c r="Q1082" t="s">
        <v>966</v>
      </c>
    </row>
    <row r="1083" spans="1:17">
      <c r="A1083" s="2" t="s">
        <v>780</v>
      </c>
      <c r="B1083" s="2" t="s">
        <v>268</v>
      </c>
      <c r="C1083" s="2" t="s">
        <v>276</v>
      </c>
      <c r="D1083" s="11">
        <v>45977.9375</v>
      </c>
      <c r="E1083" s="11">
        <v>45977.9375</v>
      </c>
      <c r="F1083" s="11">
        <v>45978.319444444445</v>
      </c>
      <c r="G1083" s="12">
        <v>0.38194444444525288</v>
      </c>
      <c r="H1083" s="2" t="s">
        <v>248</v>
      </c>
      <c r="J1083" s="2" t="s">
        <v>249</v>
      </c>
      <c r="K1083" s="2" t="s">
        <v>349</v>
      </c>
      <c r="L1083" s="2" t="s">
        <v>971</v>
      </c>
      <c r="M1083" t="s">
        <v>251</v>
      </c>
      <c r="N1083" t="s">
        <v>330</v>
      </c>
      <c r="O1083" t="s">
        <v>331</v>
      </c>
      <c r="P1083" t="s">
        <v>2155</v>
      </c>
      <c r="Q1083" t="s">
        <v>966</v>
      </c>
    </row>
    <row r="1084" spans="1:17">
      <c r="A1084" s="2" t="s">
        <v>781</v>
      </c>
      <c r="B1084" s="2" t="s">
        <v>268</v>
      </c>
      <c r="C1084" s="2" t="s">
        <v>277</v>
      </c>
      <c r="D1084" s="11">
        <v>45977.9375</v>
      </c>
      <c r="E1084" s="11">
        <v>45977.9375</v>
      </c>
      <c r="F1084" s="11">
        <v>45978.319444444445</v>
      </c>
      <c r="G1084" s="12">
        <v>0.38194444444525288</v>
      </c>
      <c r="H1084" s="2" t="s">
        <v>248</v>
      </c>
      <c r="J1084" s="2" t="s">
        <v>249</v>
      </c>
      <c r="K1084" s="2" t="s">
        <v>349</v>
      </c>
      <c r="L1084" s="2" t="s">
        <v>971</v>
      </c>
      <c r="M1084" t="s">
        <v>251</v>
      </c>
      <c r="N1084" t="s">
        <v>330</v>
      </c>
      <c r="O1084" t="s">
        <v>331</v>
      </c>
      <c r="P1084" t="s">
        <v>2156</v>
      </c>
      <c r="Q1084" t="s">
        <v>966</v>
      </c>
    </row>
    <row r="1085" spans="1:17">
      <c r="A1085" s="2" t="s">
        <v>781</v>
      </c>
      <c r="B1085" s="2" t="s">
        <v>268</v>
      </c>
      <c r="C1085" s="2" t="s">
        <v>278</v>
      </c>
      <c r="D1085" s="11">
        <v>45977.9375</v>
      </c>
      <c r="E1085" s="11">
        <v>45977.9375</v>
      </c>
      <c r="F1085" s="11">
        <v>45978.319444444445</v>
      </c>
      <c r="G1085" s="12">
        <v>0.38194444444525288</v>
      </c>
      <c r="H1085" s="2" t="s">
        <v>248</v>
      </c>
      <c r="J1085" s="2" t="s">
        <v>249</v>
      </c>
      <c r="K1085" s="2" t="s">
        <v>349</v>
      </c>
      <c r="L1085" s="2" t="s">
        <v>971</v>
      </c>
      <c r="M1085" t="s">
        <v>251</v>
      </c>
      <c r="N1085" t="s">
        <v>330</v>
      </c>
      <c r="O1085" t="s">
        <v>331</v>
      </c>
      <c r="P1085" t="s">
        <v>2157</v>
      </c>
      <c r="Q1085" t="s">
        <v>966</v>
      </c>
    </row>
    <row r="1086" spans="1:17">
      <c r="A1086" s="2" t="s">
        <v>781</v>
      </c>
      <c r="B1086" s="2" t="s">
        <v>268</v>
      </c>
      <c r="C1086" s="2" t="s">
        <v>279</v>
      </c>
      <c r="D1086" s="11">
        <v>45977.9375</v>
      </c>
      <c r="E1086" s="11">
        <v>45977.9375</v>
      </c>
      <c r="F1086" s="11">
        <v>45978.319444444445</v>
      </c>
      <c r="G1086" s="12">
        <v>0.38194444444525288</v>
      </c>
      <c r="H1086" s="2" t="s">
        <v>248</v>
      </c>
      <c r="J1086" s="2" t="s">
        <v>249</v>
      </c>
      <c r="K1086" s="2" t="s">
        <v>349</v>
      </c>
      <c r="L1086" s="2" t="s">
        <v>971</v>
      </c>
      <c r="M1086" t="s">
        <v>251</v>
      </c>
      <c r="N1086" t="s">
        <v>330</v>
      </c>
      <c r="O1086" t="s">
        <v>331</v>
      </c>
      <c r="P1086" t="s">
        <v>2158</v>
      </c>
      <c r="Q1086" t="s">
        <v>966</v>
      </c>
    </row>
    <row r="1087" spans="1:17">
      <c r="A1087" s="2" t="s">
        <v>781</v>
      </c>
      <c r="B1087" s="2" t="s">
        <v>268</v>
      </c>
      <c r="C1087" s="2" t="s">
        <v>280</v>
      </c>
      <c r="D1087" s="11">
        <v>45977.9375</v>
      </c>
      <c r="E1087" s="11">
        <v>45977.9375</v>
      </c>
      <c r="F1087" s="11">
        <v>45978.319444444445</v>
      </c>
      <c r="G1087" s="12">
        <v>0.38194444444525288</v>
      </c>
      <c r="H1087" s="2" t="s">
        <v>248</v>
      </c>
      <c r="J1087" s="2" t="s">
        <v>249</v>
      </c>
      <c r="K1087" s="2" t="s">
        <v>349</v>
      </c>
      <c r="L1087" s="2" t="s">
        <v>971</v>
      </c>
      <c r="M1087" t="s">
        <v>251</v>
      </c>
      <c r="N1087" t="s">
        <v>330</v>
      </c>
      <c r="O1087" t="s">
        <v>331</v>
      </c>
      <c r="P1087" t="s">
        <v>2159</v>
      </c>
      <c r="Q1087" t="s">
        <v>966</v>
      </c>
    </row>
    <row r="1088" spans="1:17">
      <c r="A1088" s="2" t="s">
        <v>781</v>
      </c>
      <c r="B1088" s="2" t="s">
        <v>268</v>
      </c>
      <c r="C1088" s="2" t="s">
        <v>281</v>
      </c>
      <c r="D1088" s="11">
        <v>45977.9375</v>
      </c>
      <c r="E1088" s="11">
        <v>45977.9375</v>
      </c>
      <c r="F1088" s="11">
        <v>45978.319444444445</v>
      </c>
      <c r="G1088" s="12">
        <v>0.38194444444525288</v>
      </c>
      <c r="H1088" s="2" t="s">
        <v>248</v>
      </c>
      <c r="J1088" s="2" t="s">
        <v>249</v>
      </c>
      <c r="K1088" s="2" t="s">
        <v>349</v>
      </c>
      <c r="L1088" s="2" t="s">
        <v>971</v>
      </c>
      <c r="M1088" t="s">
        <v>251</v>
      </c>
      <c r="N1088" t="s">
        <v>330</v>
      </c>
      <c r="O1088" t="s">
        <v>331</v>
      </c>
      <c r="P1088" t="s">
        <v>2160</v>
      </c>
      <c r="Q1088" t="s">
        <v>966</v>
      </c>
    </row>
    <row r="1089" spans="1:17">
      <c r="A1089" s="2" t="s">
        <v>781</v>
      </c>
      <c r="B1089" s="2" t="s">
        <v>268</v>
      </c>
      <c r="C1089" s="2" t="s">
        <v>282</v>
      </c>
      <c r="D1089" s="11">
        <v>45977.9375</v>
      </c>
      <c r="E1089" s="11">
        <v>45977.9375</v>
      </c>
      <c r="F1089" s="11">
        <v>45978.319444444445</v>
      </c>
      <c r="G1089" s="12">
        <v>0.38194444444525288</v>
      </c>
      <c r="H1089" s="2" t="s">
        <v>248</v>
      </c>
      <c r="J1089" s="2" t="s">
        <v>249</v>
      </c>
      <c r="K1089" s="2" t="s">
        <v>349</v>
      </c>
      <c r="L1089" s="2" t="s">
        <v>971</v>
      </c>
      <c r="M1089" t="s">
        <v>251</v>
      </c>
      <c r="N1089" t="s">
        <v>330</v>
      </c>
      <c r="O1089" t="s">
        <v>331</v>
      </c>
      <c r="P1089" t="s">
        <v>2161</v>
      </c>
      <c r="Q1089" t="s">
        <v>966</v>
      </c>
    </row>
    <row r="1090" spans="1:17">
      <c r="A1090" s="2" t="s">
        <v>781</v>
      </c>
      <c r="B1090" s="2" t="s">
        <v>268</v>
      </c>
      <c r="C1090" s="2" t="s">
        <v>283</v>
      </c>
      <c r="D1090" s="11">
        <v>45977.9375</v>
      </c>
      <c r="E1090" s="11">
        <v>45977.9375</v>
      </c>
      <c r="F1090" s="11">
        <v>45978.319444444445</v>
      </c>
      <c r="G1090" s="12">
        <v>0.38194444444525288</v>
      </c>
      <c r="H1090" s="2" t="s">
        <v>248</v>
      </c>
      <c r="J1090" s="2" t="s">
        <v>249</v>
      </c>
      <c r="K1090" s="2" t="s">
        <v>349</v>
      </c>
      <c r="L1090" s="2" t="s">
        <v>971</v>
      </c>
      <c r="M1090" t="s">
        <v>251</v>
      </c>
      <c r="N1090" t="s">
        <v>330</v>
      </c>
      <c r="O1090" t="s">
        <v>331</v>
      </c>
      <c r="P1090" t="s">
        <v>2162</v>
      </c>
      <c r="Q1090" t="s">
        <v>966</v>
      </c>
    </row>
    <row r="1091" spans="1:17">
      <c r="A1091" s="2" t="s">
        <v>794</v>
      </c>
      <c r="B1091" s="2" t="s">
        <v>268</v>
      </c>
      <c r="C1091" s="2" t="s">
        <v>284</v>
      </c>
      <c r="D1091" s="11">
        <v>45977.9375</v>
      </c>
      <c r="E1091" s="11">
        <v>45977.9375</v>
      </c>
      <c r="F1091" s="11">
        <v>45978.319444444445</v>
      </c>
      <c r="G1091" s="12">
        <v>0.38194444444525288</v>
      </c>
      <c r="H1091" s="2" t="s">
        <v>248</v>
      </c>
      <c r="J1091" s="2" t="s">
        <v>249</v>
      </c>
      <c r="K1091" s="2" t="s">
        <v>349</v>
      </c>
      <c r="L1091" s="2" t="s">
        <v>971</v>
      </c>
      <c r="M1091" t="s">
        <v>251</v>
      </c>
      <c r="N1091" t="s">
        <v>330</v>
      </c>
      <c r="O1091" t="s">
        <v>331</v>
      </c>
      <c r="P1091" t="s">
        <v>2163</v>
      </c>
      <c r="Q1091" t="s">
        <v>966</v>
      </c>
    </row>
    <row r="1092" spans="1:17">
      <c r="A1092" s="2" t="s">
        <v>794</v>
      </c>
      <c r="B1092" s="2" t="s">
        <v>268</v>
      </c>
      <c r="C1092" s="2" t="s">
        <v>285</v>
      </c>
      <c r="D1092" s="11">
        <v>45977.9375</v>
      </c>
      <c r="E1092" s="11">
        <v>45977.9375</v>
      </c>
      <c r="F1092" s="11">
        <v>45978.319444444445</v>
      </c>
      <c r="G1092" s="12">
        <v>0.38194444444525288</v>
      </c>
      <c r="H1092" s="2" t="s">
        <v>248</v>
      </c>
      <c r="J1092" s="2" t="s">
        <v>249</v>
      </c>
      <c r="K1092" s="2" t="s">
        <v>349</v>
      </c>
      <c r="L1092" s="2" t="s">
        <v>971</v>
      </c>
      <c r="M1092" t="s">
        <v>251</v>
      </c>
      <c r="N1092" t="s">
        <v>330</v>
      </c>
      <c r="O1092" t="s">
        <v>331</v>
      </c>
      <c r="P1092" t="s">
        <v>2164</v>
      </c>
      <c r="Q1092" t="s">
        <v>966</v>
      </c>
    </row>
    <row r="1093" spans="1:17">
      <c r="A1093" s="2" t="s">
        <v>794</v>
      </c>
      <c r="B1093" s="2" t="s">
        <v>268</v>
      </c>
      <c r="C1093" s="2" t="s">
        <v>286</v>
      </c>
      <c r="D1093" s="11">
        <v>45977.9375</v>
      </c>
      <c r="E1093" s="11">
        <v>45977.9375</v>
      </c>
      <c r="F1093" s="11">
        <v>45978.319444444445</v>
      </c>
      <c r="G1093" s="12">
        <v>0.38194444444525288</v>
      </c>
      <c r="H1093" s="2" t="s">
        <v>248</v>
      </c>
      <c r="J1093" s="2" t="s">
        <v>249</v>
      </c>
      <c r="K1093" s="2" t="s">
        <v>349</v>
      </c>
      <c r="L1093" s="2" t="s">
        <v>971</v>
      </c>
      <c r="M1093" t="s">
        <v>251</v>
      </c>
      <c r="N1093" t="s">
        <v>330</v>
      </c>
      <c r="O1093" t="s">
        <v>331</v>
      </c>
      <c r="P1093" t="s">
        <v>2165</v>
      </c>
      <c r="Q1093" t="s">
        <v>966</v>
      </c>
    </row>
    <row r="1094" spans="1:17">
      <c r="A1094" s="2" t="s">
        <v>794</v>
      </c>
      <c r="B1094" s="2" t="s">
        <v>268</v>
      </c>
      <c r="C1094" s="2" t="s">
        <v>287</v>
      </c>
      <c r="D1094" s="11">
        <v>45977.9375</v>
      </c>
      <c r="E1094" s="11">
        <v>45977.9375</v>
      </c>
      <c r="F1094" s="11">
        <v>45978.319444444445</v>
      </c>
      <c r="G1094" s="12">
        <v>0.38194444444525288</v>
      </c>
      <c r="H1094" s="2" t="s">
        <v>248</v>
      </c>
      <c r="J1094" s="2" t="s">
        <v>249</v>
      </c>
      <c r="K1094" s="2" t="s">
        <v>349</v>
      </c>
      <c r="L1094" s="2" t="s">
        <v>971</v>
      </c>
      <c r="M1094" t="s">
        <v>251</v>
      </c>
      <c r="N1094" t="s">
        <v>330</v>
      </c>
      <c r="O1094" t="s">
        <v>331</v>
      </c>
      <c r="P1094" t="s">
        <v>2166</v>
      </c>
      <c r="Q1094" t="s">
        <v>966</v>
      </c>
    </row>
    <row r="1095" spans="1:17">
      <c r="A1095" s="2" t="s">
        <v>794</v>
      </c>
      <c r="B1095" s="2" t="s">
        <v>268</v>
      </c>
      <c r="C1095" s="2" t="s">
        <v>288</v>
      </c>
      <c r="D1095" s="11">
        <v>45977.9375</v>
      </c>
      <c r="E1095" s="11">
        <v>45977.9375</v>
      </c>
      <c r="F1095" s="11">
        <v>45978.319444444445</v>
      </c>
      <c r="G1095" s="12">
        <v>0.38194444444525288</v>
      </c>
      <c r="H1095" s="2" t="s">
        <v>248</v>
      </c>
      <c r="J1095" s="2" t="s">
        <v>249</v>
      </c>
      <c r="K1095" s="2" t="s">
        <v>349</v>
      </c>
      <c r="L1095" s="2" t="s">
        <v>971</v>
      </c>
      <c r="M1095" t="s">
        <v>251</v>
      </c>
      <c r="N1095" t="s">
        <v>330</v>
      </c>
      <c r="O1095" t="s">
        <v>331</v>
      </c>
      <c r="P1095" t="s">
        <v>2167</v>
      </c>
      <c r="Q1095" t="s">
        <v>966</v>
      </c>
    </row>
    <row r="1096" spans="1:17">
      <c r="A1096" s="2" t="s">
        <v>795</v>
      </c>
      <c r="B1096" s="2" t="s">
        <v>268</v>
      </c>
      <c r="C1096" s="2" t="s">
        <v>289</v>
      </c>
      <c r="D1096" s="11">
        <v>45977.9375</v>
      </c>
      <c r="E1096" s="11">
        <v>45977.9375</v>
      </c>
      <c r="F1096" s="11">
        <v>45978.319444444445</v>
      </c>
      <c r="G1096" s="12">
        <v>0.38194444444525288</v>
      </c>
      <c r="H1096" s="2" t="s">
        <v>248</v>
      </c>
      <c r="J1096" s="2" t="s">
        <v>249</v>
      </c>
      <c r="K1096" s="2" t="s">
        <v>349</v>
      </c>
      <c r="L1096" s="2" t="s">
        <v>971</v>
      </c>
      <c r="M1096" t="s">
        <v>251</v>
      </c>
      <c r="N1096" t="s">
        <v>330</v>
      </c>
      <c r="O1096" t="s">
        <v>331</v>
      </c>
      <c r="P1096" t="s">
        <v>2168</v>
      </c>
      <c r="Q1096" t="s">
        <v>966</v>
      </c>
    </row>
    <row r="1097" spans="1:17">
      <c r="A1097" s="2" t="s">
        <v>795</v>
      </c>
      <c r="B1097" s="2" t="s">
        <v>268</v>
      </c>
      <c r="C1097" s="2" t="s">
        <v>290</v>
      </c>
      <c r="D1097" s="11">
        <v>45977.9375</v>
      </c>
      <c r="E1097" s="11">
        <v>45977.9375</v>
      </c>
      <c r="F1097" s="11">
        <v>45978.319444444445</v>
      </c>
      <c r="G1097" s="12">
        <v>0.38194444444525288</v>
      </c>
      <c r="H1097" s="2" t="s">
        <v>248</v>
      </c>
      <c r="J1097" s="2" t="s">
        <v>249</v>
      </c>
      <c r="K1097" s="2" t="s">
        <v>349</v>
      </c>
      <c r="L1097" s="2" t="s">
        <v>971</v>
      </c>
      <c r="M1097" t="s">
        <v>251</v>
      </c>
      <c r="N1097" t="s">
        <v>330</v>
      </c>
      <c r="O1097" t="s">
        <v>331</v>
      </c>
      <c r="P1097" t="s">
        <v>2169</v>
      </c>
      <c r="Q1097" t="s">
        <v>966</v>
      </c>
    </row>
    <row r="1098" spans="1:17">
      <c r="A1098" s="2" t="s">
        <v>795</v>
      </c>
      <c r="B1098" s="2" t="s">
        <v>268</v>
      </c>
      <c r="C1098" s="2" t="s">
        <v>291</v>
      </c>
      <c r="D1098" s="11">
        <v>45977.9375</v>
      </c>
      <c r="E1098" s="11">
        <v>45977.9375</v>
      </c>
      <c r="F1098" s="11">
        <v>45978.319444444445</v>
      </c>
      <c r="G1098" s="12">
        <v>0.38194444444525288</v>
      </c>
      <c r="H1098" s="2" t="s">
        <v>248</v>
      </c>
      <c r="J1098" s="2" t="s">
        <v>249</v>
      </c>
      <c r="K1098" s="2" t="s">
        <v>349</v>
      </c>
      <c r="L1098" s="2" t="s">
        <v>971</v>
      </c>
      <c r="M1098" t="s">
        <v>251</v>
      </c>
      <c r="N1098" t="s">
        <v>330</v>
      </c>
      <c r="O1098" t="s">
        <v>331</v>
      </c>
      <c r="P1098" t="s">
        <v>2170</v>
      </c>
      <c r="Q1098" t="s">
        <v>966</v>
      </c>
    </row>
    <row r="1099" spans="1:17">
      <c r="A1099" s="2" t="s">
        <v>795</v>
      </c>
      <c r="B1099" s="2" t="s">
        <v>268</v>
      </c>
      <c r="C1099" s="2" t="s">
        <v>292</v>
      </c>
      <c r="D1099" s="11">
        <v>45977.9375</v>
      </c>
      <c r="E1099" s="11">
        <v>45977.9375</v>
      </c>
      <c r="F1099" s="11">
        <v>45978.319444444445</v>
      </c>
      <c r="G1099" s="12">
        <v>0.38194444444525288</v>
      </c>
      <c r="H1099" s="2" t="s">
        <v>248</v>
      </c>
      <c r="J1099" s="2" t="s">
        <v>249</v>
      </c>
      <c r="K1099" s="2" t="s">
        <v>349</v>
      </c>
      <c r="L1099" s="2" t="s">
        <v>971</v>
      </c>
      <c r="M1099" t="s">
        <v>251</v>
      </c>
      <c r="N1099" t="s">
        <v>330</v>
      </c>
      <c r="O1099" t="s">
        <v>331</v>
      </c>
      <c r="P1099" t="s">
        <v>2171</v>
      </c>
      <c r="Q1099" t="s">
        <v>966</v>
      </c>
    </row>
    <row r="1100" spans="1:17">
      <c r="A1100" s="2" t="s">
        <v>796</v>
      </c>
      <c r="B1100" s="2" t="s">
        <v>268</v>
      </c>
      <c r="C1100" s="2" t="s">
        <v>293</v>
      </c>
      <c r="D1100" s="11">
        <v>45977.9375</v>
      </c>
      <c r="E1100" s="11">
        <v>45977.9375</v>
      </c>
      <c r="F1100" s="11">
        <v>45978.319444444445</v>
      </c>
      <c r="G1100" s="12">
        <v>0.38194444444525288</v>
      </c>
      <c r="H1100" s="2" t="s">
        <v>248</v>
      </c>
      <c r="J1100" s="2" t="s">
        <v>249</v>
      </c>
      <c r="K1100" s="2" t="s">
        <v>349</v>
      </c>
      <c r="L1100" s="2" t="s">
        <v>971</v>
      </c>
      <c r="M1100" t="s">
        <v>251</v>
      </c>
      <c r="N1100" t="s">
        <v>330</v>
      </c>
      <c r="O1100" t="s">
        <v>331</v>
      </c>
      <c r="P1100" t="s">
        <v>2172</v>
      </c>
      <c r="Q1100" t="s">
        <v>966</v>
      </c>
    </row>
    <row r="1101" spans="1:17">
      <c r="A1101" s="2" t="s">
        <v>796</v>
      </c>
      <c r="B1101" s="2" t="s">
        <v>268</v>
      </c>
      <c r="C1101" s="2" t="s">
        <v>294</v>
      </c>
      <c r="D1101" s="11">
        <v>45977.9375</v>
      </c>
      <c r="E1101" s="11">
        <v>45977.9375</v>
      </c>
      <c r="F1101" s="11">
        <v>45978.319444444445</v>
      </c>
      <c r="G1101" s="12">
        <v>0.38194444444525288</v>
      </c>
      <c r="H1101" s="2" t="s">
        <v>248</v>
      </c>
      <c r="J1101" s="2" t="s">
        <v>249</v>
      </c>
      <c r="K1101" s="2" t="s">
        <v>349</v>
      </c>
      <c r="L1101" s="2" t="s">
        <v>971</v>
      </c>
      <c r="M1101" t="s">
        <v>251</v>
      </c>
      <c r="N1101" t="s">
        <v>330</v>
      </c>
      <c r="O1101" t="s">
        <v>331</v>
      </c>
      <c r="P1101" t="s">
        <v>2173</v>
      </c>
      <c r="Q1101" t="s">
        <v>966</v>
      </c>
    </row>
    <row r="1102" spans="1:17">
      <c r="A1102" s="2" t="s">
        <v>796</v>
      </c>
      <c r="B1102" s="2" t="s">
        <v>268</v>
      </c>
      <c r="C1102" s="2" t="s">
        <v>295</v>
      </c>
      <c r="D1102" s="11">
        <v>45977.9375</v>
      </c>
      <c r="E1102" s="11">
        <v>45977.9375</v>
      </c>
      <c r="F1102" s="11">
        <v>45978.319444444445</v>
      </c>
      <c r="G1102" s="12">
        <v>0.38194444444525288</v>
      </c>
      <c r="H1102" s="2" t="s">
        <v>248</v>
      </c>
      <c r="J1102" s="2" t="s">
        <v>249</v>
      </c>
      <c r="K1102" s="2" t="s">
        <v>349</v>
      </c>
      <c r="L1102" s="2" t="s">
        <v>971</v>
      </c>
      <c r="M1102" t="s">
        <v>251</v>
      </c>
      <c r="N1102" t="s">
        <v>330</v>
      </c>
      <c r="O1102" t="s">
        <v>331</v>
      </c>
      <c r="P1102" t="s">
        <v>2174</v>
      </c>
      <c r="Q1102" t="s">
        <v>966</v>
      </c>
    </row>
    <row r="1103" spans="1:17">
      <c r="A1103" s="2" t="s">
        <v>796</v>
      </c>
      <c r="B1103" s="2" t="s">
        <v>268</v>
      </c>
      <c r="C1103" s="2" t="s">
        <v>296</v>
      </c>
      <c r="D1103" s="11">
        <v>45977.9375</v>
      </c>
      <c r="E1103" s="11">
        <v>45977.9375</v>
      </c>
      <c r="F1103" s="11">
        <v>45978.319444444445</v>
      </c>
      <c r="G1103" s="12">
        <v>0.38194444444525288</v>
      </c>
      <c r="H1103" s="2" t="s">
        <v>248</v>
      </c>
      <c r="J1103" s="2" t="s">
        <v>249</v>
      </c>
      <c r="K1103" s="2" t="s">
        <v>349</v>
      </c>
      <c r="L1103" s="2" t="s">
        <v>971</v>
      </c>
      <c r="M1103" t="s">
        <v>251</v>
      </c>
      <c r="N1103" t="s">
        <v>330</v>
      </c>
      <c r="O1103" t="s">
        <v>331</v>
      </c>
      <c r="P1103" t="s">
        <v>2175</v>
      </c>
      <c r="Q1103" t="s">
        <v>966</v>
      </c>
    </row>
    <row r="1104" spans="1:17">
      <c r="A1104" s="2" t="s">
        <v>796</v>
      </c>
      <c r="B1104" s="2" t="s">
        <v>268</v>
      </c>
      <c r="C1104" s="2" t="s">
        <v>297</v>
      </c>
      <c r="D1104" s="11">
        <v>45977.9375</v>
      </c>
      <c r="E1104" s="11">
        <v>45977.9375</v>
      </c>
      <c r="F1104" s="11">
        <v>45978.319444444445</v>
      </c>
      <c r="G1104" s="12">
        <v>0.38194444444525288</v>
      </c>
      <c r="H1104" s="2" t="s">
        <v>248</v>
      </c>
      <c r="J1104" s="2" t="s">
        <v>249</v>
      </c>
      <c r="K1104" s="2" t="s">
        <v>349</v>
      </c>
      <c r="L1104" s="2" t="s">
        <v>971</v>
      </c>
      <c r="M1104" t="s">
        <v>251</v>
      </c>
      <c r="N1104" t="s">
        <v>330</v>
      </c>
      <c r="O1104" t="s">
        <v>331</v>
      </c>
      <c r="P1104" t="s">
        <v>2176</v>
      </c>
      <c r="Q1104" t="s">
        <v>966</v>
      </c>
    </row>
    <row r="1105" spans="1:17">
      <c r="A1105" s="2" t="s">
        <v>246</v>
      </c>
      <c r="B1105" s="2" t="s">
        <v>246</v>
      </c>
      <c r="C1105" s="2" t="s">
        <v>247</v>
      </c>
      <c r="D1105" s="11">
        <v>45977.9375</v>
      </c>
      <c r="E1105" s="11">
        <v>45977.9375</v>
      </c>
      <c r="F1105" s="11">
        <v>45978.319444444445</v>
      </c>
      <c r="G1105" s="12">
        <v>0.38194444444525288</v>
      </c>
      <c r="H1105" s="2" t="s">
        <v>248</v>
      </c>
      <c r="J1105" s="2" t="s">
        <v>249</v>
      </c>
      <c r="K1105" s="2" t="s">
        <v>349</v>
      </c>
      <c r="L1105" s="2" t="s">
        <v>971</v>
      </c>
      <c r="M1105" t="s">
        <v>251</v>
      </c>
      <c r="N1105" t="s">
        <v>330</v>
      </c>
      <c r="O1105" t="s">
        <v>331</v>
      </c>
      <c r="P1105" t="s">
        <v>2177</v>
      </c>
      <c r="Q1105" t="s">
        <v>966</v>
      </c>
    </row>
    <row r="1106" spans="1:17">
      <c r="A1106" s="2" t="s">
        <v>246</v>
      </c>
      <c r="B1106" s="2" t="s">
        <v>246</v>
      </c>
      <c r="C1106" s="2" t="s">
        <v>254</v>
      </c>
      <c r="D1106" s="11">
        <v>45977.9375</v>
      </c>
      <c r="E1106" s="11">
        <v>45977.9375</v>
      </c>
      <c r="F1106" s="11">
        <v>45978.319444444445</v>
      </c>
      <c r="G1106" s="12">
        <v>0.38194444444525288</v>
      </c>
      <c r="H1106" s="2" t="s">
        <v>248</v>
      </c>
      <c r="J1106" s="2" t="s">
        <v>249</v>
      </c>
      <c r="K1106" s="2" t="s">
        <v>349</v>
      </c>
      <c r="L1106" s="2" t="s">
        <v>971</v>
      </c>
      <c r="M1106" t="s">
        <v>251</v>
      </c>
      <c r="N1106" t="s">
        <v>330</v>
      </c>
      <c r="O1106" t="s">
        <v>331</v>
      </c>
      <c r="P1106" t="s">
        <v>2178</v>
      </c>
      <c r="Q1106" t="s">
        <v>966</v>
      </c>
    </row>
    <row r="1107" spans="1:17">
      <c r="A1107" s="2" t="s">
        <v>246</v>
      </c>
      <c r="B1107" s="2" t="s">
        <v>246</v>
      </c>
      <c r="C1107" s="2" t="s">
        <v>255</v>
      </c>
      <c r="D1107" s="11">
        <v>45977.9375</v>
      </c>
      <c r="E1107" s="11">
        <v>45977.9375</v>
      </c>
      <c r="F1107" s="11">
        <v>45978.319444444445</v>
      </c>
      <c r="G1107" s="12">
        <v>0.38194444444525288</v>
      </c>
      <c r="H1107" s="2" t="s">
        <v>248</v>
      </c>
      <c r="J1107" s="2" t="s">
        <v>249</v>
      </c>
      <c r="K1107" s="2" t="s">
        <v>349</v>
      </c>
      <c r="L1107" s="2" t="s">
        <v>971</v>
      </c>
      <c r="M1107" t="s">
        <v>251</v>
      </c>
      <c r="N1107" t="s">
        <v>330</v>
      </c>
      <c r="O1107" t="s">
        <v>331</v>
      </c>
      <c r="P1107" t="s">
        <v>2179</v>
      </c>
      <c r="Q1107" t="s">
        <v>966</v>
      </c>
    </row>
    <row r="1108" spans="1:17">
      <c r="A1108" s="2" t="s">
        <v>246</v>
      </c>
      <c r="B1108" s="2" t="s">
        <v>246</v>
      </c>
      <c r="C1108" s="2" t="s">
        <v>256</v>
      </c>
      <c r="D1108" s="11">
        <v>45977.9375</v>
      </c>
      <c r="E1108" s="11">
        <v>45977.9375</v>
      </c>
      <c r="F1108" s="11">
        <v>45978.319444444445</v>
      </c>
      <c r="G1108" s="12">
        <v>0.38194444444525288</v>
      </c>
      <c r="H1108" s="2" t="s">
        <v>248</v>
      </c>
      <c r="J1108" s="2" t="s">
        <v>249</v>
      </c>
      <c r="K1108" s="2" t="s">
        <v>349</v>
      </c>
      <c r="L1108" s="2" t="s">
        <v>971</v>
      </c>
      <c r="M1108" t="s">
        <v>251</v>
      </c>
      <c r="N1108" t="s">
        <v>330</v>
      </c>
      <c r="O1108" t="s">
        <v>331</v>
      </c>
      <c r="P1108" t="s">
        <v>2180</v>
      </c>
      <c r="Q1108" t="s">
        <v>966</v>
      </c>
    </row>
    <row r="1109" spans="1:17">
      <c r="A1109" s="2" t="s">
        <v>246</v>
      </c>
      <c r="B1109" s="2" t="s">
        <v>246</v>
      </c>
      <c r="C1109" s="2" t="s">
        <v>257</v>
      </c>
      <c r="D1109" s="11">
        <v>45977.9375</v>
      </c>
      <c r="E1109" s="11">
        <v>45977.9375</v>
      </c>
      <c r="F1109" s="11">
        <v>45978.319444444445</v>
      </c>
      <c r="G1109" s="12">
        <v>0.38194444444525288</v>
      </c>
      <c r="H1109" s="2" t="s">
        <v>248</v>
      </c>
      <c r="J1109" s="2" t="s">
        <v>249</v>
      </c>
      <c r="K1109" s="2" t="s">
        <v>349</v>
      </c>
      <c r="L1109" s="2" t="s">
        <v>971</v>
      </c>
      <c r="M1109" t="s">
        <v>251</v>
      </c>
      <c r="N1109" t="s">
        <v>330</v>
      </c>
      <c r="O1109" t="s">
        <v>331</v>
      </c>
      <c r="P1109" t="s">
        <v>2181</v>
      </c>
      <c r="Q1109" t="s">
        <v>966</v>
      </c>
    </row>
    <row r="1110" spans="1:17">
      <c r="A1110" s="2" t="s">
        <v>258</v>
      </c>
      <c r="B1110" s="2" t="s">
        <v>258</v>
      </c>
      <c r="C1110" s="2" t="s">
        <v>247</v>
      </c>
      <c r="D1110" s="11">
        <v>45977.9375</v>
      </c>
      <c r="E1110" s="11">
        <v>45977.9375</v>
      </c>
      <c r="F1110" s="11">
        <v>45978.319444444445</v>
      </c>
      <c r="G1110" s="12">
        <v>0.38194444444525288</v>
      </c>
      <c r="H1110" s="2" t="s">
        <v>248</v>
      </c>
      <c r="J1110" s="2" t="s">
        <v>249</v>
      </c>
      <c r="K1110" s="2" t="s">
        <v>349</v>
      </c>
      <c r="L1110" s="2" t="s">
        <v>971</v>
      </c>
      <c r="M1110" t="s">
        <v>251</v>
      </c>
      <c r="N1110" t="s">
        <v>330</v>
      </c>
      <c r="O1110" t="s">
        <v>331</v>
      </c>
      <c r="P1110" t="s">
        <v>2182</v>
      </c>
      <c r="Q1110" t="s">
        <v>966</v>
      </c>
    </row>
    <row r="1111" spans="1:17">
      <c r="A1111" s="2" t="s">
        <v>258</v>
      </c>
      <c r="B1111" s="2" t="s">
        <v>258</v>
      </c>
      <c r="C1111" s="2" t="s">
        <v>254</v>
      </c>
      <c r="D1111" s="11">
        <v>45977.9375</v>
      </c>
      <c r="E1111" s="11">
        <v>45977.9375</v>
      </c>
      <c r="F1111" s="11">
        <v>45978.319444444445</v>
      </c>
      <c r="G1111" s="12">
        <v>0.38194444444525288</v>
      </c>
      <c r="H1111" s="2" t="s">
        <v>248</v>
      </c>
      <c r="J1111" s="2" t="s">
        <v>249</v>
      </c>
      <c r="K1111" s="2" t="s">
        <v>349</v>
      </c>
      <c r="L1111" s="2" t="s">
        <v>971</v>
      </c>
      <c r="M1111" t="s">
        <v>251</v>
      </c>
      <c r="N1111" t="s">
        <v>330</v>
      </c>
      <c r="O1111" t="s">
        <v>331</v>
      </c>
      <c r="P1111" t="s">
        <v>2183</v>
      </c>
      <c r="Q1111" t="s">
        <v>966</v>
      </c>
    </row>
    <row r="1112" spans="1:17">
      <c r="A1112" s="2" t="s">
        <v>258</v>
      </c>
      <c r="B1112" s="2" t="s">
        <v>258</v>
      </c>
      <c r="C1112" s="2" t="s">
        <v>255</v>
      </c>
      <c r="D1112" s="11">
        <v>45977.9375</v>
      </c>
      <c r="E1112" s="11">
        <v>45977.9375</v>
      </c>
      <c r="F1112" s="11">
        <v>45978.319444444445</v>
      </c>
      <c r="G1112" s="12">
        <v>0.38194444444525288</v>
      </c>
      <c r="H1112" s="2" t="s">
        <v>248</v>
      </c>
      <c r="J1112" s="2" t="s">
        <v>249</v>
      </c>
      <c r="K1112" s="2" t="s">
        <v>349</v>
      </c>
      <c r="L1112" s="2" t="s">
        <v>971</v>
      </c>
      <c r="M1112" t="s">
        <v>251</v>
      </c>
      <c r="N1112" t="s">
        <v>330</v>
      </c>
      <c r="O1112" t="s">
        <v>331</v>
      </c>
      <c r="P1112" t="s">
        <v>2184</v>
      </c>
      <c r="Q1112" t="s">
        <v>966</v>
      </c>
    </row>
    <row r="1113" spans="1:17">
      <c r="A1113" s="2" t="s">
        <v>258</v>
      </c>
      <c r="B1113" s="2" t="s">
        <v>258</v>
      </c>
      <c r="C1113" s="2" t="s">
        <v>256</v>
      </c>
      <c r="D1113" s="11">
        <v>45977.9375</v>
      </c>
      <c r="E1113" s="11">
        <v>45977.9375</v>
      </c>
      <c r="F1113" s="11">
        <v>45978.319444444445</v>
      </c>
      <c r="G1113" s="12">
        <v>0.38194444444525288</v>
      </c>
      <c r="H1113" s="2" t="s">
        <v>248</v>
      </c>
      <c r="J1113" s="2" t="s">
        <v>249</v>
      </c>
      <c r="K1113" s="2" t="s">
        <v>349</v>
      </c>
      <c r="L1113" s="2" t="s">
        <v>971</v>
      </c>
      <c r="M1113" t="s">
        <v>251</v>
      </c>
      <c r="N1113" t="s">
        <v>330</v>
      </c>
      <c r="O1113" t="s">
        <v>331</v>
      </c>
      <c r="P1113" t="s">
        <v>2185</v>
      </c>
      <c r="Q1113" t="s">
        <v>966</v>
      </c>
    </row>
    <row r="1114" spans="1:17">
      <c r="A1114" s="2" t="s">
        <v>258</v>
      </c>
      <c r="B1114" s="2" t="s">
        <v>258</v>
      </c>
      <c r="C1114" s="2" t="s">
        <v>257</v>
      </c>
      <c r="D1114" s="11">
        <v>45977.9375</v>
      </c>
      <c r="E1114" s="11">
        <v>45977.9375</v>
      </c>
      <c r="F1114" s="11">
        <v>45978.319444444445</v>
      </c>
      <c r="G1114" s="12">
        <v>0.38194444444525288</v>
      </c>
      <c r="H1114" s="2" t="s">
        <v>248</v>
      </c>
      <c r="J1114" s="2" t="s">
        <v>249</v>
      </c>
      <c r="K1114" s="2" t="s">
        <v>349</v>
      </c>
      <c r="L1114" s="2" t="s">
        <v>971</v>
      </c>
      <c r="M1114" t="s">
        <v>251</v>
      </c>
      <c r="N1114" t="s">
        <v>330</v>
      </c>
      <c r="O1114" t="s">
        <v>331</v>
      </c>
      <c r="P1114" t="s">
        <v>2186</v>
      </c>
      <c r="Q1114" t="s">
        <v>966</v>
      </c>
    </row>
    <row r="1115" spans="1:17">
      <c r="A1115" s="2" t="s">
        <v>259</v>
      </c>
      <c r="B1115" s="2" t="s">
        <v>259</v>
      </c>
      <c r="C1115" s="2" t="s">
        <v>247</v>
      </c>
      <c r="D1115" s="11">
        <v>45977.9375</v>
      </c>
      <c r="E1115" s="11">
        <v>45977.9375</v>
      </c>
      <c r="F1115" s="11">
        <v>45978.319444444445</v>
      </c>
      <c r="G1115" s="12">
        <v>0.38194444444525288</v>
      </c>
      <c r="H1115" s="2" t="s">
        <v>248</v>
      </c>
      <c r="J1115" s="2" t="s">
        <v>249</v>
      </c>
      <c r="K1115" s="2" t="s">
        <v>349</v>
      </c>
      <c r="L1115" s="2" t="s">
        <v>971</v>
      </c>
      <c r="M1115" t="s">
        <v>251</v>
      </c>
      <c r="N1115" t="s">
        <v>330</v>
      </c>
      <c r="O1115" t="s">
        <v>331</v>
      </c>
      <c r="P1115" t="s">
        <v>2187</v>
      </c>
      <c r="Q1115" t="s">
        <v>966</v>
      </c>
    </row>
    <row r="1116" spans="1:17">
      <c r="A1116" s="2" t="s">
        <v>259</v>
      </c>
      <c r="B1116" s="2" t="s">
        <v>259</v>
      </c>
      <c r="C1116" s="2" t="s">
        <v>254</v>
      </c>
      <c r="D1116" s="11">
        <v>45977.9375</v>
      </c>
      <c r="E1116" s="11">
        <v>45977.9375</v>
      </c>
      <c r="F1116" s="11">
        <v>45978.319444444445</v>
      </c>
      <c r="G1116" s="12">
        <v>0.38194444444525288</v>
      </c>
      <c r="H1116" s="2" t="s">
        <v>248</v>
      </c>
      <c r="J1116" s="2" t="s">
        <v>249</v>
      </c>
      <c r="K1116" s="2" t="s">
        <v>349</v>
      </c>
      <c r="L1116" s="2" t="s">
        <v>971</v>
      </c>
      <c r="M1116" t="s">
        <v>251</v>
      </c>
      <c r="N1116" t="s">
        <v>330</v>
      </c>
      <c r="O1116" t="s">
        <v>331</v>
      </c>
      <c r="P1116" t="s">
        <v>2188</v>
      </c>
      <c r="Q1116" t="s">
        <v>966</v>
      </c>
    </row>
    <row r="1117" spans="1:17">
      <c r="A1117" s="2" t="s">
        <v>259</v>
      </c>
      <c r="B1117" s="2" t="s">
        <v>259</v>
      </c>
      <c r="C1117" s="2" t="s">
        <v>255</v>
      </c>
      <c r="D1117" s="11">
        <v>45977.9375</v>
      </c>
      <c r="E1117" s="11">
        <v>45977.9375</v>
      </c>
      <c r="F1117" s="11">
        <v>45978.319444444445</v>
      </c>
      <c r="G1117" s="12">
        <v>0.38194444444525288</v>
      </c>
      <c r="H1117" s="2" t="s">
        <v>248</v>
      </c>
      <c r="J1117" s="2" t="s">
        <v>249</v>
      </c>
      <c r="K1117" s="2" t="s">
        <v>349</v>
      </c>
      <c r="L1117" s="2" t="s">
        <v>971</v>
      </c>
      <c r="M1117" t="s">
        <v>251</v>
      </c>
      <c r="N1117" t="s">
        <v>330</v>
      </c>
      <c r="O1117" t="s">
        <v>331</v>
      </c>
      <c r="P1117" t="s">
        <v>2189</v>
      </c>
      <c r="Q1117" t="s">
        <v>966</v>
      </c>
    </row>
    <row r="1118" spans="1:17">
      <c r="A1118" s="2" t="s">
        <v>259</v>
      </c>
      <c r="B1118" s="2" t="s">
        <v>259</v>
      </c>
      <c r="C1118" s="2" t="s">
        <v>256</v>
      </c>
      <c r="D1118" s="11">
        <v>45977.9375</v>
      </c>
      <c r="E1118" s="11">
        <v>45977.9375</v>
      </c>
      <c r="F1118" s="11">
        <v>45978.319444444445</v>
      </c>
      <c r="G1118" s="12">
        <v>0.38194444444525288</v>
      </c>
      <c r="H1118" s="2" t="s">
        <v>248</v>
      </c>
      <c r="J1118" s="2" t="s">
        <v>249</v>
      </c>
      <c r="K1118" s="2" t="s">
        <v>349</v>
      </c>
      <c r="L1118" s="2" t="s">
        <v>971</v>
      </c>
      <c r="M1118" t="s">
        <v>251</v>
      </c>
      <c r="N1118" t="s">
        <v>330</v>
      </c>
      <c r="O1118" t="s">
        <v>331</v>
      </c>
      <c r="P1118" t="s">
        <v>2190</v>
      </c>
      <c r="Q1118" t="s">
        <v>966</v>
      </c>
    </row>
    <row r="1119" spans="1:17">
      <c r="A1119" s="2" t="s">
        <v>259</v>
      </c>
      <c r="B1119" s="2" t="s">
        <v>259</v>
      </c>
      <c r="C1119" s="2" t="s">
        <v>257</v>
      </c>
      <c r="D1119" s="11">
        <v>45977.9375</v>
      </c>
      <c r="E1119" s="11">
        <v>45977.9375</v>
      </c>
      <c r="F1119" s="11">
        <v>45978.319444444445</v>
      </c>
      <c r="G1119" s="12">
        <v>0.38194444444525288</v>
      </c>
      <c r="H1119" s="2" t="s">
        <v>248</v>
      </c>
      <c r="J1119" s="2" t="s">
        <v>249</v>
      </c>
      <c r="K1119" s="2" t="s">
        <v>349</v>
      </c>
      <c r="L1119" s="2" t="s">
        <v>971</v>
      </c>
      <c r="M1119" t="s">
        <v>251</v>
      </c>
      <c r="N1119" t="s">
        <v>330</v>
      </c>
      <c r="O1119" t="s">
        <v>331</v>
      </c>
      <c r="P1119" t="s">
        <v>2191</v>
      </c>
      <c r="Q1119" t="s">
        <v>966</v>
      </c>
    </row>
    <row r="1120" spans="1:17">
      <c r="A1120" s="2" t="s">
        <v>846</v>
      </c>
      <c r="B1120" s="2" t="s">
        <v>602</v>
      </c>
      <c r="C1120" s="2" t="s">
        <v>1221</v>
      </c>
      <c r="D1120" s="11">
        <v>45978.261354166665</v>
      </c>
      <c r="E1120" s="11">
        <v>45978.261354166665</v>
      </c>
      <c r="F1120" s="11">
        <v>45978.268275462964</v>
      </c>
      <c r="G1120" s="12">
        <v>6.921296298969537E-3</v>
      </c>
      <c r="H1120" s="2" t="s">
        <v>248</v>
      </c>
      <c r="J1120" s="2" t="s">
        <v>300</v>
      </c>
      <c r="K1120" s="2" t="s">
        <v>350</v>
      </c>
      <c r="L1120" s="2" t="s">
        <v>1222</v>
      </c>
      <c r="M1120" t="s">
        <v>375</v>
      </c>
      <c r="N1120" t="s">
        <v>828</v>
      </c>
      <c r="P1120" t="s">
        <v>2192</v>
      </c>
      <c r="Q1120" t="s">
        <v>1224</v>
      </c>
    </row>
    <row r="1121" spans="1:17">
      <c r="A1121" s="2" t="s">
        <v>846</v>
      </c>
      <c r="B1121" s="2" t="s">
        <v>602</v>
      </c>
      <c r="C1121" s="2" t="s">
        <v>1303</v>
      </c>
      <c r="D1121" s="11">
        <v>45978.261550925927</v>
      </c>
      <c r="E1121" s="11">
        <v>45978.261550925927</v>
      </c>
      <c r="F1121" s="11">
        <v>45978.268495370372</v>
      </c>
      <c r="G1121" s="12">
        <v>6.9444444452528842E-3</v>
      </c>
      <c r="H1121" s="2" t="s">
        <v>248</v>
      </c>
      <c r="J1121" s="2" t="s">
        <v>300</v>
      </c>
      <c r="K1121" s="2" t="s">
        <v>350</v>
      </c>
      <c r="L1121" s="2" t="s">
        <v>1222</v>
      </c>
      <c r="M1121" t="s">
        <v>375</v>
      </c>
      <c r="N1121" t="s">
        <v>828</v>
      </c>
      <c r="P1121" t="s">
        <v>2193</v>
      </c>
      <c r="Q1121" t="s">
        <v>1224</v>
      </c>
    </row>
    <row r="1122" spans="1:17">
      <c r="A1122" s="2" t="s">
        <v>846</v>
      </c>
      <c r="B1122" s="2" t="s">
        <v>602</v>
      </c>
      <c r="C1122" s="2" t="s">
        <v>1305</v>
      </c>
      <c r="D1122" s="11">
        <v>45978.261620370373</v>
      </c>
      <c r="E1122" s="11">
        <v>45978.261620370373</v>
      </c>
      <c r="F1122" s="11">
        <v>45978.268518518518</v>
      </c>
      <c r="G1122" s="12">
        <v>6.8981481454102322E-3</v>
      </c>
      <c r="H1122" s="2" t="s">
        <v>248</v>
      </c>
      <c r="J1122" s="2" t="s">
        <v>300</v>
      </c>
      <c r="K1122" s="2" t="s">
        <v>350</v>
      </c>
      <c r="L1122" s="2" t="s">
        <v>1222</v>
      </c>
      <c r="M1122" t="s">
        <v>375</v>
      </c>
      <c r="N1122" t="s">
        <v>828</v>
      </c>
      <c r="P1122" t="s">
        <v>2194</v>
      </c>
      <c r="Q1122" t="s">
        <v>1224</v>
      </c>
    </row>
    <row r="1123" spans="1:17">
      <c r="A1123" s="2" t="s">
        <v>846</v>
      </c>
      <c r="B1123" s="2" t="s">
        <v>602</v>
      </c>
      <c r="C1123" s="2" t="s">
        <v>1407</v>
      </c>
      <c r="D1123" s="11">
        <v>45978.261643518519</v>
      </c>
      <c r="E1123" s="11">
        <v>45978.261643518519</v>
      </c>
      <c r="F1123" s="11">
        <v>45978.268541666665</v>
      </c>
      <c r="G1123" s="12">
        <v>6.8981481454102322E-3</v>
      </c>
      <c r="H1123" s="2" t="s">
        <v>248</v>
      </c>
      <c r="J1123" s="2" t="s">
        <v>300</v>
      </c>
      <c r="K1123" s="2" t="s">
        <v>350</v>
      </c>
      <c r="L1123" s="2" t="s">
        <v>1222</v>
      </c>
      <c r="M1123" t="s">
        <v>375</v>
      </c>
      <c r="N1123" t="s">
        <v>828</v>
      </c>
      <c r="P1123" t="s">
        <v>2195</v>
      </c>
      <c r="Q1123" t="s">
        <v>1224</v>
      </c>
    </row>
    <row r="1124" spans="1:17">
      <c r="A1124" s="2" t="s">
        <v>846</v>
      </c>
      <c r="B1124" s="2" t="s">
        <v>602</v>
      </c>
      <c r="C1124" s="2" t="s">
        <v>1534</v>
      </c>
      <c r="D1124" s="11">
        <v>45978.261643518519</v>
      </c>
      <c r="E1124" s="11">
        <v>45978.261643518519</v>
      </c>
      <c r="F1124" s="11">
        <v>45978.268611111111</v>
      </c>
      <c r="G1124" s="12">
        <v>6.9675925915362313E-3</v>
      </c>
      <c r="H1124" s="2" t="s">
        <v>248</v>
      </c>
      <c r="J1124" s="2" t="s">
        <v>300</v>
      </c>
      <c r="K1124" s="2" t="s">
        <v>350</v>
      </c>
      <c r="L1124" s="2" t="s">
        <v>1222</v>
      </c>
      <c r="M1124" t="s">
        <v>375</v>
      </c>
      <c r="N1124" t="s">
        <v>828</v>
      </c>
      <c r="P1124" t="s">
        <v>2196</v>
      </c>
      <c r="Q1124" t="s">
        <v>1224</v>
      </c>
    </row>
    <row r="1125" spans="1:17">
      <c r="A1125" s="2" t="s">
        <v>846</v>
      </c>
      <c r="B1125" s="2" t="s">
        <v>602</v>
      </c>
      <c r="C1125" s="2" t="s">
        <v>1536</v>
      </c>
      <c r="D1125" s="11">
        <v>45978.261712962965</v>
      </c>
      <c r="E1125" s="11">
        <v>45978.261712962965</v>
      </c>
      <c r="F1125" s="11">
        <v>45978.268657407411</v>
      </c>
      <c r="G1125" s="12">
        <v>6.9444444452528842E-3</v>
      </c>
      <c r="H1125" s="2" t="s">
        <v>248</v>
      </c>
      <c r="J1125" s="2" t="s">
        <v>300</v>
      </c>
      <c r="K1125" s="2" t="s">
        <v>350</v>
      </c>
      <c r="L1125" s="2" t="s">
        <v>1222</v>
      </c>
      <c r="M1125" t="s">
        <v>375</v>
      </c>
      <c r="N1125" t="s">
        <v>828</v>
      </c>
      <c r="P1125" t="s">
        <v>2197</v>
      </c>
      <c r="Q1125" t="s">
        <v>1224</v>
      </c>
    </row>
    <row r="1126" spans="1:17">
      <c r="A1126" s="2" t="s">
        <v>846</v>
      </c>
      <c r="B1126" s="2" t="s">
        <v>602</v>
      </c>
      <c r="C1126" s="2" t="s">
        <v>313</v>
      </c>
      <c r="D1126" s="11">
        <v>45978.261805555558</v>
      </c>
      <c r="E1126" s="11">
        <v>45978.261805555558</v>
      </c>
      <c r="F1126" s="11">
        <v>45978.268761574072</v>
      </c>
      <c r="G1126" s="12">
        <v>6.956018514756579E-3</v>
      </c>
      <c r="H1126" s="2" t="s">
        <v>248</v>
      </c>
      <c r="J1126" s="2" t="s">
        <v>300</v>
      </c>
      <c r="K1126" s="2" t="s">
        <v>350</v>
      </c>
      <c r="L1126" s="2" t="s">
        <v>1222</v>
      </c>
      <c r="M1126" t="s">
        <v>375</v>
      </c>
      <c r="N1126" t="s">
        <v>828</v>
      </c>
      <c r="P1126" t="s">
        <v>2198</v>
      </c>
      <c r="Q1126" t="s">
        <v>1224</v>
      </c>
    </row>
    <row r="1127" spans="1:17">
      <c r="A1127" s="2" t="s">
        <v>846</v>
      </c>
      <c r="B1127" s="2" t="s">
        <v>602</v>
      </c>
      <c r="C1127" s="2" t="s">
        <v>1221</v>
      </c>
      <c r="D1127" s="11">
        <v>45978.289942129632</v>
      </c>
      <c r="E1127" s="11">
        <v>45978.289942129632</v>
      </c>
      <c r="F1127" s="11">
        <v>45978.296932870369</v>
      </c>
      <c r="G1127" s="12">
        <v>6.9907407378195785E-3</v>
      </c>
      <c r="H1127" s="2" t="s">
        <v>248</v>
      </c>
      <c r="J1127" s="2" t="s">
        <v>300</v>
      </c>
      <c r="K1127" s="2" t="s">
        <v>350</v>
      </c>
      <c r="L1127" s="2" t="s">
        <v>1222</v>
      </c>
      <c r="M1127" t="s">
        <v>375</v>
      </c>
      <c r="N1127" t="s">
        <v>828</v>
      </c>
      <c r="P1127" t="s">
        <v>2199</v>
      </c>
      <c r="Q1127" t="s">
        <v>1224</v>
      </c>
    </row>
    <row r="1128" spans="1:17">
      <c r="A1128" s="2" t="s">
        <v>846</v>
      </c>
      <c r="B1128" s="2" t="s">
        <v>602</v>
      </c>
      <c r="C1128" s="2" t="s">
        <v>1305</v>
      </c>
      <c r="D1128" s="11">
        <v>45978.290162037039</v>
      </c>
      <c r="E1128" s="11">
        <v>45978.290162037039</v>
      </c>
      <c r="F1128" s="11">
        <v>45978.297129629631</v>
      </c>
      <c r="G1128" s="12">
        <v>6.9675925915362313E-3</v>
      </c>
      <c r="H1128" s="2" t="s">
        <v>248</v>
      </c>
      <c r="J1128" s="2" t="s">
        <v>300</v>
      </c>
      <c r="K1128" s="2" t="s">
        <v>350</v>
      </c>
      <c r="L1128" s="2" t="s">
        <v>1222</v>
      </c>
      <c r="M1128" t="s">
        <v>375</v>
      </c>
      <c r="N1128" t="s">
        <v>828</v>
      </c>
      <c r="P1128" t="s">
        <v>2200</v>
      </c>
      <c r="Q1128" t="s">
        <v>1224</v>
      </c>
    </row>
    <row r="1129" spans="1:17">
      <c r="A1129" s="2" t="s">
        <v>846</v>
      </c>
      <c r="B1129" s="2" t="s">
        <v>602</v>
      </c>
      <c r="C1129" s="2" t="s">
        <v>1303</v>
      </c>
      <c r="D1129" s="11">
        <v>45978.290173611109</v>
      </c>
      <c r="E1129" s="11">
        <v>45978.290173611109</v>
      </c>
      <c r="F1129" s="11">
        <v>45978.2971412037</v>
      </c>
      <c r="G1129" s="12">
        <v>6.9675925915362313E-3</v>
      </c>
      <c r="H1129" s="2" t="s">
        <v>248</v>
      </c>
      <c r="J1129" s="2" t="s">
        <v>300</v>
      </c>
      <c r="K1129" s="2" t="s">
        <v>350</v>
      </c>
      <c r="L1129" s="2" t="s">
        <v>1222</v>
      </c>
      <c r="M1129" t="s">
        <v>375</v>
      </c>
      <c r="N1129" t="s">
        <v>828</v>
      </c>
      <c r="P1129" t="s">
        <v>2201</v>
      </c>
      <c r="Q1129" t="s">
        <v>1224</v>
      </c>
    </row>
    <row r="1130" spans="1:17">
      <c r="A1130" s="2" t="s">
        <v>846</v>
      </c>
      <c r="B1130" s="2" t="s">
        <v>602</v>
      </c>
      <c r="C1130" s="2" t="s">
        <v>1407</v>
      </c>
      <c r="D1130" s="11">
        <v>45978.290185185186</v>
      </c>
      <c r="E1130" s="11">
        <v>45978.290185185186</v>
      </c>
      <c r="F1130" s="11">
        <v>45978.2971412037</v>
      </c>
      <c r="G1130" s="12">
        <v>6.956018514756579E-3</v>
      </c>
      <c r="H1130" s="2" t="s">
        <v>248</v>
      </c>
      <c r="J1130" s="2" t="s">
        <v>300</v>
      </c>
      <c r="K1130" s="2" t="s">
        <v>350</v>
      </c>
      <c r="L1130" s="2" t="s">
        <v>1222</v>
      </c>
      <c r="M1130" t="s">
        <v>375</v>
      </c>
      <c r="N1130" t="s">
        <v>828</v>
      </c>
      <c r="P1130" t="s">
        <v>2202</v>
      </c>
      <c r="Q1130" t="s">
        <v>1224</v>
      </c>
    </row>
    <row r="1131" spans="1:17">
      <c r="A1131" s="2" t="s">
        <v>846</v>
      </c>
      <c r="B1131" s="2" t="s">
        <v>602</v>
      </c>
      <c r="C1131" s="2" t="s">
        <v>1534</v>
      </c>
      <c r="D1131" s="11">
        <v>45978.290277777778</v>
      </c>
      <c r="E1131" s="11">
        <v>45978.290277777778</v>
      </c>
      <c r="F1131" s="11">
        <v>45978.297222222223</v>
      </c>
      <c r="G1131" s="12">
        <v>6.9444444452528842E-3</v>
      </c>
      <c r="H1131" s="2" t="s">
        <v>248</v>
      </c>
      <c r="J1131" s="2" t="s">
        <v>300</v>
      </c>
      <c r="K1131" s="2" t="s">
        <v>350</v>
      </c>
      <c r="L1131" s="2" t="s">
        <v>1222</v>
      </c>
      <c r="M1131" t="s">
        <v>375</v>
      </c>
      <c r="N1131" t="s">
        <v>828</v>
      </c>
      <c r="P1131" t="s">
        <v>2203</v>
      </c>
      <c r="Q1131" t="s">
        <v>1224</v>
      </c>
    </row>
    <row r="1132" spans="1:17">
      <c r="A1132" s="2" t="s">
        <v>846</v>
      </c>
      <c r="B1132" s="2" t="s">
        <v>602</v>
      </c>
      <c r="C1132" s="2" t="s">
        <v>1536</v>
      </c>
      <c r="D1132" s="11">
        <v>45978.290347222224</v>
      </c>
      <c r="E1132" s="11">
        <v>45978.290347222224</v>
      </c>
      <c r="F1132" s="11">
        <v>45978.297291666669</v>
      </c>
      <c r="G1132" s="12">
        <v>6.9444444452528842E-3</v>
      </c>
      <c r="H1132" s="2" t="s">
        <v>248</v>
      </c>
      <c r="J1132" s="2" t="s">
        <v>300</v>
      </c>
      <c r="K1132" s="2" t="s">
        <v>350</v>
      </c>
      <c r="L1132" s="2" t="s">
        <v>1222</v>
      </c>
      <c r="M1132" t="s">
        <v>375</v>
      </c>
      <c r="N1132" t="s">
        <v>828</v>
      </c>
      <c r="P1132" t="s">
        <v>2204</v>
      </c>
      <c r="Q1132" t="s">
        <v>1224</v>
      </c>
    </row>
    <row r="1133" spans="1:17">
      <c r="A1133" s="2" t="s">
        <v>846</v>
      </c>
      <c r="B1133" s="2" t="s">
        <v>602</v>
      </c>
      <c r="C1133" s="2" t="s">
        <v>313</v>
      </c>
      <c r="D1133" s="11">
        <v>45978.290405092594</v>
      </c>
      <c r="E1133" s="11">
        <v>45978.290405092594</v>
      </c>
      <c r="F1133" s="11">
        <v>45978.297372685185</v>
      </c>
      <c r="G1133" s="12">
        <v>6.9675925915362313E-3</v>
      </c>
      <c r="H1133" s="2" t="s">
        <v>248</v>
      </c>
      <c r="J1133" s="2" t="s">
        <v>300</v>
      </c>
      <c r="K1133" s="2" t="s">
        <v>350</v>
      </c>
      <c r="L1133" s="2" t="s">
        <v>1222</v>
      </c>
      <c r="M1133" t="s">
        <v>375</v>
      </c>
      <c r="N1133" t="s">
        <v>828</v>
      </c>
      <c r="P1133" t="s">
        <v>2205</v>
      </c>
      <c r="Q1133" t="s">
        <v>1224</v>
      </c>
    </row>
    <row r="1134" spans="1:17">
      <c r="A1134" s="2" t="s">
        <v>644</v>
      </c>
      <c r="B1134" s="2" t="s">
        <v>644</v>
      </c>
      <c r="C1134" s="2" t="s">
        <v>2031</v>
      </c>
      <c r="D1134" s="11">
        <v>45978.363194444442</v>
      </c>
      <c r="E1134" s="11">
        <v>45978.363194444442</v>
      </c>
      <c r="F1134" s="11">
        <v>45978.430555555555</v>
      </c>
      <c r="G1134" s="12">
        <v>6.7361111112404615E-2</v>
      </c>
      <c r="H1134" s="2" t="s">
        <v>260</v>
      </c>
      <c r="I1134" s="2" t="s">
        <v>261</v>
      </c>
      <c r="J1134" s="2" t="s">
        <v>262</v>
      </c>
      <c r="K1134" s="2" t="s">
        <v>263</v>
      </c>
      <c r="L1134" s="2" t="s">
        <v>2051</v>
      </c>
      <c r="M1134" t="s">
        <v>265</v>
      </c>
      <c r="N1134" t="s">
        <v>266</v>
      </c>
      <c r="O1134" t="s">
        <v>2206</v>
      </c>
      <c r="P1134" t="s">
        <v>2207</v>
      </c>
      <c r="Q1134" t="s">
        <v>1401</v>
      </c>
    </row>
    <row r="1135" spans="1:17">
      <c r="A1135" s="2" t="s">
        <v>644</v>
      </c>
      <c r="B1135" s="2" t="s">
        <v>644</v>
      </c>
      <c r="C1135" s="2" t="s">
        <v>2033</v>
      </c>
      <c r="D1135" s="11">
        <v>45978.363194444442</v>
      </c>
      <c r="E1135" s="11">
        <v>45978.363194444442</v>
      </c>
      <c r="F1135" s="11">
        <v>45978.430555555555</v>
      </c>
      <c r="G1135" s="12">
        <v>6.7361111112404615E-2</v>
      </c>
      <c r="H1135" s="2" t="s">
        <v>260</v>
      </c>
      <c r="I1135" s="2" t="s">
        <v>261</v>
      </c>
      <c r="J1135" s="2" t="s">
        <v>262</v>
      </c>
      <c r="K1135" s="2" t="s">
        <v>263</v>
      </c>
      <c r="L1135" s="2" t="s">
        <v>2051</v>
      </c>
      <c r="M1135" t="s">
        <v>265</v>
      </c>
      <c r="N1135" t="s">
        <v>266</v>
      </c>
      <c r="O1135" t="s">
        <v>2206</v>
      </c>
      <c r="P1135" t="s">
        <v>2208</v>
      </c>
      <c r="Q1135" t="s">
        <v>1401</v>
      </c>
    </row>
    <row r="1136" spans="1:17">
      <c r="A1136" s="2" t="s">
        <v>644</v>
      </c>
      <c r="B1136" s="2" t="s">
        <v>644</v>
      </c>
      <c r="C1136" s="2" t="s">
        <v>2035</v>
      </c>
      <c r="D1136" s="11">
        <v>45978.363194444442</v>
      </c>
      <c r="E1136" s="11">
        <v>45978.363194444442</v>
      </c>
      <c r="F1136" s="11">
        <v>45978.430555555555</v>
      </c>
      <c r="G1136" s="12">
        <v>6.7361111112404615E-2</v>
      </c>
      <c r="H1136" s="2" t="s">
        <v>260</v>
      </c>
      <c r="I1136" s="2" t="s">
        <v>261</v>
      </c>
      <c r="J1136" s="2" t="s">
        <v>262</v>
      </c>
      <c r="K1136" s="2" t="s">
        <v>263</v>
      </c>
      <c r="L1136" s="2" t="s">
        <v>2051</v>
      </c>
      <c r="M1136" t="s">
        <v>265</v>
      </c>
      <c r="N1136" t="s">
        <v>266</v>
      </c>
      <c r="O1136" t="s">
        <v>2206</v>
      </c>
      <c r="P1136" t="s">
        <v>2209</v>
      </c>
      <c r="Q1136" t="s">
        <v>1401</v>
      </c>
    </row>
    <row r="1137" spans="1:17">
      <c r="A1137" s="2" t="s">
        <v>644</v>
      </c>
      <c r="B1137" s="2" t="s">
        <v>644</v>
      </c>
      <c r="C1137" s="2" t="s">
        <v>2037</v>
      </c>
      <c r="D1137" s="11">
        <v>45978.363194444442</v>
      </c>
      <c r="E1137" s="11">
        <v>45978.363194444442</v>
      </c>
      <c r="F1137" s="11">
        <v>45978.430555555555</v>
      </c>
      <c r="G1137" s="12">
        <v>6.7361111112404615E-2</v>
      </c>
      <c r="H1137" s="2" t="s">
        <v>260</v>
      </c>
      <c r="I1137" s="2" t="s">
        <v>261</v>
      </c>
      <c r="J1137" s="2" t="s">
        <v>262</v>
      </c>
      <c r="K1137" s="2" t="s">
        <v>263</v>
      </c>
      <c r="L1137" s="2" t="s">
        <v>2051</v>
      </c>
      <c r="M1137" t="s">
        <v>265</v>
      </c>
      <c r="N1137" t="s">
        <v>266</v>
      </c>
      <c r="O1137" t="s">
        <v>2206</v>
      </c>
      <c r="P1137" t="s">
        <v>2210</v>
      </c>
      <c r="Q1137" t="s">
        <v>1401</v>
      </c>
    </row>
    <row r="1138" spans="1:17">
      <c r="A1138" s="2" t="s">
        <v>644</v>
      </c>
      <c r="B1138" s="2" t="s">
        <v>644</v>
      </c>
      <c r="C1138" s="2" t="s">
        <v>2039</v>
      </c>
      <c r="D1138" s="11">
        <v>45978.363194444442</v>
      </c>
      <c r="E1138" s="11">
        <v>45978.363194444442</v>
      </c>
      <c r="F1138" s="11">
        <v>45978.430555555555</v>
      </c>
      <c r="G1138" s="12">
        <v>6.7361111112404615E-2</v>
      </c>
      <c r="H1138" s="2" t="s">
        <v>260</v>
      </c>
      <c r="I1138" s="2" t="s">
        <v>261</v>
      </c>
      <c r="J1138" s="2" t="s">
        <v>262</v>
      </c>
      <c r="K1138" s="2" t="s">
        <v>263</v>
      </c>
      <c r="L1138" s="2" t="s">
        <v>2051</v>
      </c>
      <c r="M1138" t="s">
        <v>265</v>
      </c>
      <c r="N1138" t="s">
        <v>266</v>
      </c>
      <c r="O1138" t="s">
        <v>2206</v>
      </c>
      <c r="P1138" t="s">
        <v>2211</v>
      </c>
      <c r="Q1138" t="s">
        <v>1401</v>
      </c>
    </row>
    <row r="1139" spans="1:17">
      <c r="A1139" s="2" t="s">
        <v>780</v>
      </c>
      <c r="B1139" s="2" t="s">
        <v>268</v>
      </c>
      <c r="C1139" s="2" t="s">
        <v>269</v>
      </c>
      <c r="D1139" s="11">
        <v>45978.520833333336</v>
      </c>
      <c r="E1139" s="11">
        <v>45978.520833333336</v>
      </c>
      <c r="F1139" s="11">
        <v>45978.638888888891</v>
      </c>
      <c r="G1139" s="12">
        <v>0.11805555555474712</v>
      </c>
      <c r="H1139" s="2" t="s">
        <v>248</v>
      </c>
      <c r="J1139" s="2" t="s">
        <v>249</v>
      </c>
      <c r="K1139" s="2" t="s">
        <v>349</v>
      </c>
      <c r="L1139" s="2" t="s">
        <v>971</v>
      </c>
      <c r="M1139" t="s">
        <v>251</v>
      </c>
      <c r="N1139" t="s">
        <v>330</v>
      </c>
      <c r="O1139" t="s">
        <v>331</v>
      </c>
      <c r="P1139" t="s">
        <v>2212</v>
      </c>
      <c r="Q1139" t="s">
        <v>966</v>
      </c>
    </row>
    <row r="1140" spans="1:17">
      <c r="A1140" s="2" t="s">
        <v>780</v>
      </c>
      <c r="B1140" s="2" t="s">
        <v>268</v>
      </c>
      <c r="C1140" s="2" t="s">
        <v>270</v>
      </c>
      <c r="D1140" s="11">
        <v>45978.520833333336</v>
      </c>
      <c r="E1140" s="11">
        <v>45978.520833333336</v>
      </c>
      <c r="F1140" s="11">
        <v>45978.638888888891</v>
      </c>
      <c r="G1140" s="12">
        <v>0.11805555555474712</v>
      </c>
      <c r="H1140" s="2" t="s">
        <v>248</v>
      </c>
      <c r="J1140" s="2" t="s">
        <v>249</v>
      </c>
      <c r="K1140" s="2" t="s">
        <v>349</v>
      </c>
      <c r="L1140" s="2" t="s">
        <v>971</v>
      </c>
      <c r="M1140" t="s">
        <v>251</v>
      </c>
      <c r="N1140" t="s">
        <v>330</v>
      </c>
      <c r="O1140" t="s">
        <v>331</v>
      </c>
      <c r="P1140" t="s">
        <v>2213</v>
      </c>
      <c r="Q1140" t="s">
        <v>966</v>
      </c>
    </row>
    <row r="1141" spans="1:17">
      <c r="A1141" s="2" t="s">
        <v>780</v>
      </c>
      <c r="B1141" s="2" t="s">
        <v>268</v>
      </c>
      <c r="C1141" s="2" t="s">
        <v>271</v>
      </c>
      <c r="D1141" s="11">
        <v>45978.520833333336</v>
      </c>
      <c r="E1141" s="11">
        <v>45978.520833333336</v>
      </c>
      <c r="F1141" s="11">
        <v>45978.638888888891</v>
      </c>
      <c r="G1141" s="12">
        <v>0.11805555555474712</v>
      </c>
      <c r="H1141" s="2" t="s">
        <v>248</v>
      </c>
      <c r="J1141" s="2" t="s">
        <v>249</v>
      </c>
      <c r="K1141" s="2" t="s">
        <v>349</v>
      </c>
      <c r="L1141" s="2" t="s">
        <v>971</v>
      </c>
      <c r="M1141" t="s">
        <v>251</v>
      </c>
      <c r="N1141" t="s">
        <v>330</v>
      </c>
      <c r="O1141" t="s">
        <v>331</v>
      </c>
      <c r="P1141" t="s">
        <v>2214</v>
      </c>
      <c r="Q1141" t="s">
        <v>966</v>
      </c>
    </row>
    <row r="1142" spans="1:17">
      <c r="A1142" s="2" t="s">
        <v>780</v>
      </c>
      <c r="B1142" s="2" t="s">
        <v>268</v>
      </c>
      <c r="C1142" s="2" t="s">
        <v>272</v>
      </c>
      <c r="D1142" s="11">
        <v>45978.520833333336</v>
      </c>
      <c r="E1142" s="11">
        <v>45978.520833333336</v>
      </c>
      <c r="F1142" s="11">
        <v>45978.638888888891</v>
      </c>
      <c r="G1142" s="12">
        <v>0.11805555555474712</v>
      </c>
      <c r="H1142" s="2" t="s">
        <v>248</v>
      </c>
      <c r="J1142" s="2" t="s">
        <v>249</v>
      </c>
      <c r="K1142" s="2" t="s">
        <v>349</v>
      </c>
      <c r="L1142" s="2" t="s">
        <v>971</v>
      </c>
      <c r="M1142" t="s">
        <v>251</v>
      </c>
      <c r="N1142" t="s">
        <v>330</v>
      </c>
      <c r="O1142" t="s">
        <v>331</v>
      </c>
      <c r="P1142" t="s">
        <v>2215</v>
      </c>
      <c r="Q1142" t="s">
        <v>966</v>
      </c>
    </row>
    <row r="1143" spans="1:17">
      <c r="A1143" s="2" t="s">
        <v>780</v>
      </c>
      <c r="B1143" s="2" t="s">
        <v>268</v>
      </c>
      <c r="C1143" s="2" t="s">
        <v>273</v>
      </c>
      <c r="D1143" s="11">
        <v>45978.520833333336</v>
      </c>
      <c r="E1143" s="11">
        <v>45978.520833333336</v>
      </c>
      <c r="F1143" s="11">
        <v>45978.638888888891</v>
      </c>
      <c r="G1143" s="12">
        <v>0.11805555555474712</v>
      </c>
      <c r="H1143" s="2" t="s">
        <v>248</v>
      </c>
      <c r="J1143" s="2" t="s">
        <v>249</v>
      </c>
      <c r="K1143" s="2" t="s">
        <v>349</v>
      </c>
      <c r="L1143" s="2" t="s">
        <v>971</v>
      </c>
      <c r="M1143" t="s">
        <v>251</v>
      </c>
      <c r="N1143" t="s">
        <v>330</v>
      </c>
      <c r="O1143" t="s">
        <v>331</v>
      </c>
      <c r="P1143" t="s">
        <v>2216</v>
      </c>
      <c r="Q1143" t="s">
        <v>966</v>
      </c>
    </row>
    <row r="1144" spans="1:17">
      <c r="A1144" s="2" t="s">
        <v>780</v>
      </c>
      <c r="B1144" s="2" t="s">
        <v>268</v>
      </c>
      <c r="C1144" s="2" t="s">
        <v>274</v>
      </c>
      <c r="D1144" s="11">
        <v>45978.520833333336</v>
      </c>
      <c r="E1144" s="11">
        <v>45978.520833333336</v>
      </c>
      <c r="F1144" s="11">
        <v>45978.638888888891</v>
      </c>
      <c r="G1144" s="12">
        <v>0.11805555555474712</v>
      </c>
      <c r="H1144" s="2" t="s">
        <v>248</v>
      </c>
      <c r="J1144" s="2" t="s">
        <v>249</v>
      </c>
      <c r="K1144" s="2" t="s">
        <v>349</v>
      </c>
      <c r="L1144" s="2" t="s">
        <v>971</v>
      </c>
      <c r="M1144" t="s">
        <v>251</v>
      </c>
      <c r="N1144" t="s">
        <v>330</v>
      </c>
      <c r="O1144" t="s">
        <v>331</v>
      </c>
      <c r="P1144" t="s">
        <v>2217</v>
      </c>
      <c r="Q1144" t="s">
        <v>966</v>
      </c>
    </row>
    <row r="1145" spans="1:17">
      <c r="A1145" s="2" t="s">
        <v>780</v>
      </c>
      <c r="B1145" s="2" t="s">
        <v>268</v>
      </c>
      <c r="C1145" s="2" t="s">
        <v>275</v>
      </c>
      <c r="D1145" s="11">
        <v>45978.520833333336</v>
      </c>
      <c r="E1145" s="11">
        <v>45978.520833333336</v>
      </c>
      <c r="F1145" s="11">
        <v>45978.638888888891</v>
      </c>
      <c r="G1145" s="12">
        <v>0.11805555555474712</v>
      </c>
      <c r="H1145" s="2" t="s">
        <v>248</v>
      </c>
      <c r="J1145" s="2" t="s">
        <v>249</v>
      </c>
      <c r="K1145" s="2" t="s">
        <v>349</v>
      </c>
      <c r="L1145" s="2" t="s">
        <v>971</v>
      </c>
      <c r="M1145" t="s">
        <v>251</v>
      </c>
      <c r="N1145" t="s">
        <v>330</v>
      </c>
      <c r="O1145" t="s">
        <v>331</v>
      </c>
      <c r="P1145" t="s">
        <v>2218</v>
      </c>
      <c r="Q1145" t="s">
        <v>966</v>
      </c>
    </row>
    <row r="1146" spans="1:17">
      <c r="A1146" s="2" t="s">
        <v>780</v>
      </c>
      <c r="B1146" s="2" t="s">
        <v>268</v>
      </c>
      <c r="C1146" s="2" t="s">
        <v>276</v>
      </c>
      <c r="D1146" s="11">
        <v>45978.520833333336</v>
      </c>
      <c r="E1146" s="11">
        <v>45978.520833333336</v>
      </c>
      <c r="F1146" s="11">
        <v>45978.638888888891</v>
      </c>
      <c r="G1146" s="12">
        <v>0.11805555555474712</v>
      </c>
      <c r="H1146" s="2" t="s">
        <v>248</v>
      </c>
      <c r="J1146" s="2" t="s">
        <v>249</v>
      </c>
      <c r="K1146" s="2" t="s">
        <v>349</v>
      </c>
      <c r="L1146" s="2" t="s">
        <v>971</v>
      </c>
      <c r="M1146" t="s">
        <v>251</v>
      </c>
      <c r="N1146" t="s">
        <v>330</v>
      </c>
      <c r="O1146" t="s">
        <v>331</v>
      </c>
      <c r="P1146" t="s">
        <v>2219</v>
      </c>
      <c r="Q1146" t="s">
        <v>966</v>
      </c>
    </row>
    <row r="1147" spans="1:17">
      <c r="A1147" s="2" t="s">
        <v>781</v>
      </c>
      <c r="B1147" s="2" t="s">
        <v>268</v>
      </c>
      <c r="C1147" s="2" t="s">
        <v>277</v>
      </c>
      <c r="D1147" s="11">
        <v>45978.520833333336</v>
      </c>
      <c r="E1147" s="11">
        <v>45978.520833333336</v>
      </c>
      <c r="F1147" s="11">
        <v>45978.638888888891</v>
      </c>
      <c r="G1147" s="12">
        <v>0.11805555555474712</v>
      </c>
      <c r="H1147" s="2" t="s">
        <v>248</v>
      </c>
      <c r="J1147" s="2" t="s">
        <v>249</v>
      </c>
      <c r="K1147" s="2" t="s">
        <v>349</v>
      </c>
      <c r="L1147" s="2" t="s">
        <v>971</v>
      </c>
      <c r="M1147" t="s">
        <v>251</v>
      </c>
      <c r="N1147" t="s">
        <v>330</v>
      </c>
      <c r="O1147" t="s">
        <v>331</v>
      </c>
      <c r="P1147" t="s">
        <v>2220</v>
      </c>
      <c r="Q1147" t="s">
        <v>966</v>
      </c>
    </row>
    <row r="1148" spans="1:17">
      <c r="A1148" s="2" t="s">
        <v>781</v>
      </c>
      <c r="B1148" s="2" t="s">
        <v>268</v>
      </c>
      <c r="C1148" s="2" t="s">
        <v>278</v>
      </c>
      <c r="D1148" s="11">
        <v>45978.520833333336</v>
      </c>
      <c r="E1148" s="11">
        <v>45978.520833333336</v>
      </c>
      <c r="F1148" s="11">
        <v>45978.638888888891</v>
      </c>
      <c r="G1148" s="12">
        <v>0.11805555555474712</v>
      </c>
      <c r="H1148" s="2" t="s">
        <v>248</v>
      </c>
      <c r="J1148" s="2" t="s">
        <v>249</v>
      </c>
      <c r="K1148" s="2" t="s">
        <v>349</v>
      </c>
      <c r="L1148" s="2" t="s">
        <v>971</v>
      </c>
      <c r="M1148" t="s">
        <v>251</v>
      </c>
      <c r="N1148" t="s">
        <v>330</v>
      </c>
      <c r="O1148" t="s">
        <v>331</v>
      </c>
      <c r="P1148" t="s">
        <v>2221</v>
      </c>
      <c r="Q1148" t="s">
        <v>966</v>
      </c>
    </row>
    <row r="1149" spans="1:17">
      <c r="A1149" s="2" t="s">
        <v>781</v>
      </c>
      <c r="B1149" s="2" t="s">
        <v>268</v>
      </c>
      <c r="C1149" s="2" t="s">
        <v>279</v>
      </c>
      <c r="D1149" s="11">
        <v>45978.520833333336</v>
      </c>
      <c r="E1149" s="11">
        <v>45978.520833333336</v>
      </c>
      <c r="F1149" s="11">
        <v>45978.638888888891</v>
      </c>
      <c r="G1149" s="12">
        <v>0.11805555555474712</v>
      </c>
      <c r="H1149" s="2" t="s">
        <v>248</v>
      </c>
      <c r="J1149" s="2" t="s">
        <v>249</v>
      </c>
      <c r="K1149" s="2" t="s">
        <v>349</v>
      </c>
      <c r="L1149" s="2" t="s">
        <v>971</v>
      </c>
      <c r="M1149" t="s">
        <v>251</v>
      </c>
      <c r="N1149" t="s">
        <v>330</v>
      </c>
      <c r="O1149" t="s">
        <v>331</v>
      </c>
      <c r="P1149" t="s">
        <v>2222</v>
      </c>
      <c r="Q1149" t="s">
        <v>966</v>
      </c>
    </row>
    <row r="1150" spans="1:17">
      <c r="A1150" s="2" t="s">
        <v>781</v>
      </c>
      <c r="B1150" s="2" t="s">
        <v>268</v>
      </c>
      <c r="C1150" s="2" t="s">
        <v>280</v>
      </c>
      <c r="D1150" s="11">
        <v>45978.520833333336</v>
      </c>
      <c r="E1150" s="11">
        <v>45978.520833333336</v>
      </c>
      <c r="F1150" s="11">
        <v>45978.638888888891</v>
      </c>
      <c r="G1150" s="12">
        <v>0.11805555555474712</v>
      </c>
      <c r="H1150" s="2" t="s">
        <v>248</v>
      </c>
      <c r="J1150" s="2" t="s">
        <v>249</v>
      </c>
      <c r="K1150" s="2" t="s">
        <v>349</v>
      </c>
      <c r="L1150" s="2" t="s">
        <v>971</v>
      </c>
      <c r="M1150" t="s">
        <v>251</v>
      </c>
      <c r="N1150" t="s">
        <v>330</v>
      </c>
      <c r="O1150" t="s">
        <v>331</v>
      </c>
      <c r="P1150" t="s">
        <v>2223</v>
      </c>
      <c r="Q1150" t="s">
        <v>966</v>
      </c>
    </row>
    <row r="1151" spans="1:17">
      <c r="A1151" s="2" t="s">
        <v>781</v>
      </c>
      <c r="B1151" s="2" t="s">
        <v>268</v>
      </c>
      <c r="C1151" s="2" t="s">
        <v>281</v>
      </c>
      <c r="D1151" s="11">
        <v>45978.520833333336</v>
      </c>
      <c r="E1151" s="11">
        <v>45978.520833333336</v>
      </c>
      <c r="F1151" s="11">
        <v>45978.638888888891</v>
      </c>
      <c r="G1151" s="12">
        <v>0.11805555555474712</v>
      </c>
      <c r="H1151" s="2" t="s">
        <v>248</v>
      </c>
      <c r="J1151" s="2" t="s">
        <v>249</v>
      </c>
      <c r="K1151" s="2" t="s">
        <v>349</v>
      </c>
      <c r="L1151" s="2" t="s">
        <v>971</v>
      </c>
      <c r="M1151" t="s">
        <v>251</v>
      </c>
      <c r="N1151" t="s">
        <v>330</v>
      </c>
      <c r="O1151" t="s">
        <v>331</v>
      </c>
      <c r="P1151" t="s">
        <v>2224</v>
      </c>
      <c r="Q1151" t="s">
        <v>966</v>
      </c>
    </row>
    <row r="1152" spans="1:17">
      <c r="A1152" s="2" t="s">
        <v>781</v>
      </c>
      <c r="B1152" s="2" t="s">
        <v>268</v>
      </c>
      <c r="C1152" s="2" t="s">
        <v>282</v>
      </c>
      <c r="D1152" s="11">
        <v>45978.520833333336</v>
      </c>
      <c r="E1152" s="11">
        <v>45978.520833333336</v>
      </c>
      <c r="F1152" s="11">
        <v>45978.638888888891</v>
      </c>
      <c r="G1152" s="12">
        <v>0.11805555555474712</v>
      </c>
      <c r="H1152" s="2" t="s">
        <v>248</v>
      </c>
      <c r="J1152" s="2" t="s">
        <v>249</v>
      </c>
      <c r="K1152" s="2" t="s">
        <v>349</v>
      </c>
      <c r="L1152" s="2" t="s">
        <v>971</v>
      </c>
      <c r="M1152" t="s">
        <v>251</v>
      </c>
      <c r="N1152" t="s">
        <v>330</v>
      </c>
      <c r="O1152" t="s">
        <v>331</v>
      </c>
      <c r="P1152" t="s">
        <v>2225</v>
      </c>
      <c r="Q1152" t="s">
        <v>966</v>
      </c>
    </row>
    <row r="1153" spans="1:17">
      <c r="A1153" s="2" t="s">
        <v>781</v>
      </c>
      <c r="B1153" s="2" t="s">
        <v>268</v>
      </c>
      <c r="C1153" s="2" t="s">
        <v>283</v>
      </c>
      <c r="D1153" s="11">
        <v>45978.520833333336</v>
      </c>
      <c r="E1153" s="11">
        <v>45978.520833333336</v>
      </c>
      <c r="F1153" s="11">
        <v>45978.638888888891</v>
      </c>
      <c r="G1153" s="12">
        <v>0.11805555555474712</v>
      </c>
      <c r="H1153" s="2" t="s">
        <v>248</v>
      </c>
      <c r="J1153" s="2" t="s">
        <v>249</v>
      </c>
      <c r="K1153" s="2" t="s">
        <v>349</v>
      </c>
      <c r="L1153" s="2" t="s">
        <v>971</v>
      </c>
      <c r="M1153" t="s">
        <v>251</v>
      </c>
      <c r="N1153" t="s">
        <v>330</v>
      </c>
      <c r="O1153" t="s">
        <v>331</v>
      </c>
      <c r="P1153" t="s">
        <v>2226</v>
      </c>
      <c r="Q1153" t="s">
        <v>966</v>
      </c>
    </row>
    <row r="1154" spans="1:17">
      <c r="A1154" s="2" t="s">
        <v>794</v>
      </c>
      <c r="B1154" s="2" t="s">
        <v>268</v>
      </c>
      <c r="C1154" s="2" t="s">
        <v>284</v>
      </c>
      <c r="D1154" s="11">
        <v>45978.520833333336</v>
      </c>
      <c r="E1154" s="11">
        <v>45978.520833333336</v>
      </c>
      <c r="F1154" s="11">
        <v>45978.638888888891</v>
      </c>
      <c r="G1154" s="12">
        <v>0.11805555555474712</v>
      </c>
      <c r="H1154" s="2" t="s">
        <v>248</v>
      </c>
      <c r="J1154" s="2" t="s">
        <v>249</v>
      </c>
      <c r="K1154" s="2" t="s">
        <v>349</v>
      </c>
      <c r="L1154" s="2" t="s">
        <v>971</v>
      </c>
      <c r="M1154" t="s">
        <v>251</v>
      </c>
      <c r="N1154" t="s">
        <v>330</v>
      </c>
      <c r="O1154" t="s">
        <v>331</v>
      </c>
      <c r="P1154" t="s">
        <v>2227</v>
      </c>
      <c r="Q1154" t="s">
        <v>966</v>
      </c>
    </row>
    <row r="1155" spans="1:17">
      <c r="A1155" s="2" t="s">
        <v>794</v>
      </c>
      <c r="B1155" s="2" t="s">
        <v>268</v>
      </c>
      <c r="C1155" s="2" t="s">
        <v>285</v>
      </c>
      <c r="D1155" s="11">
        <v>45978.520833333336</v>
      </c>
      <c r="E1155" s="11">
        <v>45978.520833333336</v>
      </c>
      <c r="F1155" s="11">
        <v>45978.638888888891</v>
      </c>
      <c r="G1155" s="12">
        <v>0.11805555555474712</v>
      </c>
      <c r="H1155" s="2" t="s">
        <v>248</v>
      </c>
      <c r="J1155" s="2" t="s">
        <v>249</v>
      </c>
      <c r="K1155" s="2" t="s">
        <v>349</v>
      </c>
      <c r="L1155" s="2" t="s">
        <v>971</v>
      </c>
      <c r="M1155" t="s">
        <v>251</v>
      </c>
      <c r="N1155" t="s">
        <v>330</v>
      </c>
      <c r="O1155" t="s">
        <v>331</v>
      </c>
      <c r="P1155" t="s">
        <v>2228</v>
      </c>
      <c r="Q1155" t="s">
        <v>966</v>
      </c>
    </row>
    <row r="1156" spans="1:17">
      <c r="A1156" s="2" t="s">
        <v>794</v>
      </c>
      <c r="B1156" s="2" t="s">
        <v>268</v>
      </c>
      <c r="C1156" s="2" t="s">
        <v>286</v>
      </c>
      <c r="D1156" s="11">
        <v>45978.520833333336</v>
      </c>
      <c r="E1156" s="11">
        <v>45978.520833333336</v>
      </c>
      <c r="F1156" s="11">
        <v>45978.638888888891</v>
      </c>
      <c r="G1156" s="12">
        <v>0.11805555555474712</v>
      </c>
      <c r="H1156" s="2" t="s">
        <v>248</v>
      </c>
      <c r="J1156" s="2" t="s">
        <v>249</v>
      </c>
      <c r="K1156" s="2" t="s">
        <v>349</v>
      </c>
      <c r="L1156" s="2" t="s">
        <v>971</v>
      </c>
      <c r="M1156" t="s">
        <v>251</v>
      </c>
      <c r="N1156" t="s">
        <v>330</v>
      </c>
      <c r="O1156" t="s">
        <v>331</v>
      </c>
      <c r="P1156" t="s">
        <v>2229</v>
      </c>
      <c r="Q1156" t="s">
        <v>966</v>
      </c>
    </row>
    <row r="1157" spans="1:17">
      <c r="A1157" s="2" t="s">
        <v>794</v>
      </c>
      <c r="B1157" s="2" t="s">
        <v>268</v>
      </c>
      <c r="C1157" s="2" t="s">
        <v>287</v>
      </c>
      <c r="D1157" s="11">
        <v>45978.520833333336</v>
      </c>
      <c r="E1157" s="11">
        <v>45978.520833333336</v>
      </c>
      <c r="F1157" s="11">
        <v>45978.638888888891</v>
      </c>
      <c r="G1157" s="12">
        <v>0.11805555555474712</v>
      </c>
      <c r="H1157" s="2" t="s">
        <v>248</v>
      </c>
      <c r="J1157" s="2" t="s">
        <v>249</v>
      </c>
      <c r="K1157" s="2" t="s">
        <v>349</v>
      </c>
      <c r="L1157" s="2" t="s">
        <v>971</v>
      </c>
      <c r="M1157" t="s">
        <v>251</v>
      </c>
      <c r="N1157" t="s">
        <v>330</v>
      </c>
      <c r="O1157" t="s">
        <v>331</v>
      </c>
      <c r="P1157" t="s">
        <v>2230</v>
      </c>
      <c r="Q1157" t="s">
        <v>966</v>
      </c>
    </row>
    <row r="1158" spans="1:17">
      <c r="A1158" s="2" t="s">
        <v>794</v>
      </c>
      <c r="B1158" s="2" t="s">
        <v>268</v>
      </c>
      <c r="C1158" s="2" t="s">
        <v>288</v>
      </c>
      <c r="D1158" s="11">
        <v>45978.520833333336</v>
      </c>
      <c r="E1158" s="11">
        <v>45978.520833333336</v>
      </c>
      <c r="F1158" s="11">
        <v>45978.638888888891</v>
      </c>
      <c r="G1158" s="12">
        <v>0.11805555555474712</v>
      </c>
      <c r="H1158" s="2" t="s">
        <v>248</v>
      </c>
      <c r="J1158" s="2" t="s">
        <v>249</v>
      </c>
      <c r="K1158" s="2" t="s">
        <v>349</v>
      </c>
      <c r="L1158" s="2" t="s">
        <v>971</v>
      </c>
      <c r="M1158" t="s">
        <v>251</v>
      </c>
      <c r="N1158" t="s">
        <v>330</v>
      </c>
      <c r="O1158" t="s">
        <v>331</v>
      </c>
      <c r="P1158" t="s">
        <v>2231</v>
      </c>
      <c r="Q1158" t="s">
        <v>966</v>
      </c>
    </row>
    <row r="1159" spans="1:17">
      <c r="A1159" s="2" t="s">
        <v>795</v>
      </c>
      <c r="B1159" s="2" t="s">
        <v>268</v>
      </c>
      <c r="C1159" s="2" t="s">
        <v>289</v>
      </c>
      <c r="D1159" s="11">
        <v>45978.520833333336</v>
      </c>
      <c r="E1159" s="11">
        <v>45978.520833333336</v>
      </c>
      <c r="F1159" s="11">
        <v>45978.638888888891</v>
      </c>
      <c r="G1159" s="12">
        <v>0.11805555555474712</v>
      </c>
      <c r="H1159" s="2" t="s">
        <v>248</v>
      </c>
      <c r="J1159" s="2" t="s">
        <v>249</v>
      </c>
      <c r="K1159" s="2" t="s">
        <v>349</v>
      </c>
      <c r="L1159" s="2" t="s">
        <v>971</v>
      </c>
      <c r="M1159" t="s">
        <v>251</v>
      </c>
      <c r="N1159" t="s">
        <v>330</v>
      </c>
      <c r="O1159" t="s">
        <v>331</v>
      </c>
      <c r="P1159" t="s">
        <v>2232</v>
      </c>
      <c r="Q1159" t="s">
        <v>966</v>
      </c>
    </row>
    <row r="1160" spans="1:17">
      <c r="A1160" s="2" t="s">
        <v>795</v>
      </c>
      <c r="B1160" s="2" t="s">
        <v>268</v>
      </c>
      <c r="C1160" s="2" t="s">
        <v>290</v>
      </c>
      <c r="D1160" s="11">
        <v>45978.520833333336</v>
      </c>
      <c r="E1160" s="11">
        <v>45978.520833333336</v>
      </c>
      <c r="F1160" s="11">
        <v>45978.638888888891</v>
      </c>
      <c r="G1160" s="12">
        <v>0.11805555555474712</v>
      </c>
      <c r="H1160" s="2" t="s">
        <v>248</v>
      </c>
      <c r="J1160" s="2" t="s">
        <v>249</v>
      </c>
      <c r="K1160" s="2" t="s">
        <v>349</v>
      </c>
      <c r="L1160" s="2" t="s">
        <v>971</v>
      </c>
      <c r="M1160" t="s">
        <v>251</v>
      </c>
      <c r="N1160" t="s">
        <v>330</v>
      </c>
      <c r="O1160" t="s">
        <v>331</v>
      </c>
      <c r="P1160" t="s">
        <v>2233</v>
      </c>
      <c r="Q1160" t="s">
        <v>966</v>
      </c>
    </row>
    <row r="1161" spans="1:17">
      <c r="A1161" s="2" t="s">
        <v>795</v>
      </c>
      <c r="B1161" s="2" t="s">
        <v>268</v>
      </c>
      <c r="C1161" s="2" t="s">
        <v>291</v>
      </c>
      <c r="D1161" s="11">
        <v>45978.520833333336</v>
      </c>
      <c r="E1161" s="11">
        <v>45978.520833333336</v>
      </c>
      <c r="F1161" s="11">
        <v>45978.638888888891</v>
      </c>
      <c r="G1161" s="12">
        <v>0.11805555555474712</v>
      </c>
      <c r="H1161" s="2" t="s">
        <v>248</v>
      </c>
      <c r="J1161" s="2" t="s">
        <v>249</v>
      </c>
      <c r="K1161" s="2" t="s">
        <v>349</v>
      </c>
      <c r="L1161" s="2" t="s">
        <v>971</v>
      </c>
      <c r="M1161" t="s">
        <v>251</v>
      </c>
      <c r="N1161" t="s">
        <v>330</v>
      </c>
      <c r="O1161" t="s">
        <v>331</v>
      </c>
      <c r="P1161" t="s">
        <v>2234</v>
      </c>
      <c r="Q1161" t="s">
        <v>966</v>
      </c>
    </row>
    <row r="1162" spans="1:17">
      <c r="A1162" s="2" t="s">
        <v>795</v>
      </c>
      <c r="B1162" s="2" t="s">
        <v>268</v>
      </c>
      <c r="C1162" s="2" t="s">
        <v>292</v>
      </c>
      <c r="D1162" s="11">
        <v>45978.520833333336</v>
      </c>
      <c r="E1162" s="11">
        <v>45978.520833333336</v>
      </c>
      <c r="F1162" s="11">
        <v>45978.638888888891</v>
      </c>
      <c r="G1162" s="12">
        <v>0.11805555555474712</v>
      </c>
      <c r="H1162" s="2" t="s">
        <v>248</v>
      </c>
      <c r="J1162" s="2" t="s">
        <v>249</v>
      </c>
      <c r="K1162" s="2" t="s">
        <v>349</v>
      </c>
      <c r="L1162" s="2" t="s">
        <v>971</v>
      </c>
      <c r="M1162" t="s">
        <v>251</v>
      </c>
      <c r="N1162" t="s">
        <v>330</v>
      </c>
      <c r="O1162" t="s">
        <v>331</v>
      </c>
      <c r="P1162" t="s">
        <v>2235</v>
      </c>
      <c r="Q1162" t="s">
        <v>966</v>
      </c>
    </row>
    <row r="1163" spans="1:17">
      <c r="A1163" s="2" t="s">
        <v>796</v>
      </c>
      <c r="B1163" s="2" t="s">
        <v>268</v>
      </c>
      <c r="C1163" s="2" t="s">
        <v>293</v>
      </c>
      <c r="D1163" s="11">
        <v>45978.520833333336</v>
      </c>
      <c r="E1163" s="11">
        <v>45978.520833333336</v>
      </c>
      <c r="F1163" s="11">
        <v>45978.638888888891</v>
      </c>
      <c r="G1163" s="12">
        <v>0.11805555555474712</v>
      </c>
      <c r="H1163" s="2" t="s">
        <v>248</v>
      </c>
      <c r="J1163" s="2" t="s">
        <v>249</v>
      </c>
      <c r="K1163" s="2" t="s">
        <v>349</v>
      </c>
      <c r="L1163" s="2" t="s">
        <v>971</v>
      </c>
      <c r="M1163" t="s">
        <v>251</v>
      </c>
      <c r="N1163" t="s">
        <v>330</v>
      </c>
      <c r="O1163" t="s">
        <v>331</v>
      </c>
      <c r="P1163" t="s">
        <v>2236</v>
      </c>
      <c r="Q1163" t="s">
        <v>966</v>
      </c>
    </row>
    <row r="1164" spans="1:17">
      <c r="A1164" s="2" t="s">
        <v>796</v>
      </c>
      <c r="B1164" s="2" t="s">
        <v>268</v>
      </c>
      <c r="C1164" s="2" t="s">
        <v>294</v>
      </c>
      <c r="D1164" s="11">
        <v>45978.520833333336</v>
      </c>
      <c r="E1164" s="11">
        <v>45978.520833333336</v>
      </c>
      <c r="F1164" s="11">
        <v>45978.638888888891</v>
      </c>
      <c r="G1164" s="12">
        <v>0.11805555555474712</v>
      </c>
      <c r="H1164" s="2" t="s">
        <v>248</v>
      </c>
      <c r="J1164" s="2" t="s">
        <v>249</v>
      </c>
      <c r="K1164" s="2" t="s">
        <v>349</v>
      </c>
      <c r="L1164" s="2" t="s">
        <v>971</v>
      </c>
      <c r="M1164" t="s">
        <v>251</v>
      </c>
      <c r="N1164" t="s">
        <v>330</v>
      </c>
      <c r="O1164" t="s">
        <v>331</v>
      </c>
      <c r="P1164" t="s">
        <v>2237</v>
      </c>
      <c r="Q1164" t="s">
        <v>966</v>
      </c>
    </row>
    <row r="1165" spans="1:17">
      <c r="A1165" s="2" t="s">
        <v>796</v>
      </c>
      <c r="B1165" s="2" t="s">
        <v>268</v>
      </c>
      <c r="C1165" s="2" t="s">
        <v>295</v>
      </c>
      <c r="D1165" s="11">
        <v>45978.520833333336</v>
      </c>
      <c r="E1165" s="11">
        <v>45978.520833333336</v>
      </c>
      <c r="F1165" s="11">
        <v>45978.638888888891</v>
      </c>
      <c r="G1165" s="12">
        <v>0.11805555555474712</v>
      </c>
      <c r="H1165" s="2" t="s">
        <v>248</v>
      </c>
      <c r="J1165" s="2" t="s">
        <v>249</v>
      </c>
      <c r="K1165" s="2" t="s">
        <v>349</v>
      </c>
      <c r="L1165" s="2" t="s">
        <v>971</v>
      </c>
      <c r="M1165" t="s">
        <v>251</v>
      </c>
      <c r="N1165" t="s">
        <v>330</v>
      </c>
      <c r="O1165" t="s">
        <v>331</v>
      </c>
      <c r="P1165" t="s">
        <v>2238</v>
      </c>
      <c r="Q1165" t="s">
        <v>966</v>
      </c>
    </row>
    <row r="1166" spans="1:17">
      <c r="A1166" s="2" t="s">
        <v>796</v>
      </c>
      <c r="B1166" s="2" t="s">
        <v>268</v>
      </c>
      <c r="C1166" s="2" t="s">
        <v>296</v>
      </c>
      <c r="D1166" s="11">
        <v>45978.520833333336</v>
      </c>
      <c r="E1166" s="11">
        <v>45978.520833333336</v>
      </c>
      <c r="F1166" s="11">
        <v>45978.638888888891</v>
      </c>
      <c r="G1166" s="12">
        <v>0.11805555555474712</v>
      </c>
      <c r="H1166" s="2" t="s">
        <v>248</v>
      </c>
      <c r="J1166" s="2" t="s">
        <v>249</v>
      </c>
      <c r="K1166" s="2" t="s">
        <v>349</v>
      </c>
      <c r="L1166" s="2" t="s">
        <v>971</v>
      </c>
      <c r="M1166" t="s">
        <v>251</v>
      </c>
      <c r="N1166" t="s">
        <v>330</v>
      </c>
      <c r="O1166" t="s">
        <v>331</v>
      </c>
      <c r="P1166" t="s">
        <v>2239</v>
      </c>
      <c r="Q1166" t="s">
        <v>966</v>
      </c>
    </row>
    <row r="1167" spans="1:17">
      <c r="A1167" s="2" t="s">
        <v>796</v>
      </c>
      <c r="B1167" s="2" t="s">
        <v>268</v>
      </c>
      <c r="C1167" s="2" t="s">
        <v>297</v>
      </c>
      <c r="D1167" s="11">
        <v>45978.520833333336</v>
      </c>
      <c r="E1167" s="11">
        <v>45978.520833333336</v>
      </c>
      <c r="F1167" s="11">
        <v>45978.638888888891</v>
      </c>
      <c r="G1167" s="12">
        <v>0.11805555555474712</v>
      </c>
      <c r="H1167" s="2" t="s">
        <v>248</v>
      </c>
      <c r="J1167" s="2" t="s">
        <v>249</v>
      </c>
      <c r="K1167" s="2" t="s">
        <v>349</v>
      </c>
      <c r="L1167" s="2" t="s">
        <v>971</v>
      </c>
      <c r="M1167" t="s">
        <v>251</v>
      </c>
      <c r="N1167" t="s">
        <v>330</v>
      </c>
      <c r="O1167" t="s">
        <v>331</v>
      </c>
      <c r="P1167" t="s">
        <v>2240</v>
      </c>
      <c r="Q1167" t="s">
        <v>966</v>
      </c>
    </row>
    <row r="1168" spans="1:17">
      <c r="A1168" s="2" t="s">
        <v>246</v>
      </c>
      <c r="B1168" s="2" t="s">
        <v>246</v>
      </c>
      <c r="C1168" s="2" t="s">
        <v>247</v>
      </c>
      <c r="D1168" s="11">
        <v>45978.520833333336</v>
      </c>
      <c r="E1168" s="11">
        <v>45978.520833333336</v>
      </c>
      <c r="F1168" s="11">
        <v>45978.638888888891</v>
      </c>
      <c r="G1168" s="12">
        <v>0.11805555555474712</v>
      </c>
      <c r="H1168" s="2" t="s">
        <v>248</v>
      </c>
      <c r="J1168" s="2" t="s">
        <v>249</v>
      </c>
      <c r="K1168" s="2" t="s">
        <v>349</v>
      </c>
      <c r="L1168" s="2" t="s">
        <v>971</v>
      </c>
      <c r="M1168" t="s">
        <v>251</v>
      </c>
      <c r="N1168" t="s">
        <v>330</v>
      </c>
      <c r="O1168" t="s">
        <v>331</v>
      </c>
      <c r="P1168" t="s">
        <v>2241</v>
      </c>
      <c r="Q1168" t="s">
        <v>966</v>
      </c>
    </row>
    <row r="1169" spans="1:17">
      <c r="A1169" s="2" t="s">
        <v>246</v>
      </c>
      <c r="B1169" s="2" t="s">
        <v>246</v>
      </c>
      <c r="C1169" s="2" t="s">
        <v>254</v>
      </c>
      <c r="D1169" s="11">
        <v>45978.520833333336</v>
      </c>
      <c r="E1169" s="11">
        <v>45978.520833333336</v>
      </c>
      <c r="F1169" s="11">
        <v>45978.638888888891</v>
      </c>
      <c r="G1169" s="12">
        <v>0.11805555555474712</v>
      </c>
      <c r="H1169" s="2" t="s">
        <v>248</v>
      </c>
      <c r="J1169" s="2" t="s">
        <v>249</v>
      </c>
      <c r="K1169" s="2" t="s">
        <v>349</v>
      </c>
      <c r="L1169" s="2" t="s">
        <v>971</v>
      </c>
      <c r="M1169" t="s">
        <v>251</v>
      </c>
      <c r="N1169" t="s">
        <v>330</v>
      </c>
      <c r="O1169" t="s">
        <v>331</v>
      </c>
      <c r="P1169" t="s">
        <v>2242</v>
      </c>
      <c r="Q1169" t="s">
        <v>966</v>
      </c>
    </row>
    <row r="1170" spans="1:17">
      <c r="A1170" s="2" t="s">
        <v>246</v>
      </c>
      <c r="B1170" s="2" t="s">
        <v>246</v>
      </c>
      <c r="C1170" s="2" t="s">
        <v>255</v>
      </c>
      <c r="D1170" s="11">
        <v>45978.520833333336</v>
      </c>
      <c r="E1170" s="11">
        <v>45978.520833333336</v>
      </c>
      <c r="F1170" s="11">
        <v>45978.638888888891</v>
      </c>
      <c r="G1170" s="12">
        <v>0.11805555555474712</v>
      </c>
      <c r="H1170" s="2" t="s">
        <v>248</v>
      </c>
      <c r="J1170" s="2" t="s">
        <v>249</v>
      </c>
      <c r="K1170" s="2" t="s">
        <v>349</v>
      </c>
      <c r="L1170" s="2" t="s">
        <v>971</v>
      </c>
      <c r="M1170" t="s">
        <v>251</v>
      </c>
      <c r="N1170" t="s">
        <v>330</v>
      </c>
      <c r="O1170" t="s">
        <v>331</v>
      </c>
      <c r="P1170" t="s">
        <v>2243</v>
      </c>
      <c r="Q1170" t="s">
        <v>966</v>
      </c>
    </row>
    <row r="1171" spans="1:17">
      <c r="A1171" s="2" t="s">
        <v>246</v>
      </c>
      <c r="B1171" s="2" t="s">
        <v>246</v>
      </c>
      <c r="C1171" s="2" t="s">
        <v>256</v>
      </c>
      <c r="D1171" s="11">
        <v>45978.520833333336</v>
      </c>
      <c r="E1171" s="11">
        <v>45978.520833333336</v>
      </c>
      <c r="F1171" s="11">
        <v>45978.638888888891</v>
      </c>
      <c r="G1171" s="12">
        <v>0.11805555555474712</v>
      </c>
      <c r="H1171" s="2" t="s">
        <v>248</v>
      </c>
      <c r="J1171" s="2" t="s">
        <v>249</v>
      </c>
      <c r="K1171" s="2" t="s">
        <v>349</v>
      </c>
      <c r="L1171" s="2" t="s">
        <v>971</v>
      </c>
      <c r="M1171" t="s">
        <v>251</v>
      </c>
      <c r="N1171" t="s">
        <v>330</v>
      </c>
      <c r="O1171" t="s">
        <v>331</v>
      </c>
      <c r="P1171" t="s">
        <v>2244</v>
      </c>
      <c r="Q1171" t="s">
        <v>966</v>
      </c>
    </row>
    <row r="1172" spans="1:17">
      <c r="A1172" s="2" t="s">
        <v>246</v>
      </c>
      <c r="B1172" s="2" t="s">
        <v>246</v>
      </c>
      <c r="C1172" s="2" t="s">
        <v>257</v>
      </c>
      <c r="D1172" s="11">
        <v>45978.520833333336</v>
      </c>
      <c r="E1172" s="11">
        <v>45978.520833333336</v>
      </c>
      <c r="F1172" s="11">
        <v>45978.638888888891</v>
      </c>
      <c r="G1172" s="12">
        <v>0.11805555555474712</v>
      </c>
      <c r="H1172" s="2" t="s">
        <v>248</v>
      </c>
      <c r="J1172" s="2" t="s">
        <v>249</v>
      </c>
      <c r="K1172" s="2" t="s">
        <v>349</v>
      </c>
      <c r="L1172" s="2" t="s">
        <v>971</v>
      </c>
      <c r="M1172" t="s">
        <v>251</v>
      </c>
      <c r="N1172" t="s">
        <v>330</v>
      </c>
      <c r="O1172" t="s">
        <v>331</v>
      </c>
      <c r="P1172" t="s">
        <v>2245</v>
      </c>
      <c r="Q1172" t="s">
        <v>966</v>
      </c>
    </row>
    <row r="1173" spans="1:17">
      <c r="A1173" s="2" t="s">
        <v>258</v>
      </c>
      <c r="B1173" s="2" t="s">
        <v>258</v>
      </c>
      <c r="C1173" s="2" t="s">
        <v>247</v>
      </c>
      <c r="D1173" s="11">
        <v>45978.520833333336</v>
      </c>
      <c r="E1173" s="11">
        <v>45978.520833333336</v>
      </c>
      <c r="F1173" s="11">
        <v>45978.638888888891</v>
      </c>
      <c r="G1173" s="12">
        <v>0.11805555555474712</v>
      </c>
      <c r="H1173" s="2" t="s">
        <v>248</v>
      </c>
      <c r="J1173" s="2" t="s">
        <v>249</v>
      </c>
      <c r="K1173" s="2" t="s">
        <v>349</v>
      </c>
      <c r="L1173" s="2" t="s">
        <v>971</v>
      </c>
      <c r="M1173" t="s">
        <v>251</v>
      </c>
      <c r="N1173" t="s">
        <v>330</v>
      </c>
      <c r="O1173" t="s">
        <v>331</v>
      </c>
      <c r="P1173" t="s">
        <v>2246</v>
      </c>
      <c r="Q1173" t="s">
        <v>966</v>
      </c>
    </row>
    <row r="1174" spans="1:17">
      <c r="A1174" s="2" t="s">
        <v>258</v>
      </c>
      <c r="B1174" s="2" t="s">
        <v>258</v>
      </c>
      <c r="C1174" s="2" t="s">
        <v>254</v>
      </c>
      <c r="D1174" s="11">
        <v>45978.520833333336</v>
      </c>
      <c r="E1174" s="11">
        <v>45978.520833333336</v>
      </c>
      <c r="F1174" s="11">
        <v>45978.638888888891</v>
      </c>
      <c r="G1174" s="12">
        <v>0.11805555555474712</v>
      </c>
      <c r="H1174" s="2" t="s">
        <v>248</v>
      </c>
      <c r="J1174" s="2" t="s">
        <v>249</v>
      </c>
      <c r="K1174" s="2" t="s">
        <v>349</v>
      </c>
      <c r="L1174" s="2" t="s">
        <v>971</v>
      </c>
      <c r="M1174" t="s">
        <v>251</v>
      </c>
      <c r="N1174" t="s">
        <v>330</v>
      </c>
      <c r="O1174" t="s">
        <v>331</v>
      </c>
      <c r="P1174" t="s">
        <v>2247</v>
      </c>
      <c r="Q1174" t="s">
        <v>966</v>
      </c>
    </row>
    <row r="1175" spans="1:17">
      <c r="A1175" s="2" t="s">
        <v>258</v>
      </c>
      <c r="B1175" s="2" t="s">
        <v>258</v>
      </c>
      <c r="C1175" s="2" t="s">
        <v>255</v>
      </c>
      <c r="D1175" s="11">
        <v>45978.520833333336</v>
      </c>
      <c r="E1175" s="11">
        <v>45978.520833333336</v>
      </c>
      <c r="F1175" s="11">
        <v>45978.638888888891</v>
      </c>
      <c r="G1175" s="12">
        <v>0.11805555555474712</v>
      </c>
      <c r="H1175" s="2" t="s">
        <v>248</v>
      </c>
      <c r="J1175" s="2" t="s">
        <v>249</v>
      </c>
      <c r="K1175" s="2" t="s">
        <v>349</v>
      </c>
      <c r="L1175" s="2" t="s">
        <v>971</v>
      </c>
      <c r="M1175" t="s">
        <v>251</v>
      </c>
      <c r="N1175" t="s">
        <v>330</v>
      </c>
      <c r="O1175" t="s">
        <v>331</v>
      </c>
      <c r="P1175" t="s">
        <v>2248</v>
      </c>
      <c r="Q1175" t="s">
        <v>966</v>
      </c>
    </row>
    <row r="1176" spans="1:17">
      <c r="A1176" s="2" t="s">
        <v>258</v>
      </c>
      <c r="B1176" s="2" t="s">
        <v>258</v>
      </c>
      <c r="C1176" s="2" t="s">
        <v>256</v>
      </c>
      <c r="D1176" s="11">
        <v>45978.520833333336</v>
      </c>
      <c r="E1176" s="11">
        <v>45978.520833333336</v>
      </c>
      <c r="F1176" s="11">
        <v>45978.638888888891</v>
      </c>
      <c r="G1176" s="12">
        <v>0.11805555555474712</v>
      </c>
      <c r="H1176" s="2" t="s">
        <v>248</v>
      </c>
      <c r="J1176" s="2" t="s">
        <v>249</v>
      </c>
      <c r="K1176" s="2" t="s">
        <v>349</v>
      </c>
      <c r="L1176" s="2" t="s">
        <v>971</v>
      </c>
      <c r="M1176" t="s">
        <v>251</v>
      </c>
      <c r="N1176" t="s">
        <v>330</v>
      </c>
      <c r="O1176" t="s">
        <v>331</v>
      </c>
      <c r="P1176" t="s">
        <v>2249</v>
      </c>
      <c r="Q1176" t="s">
        <v>966</v>
      </c>
    </row>
    <row r="1177" spans="1:17">
      <c r="A1177" s="2" t="s">
        <v>258</v>
      </c>
      <c r="B1177" s="2" t="s">
        <v>258</v>
      </c>
      <c r="C1177" s="2" t="s">
        <v>257</v>
      </c>
      <c r="D1177" s="11">
        <v>45978.520833333336</v>
      </c>
      <c r="E1177" s="11">
        <v>45978.520833333336</v>
      </c>
      <c r="F1177" s="11">
        <v>45978.638888888891</v>
      </c>
      <c r="G1177" s="12">
        <v>0.11805555555474712</v>
      </c>
      <c r="H1177" s="2" t="s">
        <v>248</v>
      </c>
      <c r="J1177" s="2" t="s">
        <v>249</v>
      </c>
      <c r="K1177" s="2" t="s">
        <v>349</v>
      </c>
      <c r="L1177" s="2" t="s">
        <v>971</v>
      </c>
      <c r="M1177" t="s">
        <v>251</v>
      </c>
      <c r="N1177" t="s">
        <v>330</v>
      </c>
      <c r="O1177" t="s">
        <v>331</v>
      </c>
      <c r="P1177" t="s">
        <v>2250</v>
      </c>
      <c r="Q1177" t="s">
        <v>966</v>
      </c>
    </row>
    <row r="1178" spans="1:17">
      <c r="A1178" s="2" t="s">
        <v>259</v>
      </c>
      <c r="B1178" s="2" t="s">
        <v>259</v>
      </c>
      <c r="C1178" s="2" t="s">
        <v>247</v>
      </c>
      <c r="D1178" s="11">
        <v>45978.520833333336</v>
      </c>
      <c r="E1178" s="11">
        <v>45978.520833333336</v>
      </c>
      <c r="F1178" s="11">
        <v>45978.638888888891</v>
      </c>
      <c r="G1178" s="12">
        <v>0.11805555555474712</v>
      </c>
      <c r="H1178" s="2" t="s">
        <v>248</v>
      </c>
      <c r="J1178" s="2" t="s">
        <v>249</v>
      </c>
      <c r="K1178" s="2" t="s">
        <v>349</v>
      </c>
      <c r="L1178" s="2" t="s">
        <v>971</v>
      </c>
      <c r="M1178" t="s">
        <v>251</v>
      </c>
      <c r="N1178" t="s">
        <v>330</v>
      </c>
      <c r="O1178" t="s">
        <v>331</v>
      </c>
      <c r="P1178" t="s">
        <v>2251</v>
      </c>
      <c r="Q1178" t="s">
        <v>966</v>
      </c>
    </row>
    <row r="1179" spans="1:17">
      <c r="A1179" s="2" t="s">
        <v>259</v>
      </c>
      <c r="B1179" s="2" t="s">
        <v>259</v>
      </c>
      <c r="C1179" s="2" t="s">
        <v>254</v>
      </c>
      <c r="D1179" s="11">
        <v>45978.520833333336</v>
      </c>
      <c r="E1179" s="11">
        <v>45978.520833333336</v>
      </c>
      <c r="F1179" s="11">
        <v>45978.638888888891</v>
      </c>
      <c r="G1179" s="12">
        <v>0.11805555555474712</v>
      </c>
      <c r="H1179" s="2" t="s">
        <v>248</v>
      </c>
      <c r="J1179" s="2" t="s">
        <v>249</v>
      </c>
      <c r="K1179" s="2" t="s">
        <v>349</v>
      </c>
      <c r="L1179" s="2" t="s">
        <v>971</v>
      </c>
      <c r="M1179" t="s">
        <v>251</v>
      </c>
      <c r="N1179" t="s">
        <v>330</v>
      </c>
      <c r="O1179" t="s">
        <v>331</v>
      </c>
      <c r="P1179" t="s">
        <v>2252</v>
      </c>
      <c r="Q1179" t="s">
        <v>966</v>
      </c>
    </row>
    <row r="1180" spans="1:17">
      <c r="A1180" s="2" t="s">
        <v>259</v>
      </c>
      <c r="B1180" s="2" t="s">
        <v>259</v>
      </c>
      <c r="C1180" s="2" t="s">
        <v>255</v>
      </c>
      <c r="D1180" s="11">
        <v>45978.520833333336</v>
      </c>
      <c r="E1180" s="11">
        <v>45978.520833333336</v>
      </c>
      <c r="F1180" s="11">
        <v>45978.638888888891</v>
      </c>
      <c r="G1180" s="12">
        <v>0.11805555555474712</v>
      </c>
      <c r="H1180" s="2" t="s">
        <v>248</v>
      </c>
      <c r="J1180" s="2" t="s">
        <v>249</v>
      </c>
      <c r="K1180" s="2" t="s">
        <v>349</v>
      </c>
      <c r="L1180" s="2" t="s">
        <v>971</v>
      </c>
      <c r="M1180" t="s">
        <v>251</v>
      </c>
      <c r="N1180" t="s">
        <v>330</v>
      </c>
      <c r="O1180" t="s">
        <v>331</v>
      </c>
      <c r="P1180" t="s">
        <v>2253</v>
      </c>
      <c r="Q1180" t="s">
        <v>966</v>
      </c>
    </row>
    <row r="1181" spans="1:17">
      <c r="A1181" s="2" t="s">
        <v>259</v>
      </c>
      <c r="B1181" s="2" t="s">
        <v>259</v>
      </c>
      <c r="C1181" s="2" t="s">
        <v>256</v>
      </c>
      <c r="D1181" s="11">
        <v>45978.520833333336</v>
      </c>
      <c r="E1181" s="11">
        <v>45978.520833333336</v>
      </c>
      <c r="F1181" s="11">
        <v>45978.638888888891</v>
      </c>
      <c r="G1181" s="12">
        <v>0.11805555555474712</v>
      </c>
      <c r="H1181" s="2" t="s">
        <v>248</v>
      </c>
      <c r="J1181" s="2" t="s">
        <v>249</v>
      </c>
      <c r="K1181" s="2" t="s">
        <v>349</v>
      </c>
      <c r="L1181" s="2" t="s">
        <v>971</v>
      </c>
      <c r="M1181" t="s">
        <v>251</v>
      </c>
      <c r="N1181" t="s">
        <v>330</v>
      </c>
      <c r="O1181" t="s">
        <v>331</v>
      </c>
      <c r="P1181" t="s">
        <v>2254</v>
      </c>
      <c r="Q1181" t="s">
        <v>966</v>
      </c>
    </row>
    <row r="1182" spans="1:17">
      <c r="A1182" s="2" t="s">
        <v>259</v>
      </c>
      <c r="B1182" s="2" t="s">
        <v>259</v>
      </c>
      <c r="C1182" s="2" t="s">
        <v>257</v>
      </c>
      <c r="D1182" s="11">
        <v>45978.520833333336</v>
      </c>
      <c r="E1182" s="11">
        <v>45978.520833333336</v>
      </c>
      <c r="F1182" s="11">
        <v>45978.638888888891</v>
      </c>
      <c r="G1182" s="12">
        <v>0.11805555555474712</v>
      </c>
      <c r="H1182" s="2" t="s">
        <v>248</v>
      </c>
      <c r="J1182" s="2" t="s">
        <v>249</v>
      </c>
      <c r="K1182" s="2" t="s">
        <v>349</v>
      </c>
      <c r="L1182" s="2" t="s">
        <v>971</v>
      </c>
      <c r="M1182" t="s">
        <v>251</v>
      </c>
      <c r="N1182" t="s">
        <v>330</v>
      </c>
      <c r="O1182" t="s">
        <v>331</v>
      </c>
      <c r="P1182" t="s">
        <v>2255</v>
      </c>
      <c r="Q1182" t="s">
        <v>966</v>
      </c>
    </row>
    <row r="1183" spans="1:17">
      <c r="A1183" s="2" t="s">
        <v>644</v>
      </c>
      <c r="B1183" s="2" t="s">
        <v>644</v>
      </c>
      <c r="C1183" s="2" t="s">
        <v>2031</v>
      </c>
      <c r="D1183" s="11">
        <v>45978.554861111108</v>
      </c>
      <c r="E1183" s="11">
        <v>45978.554861111108</v>
      </c>
      <c r="F1183" s="11">
        <v>45979.291666666664</v>
      </c>
      <c r="G1183" s="12">
        <v>0.73680555555620231</v>
      </c>
      <c r="H1183" s="2" t="s">
        <v>260</v>
      </c>
      <c r="I1183" s="2" t="s">
        <v>261</v>
      </c>
      <c r="J1183" s="2" t="s">
        <v>262</v>
      </c>
      <c r="K1183" s="2" t="s">
        <v>263</v>
      </c>
      <c r="L1183" s="2" t="s">
        <v>2021</v>
      </c>
      <c r="M1183" t="s">
        <v>265</v>
      </c>
      <c r="N1183" t="s">
        <v>266</v>
      </c>
      <c r="O1183" t="s">
        <v>2256</v>
      </c>
      <c r="P1183" t="s">
        <v>2257</v>
      </c>
      <c r="Q1183" t="s">
        <v>1401</v>
      </c>
    </row>
    <row r="1184" spans="1:17">
      <c r="A1184" s="2" t="s">
        <v>644</v>
      </c>
      <c r="B1184" s="2" t="s">
        <v>644</v>
      </c>
      <c r="C1184" s="2" t="s">
        <v>2033</v>
      </c>
      <c r="D1184" s="11">
        <v>45978.554861111108</v>
      </c>
      <c r="E1184" s="11">
        <v>45978.554861111108</v>
      </c>
      <c r="F1184" s="11">
        <v>45979.291666666664</v>
      </c>
      <c r="G1184" s="12">
        <v>0.73680555555620231</v>
      </c>
      <c r="H1184" s="2" t="s">
        <v>260</v>
      </c>
      <c r="I1184" s="2" t="s">
        <v>261</v>
      </c>
      <c r="J1184" s="2" t="s">
        <v>262</v>
      </c>
      <c r="K1184" s="2" t="s">
        <v>263</v>
      </c>
      <c r="L1184" s="2" t="s">
        <v>2021</v>
      </c>
      <c r="M1184" t="s">
        <v>265</v>
      </c>
      <c r="N1184" t="s">
        <v>266</v>
      </c>
      <c r="O1184" t="s">
        <v>2256</v>
      </c>
      <c r="P1184" t="s">
        <v>2258</v>
      </c>
      <c r="Q1184" t="s">
        <v>1401</v>
      </c>
    </row>
    <row r="1185" spans="1:17">
      <c r="A1185" s="2" t="s">
        <v>644</v>
      </c>
      <c r="B1185" s="2" t="s">
        <v>644</v>
      </c>
      <c r="C1185" s="2" t="s">
        <v>2035</v>
      </c>
      <c r="D1185" s="11">
        <v>45978.554861111108</v>
      </c>
      <c r="E1185" s="11">
        <v>45978.554861111108</v>
      </c>
      <c r="F1185" s="11">
        <v>45979.291666666664</v>
      </c>
      <c r="G1185" s="12">
        <v>0.73680555555620231</v>
      </c>
      <c r="H1185" s="2" t="s">
        <v>260</v>
      </c>
      <c r="I1185" s="2" t="s">
        <v>261</v>
      </c>
      <c r="J1185" s="2" t="s">
        <v>262</v>
      </c>
      <c r="K1185" s="2" t="s">
        <v>263</v>
      </c>
      <c r="L1185" s="2" t="s">
        <v>2021</v>
      </c>
      <c r="M1185" t="s">
        <v>265</v>
      </c>
      <c r="N1185" t="s">
        <v>266</v>
      </c>
      <c r="O1185" t="s">
        <v>2256</v>
      </c>
      <c r="P1185" t="s">
        <v>2259</v>
      </c>
      <c r="Q1185" t="s">
        <v>1401</v>
      </c>
    </row>
    <row r="1186" spans="1:17">
      <c r="A1186" s="2" t="s">
        <v>644</v>
      </c>
      <c r="B1186" s="2" t="s">
        <v>644</v>
      </c>
      <c r="C1186" s="2" t="s">
        <v>2037</v>
      </c>
      <c r="D1186" s="11">
        <v>45978.554861111108</v>
      </c>
      <c r="E1186" s="11">
        <v>45978.554861111108</v>
      </c>
      <c r="F1186" s="11">
        <v>45979.291666666664</v>
      </c>
      <c r="G1186" s="12">
        <v>0.73680555555620231</v>
      </c>
      <c r="H1186" s="2" t="s">
        <v>260</v>
      </c>
      <c r="I1186" s="2" t="s">
        <v>261</v>
      </c>
      <c r="J1186" s="2" t="s">
        <v>262</v>
      </c>
      <c r="K1186" s="2" t="s">
        <v>263</v>
      </c>
      <c r="L1186" s="2" t="s">
        <v>2021</v>
      </c>
      <c r="M1186" t="s">
        <v>265</v>
      </c>
      <c r="N1186" t="s">
        <v>266</v>
      </c>
      <c r="O1186" t="s">
        <v>2256</v>
      </c>
      <c r="P1186" t="s">
        <v>2260</v>
      </c>
      <c r="Q1186" t="s">
        <v>1401</v>
      </c>
    </row>
    <row r="1187" spans="1:17">
      <c r="A1187" s="2" t="s">
        <v>644</v>
      </c>
      <c r="B1187" s="2" t="s">
        <v>644</v>
      </c>
      <c r="C1187" s="2" t="s">
        <v>2039</v>
      </c>
      <c r="D1187" s="11">
        <v>45978.554861111108</v>
      </c>
      <c r="E1187" s="11">
        <v>45978.554861111108</v>
      </c>
      <c r="F1187" s="11">
        <v>45979.291666666664</v>
      </c>
      <c r="G1187" s="12">
        <v>0.73680555555620231</v>
      </c>
      <c r="H1187" s="2" t="s">
        <v>260</v>
      </c>
      <c r="I1187" s="2" t="s">
        <v>261</v>
      </c>
      <c r="J1187" s="2" t="s">
        <v>262</v>
      </c>
      <c r="K1187" s="2" t="s">
        <v>263</v>
      </c>
      <c r="L1187" s="2" t="s">
        <v>2021</v>
      </c>
      <c r="M1187" t="s">
        <v>265</v>
      </c>
      <c r="N1187" t="s">
        <v>266</v>
      </c>
      <c r="O1187" t="s">
        <v>2256</v>
      </c>
      <c r="P1187" t="s">
        <v>2261</v>
      </c>
      <c r="Q1187" t="s">
        <v>1401</v>
      </c>
    </row>
    <row r="1188" spans="1:17">
      <c r="A1188" s="2" t="s">
        <v>327</v>
      </c>
      <c r="B1188" s="2" t="s">
        <v>327</v>
      </c>
      <c r="C1188" s="2" t="s">
        <v>328</v>
      </c>
      <c r="D1188" s="11">
        <v>45978.616666666669</v>
      </c>
      <c r="E1188" s="11">
        <v>45978.616666666669</v>
      </c>
      <c r="F1188" s="11">
        <v>45978.624305555553</v>
      </c>
      <c r="G1188" s="12">
        <v>7.6388888846850023E-3</v>
      </c>
      <c r="H1188" s="2" t="s">
        <v>248</v>
      </c>
      <c r="J1188" s="2" t="s">
        <v>249</v>
      </c>
      <c r="K1188" s="2" t="s">
        <v>349</v>
      </c>
      <c r="L1188" s="2" t="s">
        <v>849</v>
      </c>
      <c r="M1188" t="s">
        <v>251</v>
      </c>
      <c r="N1188" t="s">
        <v>330</v>
      </c>
      <c r="O1188" t="s">
        <v>331</v>
      </c>
      <c r="P1188" t="s">
        <v>2262</v>
      </c>
      <c r="Q1188" t="s">
        <v>966</v>
      </c>
    </row>
    <row r="1189" spans="1:17">
      <c r="A1189" s="2" t="s">
        <v>332</v>
      </c>
      <c r="B1189" s="2" t="s">
        <v>332</v>
      </c>
      <c r="C1189" s="2" t="s">
        <v>328</v>
      </c>
      <c r="D1189" s="11">
        <v>45978.616666666669</v>
      </c>
      <c r="E1189" s="11">
        <v>45978.616666666669</v>
      </c>
      <c r="F1189" s="11">
        <v>45978.624305555553</v>
      </c>
      <c r="G1189" s="12">
        <v>7.6388888846850023E-3</v>
      </c>
      <c r="H1189" s="2" t="s">
        <v>248</v>
      </c>
      <c r="J1189" s="2" t="s">
        <v>249</v>
      </c>
      <c r="K1189" s="2" t="s">
        <v>349</v>
      </c>
      <c r="L1189" s="2" t="s">
        <v>849</v>
      </c>
      <c r="M1189" t="s">
        <v>251</v>
      </c>
      <c r="N1189" t="s">
        <v>330</v>
      </c>
      <c r="O1189" t="s">
        <v>331</v>
      </c>
      <c r="P1189" t="s">
        <v>2263</v>
      </c>
      <c r="Q1189" t="s">
        <v>966</v>
      </c>
    </row>
    <row r="1190" spans="1:17">
      <c r="A1190" s="2" t="s">
        <v>333</v>
      </c>
      <c r="B1190" s="2" t="s">
        <v>333</v>
      </c>
      <c r="C1190" s="2" t="s">
        <v>328</v>
      </c>
      <c r="D1190" s="11">
        <v>45978.616666666669</v>
      </c>
      <c r="E1190" s="11">
        <v>45978.616666666669</v>
      </c>
      <c r="F1190" s="11">
        <v>45978.624305555553</v>
      </c>
      <c r="G1190" s="12">
        <v>7.6388888846850023E-3</v>
      </c>
      <c r="H1190" s="2" t="s">
        <v>248</v>
      </c>
      <c r="J1190" s="2" t="s">
        <v>249</v>
      </c>
      <c r="K1190" s="2" t="s">
        <v>349</v>
      </c>
      <c r="L1190" s="2" t="s">
        <v>849</v>
      </c>
      <c r="M1190" t="s">
        <v>251</v>
      </c>
      <c r="N1190" t="s">
        <v>330</v>
      </c>
      <c r="O1190" t="s">
        <v>331</v>
      </c>
      <c r="P1190" t="s">
        <v>2264</v>
      </c>
      <c r="Q1190" t="s">
        <v>966</v>
      </c>
    </row>
    <row r="1191" spans="1:17">
      <c r="A1191" s="2" t="s">
        <v>334</v>
      </c>
      <c r="B1191" s="2" t="s">
        <v>334</v>
      </c>
      <c r="C1191" s="2" t="s">
        <v>328</v>
      </c>
      <c r="D1191" s="11">
        <v>45978.616666666669</v>
      </c>
      <c r="E1191" s="11">
        <v>45978.616666666669</v>
      </c>
      <c r="F1191" s="11">
        <v>45978.624305555553</v>
      </c>
      <c r="G1191" s="12">
        <v>7.6388888846850023E-3</v>
      </c>
      <c r="H1191" s="2" t="s">
        <v>248</v>
      </c>
      <c r="J1191" s="2" t="s">
        <v>249</v>
      </c>
      <c r="K1191" s="2" t="s">
        <v>349</v>
      </c>
      <c r="L1191" s="2" t="s">
        <v>849</v>
      </c>
      <c r="M1191" t="s">
        <v>251</v>
      </c>
      <c r="N1191" t="s">
        <v>330</v>
      </c>
      <c r="O1191" t="s">
        <v>331</v>
      </c>
      <c r="P1191" t="s">
        <v>2265</v>
      </c>
      <c r="Q1191" t="s">
        <v>966</v>
      </c>
    </row>
    <row r="1192" spans="1:17">
      <c r="A1192" s="2" t="s">
        <v>335</v>
      </c>
      <c r="B1192" s="2" t="s">
        <v>335</v>
      </c>
      <c r="C1192" s="2" t="s">
        <v>328</v>
      </c>
      <c r="D1192" s="11">
        <v>45978.616666666669</v>
      </c>
      <c r="E1192" s="11">
        <v>45978.616666666669</v>
      </c>
      <c r="F1192" s="11">
        <v>45978.624305555553</v>
      </c>
      <c r="G1192" s="12">
        <v>7.6388888846850023E-3</v>
      </c>
      <c r="H1192" s="2" t="s">
        <v>248</v>
      </c>
      <c r="J1192" s="2" t="s">
        <v>249</v>
      </c>
      <c r="K1192" s="2" t="s">
        <v>349</v>
      </c>
      <c r="L1192" s="2" t="s">
        <v>849</v>
      </c>
      <c r="M1192" t="s">
        <v>251</v>
      </c>
      <c r="N1192" t="s">
        <v>330</v>
      </c>
      <c r="O1192" t="s">
        <v>331</v>
      </c>
      <c r="P1192" t="s">
        <v>2266</v>
      </c>
      <c r="Q1192" t="s">
        <v>966</v>
      </c>
    </row>
    <row r="1193" spans="1:17">
      <c r="A1193" s="2" t="s">
        <v>847</v>
      </c>
      <c r="B1193" s="2" t="s">
        <v>298</v>
      </c>
      <c r="C1193" s="2" t="s">
        <v>310</v>
      </c>
      <c r="D1193" s="11">
        <v>45978.638194444444</v>
      </c>
      <c r="E1193" s="11">
        <v>45978.638194444444</v>
      </c>
      <c r="F1193" s="11">
        <v>45986.635416666664</v>
      </c>
      <c r="G1193" s="12">
        <v>7.9972222222204437</v>
      </c>
      <c r="H1193" s="2" t="s">
        <v>248</v>
      </c>
      <c r="J1193" s="2" t="s">
        <v>300</v>
      </c>
      <c r="K1193" s="2" t="s">
        <v>350</v>
      </c>
      <c r="L1193" s="2" t="s">
        <v>2267</v>
      </c>
      <c r="M1193" t="s">
        <v>302</v>
      </c>
      <c r="N1193" t="s">
        <v>303</v>
      </c>
      <c r="O1193" t="s">
        <v>898</v>
      </c>
      <c r="P1193" t="s">
        <v>2268</v>
      </c>
      <c r="Q1193" t="s">
        <v>1224</v>
      </c>
    </row>
    <row r="1194" spans="1:17">
      <c r="A1194" s="2" t="s">
        <v>394</v>
      </c>
      <c r="B1194" s="2" t="s">
        <v>394</v>
      </c>
      <c r="C1194" s="2" t="s">
        <v>395</v>
      </c>
      <c r="D1194" s="11">
        <v>45978.916666666664</v>
      </c>
      <c r="E1194" s="11">
        <v>45978.916666666664</v>
      </c>
      <c r="F1194" s="11">
        <v>45978.944444444445</v>
      </c>
      <c r="G1194" s="12">
        <v>2.7777777781011537E-2</v>
      </c>
      <c r="H1194" s="2" t="s">
        <v>248</v>
      </c>
      <c r="J1194" s="2" t="s">
        <v>249</v>
      </c>
      <c r="K1194" s="2" t="s">
        <v>349</v>
      </c>
      <c r="L1194" s="2" t="s">
        <v>672</v>
      </c>
      <c r="M1194" t="s">
        <v>251</v>
      </c>
      <c r="N1194" t="s">
        <v>330</v>
      </c>
      <c r="O1194" t="s">
        <v>673</v>
      </c>
      <c r="P1194" t="s">
        <v>2269</v>
      </c>
      <c r="Q1194" t="s">
        <v>966</v>
      </c>
    </row>
    <row r="1195" spans="1:17">
      <c r="A1195" s="2" t="s">
        <v>394</v>
      </c>
      <c r="B1195" s="2" t="s">
        <v>394</v>
      </c>
      <c r="C1195" s="2" t="s">
        <v>400</v>
      </c>
      <c r="D1195" s="11">
        <v>45978.916666666664</v>
      </c>
      <c r="E1195" s="11">
        <v>45978.916666666664</v>
      </c>
      <c r="F1195" s="11">
        <v>45978.944444444445</v>
      </c>
      <c r="G1195" s="12">
        <v>2.7777777781011537E-2</v>
      </c>
      <c r="H1195" s="2" t="s">
        <v>248</v>
      </c>
      <c r="J1195" s="2" t="s">
        <v>249</v>
      </c>
      <c r="K1195" s="2" t="s">
        <v>349</v>
      </c>
      <c r="L1195" s="2" t="s">
        <v>672</v>
      </c>
      <c r="M1195" t="s">
        <v>251</v>
      </c>
      <c r="N1195" t="s">
        <v>330</v>
      </c>
      <c r="O1195" t="s">
        <v>673</v>
      </c>
      <c r="P1195" t="s">
        <v>2270</v>
      </c>
      <c r="Q1195" t="s">
        <v>966</v>
      </c>
    </row>
    <row r="1196" spans="1:17">
      <c r="A1196" s="2" t="s">
        <v>394</v>
      </c>
      <c r="B1196" s="2" t="s">
        <v>394</v>
      </c>
      <c r="C1196" s="2" t="s">
        <v>401</v>
      </c>
      <c r="D1196" s="11">
        <v>45978.916666666664</v>
      </c>
      <c r="E1196" s="11">
        <v>45978.916666666664</v>
      </c>
      <c r="F1196" s="11">
        <v>45978.944444444445</v>
      </c>
      <c r="G1196" s="12">
        <v>2.7777777781011537E-2</v>
      </c>
      <c r="H1196" s="2" t="s">
        <v>248</v>
      </c>
      <c r="J1196" s="2" t="s">
        <v>249</v>
      </c>
      <c r="K1196" s="2" t="s">
        <v>349</v>
      </c>
      <c r="L1196" s="2" t="s">
        <v>672</v>
      </c>
      <c r="M1196" t="s">
        <v>251</v>
      </c>
      <c r="N1196" t="s">
        <v>330</v>
      </c>
      <c r="O1196" t="s">
        <v>673</v>
      </c>
      <c r="P1196" t="s">
        <v>2271</v>
      </c>
      <c r="Q1196" t="s">
        <v>966</v>
      </c>
    </row>
    <row r="1197" spans="1:17">
      <c r="A1197" s="2" t="s">
        <v>394</v>
      </c>
      <c r="B1197" s="2" t="s">
        <v>394</v>
      </c>
      <c r="C1197" s="2" t="s">
        <v>402</v>
      </c>
      <c r="D1197" s="11">
        <v>45978.916666666664</v>
      </c>
      <c r="E1197" s="11">
        <v>45978.916666666664</v>
      </c>
      <c r="F1197" s="11">
        <v>45978.944444444445</v>
      </c>
      <c r="G1197" s="12">
        <v>2.7777777781011537E-2</v>
      </c>
      <c r="H1197" s="2" t="s">
        <v>248</v>
      </c>
      <c r="J1197" s="2" t="s">
        <v>249</v>
      </c>
      <c r="K1197" s="2" t="s">
        <v>349</v>
      </c>
      <c r="L1197" s="2" t="s">
        <v>672</v>
      </c>
      <c r="M1197" t="s">
        <v>251</v>
      </c>
      <c r="N1197" t="s">
        <v>330</v>
      </c>
      <c r="O1197" t="s">
        <v>673</v>
      </c>
      <c r="P1197" t="s">
        <v>2272</v>
      </c>
      <c r="Q1197" t="s">
        <v>966</v>
      </c>
    </row>
    <row r="1198" spans="1:17">
      <c r="A1198" s="2" t="s">
        <v>394</v>
      </c>
      <c r="B1198" s="2" t="s">
        <v>394</v>
      </c>
      <c r="C1198" s="2" t="s">
        <v>403</v>
      </c>
      <c r="D1198" s="11">
        <v>45978.916666666664</v>
      </c>
      <c r="E1198" s="11">
        <v>45978.916666666664</v>
      </c>
      <c r="F1198" s="11">
        <v>45978.944444444445</v>
      </c>
      <c r="G1198" s="12">
        <v>2.7777777781011537E-2</v>
      </c>
      <c r="H1198" s="2" t="s">
        <v>248</v>
      </c>
      <c r="J1198" s="2" t="s">
        <v>249</v>
      </c>
      <c r="K1198" s="2" t="s">
        <v>349</v>
      </c>
      <c r="L1198" s="2" t="s">
        <v>672</v>
      </c>
      <c r="M1198" t="s">
        <v>251</v>
      </c>
      <c r="N1198" t="s">
        <v>330</v>
      </c>
      <c r="O1198" t="s">
        <v>673</v>
      </c>
      <c r="P1198" t="s">
        <v>2273</v>
      </c>
      <c r="Q1198" t="s">
        <v>966</v>
      </c>
    </row>
    <row r="1199" spans="1:17">
      <c r="A1199" s="2" t="s">
        <v>406</v>
      </c>
      <c r="B1199" s="2" t="s">
        <v>406</v>
      </c>
      <c r="C1199" s="2" t="s">
        <v>408</v>
      </c>
      <c r="D1199" s="11">
        <v>45978.916666666664</v>
      </c>
      <c r="E1199" s="11">
        <v>45978.916666666664</v>
      </c>
      <c r="F1199" s="11">
        <v>45978.944444444445</v>
      </c>
      <c r="G1199" s="12">
        <v>2.7777777781011537E-2</v>
      </c>
      <c r="H1199" s="2" t="s">
        <v>248</v>
      </c>
      <c r="J1199" s="2" t="s">
        <v>249</v>
      </c>
      <c r="K1199" s="2" t="s">
        <v>349</v>
      </c>
      <c r="L1199" s="2" t="s">
        <v>672</v>
      </c>
      <c r="M1199" t="s">
        <v>251</v>
      </c>
      <c r="N1199" t="s">
        <v>330</v>
      </c>
      <c r="O1199" t="s">
        <v>673</v>
      </c>
      <c r="P1199" t="s">
        <v>2274</v>
      </c>
      <c r="Q1199" t="s">
        <v>966</v>
      </c>
    </row>
    <row r="1200" spans="1:17">
      <c r="A1200" s="2" t="s">
        <v>406</v>
      </c>
      <c r="B1200" s="2" t="s">
        <v>406</v>
      </c>
      <c r="C1200" s="2" t="s">
        <v>407</v>
      </c>
      <c r="D1200" s="11">
        <v>45978.916666666664</v>
      </c>
      <c r="E1200" s="11">
        <v>45978.916666666664</v>
      </c>
      <c r="F1200" s="11">
        <v>45978.944444444445</v>
      </c>
      <c r="G1200" s="12">
        <v>2.7777777781011537E-2</v>
      </c>
      <c r="H1200" s="2" t="s">
        <v>248</v>
      </c>
      <c r="J1200" s="2" t="s">
        <v>249</v>
      </c>
      <c r="K1200" s="2" t="s">
        <v>349</v>
      </c>
      <c r="L1200" s="2" t="s">
        <v>672</v>
      </c>
      <c r="M1200" t="s">
        <v>251</v>
      </c>
      <c r="N1200" t="s">
        <v>330</v>
      </c>
      <c r="O1200" t="s">
        <v>673</v>
      </c>
      <c r="P1200" t="s">
        <v>2275</v>
      </c>
      <c r="Q1200" t="s">
        <v>966</v>
      </c>
    </row>
    <row r="1201" spans="1:17">
      <c r="A1201" s="2" t="s">
        <v>406</v>
      </c>
      <c r="B1201" s="2" t="s">
        <v>406</v>
      </c>
      <c r="C1201" s="2" t="s">
        <v>409</v>
      </c>
      <c r="D1201" s="11">
        <v>45978.916666666664</v>
      </c>
      <c r="E1201" s="11">
        <v>45978.916666666664</v>
      </c>
      <c r="F1201" s="11">
        <v>45978.944444444445</v>
      </c>
      <c r="G1201" s="12">
        <v>2.7777777781011537E-2</v>
      </c>
      <c r="H1201" s="2" t="s">
        <v>248</v>
      </c>
      <c r="J1201" s="2" t="s">
        <v>249</v>
      </c>
      <c r="K1201" s="2" t="s">
        <v>349</v>
      </c>
      <c r="L1201" s="2" t="s">
        <v>672</v>
      </c>
      <c r="M1201" t="s">
        <v>251</v>
      </c>
      <c r="N1201" t="s">
        <v>330</v>
      </c>
      <c r="O1201" t="s">
        <v>673</v>
      </c>
      <c r="P1201" t="s">
        <v>2276</v>
      </c>
      <c r="Q1201" t="s">
        <v>966</v>
      </c>
    </row>
    <row r="1202" spans="1:17">
      <c r="A1202" s="2" t="s">
        <v>406</v>
      </c>
      <c r="B1202" s="2" t="s">
        <v>406</v>
      </c>
      <c r="C1202" s="2" t="s">
        <v>411</v>
      </c>
      <c r="D1202" s="11">
        <v>45978.916666666664</v>
      </c>
      <c r="E1202" s="11">
        <v>45978.916666666664</v>
      </c>
      <c r="F1202" s="11">
        <v>45978.944444444445</v>
      </c>
      <c r="G1202" s="12">
        <v>2.7777777781011537E-2</v>
      </c>
      <c r="H1202" s="2" t="s">
        <v>248</v>
      </c>
      <c r="J1202" s="2" t="s">
        <v>249</v>
      </c>
      <c r="K1202" s="2" t="s">
        <v>349</v>
      </c>
      <c r="L1202" s="2" t="s">
        <v>672</v>
      </c>
      <c r="M1202" t="s">
        <v>251</v>
      </c>
      <c r="N1202" t="s">
        <v>330</v>
      </c>
      <c r="O1202" t="s">
        <v>673</v>
      </c>
      <c r="P1202" t="s">
        <v>2277</v>
      </c>
      <c r="Q1202" t="s">
        <v>966</v>
      </c>
    </row>
    <row r="1203" spans="1:17">
      <c r="A1203" s="2" t="s">
        <v>406</v>
      </c>
      <c r="B1203" s="2" t="s">
        <v>406</v>
      </c>
      <c r="C1203" s="2" t="s">
        <v>410</v>
      </c>
      <c r="D1203" s="11">
        <v>45978.916666666664</v>
      </c>
      <c r="E1203" s="11">
        <v>45978.916666666664</v>
      </c>
      <c r="F1203" s="11">
        <v>45978.944444444445</v>
      </c>
      <c r="G1203" s="12">
        <v>2.7777777781011537E-2</v>
      </c>
      <c r="H1203" s="2" t="s">
        <v>248</v>
      </c>
      <c r="J1203" s="2" t="s">
        <v>249</v>
      </c>
      <c r="K1203" s="2" t="s">
        <v>349</v>
      </c>
      <c r="L1203" s="2" t="s">
        <v>672</v>
      </c>
      <c r="M1203" t="s">
        <v>251</v>
      </c>
      <c r="N1203" t="s">
        <v>330</v>
      </c>
      <c r="O1203" t="s">
        <v>673</v>
      </c>
      <c r="P1203" t="s">
        <v>2278</v>
      </c>
      <c r="Q1203" t="s">
        <v>966</v>
      </c>
    </row>
    <row r="1204" spans="1:17">
      <c r="A1204" s="2" t="s">
        <v>412</v>
      </c>
      <c r="B1204" s="2" t="s">
        <v>412</v>
      </c>
      <c r="C1204" s="2" t="s">
        <v>413</v>
      </c>
      <c r="D1204" s="11">
        <v>45978.916666666664</v>
      </c>
      <c r="E1204" s="11">
        <v>45978.916666666664</v>
      </c>
      <c r="F1204" s="11">
        <v>45978.944444444445</v>
      </c>
      <c r="G1204" s="12">
        <v>2.7777777781011537E-2</v>
      </c>
      <c r="H1204" s="2" t="s">
        <v>248</v>
      </c>
      <c r="J1204" s="2" t="s">
        <v>249</v>
      </c>
      <c r="K1204" s="2" t="s">
        <v>349</v>
      </c>
      <c r="L1204" s="2" t="s">
        <v>672</v>
      </c>
      <c r="M1204" t="s">
        <v>251</v>
      </c>
      <c r="N1204" t="s">
        <v>330</v>
      </c>
      <c r="O1204" t="s">
        <v>673</v>
      </c>
      <c r="P1204" t="s">
        <v>2279</v>
      </c>
      <c r="Q1204" t="s">
        <v>966</v>
      </c>
    </row>
    <row r="1205" spans="1:17">
      <c r="A1205" s="2" t="s">
        <v>412</v>
      </c>
      <c r="B1205" s="2" t="s">
        <v>412</v>
      </c>
      <c r="C1205" s="2" t="s">
        <v>415</v>
      </c>
      <c r="D1205" s="11">
        <v>45978.916666666664</v>
      </c>
      <c r="E1205" s="11">
        <v>45978.916666666664</v>
      </c>
      <c r="F1205" s="11">
        <v>45978.944444444445</v>
      </c>
      <c r="G1205" s="12">
        <v>2.7777777781011537E-2</v>
      </c>
      <c r="H1205" s="2" t="s">
        <v>248</v>
      </c>
      <c r="J1205" s="2" t="s">
        <v>249</v>
      </c>
      <c r="K1205" s="2" t="s">
        <v>349</v>
      </c>
      <c r="L1205" s="2" t="s">
        <v>672</v>
      </c>
      <c r="M1205" t="s">
        <v>251</v>
      </c>
      <c r="N1205" t="s">
        <v>330</v>
      </c>
      <c r="O1205" t="s">
        <v>673</v>
      </c>
      <c r="P1205" t="s">
        <v>2280</v>
      </c>
      <c r="Q1205" t="s">
        <v>966</v>
      </c>
    </row>
    <row r="1206" spans="1:17">
      <c r="A1206" s="2" t="s">
        <v>412</v>
      </c>
      <c r="B1206" s="2" t="s">
        <v>412</v>
      </c>
      <c r="C1206" s="2" t="s">
        <v>414</v>
      </c>
      <c r="D1206" s="11">
        <v>45978.916666666664</v>
      </c>
      <c r="E1206" s="11">
        <v>45978.916666666664</v>
      </c>
      <c r="F1206" s="11">
        <v>45978.944444444445</v>
      </c>
      <c r="G1206" s="12">
        <v>2.7777777781011537E-2</v>
      </c>
      <c r="H1206" s="2" t="s">
        <v>248</v>
      </c>
      <c r="J1206" s="2" t="s">
        <v>249</v>
      </c>
      <c r="K1206" s="2" t="s">
        <v>349</v>
      </c>
      <c r="L1206" s="2" t="s">
        <v>672</v>
      </c>
      <c r="M1206" t="s">
        <v>251</v>
      </c>
      <c r="N1206" t="s">
        <v>330</v>
      </c>
      <c r="O1206" t="s">
        <v>673</v>
      </c>
      <c r="P1206" t="s">
        <v>2281</v>
      </c>
      <c r="Q1206" t="s">
        <v>966</v>
      </c>
    </row>
    <row r="1207" spans="1:17">
      <c r="A1207" s="2" t="s">
        <v>416</v>
      </c>
      <c r="B1207" s="2" t="s">
        <v>416</v>
      </c>
      <c r="C1207" s="2" t="s">
        <v>417</v>
      </c>
      <c r="D1207" s="11">
        <v>45978.916666666664</v>
      </c>
      <c r="E1207" s="11">
        <v>45978.916666666664</v>
      </c>
      <c r="F1207" s="11">
        <v>45978.944444444445</v>
      </c>
      <c r="G1207" s="12">
        <v>2.7777777781011537E-2</v>
      </c>
      <c r="H1207" s="2" t="s">
        <v>248</v>
      </c>
      <c r="J1207" s="2" t="s">
        <v>249</v>
      </c>
      <c r="K1207" s="2" t="s">
        <v>349</v>
      </c>
      <c r="L1207" s="2" t="s">
        <v>672</v>
      </c>
      <c r="M1207" t="s">
        <v>251</v>
      </c>
      <c r="N1207" t="s">
        <v>330</v>
      </c>
      <c r="O1207" t="s">
        <v>673</v>
      </c>
      <c r="P1207" t="s">
        <v>2282</v>
      </c>
      <c r="Q1207" t="s">
        <v>966</v>
      </c>
    </row>
    <row r="1208" spans="1:17">
      <c r="A1208" s="2" t="s">
        <v>416</v>
      </c>
      <c r="B1208" s="2" t="s">
        <v>416</v>
      </c>
      <c r="C1208" s="2" t="s">
        <v>358</v>
      </c>
      <c r="D1208" s="11">
        <v>45978.916666666664</v>
      </c>
      <c r="E1208" s="11">
        <v>45978.916666666664</v>
      </c>
      <c r="F1208" s="11">
        <v>45978.944444444445</v>
      </c>
      <c r="G1208" s="12">
        <v>2.7777777781011537E-2</v>
      </c>
      <c r="H1208" s="2" t="s">
        <v>248</v>
      </c>
      <c r="J1208" s="2" t="s">
        <v>249</v>
      </c>
      <c r="K1208" s="2" t="s">
        <v>349</v>
      </c>
      <c r="L1208" s="2" t="s">
        <v>672</v>
      </c>
      <c r="M1208" t="s">
        <v>251</v>
      </c>
      <c r="N1208" t="s">
        <v>330</v>
      </c>
      <c r="O1208" t="s">
        <v>673</v>
      </c>
      <c r="P1208" t="s">
        <v>2283</v>
      </c>
      <c r="Q1208" t="s">
        <v>966</v>
      </c>
    </row>
    <row r="1209" spans="1:17">
      <c r="A1209" s="2" t="s">
        <v>416</v>
      </c>
      <c r="B1209" s="2" t="s">
        <v>416</v>
      </c>
      <c r="C1209" s="2" t="s">
        <v>386</v>
      </c>
      <c r="D1209" s="11">
        <v>45978.916666666664</v>
      </c>
      <c r="E1209" s="11">
        <v>45978.916666666664</v>
      </c>
      <c r="F1209" s="11">
        <v>45978.944444444445</v>
      </c>
      <c r="G1209" s="12">
        <v>2.7777777781011537E-2</v>
      </c>
      <c r="H1209" s="2" t="s">
        <v>248</v>
      </c>
      <c r="J1209" s="2" t="s">
        <v>249</v>
      </c>
      <c r="K1209" s="2" t="s">
        <v>349</v>
      </c>
      <c r="L1209" s="2" t="s">
        <v>672</v>
      </c>
      <c r="M1209" t="s">
        <v>251</v>
      </c>
      <c r="N1209" t="s">
        <v>330</v>
      </c>
      <c r="O1209" t="s">
        <v>673</v>
      </c>
      <c r="P1209" t="s">
        <v>2284</v>
      </c>
      <c r="Q1209" t="s">
        <v>966</v>
      </c>
    </row>
    <row r="1210" spans="1:17">
      <c r="A1210" s="2" t="s">
        <v>416</v>
      </c>
      <c r="B1210" s="2" t="s">
        <v>416</v>
      </c>
      <c r="C1210" s="2" t="s">
        <v>418</v>
      </c>
      <c r="D1210" s="11">
        <v>45978.916666666664</v>
      </c>
      <c r="E1210" s="11">
        <v>45978.916666666664</v>
      </c>
      <c r="F1210" s="11">
        <v>45978.944444444445</v>
      </c>
      <c r="G1210" s="12">
        <v>2.7777777781011537E-2</v>
      </c>
      <c r="H1210" s="2" t="s">
        <v>248</v>
      </c>
      <c r="J1210" s="2" t="s">
        <v>249</v>
      </c>
      <c r="K1210" s="2" t="s">
        <v>349</v>
      </c>
      <c r="L1210" s="2" t="s">
        <v>672</v>
      </c>
      <c r="M1210" t="s">
        <v>251</v>
      </c>
      <c r="N1210" t="s">
        <v>330</v>
      </c>
      <c r="O1210" t="s">
        <v>673</v>
      </c>
      <c r="P1210" t="s">
        <v>2285</v>
      </c>
      <c r="Q1210" t="s">
        <v>966</v>
      </c>
    </row>
    <row r="1211" spans="1:17">
      <c r="A1211" s="2" t="s">
        <v>416</v>
      </c>
      <c r="B1211" s="2" t="s">
        <v>416</v>
      </c>
      <c r="C1211" s="2" t="s">
        <v>359</v>
      </c>
      <c r="D1211" s="11">
        <v>45978.916666666664</v>
      </c>
      <c r="E1211" s="11">
        <v>45978.916666666664</v>
      </c>
      <c r="F1211" s="11">
        <v>45978.944444444445</v>
      </c>
      <c r="G1211" s="12">
        <v>2.7777777781011537E-2</v>
      </c>
      <c r="H1211" s="2" t="s">
        <v>248</v>
      </c>
      <c r="J1211" s="2" t="s">
        <v>249</v>
      </c>
      <c r="K1211" s="2" t="s">
        <v>349</v>
      </c>
      <c r="L1211" s="2" t="s">
        <v>672</v>
      </c>
      <c r="M1211" t="s">
        <v>251</v>
      </c>
      <c r="N1211" t="s">
        <v>330</v>
      </c>
      <c r="O1211" t="s">
        <v>673</v>
      </c>
      <c r="P1211" t="s">
        <v>2286</v>
      </c>
      <c r="Q1211" t="s">
        <v>966</v>
      </c>
    </row>
    <row r="1212" spans="1:17">
      <c r="A1212" s="2" t="s">
        <v>419</v>
      </c>
      <c r="B1212" s="2" t="s">
        <v>419</v>
      </c>
      <c r="C1212" s="2" t="s">
        <v>410</v>
      </c>
      <c r="D1212" s="11">
        <v>45978.916666666664</v>
      </c>
      <c r="E1212" s="11">
        <v>45978.916666666664</v>
      </c>
      <c r="F1212" s="11">
        <v>45978.944444444445</v>
      </c>
      <c r="G1212" s="12">
        <v>2.7777777781011537E-2</v>
      </c>
      <c r="H1212" s="2" t="s">
        <v>248</v>
      </c>
      <c r="J1212" s="2" t="s">
        <v>249</v>
      </c>
      <c r="K1212" s="2" t="s">
        <v>349</v>
      </c>
      <c r="L1212" s="2" t="s">
        <v>672</v>
      </c>
      <c r="M1212" t="s">
        <v>251</v>
      </c>
      <c r="N1212" t="s">
        <v>330</v>
      </c>
      <c r="O1212" t="s">
        <v>673</v>
      </c>
      <c r="P1212" t="s">
        <v>2287</v>
      </c>
      <c r="Q1212" t="s">
        <v>966</v>
      </c>
    </row>
    <row r="1213" spans="1:17">
      <c r="A1213" s="2" t="s">
        <v>419</v>
      </c>
      <c r="B1213" s="2" t="s">
        <v>419</v>
      </c>
      <c r="C1213" s="2" t="s">
        <v>411</v>
      </c>
      <c r="D1213" s="11">
        <v>45978.916666666664</v>
      </c>
      <c r="E1213" s="11">
        <v>45978.916666666664</v>
      </c>
      <c r="F1213" s="11">
        <v>45978.944444444445</v>
      </c>
      <c r="G1213" s="12">
        <v>2.7777777781011537E-2</v>
      </c>
      <c r="H1213" s="2" t="s">
        <v>248</v>
      </c>
      <c r="J1213" s="2" t="s">
        <v>249</v>
      </c>
      <c r="K1213" s="2" t="s">
        <v>349</v>
      </c>
      <c r="L1213" s="2" t="s">
        <v>672</v>
      </c>
      <c r="M1213" t="s">
        <v>251</v>
      </c>
      <c r="N1213" t="s">
        <v>330</v>
      </c>
      <c r="O1213" t="s">
        <v>673</v>
      </c>
      <c r="P1213" t="s">
        <v>2288</v>
      </c>
      <c r="Q1213" t="s">
        <v>966</v>
      </c>
    </row>
    <row r="1214" spans="1:17">
      <c r="A1214" s="2" t="s">
        <v>419</v>
      </c>
      <c r="B1214" s="2" t="s">
        <v>419</v>
      </c>
      <c r="C1214" s="2" t="s">
        <v>409</v>
      </c>
      <c r="D1214" s="11">
        <v>45978.916666666664</v>
      </c>
      <c r="E1214" s="11">
        <v>45978.916666666664</v>
      </c>
      <c r="F1214" s="11">
        <v>45978.944444444445</v>
      </c>
      <c r="G1214" s="12">
        <v>2.7777777781011537E-2</v>
      </c>
      <c r="H1214" s="2" t="s">
        <v>248</v>
      </c>
      <c r="J1214" s="2" t="s">
        <v>249</v>
      </c>
      <c r="K1214" s="2" t="s">
        <v>349</v>
      </c>
      <c r="L1214" s="2" t="s">
        <v>672</v>
      </c>
      <c r="M1214" t="s">
        <v>251</v>
      </c>
      <c r="N1214" t="s">
        <v>330</v>
      </c>
      <c r="O1214" t="s">
        <v>673</v>
      </c>
      <c r="P1214" t="s">
        <v>2289</v>
      </c>
      <c r="Q1214" t="s">
        <v>966</v>
      </c>
    </row>
    <row r="1215" spans="1:17">
      <c r="A1215" s="2" t="s">
        <v>419</v>
      </c>
      <c r="B1215" s="2" t="s">
        <v>419</v>
      </c>
      <c r="C1215" s="2" t="s">
        <v>407</v>
      </c>
      <c r="D1215" s="11">
        <v>45978.916666666664</v>
      </c>
      <c r="E1215" s="11">
        <v>45978.916666666664</v>
      </c>
      <c r="F1215" s="11">
        <v>45978.944444444445</v>
      </c>
      <c r="G1215" s="12">
        <v>2.7777777781011537E-2</v>
      </c>
      <c r="H1215" s="2" t="s">
        <v>248</v>
      </c>
      <c r="J1215" s="2" t="s">
        <v>249</v>
      </c>
      <c r="K1215" s="2" t="s">
        <v>349</v>
      </c>
      <c r="L1215" s="2" t="s">
        <v>672</v>
      </c>
      <c r="M1215" t="s">
        <v>251</v>
      </c>
      <c r="N1215" t="s">
        <v>330</v>
      </c>
      <c r="O1215" t="s">
        <v>673</v>
      </c>
      <c r="P1215" t="s">
        <v>2290</v>
      </c>
      <c r="Q1215" t="s">
        <v>966</v>
      </c>
    </row>
    <row r="1216" spans="1:17">
      <c r="A1216" s="2" t="s">
        <v>419</v>
      </c>
      <c r="B1216" s="2" t="s">
        <v>419</v>
      </c>
      <c r="C1216" s="2" t="s">
        <v>408</v>
      </c>
      <c r="D1216" s="11">
        <v>45978.916666666664</v>
      </c>
      <c r="E1216" s="11">
        <v>45978.916666666664</v>
      </c>
      <c r="F1216" s="11">
        <v>45978.944444444445</v>
      </c>
      <c r="G1216" s="12">
        <v>2.7777777781011537E-2</v>
      </c>
      <c r="H1216" s="2" t="s">
        <v>248</v>
      </c>
      <c r="J1216" s="2" t="s">
        <v>249</v>
      </c>
      <c r="K1216" s="2" t="s">
        <v>349</v>
      </c>
      <c r="L1216" s="2" t="s">
        <v>672</v>
      </c>
      <c r="M1216" t="s">
        <v>251</v>
      </c>
      <c r="N1216" t="s">
        <v>330</v>
      </c>
      <c r="O1216" t="s">
        <v>673</v>
      </c>
      <c r="P1216" t="s">
        <v>2291</v>
      </c>
      <c r="Q1216" t="s">
        <v>966</v>
      </c>
    </row>
    <row r="1217" spans="1:17">
      <c r="A1217" s="2" t="s">
        <v>420</v>
      </c>
      <c r="B1217" s="2" t="s">
        <v>420</v>
      </c>
      <c r="C1217" s="2" t="s">
        <v>415</v>
      </c>
      <c r="D1217" s="11">
        <v>45978.916666666664</v>
      </c>
      <c r="E1217" s="11">
        <v>45978.916666666664</v>
      </c>
      <c r="F1217" s="11">
        <v>45978.944444444445</v>
      </c>
      <c r="G1217" s="12">
        <v>2.7777777781011537E-2</v>
      </c>
      <c r="H1217" s="2" t="s">
        <v>248</v>
      </c>
      <c r="J1217" s="2" t="s">
        <v>249</v>
      </c>
      <c r="K1217" s="2" t="s">
        <v>349</v>
      </c>
      <c r="L1217" s="2" t="s">
        <v>672</v>
      </c>
      <c r="M1217" t="s">
        <v>251</v>
      </c>
      <c r="N1217" t="s">
        <v>330</v>
      </c>
      <c r="O1217" t="s">
        <v>673</v>
      </c>
      <c r="P1217" t="s">
        <v>2292</v>
      </c>
      <c r="Q1217" t="s">
        <v>966</v>
      </c>
    </row>
    <row r="1218" spans="1:17">
      <c r="A1218" s="2" t="s">
        <v>420</v>
      </c>
      <c r="B1218" s="2" t="s">
        <v>420</v>
      </c>
      <c r="C1218" s="2" t="s">
        <v>414</v>
      </c>
      <c r="D1218" s="11">
        <v>45978.916666666664</v>
      </c>
      <c r="E1218" s="11">
        <v>45978.916666666664</v>
      </c>
      <c r="F1218" s="11">
        <v>45978.944444444445</v>
      </c>
      <c r="G1218" s="12">
        <v>2.7777777781011537E-2</v>
      </c>
      <c r="H1218" s="2" t="s">
        <v>248</v>
      </c>
      <c r="J1218" s="2" t="s">
        <v>249</v>
      </c>
      <c r="K1218" s="2" t="s">
        <v>349</v>
      </c>
      <c r="L1218" s="2" t="s">
        <v>672</v>
      </c>
      <c r="M1218" t="s">
        <v>251</v>
      </c>
      <c r="N1218" t="s">
        <v>330</v>
      </c>
      <c r="O1218" t="s">
        <v>673</v>
      </c>
      <c r="P1218" t="s">
        <v>2293</v>
      </c>
      <c r="Q1218" t="s">
        <v>966</v>
      </c>
    </row>
    <row r="1219" spans="1:17">
      <c r="A1219" s="2" t="s">
        <v>420</v>
      </c>
      <c r="B1219" s="2" t="s">
        <v>420</v>
      </c>
      <c r="C1219" s="2" t="s">
        <v>413</v>
      </c>
      <c r="D1219" s="11">
        <v>45978.916666666664</v>
      </c>
      <c r="E1219" s="11">
        <v>45978.916666666664</v>
      </c>
      <c r="F1219" s="11">
        <v>45978.944444444445</v>
      </c>
      <c r="G1219" s="12">
        <v>2.7777777781011537E-2</v>
      </c>
      <c r="H1219" s="2" t="s">
        <v>248</v>
      </c>
      <c r="J1219" s="2" t="s">
        <v>249</v>
      </c>
      <c r="K1219" s="2" t="s">
        <v>349</v>
      </c>
      <c r="L1219" s="2" t="s">
        <v>672</v>
      </c>
      <c r="M1219" t="s">
        <v>251</v>
      </c>
      <c r="N1219" t="s">
        <v>330</v>
      </c>
      <c r="O1219" t="s">
        <v>673</v>
      </c>
      <c r="P1219" t="s">
        <v>2294</v>
      </c>
      <c r="Q1219" t="s">
        <v>966</v>
      </c>
    </row>
    <row r="1220" spans="1:17">
      <c r="A1220" s="2" t="s">
        <v>702</v>
      </c>
      <c r="B1220" s="2" t="s">
        <v>702</v>
      </c>
      <c r="C1220" s="2" t="s">
        <v>354</v>
      </c>
      <c r="D1220" s="11">
        <v>45979.206250000003</v>
      </c>
      <c r="E1220" s="11">
        <v>45979.206250000003</v>
      </c>
      <c r="F1220" s="11">
        <v>45979.279166666667</v>
      </c>
      <c r="G1220" s="12">
        <v>7.2916666664241347E-2</v>
      </c>
      <c r="H1220" s="2" t="s">
        <v>260</v>
      </c>
      <c r="I1220" s="2" t="s">
        <v>261</v>
      </c>
      <c r="J1220" s="2" t="s">
        <v>740</v>
      </c>
      <c r="K1220" s="2" t="s">
        <v>1376</v>
      </c>
      <c r="L1220" s="2" t="s">
        <v>390</v>
      </c>
      <c r="M1220" t="s">
        <v>391</v>
      </c>
      <c r="N1220" t="s">
        <v>266</v>
      </c>
      <c r="O1220" t="s">
        <v>741</v>
      </c>
      <c r="P1220" t="s">
        <v>2295</v>
      </c>
      <c r="Q1220" t="s">
        <v>1378</v>
      </c>
    </row>
    <row r="1221" spans="1:17">
      <c r="A1221" s="2" t="s">
        <v>702</v>
      </c>
      <c r="B1221" s="2" t="s">
        <v>702</v>
      </c>
      <c r="C1221" s="2" t="s">
        <v>357</v>
      </c>
      <c r="D1221" s="11">
        <v>45979.206250000003</v>
      </c>
      <c r="E1221" s="11">
        <v>45979.206250000003</v>
      </c>
      <c r="F1221" s="11">
        <v>45979.279166666667</v>
      </c>
      <c r="G1221" s="12">
        <v>7.2916666664241347E-2</v>
      </c>
      <c r="H1221" s="2" t="s">
        <v>260</v>
      </c>
      <c r="I1221" s="2" t="s">
        <v>261</v>
      </c>
      <c r="J1221" s="2" t="s">
        <v>740</v>
      </c>
      <c r="K1221" s="2" t="s">
        <v>1376</v>
      </c>
      <c r="L1221" s="2" t="s">
        <v>390</v>
      </c>
      <c r="M1221" t="s">
        <v>391</v>
      </c>
      <c r="N1221" t="s">
        <v>266</v>
      </c>
      <c r="O1221" t="s">
        <v>741</v>
      </c>
      <c r="P1221" t="s">
        <v>2296</v>
      </c>
      <c r="Q1221" t="s">
        <v>1378</v>
      </c>
    </row>
    <row r="1222" spans="1:17">
      <c r="A1222" s="2" t="s">
        <v>702</v>
      </c>
      <c r="B1222" s="2" t="s">
        <v>702</v>
      </c>
      <c r="C1222" s="2" t="s">
        <v>705</v>
      </c>
      <c r="D1222" s="11">
        <v>45979.206250000003</v>
      </c>
      <c r="E1222" s="11">
        <v>45979.206250000003</v>
      </c>
      <c r="F1222" s="11">
        <v>45979.279166666667</v>
      </c>
      <c r="G1222" s="12">
        <v>7.2916666664241347E-2</v>
      </c>
      <c r="H1222" s="2" t="s">
        <v>260</v>
      </c>
      <c r="I1222" s="2" t="s">
        <v>261</v>
      </c>
      <c r="J1222" s="2" t="s">
        <v>740</v>
      </c>
      <c r="K1222" s="2" t="s">
        <v>1376</v>
      </c>
      <c r="L1222" s="2" t="s">
        <v>390</v>
      </c>
      <c r="M1222" t="s">
        <v>391</v>
      </c>
      <c r="N1222" t="s">
        <v>266</v>
      </c>
      <c r="O1222" t="s">
        <v>741</v>
      </c>
      <c r="P1222" t="s">
        <v>2297</v>
      </c>
      <c r="Q1222" t="s">
        <v>1378</v>
      </c>
    </row>
    <row r="1223" spans="1:17">
      <c r="A1223" s="2" t="s">
        <v>702</v>
      </c>
      <c r="B1223" s="2" t="s">
        <v>702</v>
      </c>
      <c r="C1223" s="2" t="s">
        <v>706</v>
      </c>
      <c r="D1223" s="11">
        <v>45979.206250000003</v>
      </c>
      <c r="E1223" s="11">
        <v>45979.206250000003</v>
      </c>
      <c r="F1223" s="11">
        <v>45979.279166666667</v>
      </c>
      <c r="G1223" s="12">
        <v>7.2916666664241347E-2</v>
      </c>
      <c r="H1223" s="2" t="s">
        <v>260</v>
      </c>
      <c r="I1223" s="2" t="s">
        <v>261</v>
      </c>
      <c r="J1223" s="2" t="s">
        <v>740</v>
      </c>
      <c r="K1223" s="2" t="s">
        <v>1376</v>
      </c>
      <c r="L1223" s="2" t="s">
        <v>390</v>
      </c>
      <c r="M1223" t="s">
        <v>391</v>
      </c>
      <c r="N1223" t="s">
        <v>266</v>
      </c>
      <c r="O1223" t="s">
        <v>741</v>
      </c>
      <c r="P1223" t="s">
        <v>2298</v>
      </c>
      <c r="Q1223" t="s">
        <v>1378</v>
      </c>
    </row>
    <row r="1224" spans="1:17">
      <c r="A1224" s="2" t="s">
        <v>702</v>
      </c>
      <c r="B1224" s="2" t="s">
        <v>702</v>
      </c>
      <c r="C1224" s="2" t="s">
        <v>386</v>
      </c>
      <c r="D1224" s="11">
        <v>45979.206250000003</v>
      </c>
      <c r="E1224" s="11">
        <v>45979.206250000003</v>
      </c>
      <c r="F1224" s="11">
        <v>45979.279166666667</v>
      </c>
      <c r="G1224" s="12">
        <v>7.2916666664241347E-2</v>
      </c>
      <c r="H1224" s="2" t="s">
        <v>260</v>
      </c>
      <c r="I1224" s="2" t="s">
        <v>261</v>
      </c>
      <c r="J1224" s="2" t="s">
        <v>740</v>
      </c>
      <c r="K1224" s="2" t="s">
        <v>1376</v>
      </c>
      <c r="L1224" s="2" t="s">
        <v>390</v>
      </c>
      <c r="M1224" t="s">
        <v>391</v>
      </c>
      <c r="N1224" t="s">
        <v>266</v>
      </c>
      <c r="O1224" t="s">
        <v>741</v>
      </c>
      <c r="P1224" t="s">
        <v>2299</v>
      </c>
      <c r="Q1224" t="s">
        <v>1378</v>
      </c>
    </row>
    <row r="1225" spans="1:17">
      <c r="A1225" s="2" t="s">
        <v>707</v>
      </c>
      <c r="B1225" s="2" t="s">
        <v>707</v>
      </c>
      <c r="C1225" s="2" t="s">
        <v>708</v>
      </c>
      <c r="D1225" s="11">
        <v>45979.206250000003</v>
      </c>
      <c r="E1225" s="11">
        <v>45979.206250000003</v>
      </c>
      <c r="F1225" s="11">
        <v>45979.279166666667</v>
      </c>
      <c r="G1225" s="12">
        <v>7.2916666664241347E-2</v>
      </c>
      <c r="H1225" s="2" t="s">
        <v>260</v>
      </c>
      <c r="I1225" s="2" t="s">
        <v>261</v>
      </c>
      <c r="J1225" s="2" t="s">
        <v>740</v>
      </c>
      <c r="K1225" s="2" t="s">
        <v>1376</v>
      </c>
      <c r="L1225" s="2" t="s">
        <v>390</v>
      </c>
      <c r="M1225" t="s">
        <v>391</v>
      </c>
      <c r="N1225" t="s">
        <v>266</v>
      </c>
      <c r="O1225" t="s">
        <v>741</v>
      </c>
      <c r="P1225" t="s">
        <v>2300</v>
      </c>
      <c r="Q1225" t="s">
        <v>1378</v>
      </c>
    </row>
    <row r="1226" spans="1:17">
      <c r="A1226" s="2" t="s">
        <v>707</v>
      </c>
      <c r="B1226" s="2" t="s">
        <v>707</v>
      </c>
      <c r="C1226" s="2" t="s">
        <v>709</v>
      </c>
      <c r="D1226" s="11">
        <v>45979.206250000003</v>
      </c>
      <c r="E1226" s="11">
        <v>45979.206250000003</v>
      </c>
      <c r="F1226" s="11">
        <v>45979.279166666667</v>
      </c>
      <c r="G1226" s="12">
        <v>7.2916666664241347E-2</v>
      </c>
      <c r="H1226" s="2" t="s">
        <v>260</v>
      </c>
      <c r="I1226" s="2" t="s">
        <v>261</v>
      </c>
      <c r="J1226" s="2" t="s">
        <v>740</v>
      </c>
      <c r="K1226" s="2" t="s">
        <v>1376</v>
      </c>
      <c r="L1226" s="2" t="s">
        <v>390</v>
      </c>
      <c r="M1226" t="s">
        <v>391</v>
      </c>
      <c r="N1226" t="s">
        <v>266</v>
      </c>
      <c r="O1226" t="s">
        <v>741</v>
      </c>
      <c r="P1226" t="s">
        <v>2301</v>
      </c>
      <c r="Q1226" t="s">
        <v>1378</v>
      </c>
    </row>
    <row r="1227" spans="1:17">
      <c r="A1227" s="2" t="s">
        <v>707</v>
      </c>
      <c r="B1227" s="2" t="s">
        <v>707</v>
      </c>
      <c r="C1227" s="2" t="s">
        <v>710</v>
      </c>
      <c r="D1227" s="11">
        <v>45979.206250000003</v>
      </c>
      <c r="E1227" s="11">
        <v>45979.206250000003</v>
      </c>
      <c r="F1227" s="11">
        <v>45979.279166666667</v>
      </c>
      <c r="G1227" s="12">
        <v>7.2916666664241347E-2</v>
      </c>
      <c r="H1227" s="2" t="s">
        <v>260</v>
      </c>
      <c r="I1227" s="2" t="s">
        <v>261</v>
      </c>
      <c r="J1227" s="2" t="s">
        <v>740</v>
      </c>
      <c r="K1227" s="2" t="s">
        <v>1376</v>
      </c>
      <c r="L1227" s="2" t="s">
        <v>390</v>
      </c>
      <c r="M1227" t="s">
        <v>391</v>
      </c>
      <c r="N1227" t="s">
        <v>266</v>
      </c>
      <c r="O1227" t="s">
        <v>741</v>
      </c>
      <c r="P1227" t="s">
        <v>2302</v>
      </c>
      <c r="Q1227" t="s">
        <v>1378</v>
      </c>
    </row>
    <row r="1228" spans="1:17">
      <c r="A1228" s="2" t="s">
        <v>382</v>
      </c>
      <c r="B1228" s="2" t="s">
        <v>382</v>
      </c>
      <c r="C1228" s="2" t="s">
        <v>328</v>
      </c>
      <c r="D1228" s="11">
        <v>45979.3125</v>
      </c>
      <c r="E1228" s="11">
        <v>45979.3125</v>
      </c>
      <c r="F1228" s="11">
        <v>45979.486111111109</v>
      </c>
      <c r="G1228" s="12">
        <v>0.17361111110949423</v>
      </c>
      <c r="H1228" s="2" t="s">
        <v>248</v>
      </c>
      <c r="J1228" s="2" t="s">
        <v>249</v>
      </c>
      <c r="K1228" s="2" t="s">
        <v>349</v>
      </c>
      <c r="L1228" s="2" t="s">
        <v>2303</v>
      </c>
      <c r="M1228" t="s">
        <v>251</v>
      </c>
      <c r="N1228" t="s">
        <v>330</v>
      </c>
      <c r="O1228" t="s">
        <v>673</v>
      </c>
      <c r="P1228" t="s">
        <v>2304</v>
      </c>
      <c r="Q1228" t="s">
        <v>966</v>
      </c>
    </row>
    <row r="1229" spans="1:17">
      <c r="A1229" s="2" t="s">
        <v>382</v>
      </c>
      <c r="B1229" s="2" t="s">
        <v>382</v>
      </c>
      <c r="C1229" s="2" t="s">
        <v>247</v>
      </c>
      <c r="D1229" s="11">
        <v>45979.3125</v>
      </c>
      <c r="E1229" s="11">
        <v>45979.3125</v>
      </c>
      <c r="F1229" s="11">
        <v>45979.486111111109</v>
      </c>
      <c r="G1229" s="12">
        <v>0.17361111110949423</v>
      </c>
      <c r="H1229" s="2" t="s">
        <v>248</v>
      </c>
      <c r="J1229" s="2" t="s">
        <v>249</v>
      </c>
      <c r="K1229" s="2" t="s">
        <v>349</v>
      </c>
      <c r="L1229" s="2" t="s">
        <v>2303</v>
      </c>
      <c r="M1229" t="s">
        <v>251</v>
      </c>
      <c r="N1229" t="s">
        <v>330</v>
      </c>
      <c r="O1229" t="s">
        <v>673</v>
      </c>
      <c r="P1229" t="s">
        <v>2305</v>
      </c>
      <c r="Q1229" t="s">
        <v>966</v>
      </c>
    </row>
    <row r="1230" spans="1:17">
      <c r="A1230" s="2" t="s">
        <v>382</v>
      </c>
      <c r="B1230" s="2" t="s">
        <v>382</v>
      </c>
      <c r="C1230" s="2" t="s">
        <v>254</v>
      </c>
      <c r="D1230" s="11">
        <v>45979.3125</v>
      </c>
      <c r="E1230" s="11">
        <v>45979.3125</v>
      </c>
      <c r="F1230" s="11">
        <v>45979.486111111109</v>
      </c>
      <c r="G1230" s="12">
        <v>0.17361111110949423</v>
      </c>
      <c r="H1230" s="2" t="s">
        <v>248</v>
      </c>
      <c r="J1230" s="2" t="s">
        <v>249</v>
      </c>
      <c r="K1230" s="2" t="s">
        <v>349</v>
      </c>
      <c r="L1230" s="2" t="s">
        <v>2303</v>
      </c>
      <c r="M1230" t="s">
        <v>251</v>
      </c>
      <c r="N1230" t="s">
        <v>330</v>
      </c>
      <c r="O1230" t="s">
        <v>673</v>
      </c>
      <c r="P1230" t="s">
        <v>2306</v>
      </c>
      <c r="Q1230" t="s">
        <v>966</v>
      </c>
    </row>
    <row r="1231" spans="1:17">
      <c r="A1231" s="2" t="s">
        <v>382</v>
      </c>
      <c r="B1231" s="2" t="s">
        <v>382</v>
      </c>
      <c r="C1231" s="2" t="s">
        <v>257</v>
      </c>
      <c r="D1231" s="11">
        <v>45979.3125</v>
      </c>
      <c r="E1231" s="11">
        <v>45979.3125</v>
      </c>
      <c r="F1231" s="11">
        <v>45979.486111111109</v>
      </c>
      <c r="G1231" s="12">
        <v>0.17361111110949423</v>
      </c>
      <c r="H1231" s="2" t="s">
        <v>248</v>
      </c>
      <c r="J1231" s="2" t="s">
        <v>249</v>
      </c>
      <c r="K1231" s="2" t="s">
        <v>349</v>
      </c>
      <c r="L1231" s="2" t="s">
        <v>2303</v>
      </c>
      <c r="M1231" t="s">
        <v>251</v>
      </c>
      <c r="N1231" t="s">
        <v>330</v>
      </c>
      <c r="O1231" t="s">
        <v>673</v>
      </c>
      <c r="P1231" t="s">
        <v>2307</v>
      </c>
      <c r="Q1231" t="s">
        <v>966</v>
      </c>
    </row>
    <row r="1232" spans="1:17">
      <c r="A1232" s="2" t="s">
        <v>382</v>
      </c>
      <c r="B1232" s="2" t="s">
        <v>382</v>
      </c>
      <c r="C1232" s="2" t="s">
        <v>256</v>
      </c>
      <c r="D1232" s="11">
        <v>45979.3125</v>
      </c>
      <c r="E1232" s="11">
        <v>45979.3125</v>
      </c>
      <c r="F1232" s="11">
        <v>45979.486111111109</v>
      </c>
      <c r="G1232" s="12">
        <v>0.17361111110949423</v>
      </c>
      <c r="H1232" s="2" t="s">
        <v>248</v>
      </c>
      <c r="J1232" s="2" t="s">
        <v>249</v>
      </c>
      <c r="K1232" s="2" t="s">
        <v>349</v>
      </c>
      <c r="L1232" s="2" t="s">
        <v>2303</v>
      </c>
      <c r="M1232" t="s">
        <v>251</v>
      </c>
      <c r="N1232" t="s">
        <v>330</v>
      </c>
      <c r="O1232" t="s">
        <v>673</v>
      </c>
      <c r="P1232" t="s">
        <v>2308</v>
      </c>
      <c r="Q1232" t="s">
        <v>966</v>
      </c>
    </row>
    <row r="1233" spans="1:17">
      <c r="A1233" s="2" t="s">
        <v>383</v>
      </c>
      <c r="B1233" s="2" t="s">
        <v>383</v>
      </c>
      <c r="C1233" s="2" t="s">
        <v>385</v>
      </c>
      <c r="D1233" s="11">
        <v>45979.3125</v>
      </c>
      <c r="E1233" s="11">
        <v>45979.3125</v>
      </c>
      <c r="F1233" s="11">
        <v>45979.486111111109</v>
      </c>
      <c r="G1233" s="12">
        <v>0.17361111110949423</v>
      </c>
      <c r="H1233" s="2" t="s">
        <v>248</v>
      </c>
      <c r="J1233" s="2" t="s">
        <v>249</v>
      </c>
      <c r="K1233" s="2" t="s">
        <v>349</v>
      </c>
      <c r="L1233" s="2" t="s">
        <v>2303</v>
      </c>
      <c r="M1233" t="s">
        <v>251</v>
      </c>
      <c r="N1233" t="s">
        <v>330</v>
      </c>
      <c r="O1233" t="s">
        <v>673</v>
      </c>
      <c r="P1233" t="s">
        <v>2309</v>
      </c>
      <c r="Q1233" t="s">
        <v>966</v>
      </c>
    </row>
    <row r="1234" spans="1:17">
      <c r="A1234" s="2" t="s">
        <v>383</v>
      </c>
      <c r="B1234" s="2" t="s">
        <v>383</v>
      </c>
      <c r="C1234" s="2" t="s">
        <v>386</v>
      </c>
      <c r="D1234" s="11">
        <v>45979.3125</v>
      </c>
      <c r="E1234" s="11">
        <v>45979.3125</v>
      </c>
      <c r="F1234" s="11">
        <v>45979.486111111109</v>
      </c>
      <c r="G1234" s="12">
        <v>0.17361111110949423</v>
      </c>
      <c r="H1234" s="2" t="s">
        <v>248</v>
      </c>
      <c r="J1234" s="2" t="s">
        <v>249</v>
      </c>
      <c r="K1234" s="2" t="s">
        <v>349</v>
      </c>
      <c r="L1234" s="2" t="s">
        <v>2303</v>
      </c>
      <c r="M1234" t="s">
        <v>251</v>
      </c>
      <c r="N1234" t="s">
        <v>330</v>
      </c>
      <c r="O1234" t="s">
        <v>673</v>
      </c>
      <c r="P1234" t="s">
        <v>2310</v>
      </c>
      <c r="Q1234" t="s">
        <v>966</v>
      </c>
    </row>
    <row r="1235" spans="1:17">
      <c r="A1235" s="2" t="s">
        <v>383</v>
      </c>
      <c r="B1235" s="2" t="s">
        <v>383</v>
      </c>
      <c r="C1235" s="2" t="s">
        <v>354</v>
      </c>
      <c r="D1235" s="11">
        <v>45979.3125</v>
      </c>
      <c r="E1235" s="11">
        <v>45979.3125</v>
      </c>
      <c r="F1235" s="11">
        <v>45979.486111111109</v>
      </c>
      <c r="G1235" s="12">
        <v>0.17361111110949423</v>
      </c>
      <c r="H1235" s="2" t="s">
        <v>248</v>
      </c>
      <c r="J1235" s="2" t="s">
        <v>249</v>
      </c>
      <c r="K1235" s="2" t="s">
        <v>349</v>
      </c>
      <c r="L1235" s="2" t="s">
        <v>2303</v>
      </c>
      <c r="M1235" t="s">
        <v>251</v>
      </c>
      <c r="N1235" t="s">
        <v>330</v>
      </c>
      <c r="O1235" t="s">
        <v>673</v>
      </c>
      <c r="P1235" t="s">
        <v>2311</v>
      </c>
      <c r="Q1235" t="s">
        <v>966</v>
      </c>
    </row>
    <row r="1236" spans="1:17">
      <c r="A1236" s="2" t="s">
        <v>383</v>
      </c>
      <c r="B1236" s="2" t="s">
        <v>383</v>
      </c>
      <c r="C1236" s="2" t="s">
        <v>384</v>
      </c>
      <c r="D1236" s="11">
        <v>45979.3125</v>
      </c>
      <c r="E1236" s="11">
        <v>45979.3125</v>
      </c>
      <c r="F1236" s="11">
        <v>45979.486111111109</v>
      </c>
      <c r="G1236" s="12">
        <v>0.17361111110949423</v>
      </c>
      <c r="H1236" s="2" t="s">
        <v>248</v>
      </c>
      <c r="J1236" s="2" t="s">
        <v>249</v>
      </c>
      <c r="K1236" s="2" t="s">
        <v>349</v>
      </c>
      <c r="L1236" s="2" t="s">
        <v>2303</v>
      </c>
      <c r="M1236" t="s">
        <v>251</v>
      </c>
      <c r="N1236" t="s">
        <v>330</v>
      </c>
      <c r="O1236" t="s">
        <v>673</v>
      </c>
      <c r="P1236" t="s">
        <v>2312</v>
      </c>
      <c r="Q1236" t="s">
        <v>966</v>
      </c>
    </row>
    <row r="1237" spans="1:17">
      <c r="A1237" s="2" t="s">
        <v>383</v>
      </c>
      <c r="B1237" s="2" t="s">
        <v>383</v>
      </c>
      <c r="C1237" s="2" t="s">
        <v>328</v>
      </c>
      <c r="D1237" s="11">
        <v>45979.3125</v>
      </c>
      <c r="E1237" s="11">
        <v>45979.3125</v>
      </c>
      <c r="F1237" s="11">
        <v>45979.486111111109</v>
      </c>
      <c r="G1237" s="12">
        <v>0.17361111110949423</v>
      </c>
      <c r="H1237" s="2" t="s">
        <v>248</v>
      </c>
      <c r="J1237" s="2" t="s">
        <v>249</v>
      </c>
      <c r="K1237" s="2" t="s">
        <v>349</v>
      </c>
      <c r="L1237" s="2" t="s">
        <v>2303</v>
      </c>
      <c r="M1237" t="s">
        <v>251</v>
      </c>
      <c r="N1237" t="s">
        <v>330</v>
      </c>
      <c r="O1237" t="s">
        <v>673</v>
      </c>
      <c r="P1237" t="s">
        <v>2313</v>
      </c>
      <c r="Q1237" t="s">
        <v>966</v>
      </c>
    </row>
    <row r="1238" spans="1:17">
      <c r="A1238" s="2" t="s">
        <v>387</v>
      </c>
      <c r="B1238" s="2" t="s">
        <v>387</v>
      </c>
      <c r="C1238" s="2" t="s">
        <v>257</v>
      </c>
      <c r="D1238" s="11">
        <v>45979.3125</v>
      </c>
      <c r="E1238" s="11">
        <v>45979.3125</v>
      </c>
      <c r="F1238" s="11">
        <v>45979.486111111109</v>
      </c>
      <c r="G1238" s="12">
        <v>0.17361111110949423</v>
      </c>
      <c r="H1238" s="2" t="s">
        <v>248</v>
      </c>
      <c r="J1238" s="2" t="s">
        <v>249</v>
      </c>
      <c r="K1238" s="2" t="s">
        <v>349</v>
      </c>
      <c r="L1238" s="2" t="s">
        <v>2303</v>
      </c>
      <c r="M1238" t="s">
        <v>251</v>
      </c>
      <c r="N1238" t="s">
        <v>330</v>
      </c>
      <c r="O1238" t="s">
        <v>673</v>
      </c>
      <c r="P1238" t="s">
        <v>2314</v>
      </c>
      <c r="Q1238" t="s">
        <v>966</v>
      </c>
    </row>
    <row r="1239" spans="1:17">
      <c r="A1239" s="2" t="s">
        <v>387</v>
      </c>
      <c r="B1239" s="2" t="s">
        <v>387</v>
      </c>
      <c r="C1239" s="2" t="s">
        <v>255</v>
      </c>
      <c r="D1239" s="11">
        <v>45979.3125</v>
      </c>
      <c r="E1239" s="11">
        <v>45979.3125</v>
      </c>
      <c r="F1239" s="11">
        <v>45979.486111111109</v>
      </c>
      <c r="G1239" s="12">
        <v>0.17361111110949423</v>
      </c>
      <c r="H1239" s="2" t="s">
        <v>248</v>
      </c>
      <c r="J1239" s="2" t="s">
        <v>249</v>
      </c>
      <c r="K1239" s="2" t="s">
        <v>349</v>
      </c>
      <c r="L1239" s="2" t="s">
        <v>2303</v>
      </c>
      <c r="M1239" t="s">
        <v>251</v>
      </c>
      <c r="N1239" t="s">
        <v>330</v>
      </c>
      <c r="O1239" t="s">
        <v>673</v>
      </c>
      <c r="P1239" t="s">
        <v>2315</v>
      </c>
      <c r="Q1239" t="s">
        <v>966</v>
      </c>
    </row>
    <row r="1240" spans="1:17">
      <c r="A1240" s="2" t="s">
        <v>387</v>
      </c>
      <c r="B1240" s="2" t="s">
        <v>387</v>
      </c>
      <c r="C1240" s="2" t="s">
        <v>256</v>
      </c>
      <c r="D1240" s="11">
        <v>45979.3125</v>
      </c>
      <c r="E1240" s="11">
        <v>45979.3125</v>
      </c>
      <c r="F1240" s="11">
        <v>45979.486111111109</v>
      </c>
      <c r="G1240" s="12">
        <v>0.17361111110949423</v>
      </c>
      <c r="H1240" s="2" t="s">
        <v>248</v>
      </c>
      <c r="J1240" s="2" t="s">
        <v>249</v>
      </c>
      <c r="K1240" s="2" t="s">
        <v>349</v>
      </c>
      <c r="L1240" s="2" t="s">
        <v>2303</v>
      </c>
      <c r="M1240" t="s">
        <v>251</v>
      </c>
      <c r="N1240" t="s">
        <v>330</v>
      </c>
      <c r="O1240" t="s">
        <v>673</v>
      </c>
      <c r="P1240" t="s">
        <v>2316</v>
      </c>
      <c r="Q1240" t="s">
        <v>966</v>
      </c>
    </row>
    <row r="1241" spans="1:17">
      <c r="A1241" s="2" t="s">
        <v>387</v>
      </c>
      <c r="B1241" s="2" t="s">
        <v>387</v>
      </c>
      <c r="C1241" s="2" t="s">
        <v>247</v>
      </c>
      <c r="D1241" s="11">
        <v>45979.3125</v>
      </c>
      <c r="E1241" s="11">
        <v>45979.3125</v>
      </c>
      <c r="F1241" s="11">
        <v>45979.486111111109</v>
      </c>
      <c r="G1241" s="12">
        <v>0.17361111110949423</v>
      </c>
      <c r="H1241" s="2" t="s">
        <v>248</v>
      </c>
      <c r="J1241" s="2" t="s">
        <v>249</v>
      </c>
      <c r="K1241" s="2" t="s">
        <v>349</v>
      </c>
      <c r="L1241" s="2" t="s">
        <v>2303</v>
      </c>
      <c r="M1241" t="s">
        <v>251</v>
      </c>
      <c r="N1241" t="s">
        <v>330</v>
      </c>
      <c r="O1241" t="s">
        <v>673</v>
      </c>
      <c r="P1241" t="s">
        <v>2317</v>
      </c>
      <c r="Q1241" t="s">
        <v>966</v>
      </c>
    </row>
    <row r="1242" spans="1:17">
      <c r="A1242" s="2" t="s">
        <v>387</v>
      </c>
      <c r="B1242" s="2" t="s">
        <v>387</v>
      </c>
      <c r="C1242" s="2" t="s">
        <v>254</v>
      </c>
      <c r="D1242" s="11">
        <v>45979.3125</v>
      </c>
      <c r="E1242" s="11">
        <v>45979.3125</v>
      </c>
      <c r="F1242" s="11">
        <v>45979.486111111109</v>
      </c>
      <c r="G1242" s="12">
        <v>0.17361111110949423</v>
      </c>
      <c r="H1242" s="2" t="s">
        <v>248</v>
      </c>
      <c r="J1242" s="2" t="s">
        <v>249</v>
      </c>
      <c r="K1242" s="2" t="s">
        <v>349</v>
      </c>
      <c r="L1242" s="2" t="s">
        <v>2303</v>
      </c>
      <c r="M1242" t="s">
        <v>251</v>
      </c>
      <c r="N1242" t="s">
        <v>330</v>
      </c>
      <c r="O1242" t="s">
        <v>673</v>
      </c>
      <c r="P1242" t="s">
        <v>2318</v>
      </c>
      <c r="Q1242" t="s">
        <v>966</v>
      </c>
    </row>
    <row r="1243" spans="1:17">
      <c r="A1243" s="2" t="s">
        <v>379</v>
      </c>
      <c r="B1243" s="2" t="s">
        <v>379</v>
      </c>
      <c r="C1243" s="2" t="s">
        <v>674</v>
      </c>
      <c r="D1243" s="11">
        <v>45979.3125</v>
      </c>
      <c r="E1243" s="11">
        <v>45979.3125</v>
      </c>
      <c r="F1243" s="11">
        <v>45979.486111111109</v>
      </c>
      <c r="G1243" s="12">
        <v>0.17361111110949423</v>
      </c>
      <c r="H1243" s="2" t="s">
        <v>248</v>
      </c>
      <c r="J1243" s="2" t="s">
        <v>249</v>
      </c>
      <c r="K1243" s="2" t="s">
        <v>349</v>
      </c>
      <c r="L1243" s="2" t="s">
        <v>2303</v>
      </c>
      <c r="M1243" t="s">
        <v>251</v>
      </c>
      <c r="N1243" t="s">
        <v>330</v>
      </c>
      <c r="O1243" t="s">
        <v>673</v>
      </c>
      <c r="P1243" t="s">
        <v>2319</v>
      </c>
      <c r="Q1243" t="s">
        <v>966</v>
      </c>
    </row>
    <row r="1244" spans="1:17">
      <c r="A1244" s="2" t="s">
        <v>379</v>
      </c>
      <c r="B1244" s="2" t="s">
        <v>379</v>
      </c>
      <c r="C1244" s="2" t="s">
        <v>255</v>
      </c>
      <c r="D1244" s="11">
        <v>45979.3125</v>
      </c>
      <c r="E1244" s="11">
        <v>45979.3125</v>
      </c>
      <c r="F1244" s="11">
        <v>45979.486111111109</v>
      </c>
      <c r="G1244" s="12">
        <v>0.17361111110949423</v>
      </c>
      <c r="H1244" s="2" t="s">
        <v>248</v>
      </c>
      <c r="J1244" s="2" t="s">
        <v>249</v>
      </c>
      <c r="K1244" s="2" t="s">
        <v>349</v>
      </c>
      <c r="L1244" s="2" t="s">
        <v>2303</v>
      </c>
      <c r="M1244" t="s">
        <v>251</v>
      </c>
      <c r="N1244" t="s">
        <v>330</v>
      </c>
      <c r="O1244" t="s">
        <v>673</v>
      </c>
      <c r="P1244" t="s">
        <v>2320</v>
      </c>
      <c r="Q1244" t="s">
        <v>966</v>
      </c>
    </row>
    <row r="1245" spans="1:17">
      <c r="A1245" s="2" t="s">
        <v>379</v>
      </c>
      <c r="B1245" s="2" t="s">
        <v>379</v>
      </c>
      <c r="C1245" s="2" t="s">
        <v>254</v>
      </c>
      <c r="D1245" s="11">
        <v>45979.3125</v>
      </c>
      <c r="E1245" s="11">
        <v>45979.3125</v>
      </c>
      <c r="F1245" s="11">
        <v>45979.486111111109</v>
      </c>
      <c r="G1245" s="12">
        <v>0.17361111110949423</v>
      </c>
      <c r="H1245" s="2" t="s">
        <v>248</v>
      </c>
      <c r="J1245" s="2" t="s">
        <v>249</v>
      </c>
      <c r="K1245" s="2" t="s">
        <v>349</v>
      </c>
      <c r="L1245" s="2" t="s">
        <v>2303</v>
      </c>
      <c r="M1245" t="s">
        <v>251</v>
      </c>
      <c r="N1245" t="s">
        <v>330</v>
      </c>
      <c r="O1245" t="s">
        <v>673</v>
      </c>
      <c r="P1245" t="s">
        <v>2321</v>
      </c>
      <c r="Q1245" t="s">
        <v>966</v>
      </c>
    </row>
    <row r="1246" spans="1:17">
      <c r="A1246" s="2" t="s">
        <v>379</v>
      </c>
      <c r="B1246" s="2" t="s">
        <v>379</v>
      </c>
      <c r="C1246" s="2" t="s">
        <v>257</v>
      </c>
      <c r="D1246" s="11">
        <v>45979.3125</v>
      </c>
      <c r="E1246" s="11">
        <v>45979.3125</v>
      </c>
      <c r="F1246" s="11">
        <v>45979.486111111109</v>
      </c>
      <c r="G1246" s="12">
        <v>0.17361111110949423</v>
      </c>
      <c r="H1246" s="2" t="s">
        <v>248</v>
      </c>
      <c r="J1246" s="2" t="s">
        <v>249</v>
      </c>
      <c r="K1246" s="2" t="s">
        <v>349</v>
      </c>
      <c r="L1246" s="2" t="s">
        <v>2303</v>
      </c>
      <c r="M1246" t="s">
        <v>251</v>
      </c>
      <c r="N1246" t="s">
        <v>330</v>
      </c>
      <c r="O1246" t="s">
        <v>673</v>
      </c>
      <c r="P1246" t="s">
        <v>2322</v>
      </c>
      <c r="Q1246" t="s">
        <v>966</v>
      </c>
    </row>
    <row r="1247" spans="1:17">
      <c r="A1247" s="2" t="s">
        <v>379</v>
      </c>
      <c r="B1247" s="2" t="s">
        <v>379</v>
      </c>
      <c r="C1247" s="2" t="s">
        <v>256</v>
      </c>
      <c r="D1247" s="11">
        <v>45979.3125</v>
      </c>
      <c r="E1247" s="11">
        <v>45979.3125</v>
      </c>
      <c r="F1247" s="11">
        <v>45979.486111111109</v>
      </c>
      <c r="G1247" s="12">
        <v>0.17361111110949423</v>
      </c>
      <c r="H1247" s="2" t="s">
        <v>248</v>
      </c>
      <c r="J1247" s="2" t="s">
        <v>249</v>
      </c>
      <c r="K1247" s="2" t="s">
        <v>349</v>
      </c>
      <c r="L1247" s="2" t="s">
        <v>2303</v>
      </c>
      <c r="M1247" t="s">
        <v>251</v>
      </c>
      <c r="N1247" t="s">
        <v>330</v>
      </c>
      <c r="O1247" t="s">
        <v>673</v>
      </c>
      <c r="P1247" t="s">
        <v>2323</v>
      </c>
      <c r="Q1247" t="s">
        <v>966</v>
      </c>
    </row>
    <row r="1248" spans="1:17">
      <c r="A1248" s="2" t="s">
        <v>388</v>
      </c>
      <c r="B1248" s="2" t="s">
        <v>388</v>
      </c>
      <c r="C1248" s="2" t="s">
        <v>256</v>
      </c>
      <c r="D1248" s="11">
        <v>45979.3125</v>
      </c>
      <c r="E1248" s="11">
        <v>45979.3125</v>
      </c>
      <c r="F1248" s="11">
        <v>45979.486111111109</v>
      </c>
      <c r="G1248" s="12">
        <v>0.17361111110949423</v>
      </c>
      <c r="H1248" s="2" t="s">
        <v>248</v>
      </c>
      <c r="J1248" s="2" t="s">
        <v>249</v>
      </c>
      <c r="K1248" s="2" t="s">
        <v>349</v>
      </c>
      <c r="L1248" s="2" t="s">
        <v>2303</v>
      </c>
      <c r="M1248" t="s">
        <v>251</v>
      </c>
      <c r="N1248" t="s">
        <v>330</v>
      </c>
      <c r="O1248" t="s">
        <v>673</v>
      </c>
      <c r="P1248" t="s">
        <v>2324</v>
      </c>
      <c r="Q1248" t="s">
        <v>966</v>
      </c>
    </row>
    <row r="1249" spans="1:17">
      <c r="A1249" s="2" t="s">
        <v>388</v>
      </c>
      <c r="B1249" s="2" t="s">
        <v>388</v>
      </c>
      <c r="C1249" s="2" t="s">
        <v>328</v>
      </c>
      <c r="D1249" s="11">
        <v>45979.3125</v>
      </c>
      <c r="E1249" s="11">
        <v>45979.3125</v>
      </c>
      <c r="F1249" s="11">
        <v>45979.486111111109</v>
      </c>
      <c r="G1249" s="12">
        <v>0.17361111110949423</v>
      </c>
      <c r="H1249" s="2" t="s">
        <v>248</v>
      </c>
      <c r="J1249" s="2" t="s">
        <v>249</v>
      </c>
      <c r="K1249" s="2" t="s">
        <v>349</v>
      </c>
      <c r="L1249" s="2" t="s">
        <v>2303</v>
      </c>
      <c r="M1249" t="s">
        <v>251</v>
      </c>
      <c r="N1249" t="s">
        <v>330</v>
      </c>
      <c r="O1249" t="s">
        <v>673</v>
      </c>
      <c r="P1249" t="s">
        <v>2325</v>
      </c>
      <c r="Q1249" t="s">
        <v>966</v>
      </c>
    </row>
    <row r="1250" spans="1:17">
      <c r="A1250" s="2" t="s">
        <v>388</v>
      </c>
      <c r="B1250" s="2" t="s">
        <v>388</v>
      </c>
      <c r="C1250" s="2" t="s">
        <v>254</v>
      </c>
      <c r="D1250" s="11">
        <v>45979.3125</v>
      </c>
      <c r="E1250" s="11">
        <v>45979.3125</v>
      </c>
      <c r="F1250" s="11">
        <v>45979.486111111109</v>
      </c>
      <c r="G1250" s="12">
        <v>0.17361111110949423</v>
      </c>
      <c r="H1250" s="2" t="s">
        <v>248</v>
      </c>
      <c r="J1250" s="2" t="s">
        <v>249</v>
      </c>
      <c r="K1250" s="2" t="s">
        <v>349</v>
      </c>
      <c r="L1250" s="2" t="s">
        <v>2303</v>
      </c>
      <c r="M1250" t="s">
        <v>251</v>
      </c>
      <c r="N1250" t="s">
        <v>330</v>
      </c>
      <c r="O1250" t="s">
        <v>673</v>
      </c>
      <c r="P1250" t="s">
        <v>2326</v>
      </c>
      <c r="Q1250" t="s">
        <v>966</v>
      </c>
    </row>
    <row r="1251" spans="1:17">
      <c r="A1251" s="2" t="s">
        <v>388</v>
      </c>
      <c r="B1251" s="2" t="s">
        <v>388</v>
      </c>
      <c r="C1251" s="2" t="s">
        <v>247</v>
      </c>
      <c r="D1251" s="11">
        <v>45979.3125</v>
      </c>
      <c r="E1251" s="11">
        <v>45979.3125</v>
      </c>
      <c r="F1251" s="11">
        <v>45979.486111111109</v>
      </c>
      <c r="G1251" s="12">
        <v>0.17361111110949423</v>
      </c>
      <c r="H1251" s="2" t="s">
        <v>248</v>
      </c>
      <c r="J1251" s="2" t="s">
        <v>249</v>
      </c>
      <c r="K1251" s="2" t="s">
        <v>349</v>
      </c>
      <c r="L1251" s="2" t="s">
        <v>2303</v>
      </c>
      <c r="M1251" t="s">
        <v>251</v>
      </c>
      <c r="N1251" t="s">
        <v>330</v>
      </c>
      <c r="O1251" t="s">
        <v>673</v>
      </c>
      <c r="P1251" t="s">
        <v>2327</v>
      </c>
      <c r="Q1251" t="s">
        <v>966</v>
      </c>
    </row>
    <row r="1252" spans="1:17">
      <c r="A1252" s="2" t="s">
        <v>388</v>
      </c>
      <c r="B1252" s="2" t="s">
        <v>388</v>
      </c>
      <c r="C1252" s="2" t="s">
        <v>358</v>
      </c>
      <c r="D1252" s="11">
        <v>45979.3125</v>
      </c>
      <c r="E1252" s="11">
        <v>45979.3125</v>
      </c>
      <c r="F1252" s="11">
        <v>45979.486111111109</v>
      </c>
      <c r="G1252" s="12">
        <v>0.17361111110949423</v>
      </c>
      <c r="H1252" s="2" t="s">
        <v>248</v>
      </c>
      <c r="J1252" s="2" t="s">
        <v>249</v>
      </c>
      <c r="K1252" s="2" t="s">
        <v>349</v>
      </c>
      <c r="L1252" s="2" t="s">
        <v>2303</v>
      </c>
      <c r="M1252" t="s">
        <v>251</v>
      </c>
      <c r="N1252" t="s">
        <v>330</v>
      </c>
      <c r="O1252" t="s">
        <v>673</v>
      </c>
      <c r="P1252" t="s">
        <v>2328</v>
      </c>
      <c r="Q1252" t="s">
        <v>966</v>
      </c>
    </row>
    <row r="1253" spans="1:17">
      <c r="A1253" s="2" t="s">
        <v>246</v>
      </c>
      <c r="B1253" s="2" t="s">
        <v>246</v>
      </c>
      <c r="C1253" s="2" t="s">
        <v>247</v>
      </c>
      <c r="D1253" s="11">
        <v>45979.396527777775</v>
      </c>
      <c r="E1253" s="11">
        <v>45979.396527777775</v>
      </c>
      <c r="F1253" s="11">
        <v>45979.498611111114</v>
      </c>
      <c r="G1253" s="12">
        <v>0.10208333333866904</v>
      </c>
      <c r="H1253" s="2" t="s">
        <v>248</v>
      </c>
      <c r="J1253" s="2" t="s">
        <v>249</v>
      </c>
      <c r="K1253" s="2" t="s">
        <v>349</v>
      </c>
      <c r="L1253" s="2" t="s">
        <v>971</v>
      </c>
      <c r="M1253" t="s">
        <v>251</v>
      </c>
      <c r="N1253" t="s">
        <v>330</v>
      </c>
      <c r="O1253" t="s">
        <v>331</v>
      </c>
      <c r="P1253" t="s">
        <v>2329</v>
      </c>
      <c r="Q1253" t="s">
        <v>966</v>
      </c>
    </row>
    <row r="1254" spans="1:17">
      <c r="A1254" s="2" t="s">
        <v>246</v>
      </c>
      <c r="B1254" s="2" t="s">
        <v>246</v>
      </c>
      <c r="C1254" s="2" t="s">
        <v>254</v>
      </c>
      <c r="D1254" s="11">
        <v>45979.396527777775</v>
      </c>
      <c r="E1254" s="11">
        <v>45979.396527777775</v>
      </c>
      <c r="F1254" s="11">
        <v>45979.498611111114</v>
      </c>
      <c r="G1254" s="12">
        <v>0.10208333333866904</v>
      </c>
      <c r="H1254" s="2" t="s">
        <v>248</v>
      </c>
      <c r="J1254" s="2" t="s">
        <v>249</v>
      </c>
      <c r="K1254" s="2" t="s">
        <v>349</v>
      </c>
      <c r="L1254" s="2" t="s">
        <v>971</v>
      </c>
      <c r="M1254" t="s">
        <v>251</v>
      </c>
      <c r="N1254" t="s">
        <v>330</v>
      </c>
      <c r="O1254" t="s">
        <v>331</v>
      </c>
      <c r="P1254" t="s">
        <v>2330</v>
      </c>
      <c r="Q1254" t="s">
        <v>966</v>
      </c>
    </row>
    <row r="1255" spans="1:17">
      <c r="A1255" s="2" t="s">
        <v>246</v>
      </c>
      <c r="B1255" s="2" t="s">
        <v>246</v>
      </c>
      <c r="C1255" s="2" t="s">
        <v>255</v>
      </c>
      <c r="D1255" s="11">
        <v>45979.396527777775</v>
      </c>
      <c r="E1255" s="11">
        <v>45979.396527777775</v>
      </c>
      <c r="F1255" s="11">
        <v>45979.498611111114</v>
      </c>
      <c r="G1255" s="12">
        <v>0.10208333333866904</v>
      </c>
      <c r="H1255" s="2" t="s">
        <v>248</v>
      </c>
      <c r="J1255" s="2" t="s">
        <v>249</v>
      </c>
      <c r="K1255" s="2" t="s">
        <v>349</v>
      </c>
      <c r="L1255" s="2" t="s">
        <v>971</v>
      </c>
      <c r="M1255" t="s">
        <v>251</v>
      </c>
      <c r="N1255" t="s">
        <v>330</v>
      </c>
      <c r="O1255" t="s">
        <v>331</v>
      </c>
      <c r="P1255" t="s">
        <v>2331</v>
      </c>
      <c r="Q1255" t="s">
        <v>966</v>
      </c>
    </row>
    <row r="1256" spans="1:17">
      <c r="A1256" s="2" t="s">
        <v>246</v>
      </c>
      <c r="B1256" s="2" t="s">
        <v>246</v>
      </c>
      <c r="C1256" s="2" t="s">
        <v>256</v>
      </c>
      <c r="D1256" s="11">
        <v>45979.396527777775</v>
      </c>
      <c r="E1256" s="11">
        <v>45979.396527777775</v>
      </c>
      <c r="F1256" s="11">
        <v>45979.498611111114</v>
      </c>
      <c r="G1256" s="12">
        <v>0.10208333333866904</v>
      </c>
      <c r="H1256" s="2" t="s">
        <v>248</v>
      </c>
      <c r="J1256" s="2" t="s">
        <v>249</v>
      </c>
      <c r="K1256" s="2" t="s">
        <v>349</v>
      </c>
      <c r="L1256" s="2" t="s">
        <v>971</v>
      </c>
      <c r="M1256" t="s">
        <v>251</v>
      </c>
      <c r="N1256" t="s">
        <v>330</v>
      </c>
      <c r="O1256" t="s">
        <v>331</v>
      </c>
      <c r="P1256" t="s">
        <v>2332</v>
      </c>
      <c r="Q1256" t="s">
        <v>966</v>
      </c>
    </row>
    <row r="1257" spans="1:17">
      <c r="A1257" s="2" t="s">
        <v>246</v>
      </c>
      <c r="B1257" s="2" t="s">
        <v>246</v>
      </c>
      <c r="C1257" s="2" t="s">
        <v>257</v>
      </c>
      <c r="D1257" s="11">
        <v>45979.396527777775</v>
      </c>
      <c r="E1257" s="11">
        <v>45979.396527777775</v>
      </c>
      <c r="F1257" s="11">
        <v>45979.498611111114</v>
      </c>
      <c r="G1257" s="12">
        <v>0.10208333333866904</v>
      </c>
      <c r="H1257" s="2" t="s">
        <v>248</v>
      </c>
      <c r="J1257" s="2" t="s">
        <v>249</v>
      </c>
      <c r="K1257" s="2" t="s">
        <v>349</v>
      </c>
      <c r="L1257" s="2" t="s">
        <v>971</v>
      </c>
      <c r="M1257" t="s">
        <v>251</v>
      </c>
      <c r="N1257" t="s">
        <v>330</v>
      </c>
      <c r="O1257" t="s">
        <v>331</v>
      </c>
      <c r="P1257" t="s">
        <v>2333</v>
      </c>
      <c r="Q1257" t="s">
        <v>966</v>
      </c>
    </row>
    <row r="1258" spans="1:17">
      <c r="A1258" s="2" t="s">
        <v>327</v>
      </c>
      <c r="B1258" s="2" t="s">
        <v>327</v>
      </c>
      <c r="C1258" s="2" t="s">
        <v>328</v>
      </c>
      <c r="D1258" s="11">
        <v>45979.543055555558</v>
      </c>
      <c r="E1258" s="11">
        <v>45979.543055555558</v>
      </c>
      <c r="F1258" s="11">
        <v>45979.555555555555</v>
      </c>
      <c r="G1258" s="12">
        <v>1.2499999997089617E-2</v>
      </c>
      <c r="H1258" s="2" t="s">
        <v>248</v>
      </c>
      <c r="J1258" s="2" t="s">
        <v>249</v>
      </c>
      <c r="K1258" s="2" t="s">
        <v>349</v>
      </c>
      <c r="L1258" s="2" t="s">
        <v>849</v>
      </c>
      <c r="M1258" t="s">
        <v>251</v>
      </c>
      <c r="N1258" t="s">
        <v>330</v>
      </c>
      <c r="O1258" t="s">
        <v>331</v>
      </c>
      <c r="P1258" t="s">
        <v>2334</v>
      </c>
      <c r="Q1258" t="s">
        <v>966</v>
      </c>
    </row>
    <row r="1259" spans="1:17">
      <c r="A1259" s="2" t="s">
        <v>332</v>
      </c>
      <c r="B1259" s="2" t="s">
        <v>332</v>
      </c>
      <c r="C1259" s="2" t="s">
        <v>328</v>
      </c>
      <c r="D1259" s="11">
        <v>45979.543055555558</v>
      </c>
      <c r="E1259" s="11">
        <v>45979.543055555558</v>
      </c>
      <c r="F1259" s="11">
        <v>45979.555555555555</v>
      </c>
      <c r="G1259" s="12">
        <v>1.2499999997089617E-2</v>
      </c>
      <c r="H1259" s="2" t="s">
        <v>248</v>
      </c>
      <c r="J1259" s="2" t="s">
        <v>249</v>
      </c>
      <c r="K1259" s="2" t="s">
        <v>349</v>
      </c>
      <c r="L1259" s="2" t="s">
        <v>849</v>
      </c>
      <c r="M1259" t="s">
        <v>251</v>
      </c>
      <c r="N1259" t="s">
        <v>330</v>
      </c>
      <c r="O1259" t="s">
        <v>331</v>
      </c>
      <c r="P1259" t="s">
        <v>2335</v>
      </c>
      <c r="Q1259" t="s">
        <v>966</v>
      </c>
    </row>
    <row r="1260" spans="1:17">
      <c r="A1260" s="2" t="s">
        <v>333</v>
      </c>
      <c r="B1260" s="2" t="s">
        <v>333</v>
      </c>
      <c r="C1260" s="2" t="s">
        <v>328</v>
      </c>
      <c r="D1260" s="11">
        <v>45979.543055555558</v>
      </c>
      <c r="E1260" s="11">
        <v>45979.543055555558</v>
      </c>
      <c r="F1260" s="11">
        <v>45979.555555555555</v>
      </c>
      <c r="G1260" s="12">
        <v>1.2499999997089617E-2</v>
      </c>
      <c r="H1260" s="2" t="s">
        <v>248</v>
      </c>
      <c r="J1260" s="2" t="s">
        <v>249</v>
      </c>
      <c r="K1260" s="2" t="s">
        <v>349</v>
      </c>
      <c r="L1260" s="2" t="s">
        <v>849</v>
      </c>
      <c r="M1260" t="s">
        <v>251</v>
      </c>
      <c r="N1260" t="s">
        <v>330</v>
      </c>
      <c r="O1260" t="s">
        <v>331</v>
      </c>
      <c r="P1260" t="s">
        <v>2336</v>
      </c>
      <c r="Q1260" t="s">
        <v>966</v>
      </c>
    </row>
    <row r="1261" spans="1:17">
      <c r="A1261" s="2" t="s">
        <v>334</v>
      </c>
      <c r="B1261" s="2" t="s">
        <v>334</v>
      </c>
      <c r="C1261" s="2" t="s">
        <v>328</v>
      </c>
      <c r="D1261" s="11">
        <v>45979.543055555558</v>
      </c>
      <c r="E1261" s="11">
        <v>45979.543055555558</v>
      </c>
      <c r="F1261" s="11">
        <v>45979.555555555555</v>
      </c>
      <c r="G1261" s="12">
        <v>1.2499999997089617E-2</v>
      </c>
      <c r="H1261" s="2" t="s">
        <v>248</v>
      </c>
      <c r="J1261" s="2" t="s">
        <v>249</v>
      </c>
      <c r="K1261" s="2" t="s">
        <v>349</v>
      </c>
      <c r="L1261" s="2" t="s">
        <v>849</v>
      </c>
      <c r="M1261" t="s">
        <v>251</v>
      </c>
      <c r="N1261" t="s">
        <v>330</v>
      </c>
      <c r="O1261" t="s">
        <v>331</v>
      </c>
      <c r="P1261" t="s">
        <v>2337</v>
      </c>
      <c r="Q1261" t="s">
        <v>966</v>
      </c>
    </row>
    <row r="1262" spans="1:17">
      <c r="A1262" s="2" t="s">
        <v>335</v>
      </c>
      <c r="B1262" s="2" t="s">
        <v>335</v>
      </c>
      <c r="C1262" s="2" t="s">
        <v>328</v>
      </c>
      <c r="D1262" s="11">
        <v>45979.543055555558</v>
      </c>
      <c r="E1262" s="11">
        <v>45979.543055555558</v>
      </c>
      <c r="F1262" s="11">
        <v>45979.555555555555</v>
      </c>
      <c r="G1262" s="12">
        <v>1.2499999997089617E-2</v>
      </c>
      <c r="H1262" s="2" t="s">
        <v>248</v>
      </c>
      <c r="J1262" s="2" t="s">
        <v>249</v>
      </c>
      <c r="K1262" s="2" t="s">
        <v>349</v>
      </c>
      <c r="L1262" s="2" t="s">
        <v>849</v>
      </c>
      <c r="M1262" t="s">
        <v>251</v>
      </c>
      <c r="N1262" t="s">
        <v>330</v>
      </c>
      <c r="O1262" t="s">
        <v>331</v>
      </c>
      <c r="P1262" t="s">
        <v>2338</v>
      </c>
      <c r="Q1262" t="s">
        <v>966</v>
      </c>
    </row>
    <row r="1263" spans="1:17">
      <c r="A1263" s="2" t="s">
        <v>909</v>
      </c>
      <c r="B1263" s="2" t="s">
        <v>678</v>
      </c>
      <c r="C1263" s="2" t="s">
        <v>679</v>
      </c>
      <c r="D1263" s="11">
        <v>45979.554166666669</v>
      </c>
      <c r="E1263" s="11">
        <v>45979.554166666669</v>
      </c>
      <c r="F1263" s="11">
        <v>45979.569444444445</v>
      </c>
      <c r="G1263" s="12">
        <v>1.5277777776645962E-2</v>
      </c>
      <c r="H1263" s="2" t="s">
        <v>260</v>
      </c>
      <c r="I1263" s="2" t="s">
        <v>261</v>
      </c>
      <c r="J1263" s="2" t="s">
        <v>262</v>
      </c>
      <c r="K1263" s="2" t="s">
        <v>263</v>
      </c>
      <c r="L1263" s="2" t="s">
        <v>2339</v>
      </c>
      <c r="M1263" t="s">
        <v>265</v>
      </c>
      <c r="N1263" t="s">
        <v>266</v>
      </c>
      <c r="O1263" t="s">
        <v>267</v>
      </c>
      <c r="P1263" t="s">
        <v>2340</v>
      </c>
      <c r="Q1263" t="s">
        <v>1401</v>
      </c>
    </row>
    <row r="1264" spans="1:17">
      <c r="A1264" s="2" t="s">
        <v>909</v>
      </c>
      <c r="B1264" s="2" t="s">
        <v>678</v>
      </c>
      <c r="C1264" s="2" t="s">
        <v>682</v>
      </c>
      <c r="D1264" s="11">
        <v>45979.554166666669</v>
      </c>
      <c r="E1264" s="11">
        <v>45979.554166666669</v>
      </c>
      <c r="F1264" s="11">
        <v>45979.569444444445</v>
      </c>
      <c r="G1264" s="12">
        <v>1.5277777776645962E-2</v>
      </c>
      <c r="H1264" s="2" t="s">
        <v>260</v>
      </c>
      <c r="I1264" s="2" t="s">
        <v>261</v>
      </c>
      <c r="J1264" s="2" t="s">
        <v>262</v>
      </c>
      <c r="K1264" s="2" t="s">
        <v>263</v>
      </c>
      <c r="L1264" s="2" t="s">
        <v>2339</v>
      </c>
      <c r="M1264" t="s">
        <v>265</v>
      </c>
      <c r="N1264" t="s">
        <v>266</v>
      </c>
      <c r="O1264" t="s">
        <v>267</v>
      </c>
      <c r="P1264" t="s">
        <v>2341</v>
      </c>
      <c r="Q1264" t="s">
        <v>1401</v>
      </c>
    </row>
    <row r="1265" spans="1:17">
      <c r="A1265" s="2" t="s">
        <v>909</v>
      </c>
      <c r="B1265" s="2" t="s">
        <v>678</v>
      </c>
      <c r="C1265" s="2" t="s">
        <v>683</v>
      </c>
      <c r="D1265" s="11">
        <v>45979.554166666669</v>
      </c>
      <c r="E1265" s="11">
        <v>45979.554166666669</v>
      </c>
      <c r="F1265" s="11">
        <v>45979.569444444445</v>
      </c>
      <c r="G1265" s="12">
        <v>1.5277777776645962E-2</v>
      </c>
      <c r="H1265" s="2" t="s">
        <v>260</v>
      </c>
      <c r="I1265" s="2" t="s">
        <v>261</v>
      </c>
      <c r="J1265" s="2" t="s">
        <v>262</v>
      </c>
      <c r="K1265" s="2" t="s">
        <v>263</v>
      </c>
      <c r="L1265" s="2" t="s">
        <v>2339</v>
      </c>
      <c r="M1265" t="s">
        <v>265</v>
      </c>
      <c r="N1265" t="s">
        <v>266</v>
      </c>
      <c r="O1265" t="s">
        <v>267</v>
      </c>
      <c r="P1265" t="s">
        <v>2342</v>
      </c>
      <c r="Q1265" t="s">
        <v>1401</v>
      </c>
    </row>
    <row r="1266" spans="1:17">
      <c r="A1266" s="2" t="s">
        <v>909</v>
      </c>
      <c r="B1266" s="2" t="s">
        <v>678</v>
      </c>
      <c r="C1266" s="2" t="s">
        <v>684</v>
      </c>
      <c r="D1266" s="11">
        <v>45979.554166666669</v>
      </c>
      <c r="E1266" s="11">
        <v>45979.554166666669</v>
      </c>
      <c r="F1266" s="11">
        <v>45979.569444444445</v>
      </c>
      <c r="G1266" s="12">
        <v>1.5277777776645962E-2</v>
      </c>
      <c r="H1266" s="2" t="s">
        <v>260</v>
      </c>
      <c r="I1266" s="2" t="s">
        <v>261</v>
      </c>
      <c r="J1266" s="2" t="s">
        <v>262</v>
      </c>
      <c r="K1266" s="2" t="s">
        <v>263</v>
      </c>
      <c r="L1266" s="2" t="s">
        <v>2339</v>
      </c>
      <c r="M1266" t="s">
        <v>265</v>
      </c>
      <c r="N1266" t="s">
        <v>266</v>
      </c>
      <c r="O1266" t="s">
        <v>267</v>
      </c>
      <c r="P1266" t="s">
        <v>2343</v>
      </c>
      <c r="Q1266" t="s">
        <v>1401</v>
      </c>
    </row>
    <row r="1267" spans="1:17">
      <c r="A1267" s="2" t="s">
        <v>909</v>
      </c>
      <c r="B1267" s="2" t="s">
        <v>678</v>
      </c>
      <c r="C1267" s="2" t="s">
        <v>685</v>
      </c>
      <c r="D1267" s="11">
        <v>45979.554166666669</v>
      </c>
      <c r="E1267" s="11">
        <v>45979.554166666669</v>
      </c>
      <c r="F1267" s="11">
        <v>45979.569444444445</v>
      </c>
      <c r="G1267" s="12">
        <v>1.5277777776645962E-2</v>
      </c>
      <c r="H1267" s="2" t="s">
        <v>260</v>
      </c>
      <c r="I1267" s="2" t="s">
        <v>261</v>
      </c>
      <c r="J1267" s="2" t="s">
        <v>262</v>
      </c>
      <c r="K1267" s="2" t="s">
        <v>263</v>
      </c>
      <c r="L1267" s="2" t="s">
        <v>2339</v>
      </c>
      <c r="M1267" t="s">
        <v>265</v>
      </c>
      <c r="N1267" t="s">
        <v>266</v>
      </c>
      <c r="O1267" t="s">
        <v>267</v>
      </c>
      <c r="P1267" t="s">
        <v>2344</v>
      </c>
      <c r="Q1267" t="s">
        <v>1401</v>
      </c>
    </row>
    <row r="1268" spans="1:17">
      <c r="A1268" s="2" t="s">
        <v>909</v>
      </c>
      <c r="B1268" s="2" t="s">
        <v>678</v>
      </c>
      <c r="C1268" s="2" t="s">
        <v>686</v>
      </c>
      <c r="D1268" s="11">
        <v>45979.554166666669</v>
      </c>
      <c r="E1268" s="11">
        <v>45979.554166666669</v>
      </c>
      <c r="F1268" s="11">
        <v>45979.569444444445</v>
      </c>
      <c r="G1268" s="12">
        <v>1.5277777776645962E-2</v>
      </c>
      <c r="H1268" s="2" t="s">
        <v>260</v>
      </c>
      <c r="I1268" s="2" t="s">
        <v>261</v>
      </c>
      <c r="J1268" s="2" t="s">
        <v>262</v>
      </c>
      <c r="K1268" s="2" t="s">
        <v>263</v>
      </c>
      <c r="L1268" s="2" t="s">
        <v>2339</v>
      </c>
      <c r="M1268" t="s">
        <v>265</v>
      </c>
      <c r="N1268" t="s">
        <v>266</v>
      </c>
      <c r="O1268" t="s">
        <v>267</v>
      </c>
      <c r="P1268" t="s">
        <v>2345</v>
      </c>
      <c r="Q1268" t="s">
        <v>1401</v>
      </c>
    </row>
    <row r="1269" spans="1:17">
      <c r="A1269" s="2" t="s">
        <v>909</v>
      </c>
      <c r="B1269" s="2" t="s">
        <v>678</v>
      </c>
      <c r="C1269" s="2" t="s">
        <v>687</v>
      </c>
      <c r="D1269" s="11">
        <v>45979.554166666669</v>
      </c>
      <c r="E1269" s="11">
        <v>45979.554166666669</v>
      </c>
      <c r="F1269" s="11">
        <v>45979.569444444445</v>
      </c>
      <c r="G1269" s="12">
        <v>1.5277777776645962E-2</v>
      </c>
      <c r="H1269" s="2" t="s">
        <v>260</v>
      </c>
      <c r="I1269" s="2" t="s">
        <v>261</v>
      </c>
      <c r="J1269" s="2" t="s">
        <v>262</v>
      </c>
      <c r="K1269" s="2" t="s">
        <v>263</v>
      </c>
      <c r="L1269" s="2" t="s">
        <v>2339</v>
      </c>
      <c r="M1269" t="s">
        <v>265</v>
      </c>
      <c r="N1269" t="s">
        <v>266</v>
      </c>
      <c r="O1269" t="s">
        <v>267</v>
      </c>
      <c r="P1269" t="s">
        <v>2346</v>
      </c>
      <c r="Q1269" t="s">
        <v>1401</v>
      </c>
    </row>
    <row r="1270" spans="1:17">
      <c r="A1270" s="2" t="s">
        <v>909</v>
      </c>
      <c r="B1270" s="2" t="s">
        <v>678</v>
      </c>
      <c r="C1270" s="2" t="s">
        <v>688</v>
      </c>
      <c r="D1270" s="11">
        <v>45979.554166666669</v>
      </c>
      <c r="E1270" s="11">
        <v>45979.554166666669</v>
      </c>
      <c r="F1270" s="11">
        <v>45979.569444444445</v>
      </c>
      <c r="G1270" s="12">
        <v>1.5277777776645962E-2</v>
      </c>
      <c r="H1270" s="2" t="s">
        <v>260</v>
      </c>
      <c r="I1270" s="2" t="s">
        <v>261</v>
      </c>
      <c r="J1270" s="2" t="s">
        <v>262</v>
      </c>
      <c r="K1270" s="2" t="s">
        <v>263</v>
      </c>
      <c r="L1270" s="2" t="s">
        <v>2339</v>
      </c>
      <c r="M1270" t="s">
        <v>265</v>
      </c>
      <c r="N1270" t="s">
        <v>266</v>
      </c>
      <c r="O1270" t="s">
        <v>267</v>
      </c>
      <c r="P1270" t="s">
        <v>2347</v>
      </c>
      <c r="Q1270" t="s">
        <v>1401</v>
      </c>
    </row>
    <row r="1271" spans="1:17">
      <c r="A1271" s="2" t="s">
        <v>909</v>
      </c>
      <c r="B1271" s="2" t="s">
        <v>678</v>
      </c>
      <c r="C1271" s="2" t="s">
        <v>689</v>
      </c>
      <c r="D1271" s="11">
        <v>45979.554166666669</v>
      </c>
      <c r="E1271" s="11">
        <v>45979.554166666669</v>
      </c>
      <c r="F1271" s="11">
        <v>45979.569444444445</v>
      </c>
      <c r="G1271" s="12">
        <v>1.5277777776645962E-2</v>
      </c>
      <c r="H1271" s="2" t="s">
        <v>260</v>
      </c>
      <c r="I1271" s="2" t="s">
        <v>261</v>
      </c>
      <c r="J1271" s="2" t="s">
        <v>262</v>
      </c>
      <c r="K1271" s="2" t="s">
        <v>263</v>
      </c>
      <c r="L1271" s="2" t="s">
        <v>2339</v>
      </c>
      <c r="M1271" t="s">
        <v>265</v>
      </c>
      <c r="N1271" t="s">
        <v>266</v>
      </c>
      <c r="O1271" t="s">
        <v>267</v>
      </c>
      <c r="P1271" t="s">
        <v>2348</v>
      </c>
      <c r="Q1271" t="s">
        <v>1401</v>
      </c>
    </row>
    <row r="1272" spans="1:17">
      <c r="A1272" s="2" t="s">
        <v>909</v>
      </c>
      <c r="B1272" s="2" t="s">
        <v>678</v>
      </c>
      <c r="C1272" s="2" t="s">
        <v>690</v>
      </c>
      <c r="D1272" s="11">
        <v>45979.554166666669</v>
      </c>
      <c r="E1272" s="11">
        <v>45979.554166666669</v>
      </c>
      <c r="F1272" s="11">
        <v>45979.569444444445</v>
      </c>
      <c r="G1272" s="12">
        <v>1.5277777776645962E-2</v>
      </c>
      <c r="H1272" s="2" t="s">
        <v>260</v>
      </c>
      <c r="I1272" s="2" t="s">
        <v>261</v>
      </c>
      <c r="J1272" s="2" t="s">
        <v>262</v>
      </c>
      <c r="K1272" s="2" t="s">
        <v>263</v>
      </c>
      <c r="L1272" s="2" t="s">
        <v>2339</v>
      </c>
      <c r="M1272" t="s">
        <v>265</v>
      </c>
      <c r="N1272" t="s">
        <v>266</v>
      </c>
      <c r="O1272" t="s">
        <v>267</v>
      </c>
      <c r="P1272" t="s">
        <v>2349</v>
      </c>
      <c r="Q1272" t="s">
        <v>1401</v>
      </c>
    </row>
    <row r="1273" spans="1:17">
      <c r="A1273" s="2" t="s">
        <v>909</v>
      </c>
      <c r="B1273" s="2" t="s">
        <v>678</v>
      </c>
      <c r="C1273" s="2" t="s">
        <v>691</v>
      </c>
      <c r="D1273" s="11">
        <v>45979.554166666669</v>
      </c>
      <c r="E1273" s="11">
        <v>45979.554166666669</v>
      </c>
      <c r="F1273" s="11">
        <v>45979.569444444445</v>
      </c>
      <c r="G1273" s="12">
        <v>1.5277777776645962E-2</v>
      </c>
      <c r="H1273" s="2" t="s">
        <v>260</v>
      </c>
      <c r="I1273" s="2" t="s">
        <v>261</v>
      </c>
      <c r="J1273" s="2" t="s">
        <v>262</v>
      </c>
      <c r="K1273" s="2" t="s">
        <v>263</v>
      </c>
      <c r="L1273" s="2" t="s">
        <v>2339</v>
      </c>
      <c r="M1273" t="s">
        <v>265</v>
      </c>
      <c r="N1273" t="s">
        <v>266</v>
      </c>
      <c r="O1273" t="s">
        <v>267</v>
      </c>
      <c r="P1273" t="s">
        <v>2350</v>
      </c>
      <c r="Q1273" t="s">
        <v>1401</v>
      </c>
    </row>
    <row r="1274" spans="1:17">
      <c r="A1274" s="2" t="s">
        <v>909</v>
      </c>
      <c r="B1274" s="2" t="s">
        <v>678</v>
      </c>
      <c r="C1274" s="2" t="s">
        <v>654</v>
      </c>
      <c r="D1274" s="11">
        <v>45979.554166666669</v>
      </c>
      <c r="E1274" s="11">
        <v>45979.554166666669</v>
      </c>
      <c r="F1274" s="11">
        <v>45979.569444444445</v>
      </c>
      <c r="G1274" s="12">
        <v>1.5277777776645962E-2</v>
      </c>
      <c r="H1274" s="2" t="s">
        <v>260</v>
      </c>
      <c r="I1274" s="2" t="s">
        <v>261</v>
      </c>
      <c r="J1274" s="2" t="s">
        <v>262</v>
      </c>
      <c r="K1274" s="2" t="s">
        <v>263</v>
      </c>
      <c r="L1274" s="2" t="s">
        <v>2339</v>
      </c>
      <c r="M1274" t="s">
        <v>265</v>
      </c>
      <c r="N1274" t="s">
        <v>266</v>
      </c>
      <c r="O1274" t="s">
        <v>267</v>
      </c>
      <c r="P1274" t="s">
        <v>2351</v>
      </c>
      <c r="Q1274" t="s">
        <v>1401</v>
      </c>
    </row>
    <row r="1275" spans="1:17">
      <c r="A1275" s="2" t="s">
        <v>909</v>
      </c>
      <c r="B1275" s="2" t="s">
        <v>678</v>
      </c>
      <c r="C1275" s="2" t="s">
        <v>557</v>
      </c>
      <c r="D1275" s="11">
        <v>45979.554166666669</v>
      </c>
      <c r="E1275" s="11">
        <v>45979.554166666669</v>
      </c>
      <c r="F1275" s="11">
        <v>45979.569444444445</v>
      </c>
      <c r="G1275" s="12">
        <v>1.5277777776645962E-2</v>
      </c>
      <c r="H1275" s="2" t="s">
        <v>260</v>
      </c>
      <c r="I1275" s="2" t="s">
        <v>261</v>
      </c>
      <c r="J1275" s="2" t="s">
        <v>262</v>
      </c>
      <c r="K1275" s="2" t="s">
        <v>263</v>
      </c>
      <c r="L1275" s="2" t="s">
        <v>2339</v>
      </c>
      <c r="M1275" t="s">
        <v>265</v>
      </c>
      <c r="N1275" t="s">
        <v>266</v>
      </c>
      <c r="O1275" t="s">
        <v>267</v>
      </c>
      <c r="P1275" t="s">
        <v>2352</v>
      </c>
      <c r="Q1275" t="s">
        <v>1401</v>
      </c>
    </row>
    <row r="1276" spans="1:17">
      <c r="A1276" s="2" t="s">
        <v>909</v>
      </c>
      <c r="B1276" s="2" t="s">
        <v>678</v>
      </c>
      <c r="C1276" s="2" t="s">
        <v>692</v>
      </c>
      <c r="D1276" s="11">
        <v>45979.554166666669</v>
      </c>
      <c r="E1276" s="11">
        <v>45979.554166666669</v>
      </c>
      <c r="F1276" s="11">
        <v>45979.569444444445</v>
      </c>
      <c r="G1276" s="12">
        <v>1.5277777776645962E-2</v>
      </c>
      <c r="H1276" s="2" t="s">
        <v>260</v>
      </c>
      <c r="I1276" s="2" t="s">
        <v>261</v>
      </c>
      <c r="J1276" s="2" t="s">
        <v>262</v>
      </c>
      <c r="K1276" s="2" t="s">
        <v>263</v>
      </c>
      <c r="L1276" s="2" t="s">
        <v>2339</v>
      </c>
      <c r="M1276" t="s">
        <v>265</v>
      </c>
      <c r="N1276" t="s">
        <v>266</v>
      </c>
      <c r="O1276" t="s">
        <v>267</v>
      </c>
      <c r="P1276" t="s">
        <v>2353</v>
      </c>
      <c r="Q1276" t="s">
        <v>1401</v>
      </c>
    </row>
    <row r="1277" spans="1:17">
      <c r="A1277" s="2" t="s">
        <v>909</v>
      </c>
      <c r="B1277" s="2" t="s">
        <v>678</v>
      </c>
      <c r="C1277" s="2" t="s">
        <v>693</v>
      </c>
      <c r="D1277" s="11">
        <v>45979.554166666669</v>
      </c>
      <c r="E1277" s="11">
        <v>45979.554166666669</v>
      </c>
      <c r="F1277" s="11">
        <v>45979.569444444445</v>
      </c>
      <c r="G1277" s="12">
        <v>1.5277777776645962E-2</v>
      </c>
      <c r="H1277" s="2" t="s">
        <v>260</v>
      </c>
      <c r="I1277" s="2" t="s">
        <v>261</v>
      </c>
      <c r="J1277" s="2" t="s">
        <v>262</v>
      </c>
      <c r="K1277" s="2" t="s">
        <v>263</v>
      </c>
      <c r="L1277" s="2" t="s">
        <v>2339</v>
      </c>
      <c r="M1277" t="s">
        <v>265</v>
      </c>
      <c r="N1277" t="s">
        <v>266</v>
      </c>
      <c r="O1277" t="s">
        <v>267</v>
      </c>
      <c r="P1277" t="s">
        <v>2354</v>
      </c>
      <c r="Q1277" t="s">
        <v>1401</v>
      </c>
    </row>
    <row r="1278" spans="1:17">
      <c r="A1278" s="2" t="s">
        <v>909</v>
      </c>
      <c r="B1278" s="2" t="s">
        <v>678</v>
      </c>
      <c r="C1278" s="2" t="s">
        <v>694</v>
      </c>
      <c r="D1278" s="11">
        <v>45979.554166666669</v>
      </c>
      <c r="E1278" s="11">
        <v>45979.554166666669</v>
      </c>
      <c r="F1278" s="11">
        <v>45979.569444444445</v>
      </c>
      <c r="G1278" s="12">
        <v>1.5277777776645962E-2</v>
      </c>
      <c r="H1278" s="2" t="s">
        <v>260</v>
      </c>
      <c r="I1278" s="2" t="s">
        <v>261</v>
      </c>
      <c r="J1278" s="2" t="s">
        <v>262</v>
      </c>
      <c r="K1278" s="2" t="s">
        <v>263</v>
      </c>
      <c r="L1278" s="2" t="s">
        <v>2339</v>
      </c>
      <c r="M1278" t="s">
        <v>265</v>
      </c>
      <c r="N1278" t="s">
        <v>266</v>
      </c>
      <c r="O1278" t="s">
        <v>267</v>
      </c>
      <c r="P1278" t="s">
        <v>2355</v>
      </c>
      <c r="Q1278" t="s">
        <v>1401</v>
      </c>
    </row>
    <row r="1279" spans="1:17">
      <c r="A1279" s="2" t="s">
        <v>909</v>
      </c>
      <c r="B1279" s="2" t="s">
        <v>678</v>
      </c>
      <c r="C1279" s="2" t="s">
        <v>695</v>
      </c>
      <c r="D1279" s="11">
        <v>45979.554166666669</v>
      </c>
      <c r="E1279" s="11">
        <v>45979.554166666669</v>
      </c>
      <c r="F1279" s="11">
        <v>45979.569444444445</v>
      </c>
      <c r="G1279" s="12">
        <v>1.5277777776645962E-2</v>
      </c>
      <c r="H1279" s="2" t="s">
        <v>260</v>
      </c>
      <c r="I1279" s="2" t="s">
        <v>261</v>
      </c>
      <c r="J1279" s="2" t="s">
        <v>262</v>
      </c>
      <c r="K1279" s="2" t="s">
        <v>263</v>
      </c>
      <c r="L1279" s="2" t="s">
        <v>2339</v>
      </c>
      <c r="M1279" t="s">
        <v>265</v>
      </c>
      <c r="N1279" t="s">
        <v>266</v>
      </c>
      <c r="O1279" t="s">
        <v>267</v>
      </c>
      <c r="P1279" t="s">
        <v>2356</v>
      </c>
      <c r="Q1279" t="s">
        <v>1401</v>
      </c>
    </row>
    <row r="1280" spans="1:17">
      <c r="A1280" s="2" t="s">
        <v>912</v>
      </c>
      <c r="B1280" s="2" t="s">
        <v>1167</v>
      </c>
      <c r="C1280" s="2" t="s">
        <v>913</v>
      </c>
      <c r="D1280" s="11">
        <v>45979.554166666669</v>
      </c>
      <c r="E1280" s="11">
        <v>45979.554166666669</v>
      </c>
      <c r="F1280" s="11">
        <v>45979.569444444445</v>
      </c>
      <c r="G1280" s="12">
        <v>1.5277777776645962E-2</v>
      </c>
      <c r="H1280" s="2" t="s">
        <v>260</v>
      </c>
      <c r="I1280" s="2" t="s">
        <v>261</v>
      </c>
      <c r="J1280" s="2" t="s">
        <v>262</v>
      </c>
      <c r="K1280" s="2" t="s">
        <v>263</v>
      </c>
      <c r="L1280" s="2" t="s">
        <v>2339</v>
      </c>
      <c r="M1280" t="s">
        <v>265</v>
      </c>
      <c r="N1280" t="s">
        <v>266</v>
      </c>
      <c r="O1280" t="s">
        <v>267</v>
      </c>
      <c r="P1280" t="s">
        <v>2357</v>
      </c>
      <c r="Q1280" t="s">
        <v>1401</v>
      </c>
    </row>
    <row r="1281" spans="1:17">
      <c r="A1281" s="2" t="s">
        <v>912</v>
      </c>
      <c r="B1281" s="2" t="s">
        <v>1167</v>
      </c>
      <c r="C1281" s="2" t="s">
        <v>914</v>
      </c>
      <c r="D1281" s="11">
        <v>45979.554166666669</v>
      </c>
      <c r="E1281" s="11">
        <v>45979.554166666669</v>
      </c>
      <c r="F1281" s="11">
        <v>45979.569444444445</v>
      </c>
      <c r="G1281" s="12">
        <v>1.5277777776645962E-2</v>
      </c>
      <c r="H1281" s="2" t="s">
        <v>260</v>
      </c>
      <c r="I1281" s="2" t="s">
        <v>261</v>
      </c>
      <c r="J1281" s="2" t="s">
        <v>262</v>
      </c>
      <c r="K1281" s="2" t="s">
        <v>263</v>
      </c>
      <c r="L1281" s="2" t="s">
        <v>2339</v>
      </c>
      <c r="M1281" t="s">
        <v>265</v>
      </c>
      <c r="N1281" t="s">
        <v>266</v>
      </c>
      <c r="O1281" t="s">
        <v>267</v>
      </c>
      <c r="P1281" t="s">
        <v>2358</v>
      </c>
      <c r="Q1281" t="s">
        <v>1401</v>
      </c>
    </row>
    <row r="1282" spans="1:17">
      <c r="A1282" s="2" t="s">
        <v>912</v>
      </c>
      <c r="B1282" s="2" t="s">
        <v>1167</v>
      </c>
      <c r="C1282" s="2" t="s">
        <v>915</v>
      </c>
      <c r="D1282" s="11">
        <v>45979.554166666669</v>
      </c>
      <c r="E1282" s="11">
        <v>45979.554166666669</v>
      </c>
      <c r="F1282" s="11">
        <v>45979.569444444445</v>
      </c>
      <c r="G1282" s="12">
        <v>1.5277777776645962E-2</v>
      </c>
      <c r="H1282" s="2" t="s">
        <v>260</v>
      </c>
      <c r="I1282" s="2" t="s">
        <v>261</v>
      </c>
      <c r="J1282" s="2" t="s">
        <v>262</v>
      </c>
      <c r="K1282" s="2" t="s">
        <v>263</v>
      </c>
      <c r="L1282" s="2" t="s">
        <v>2339</v>
      </c>
      <c r="M1282" t="s">
        <v>265</v>
      </c>
      <c r="N1282" t="s">
        <v>266</v>
      </c>
      <c r="O1282" t="s">
        <v>267</v>
      </c>
      <c r="P1282" t="s">
        <v>2359</v>
      </c>
      <c r="Q1282" t="s">
        <v>1401</v>
      </c>
    </row>
    <row r="1283" spans="1:17">
      <c r="A1283" s="2" t="s">
        <v>912</v>
      </c>
      <c r="B1283" s="2" t="s">
        <v>1167</v>
      </c>
      <c r="C1283" s="2" t="s">
        <v>916</v>
      </c>
      <c r="D1283" s="11">
        <v>45979.554166666669</v>
      </c>
      <c r="E1283" s="11">
        <v>45979.554166666669</v>
      </c>
      <c r="F1283" s="11">
        <v>45979.569444444445</v>
      </c>
      <c r="G1283" s="12">
        <v>1.5277777776645962E-2</v>
      </c>
      <c r="H1283" s="2" t="s">
        <v>260</v>
      </c>
      <c r="I1283" s="2" t="s">
        <v>261</v>
      </c>
      <c r="J1283" s="2" t="s">
        <v>262</v>
      </c>
      <c r="K1283" s="2" t="s">
        <v>263</v>
      </c>
      <c r="L1283" s="2" t="s">
        <v>2339</v>
      </c>
      <c r="M1283" t="s">
        <v>265</v>
      </c>
      <c r="N1283" t="s">
        <v>266</v>
      </c>
      <c r="O1283" t="s">
        <v>267</v>
      </c>
      <c r="P1283" t="s">
        <v>2360</v>
      </c>
      <c r="Q1283" t="s">
        <v>1401</v>
      </c>
    </row>
    <row r="1284" spans="1:17">
      <c r="A1284" s="2" t="s">
        <v>912</v>
      </c>
      <c r="B1284" s="2" t="s">
        <v>1167</v>
      </c>
      <c r="C1284" s="2" t="s">
        <v>917</v>
      </c>
      <c r="D1284" s="11">
        <v>45979.554166666669</v>
      </c>
      <c r="E1284" s="11">
        <v>45979.554166666669</v>
      </c>
      <c r="F1284" s="11">
        <v>45979.569444444445</v>
      </c>
      <c r="G1284" s="12">
        <v>1.5277777776645962E-2</v>
      </c>
      <c r="H1284" s="2" t="s">
        <v>260</v>
      </c>
      <c r="I1284" s="2" t="s">
        <v>261</v>
      </c>
      <c r="J1284" s="2" t="s">
        <v>262</v>
      </c>
      <c r="K1284" s="2" t="s">
        <v>263</v>
      </c>
      <c r="L1284" s="2" t="s">
        <v>2339</v>
      </c>
      <c r="M1284" t="s">
        <v>265</v>
      </c>
      <c r="N1284" t="s">
        <v>266</v>
      </c>
      <c r="O1284" t="s">
        <v>267</v>
      </c>
      <c r="P1284" t="s">
        <v>2361</v>
      </c>
      <c r="Q1284" t="s">
        <v>1401</v>
      </c>
    </row>
    <row r="1285" spans="1:17">
      <c r="A1285" s="2" t="s">
        <v>912</v>
      </c>
      <c r="B1285" s="2" t="s">
        <v>1167</v>
      </c>
      <c r="C1285" s="2" t="s">
        <v>918</v>
      </c>
      <c r="D1285" s="11">
        <v>45979.554166666669</v>
      </c>
      <c r="E1285" s="11">
        <v>45979.554166666669</v>
      </c>
      <c r="F1285" s="11">
        <v>45979.569444444445</v>
      </c>
      <c r="G1285" s="12">
        <v>1.5277777776645962E-2</v>
      </c>
      <c r="H1285" s="2" t="s">
        <v>260</v>
      </c>
      <c r="I1285" s="2" t="s">
        <v>261</v>
      </c>
      <c r="J1285" s="2" t="s">
        <v>262</v>
      </c>
      <c r="K1285" s="2" t="s">
        <v>263</v>
      </c>
      <c r="L1285" s="2" t="s">
        <v>2339</v>
      </c>
      <c r="M1285" t="s">
        <v>265</v>
      </c>
      <c r="N1285" t="s">
        <v>266</v>
      </c>
      <c r="O1285" t="s">
        <v>267</v>
      </c>
      <c r="P1285" t="s">
        <v>2362</v>
      </c>
      <c r="Q1285" t="s">
        <v>1401</v>
      </c>
    </row>
    <row r="1286" spans="1:17">
      <c r="A1286" s="2" t="s">
        <v>912</v>
      </c>
      <c r="B1286" s="2" t="s">
        <v>1167</v>
      </c>
      <c r="C1286" s="2" t="s">
        <v>919</v>
      </c>
      <c r="D1286" s="11">
        <v>45979.554166666669</v>
      </c>
      <c r="E1286" s="11">
        <v>45979.554166666669</v>
      </c>
      <c r="F1286" s="11">
        <v>45979.569444444445</v>
      </c>
      <c r="G1286" s="12">
        <v>1.5277777776645962E-2</v>
      </c>
      <c r="H1286" s="2" t="s">
        <v>260</v>
      </c>
      <c r="I1286" s="2" t="s">
        <v>261</v>
      </c>
      <c r="J1286" s="2" t="s">
        <v>262</v>
      </c>
      <c r="K1286" s="2" t="s">
        <v>263</v>
      </c>
      <c r="L1286" s="2" t="s">
        <v>2339</v>
      </c>
      <c r="M1286" t="s">
        <v>265</v>
      </c>
      <c r="N1286" t="s">
        <v>266</v>
      </c>
      <c r="O1286" t="s">
        <v>267</v>
      </c>
      <c r="P1286" t="s">
        <v>2363</v>
      </c>
      <c r="Q1286" t="s">
        <v>1401</v>
      </c>
    </row>
    <row r="1287" spans="1:17">
      <c r="A1287" s="2" t="s">
        <v>912</v>
      </c>
      <c r="B1287" s="2" t="s">
        <v>1167</v>
      </c>
      <c r="C1287" s="2" t="s">
        <v>920</v>
      </c>
      <c r="D1287" s="11">
        <v>45979.554166666669</v>
      </c>
      <c r="E1287" s="11">
        <v>45979.554166666669</v>
      </c>
      <c r="F1287" s="11">
        <v>45979.569444444445</v>
      </c>
      <c r="G1287" s="12">
        <v>1.5277777776645962E-2</v>
      </c>
      <c r="H1287" s="2" t="s">
        <v>260</v>
      </c>
      <c r="I1287" s="2" t="s">
        <v>261</v>
      </c>
      <c r="J1287" s="2" t="s">
        <v>262</v>
      </c>
      <c r="K1287" s="2" t="s">
        <v>263</v>
      </c>
      <c r="L1287" s="2" t="s">
        <v>2339</v>
      </c>
      <c r="M1287" t="s">
        <v>265</v>
      </c>
      <c r="N1287" t="s">
        <v>266</v>
      </c>
      <c r="O1287" t="s">
        <v>267</v>
      </c>
      <c r="P1287" t="s">
        <v>2364</v>
      </c>
      <c r="Q1287" t="s">
        <v>1401</v>
      </c>
    </row>
    <row r="1288" spans="1:17">
      <c r="A1288" s="2" t="s">
        <v>912</v>
      </c>
      <c r="B1288" s="2" t="s">
        <v>1167</v>
      </c>
      <c r="C1288" s="2" t="s">
        <v>921</v>
      </c>
      <c r="D1288" s="11">
        <v>45979.554166666669</v>
      </c>
      <c r="E1288" s="11">
        <v>45979.554166666669</v>
      </c>
      <c r="F1288" s="11">
        <v>45979.569444444445</v>
      </c>
      <c r="G1288" s="12">
        <v>1.5277777776645962E-2</v>
      </c>
      <c r="H1288" s="2" t="s">
        <v>260</v>
      </c>
      <c r="I1288" s="2" t="s">
        <v>261</v>
      </c>
      <c r="J1288" s="2" t="s">
        <v>262</v>
      </c>
      <c r="K1288" s="2" t="s">
        <v>263</v>
      </c>
      <c r="L1288" s="2" t="s">
        <v>2339</v>
      </c>
      <c r="M1288" t="s">
        <v>265</v>
      </c>
      <c r="N1288" t="s">
        <v>266</v>
      </c>
      <c r="O1288" t="s">
        <v>267</v>
      </c>
      <c r="P1288" t="s">
        <v>2365</v>
      </c>
      <c r="Q1288" t="s">
        <v>1401</v>
      </c>
    </row>
    <row r="1289" spans="1:17">
      <c r="A1289" s="2" t="s">
        <v>912</v>
      </c>
      <c r="B1289" s="2" t="s">
        <v>1167</v>
      </c>
      <c r="C1289" s="2" t="s">
        <v>922</v>
      </c>
      <c r="D1289" s="11">
        <v>45979.554166666669</v>
      </c>
      <c r="E1289" s="11">
        <v>45979.554166666669</v>
      </c>
      <c r="F1289" s="11">
        <v>45979.569444444445</v>
      </c>
      <c r="G1289" s="12">
        <v>1.5277777776645962E-2</v>
      </c>
      <c r="H1289" s="2" t="s">
        <v>260</v>
      </c>
      <c r="I1289" s="2" t="s">
        <v>261</v>
      </c>
      <c r="J1289" s="2" t="s">
        <v>262</v>
      </c>
      <c r="K1289" s="2" t="s">
        <v>263</v>
      </c>
      <c r="L1289" s="2" t="s">
        <v>2339</v>
      </c>
      <c r="M1289" t="s">
        <v>265</v>
      </c>
      <c r="N1289" t="s">
        <v>266</v>
      </c>
      <c r="O1289" t="s">
        <v>267</v>
      </c>
      <c r="P1289" t="s">
        <v>2366</v>
      </c>
      <c r="Q1289" t="s">
        <v>1401</v>
      </c>
    </row>
    <row r="1290" spans="1:17">
      <c r="A1290" s="2" t="s">
        <v>912</v>
      </c>
      <c r="B1290" s="2" t="s">
        <v>1167</v>
      </c>
      <c r="C1290" s="2" t="s">
        <v>923</v>
      </c>
      <c r="D1290" s="11">
        <v>45979.554166666669</v>
      </c>
      <c r="E1290" s="11">
        <v>45979.554166666669</v>
      </c>
      <c r="F1290" s="11">
        <v>45979.569444444445</v>
      </c>
      <c r="G1290" s="12">
        <v>1.5277777776645962E-2</v>
      </c>
      <c r="H1290" s="2" t="s">
        <v>260</v>
      </c>
      <c r="I1290" s="2" t="s">
        <v>261</v>
      </c>
      <c r="J1290" s="2" t="s">
        <v>262</v>
      </c>
      <c r="K1290" s="2" t="s">
        <v>263</v>
      </c>
      <c r="L1290" s="2" t="s">
        <v>2339</v>
      </c>
      <c r="M1290" t="s">
        <v>265</v>
      </c>
      <c r="N1290" t="s">
        <v>266</v>
      </c>
      <c r="O1290" t="s">
        <v>267</v>
      </c>
      <c r="P1290" t="s">
        <v>2367</v>
      </c>
      <c r="Q1290" t="s">
        <v>1401</v>
      </c>
    </row>
    <row r="1291" spans="1:17">
      <c r="A1291" s="2" t="s">
        <v>912</v>
      </c>
      <c r="B1291" s="2" t="s">
        <v>1167</v>
      </c>
      <c r="C1291" s="2" t="s">
        <v>924</v>
      </c>
      <c r="D1291" s="11">
        <v>45979.554166666669</v>
      </c>
      <c r="E1291" s="11">
        <v>45979.554166666669</v>
      </c>
      <c r="F1291" s="11">
        <v>45979.569444444445</v>
      </c>
      <c r="G1291" s="12">
        <v>1.5277777776645962E-2</v>
      </c>
      <c r="H1291" s="2" t="s">
        <v>260</v>
      </c>
      <c r="I1291" s="2" t="s">
        <v>261</v>
      </c>
      <c r="J1291" s="2" t="s">
        <v>262</v>
      </c>
      <c r="K1291" s="2" t="s">
        <v>263</v>
      </c>
      <c r="L1291" s="2" t="s">
        <v>2339</v>
      </c>
      <c r="M1291" t="s">
        <v>265</v>
      </c>
      <c r="N1291" t="s">
        <v>266</v>
      </c>
      <c r="O1291" t="s">
        <v>267</v>
      </c>
      <c r="P1291" t="s">
        <v>2368</v>
      </c>
      <c r="Q1291" t="s">
        <v>1401</v>
      </c>
    </row>
    <row r="1292" spans="1:17">
      <c r="A1292" s="2" t="s">
        <v>912</v>
      </c>
      <c r="B1292" s="2" t="s">
        <v>1167</v>
      </c>
      <c r="C1292" s="2" t="s">
        <v>925</v>
      </c>
      <c r="D1292" s="11">
        <v>45979.554166666669</v>
      </c>
      <c r="E1292" s="11">
        <v>45979.554166666669</v>
      </c>
      <c r="F1292" s="11">
        <v>45979.569444444445</v>
      </c>
      <c r="G1292" s="12">
        <v>1.5277777776645962E-2</v>
      </c>
      <c r="H1292" s="2" t="s">
        <v>260</v>
      </c>
      <c r="I1292" s="2" t="s">
        <v>261</v>
      </c>
      <c r="J1292" s="2" t="s">
        <v>262</v>
      </c>
      <c r="K1292" s="2" t="s">
        <v>263</v>
      </c>
      <c r="L1292" s="2" t="s">
        <v>2339</v>
      </c>
      <c r="M1292" t="s">
        <v>265</v>
      </c>
      <c r="N1292" t="s">
        <v>266</v>
      </c>
      <c r="O1292" t="s">
        <v>267</v>
      </c>
      <c r="P1292" t="s">
        <v>2369</v>
      </c>
      <c r="Q1292" t="s">
        <v>1401</v>
      </c>
    </row>
    <row r="1293" spans="1:17">
      <c r="A1293" s="2" t="s">
        <v>912</v>
      </c>
      <c r="B1293" s="2" t="s">
        <v>1167</v>
      </c>
      <c r="C1293" s="2" t="s">
        <v>926</v>
      </c>
      <c r="D1293" s="11">
        <v>45979.554166666669</v>
      </c>
      <c r="E1293" s="11">
        <v>45979.554166666669</v>
      </c>
      <c r="F1293" s="11">
        <v>45979.569444444445</v>
      </c>
      <c r="G1293" s="12">
        <v>1.5277777776645962E-2</v>
      </c>
      <c r="H1293" s="2" t="s">
        <v>260</v>
      </c>
      <c r="I1293" s="2" t="s">
        <v>261</v>
      </c>
      <c r="J1293" s="2" t="s">
        <v>262</v>
      </c>
      <c r="K1293" s="2" t="s">
        <v>263</v>
      </c>
      <c r="L1293" s="2" t="s">
        <v>2339</v>
      </c>
      <c r="M1293" t="s">
        <v>265</v>
      </c>
      <c r="N1293" t="s">
        <v>266</v>
      </c>
      <c r="O1293" t="s">
        <v>267</v>
      </c>
      <c r="P1293" t="s">
        <v>2370</v>
      </c>
      <c r="Q1293" t="s">
        <v>1401</v>
      </c>
    </row>
    <row r="1294" spans="1:17">
      <c r="A1294" s="2" t="s">
        <v>912</v>
      </c>
      <c r="B1294" s="2" t="s">
        <v>1167</v>
      </c>
      <c r="C1294" s="2" t="s">
        <v>927</v>
      </c>
      <c r="D1294" s="11">
        <v>45979.554166666669</v>
      </c>
      <c r="E1294" s="11">
        <v>45979.554166666669</v>
      </c>
      <c r="F1294" s="11">
        <v>45979.569444444445</v>
      </c>
      <c r="G1294" s="12">
        <v>1.5277777776645962E-2</v>
      </c>
      <c r="H1294" s="2" t="s">
        <v>260</v>
      </c>
      <c r="I1294" s="2" t="s">
        <v>261</v>
      </c>
      <c r="J1294" s="2" t="s">
        <v>262</v>
      </c>
      <c r="K1294" s="2" t="s">
        <v>263</v>
      </c>
      <c r="L1294" s="2" t="s">
        <v>2339</v>
      </c>
      <c r="M1294" t="s">
        <v>265</v>
      </c>
      <c r="N1294" t="s">
        <v>266</v>
      </c>
      <c r="O1294" t="s">
        <v>267</v>
      </c>
      <c r="P1294" t="s">
        <v>2371</v>
      </c>
      <c r="Q1294" t="s">
        <v>1401</v>
      </c>
    </row>
    <row r="1295" spans="1:17">
      <c r="A1295" s="2" t="s">
        <v>912</v>
      </c>
      <c r="B1295" s="2" t="s">
        <v>1167</v>
      </c>
      <c r="C1295" s="2" t="s">
        <v>928</v>
      </c>
      <c r="D1295" s="11">
        <v>45979.554166666669</v>
      </c>
      <c r="E1295" s="11">
        <v>45979.554166666669</v>
      </c>
      <c r="F1295" s="11">
        <v>45979.569444444445</v>
      </c>
      <c r="G1295" s="12">
        <v>1.5277777776645962E-2</v>
      </c>
      <c r="H1295" s="2" t="s">
        <v>260</v>
      </c>
      <c r="I1295" s="2" t="s">
        <v>261</v>
      </c>
      <c r="J1295" s="2" t="s">
        <v>262</v>
      </c>
      <c r="K1295" s="2" t="s">
        <v>263</v>
      </c>
      <c r="L1295" s="2" t="s">
        <v>2339</v>
      </c>
      <c r="M1295" t="s">
        <v>265</v>
      </c>
      <c r="N1295" t="s">
        <v>266</v>
      </c>
      <c r="O1295" t="s">
        <v>267</v>
      </c>
      <c r="P1295" t="s">
        <v>2372</v>
      </c>
      <c r="Q1295" t="s">
        <v>1401</v>
      </c>
    </row>
    <row r="1296" spans="1:17">
      <c r="A1296" s="2" t="s">
        <v>912</v>
      </c>
      <c r="B1296" s="2" t="s">
        <v>1167</v>
      </c>
      <c r="C1296" s="2" t="s">
        <v>929</v>
      </c>
      <c r="D1296" s="11">
        <v>45979.554166666669</v>
      </c>
      <c r="E1296" s="11">
        <v>45979.554166666669</v>
      </c>
      <c r="F1296" s="11">
        <v>45979.569444444445</v>
      </c>
      <c r="G1296" s="12">
        <v>1.5277777776645962E-2</v>
      </c>
      <c r="H1296" s="2" t="s">
        <v>260</v>
      </c>
      <c r="I1296" s="2" t="s">
        <v>261</v>
      </c>
      <c r="J1296" s="2" t="s">
        <v>262</v>
      </c>
      <c r="K1296" s="2" t="s">
        <v>263</v>
      </c>
      <c r="L1296" s="2" t="s">
        <v>2339</v>
      </c>
      <c r="M1296" t="s">
        <v>265</v>
      </c>
      <c r="N1296" t="s">
        <v>266</v>
      </c>
      <c r="O1296" t="s">
        <v>267</v>
      </c>
      <c r="P1296" t="s">
        <v>2373</v>
      </c>
      <c r="Q1296" t="s">
        <v>1401</v>
      </c>
    </row>
    <row r="1297" spans="1:17">
      <c r="A1297" s="2" t="s">
        <v>382</v>
      </c>
      <c r="B1297" s="2" t="s">
        <v>382</v>
      </c>
      <c r="C1297" s="2" t="s">
        <v>328</v>
      </c>
      <c r="D1297" s="11">
        <v>45980.246527777781</v>
      </c>
      <c r="E1297" s="11">
        <v>45980.246527777781</v>
      </c>
      <c r="F1297" s="11">
        <v>45980.3125</v>
      </c>
      <c r="G1297" s="12">
        <v>6.5972222218988463E-2</v>
      </c>
      <c r="H1297" s="2" t="s">
        <v>248</v>
      </c>
      <c r="J1297" s="2" t="s">
        <v>249</v>
      </c>
      <c r="K1297" s="2" t="s">
        <v>349</v>
      </c>
      <c r="L1297" s="2" t="s">
        <v>672</v>
      </c>
      <c r="M1297" t="s">
        <v>251</v>
      </c>
      <c r="N1297" t="s">
        <v>330</v>
      </c>
      <c r="O1297" t="s">
        <v>673</v>
      </c>
      <c r="P1297" t="s">
        <v>2374</v>
      </c>
      <c r="Q1297" t="s">
        <v>966</v>
      </c>
    </row>
    <row r="1298" spans="1:17">
      <c r="A1298" s="2" t="s">
        <v>382</v>
      </c>
      <c r="B1298" s="2" t="s">
        <v>382</v>
      </c>
      <c r="C1298" s="2" t="s">
        <v>247</v>
      </c>
      <c r="D1298" s="11">
        <v>45980.246527777781</v>
      </c>
      <c r="E1298" s="11">
        <v>45980.246527777781</v>
      </c>
      <c r="F1298" s="11">
        <v>45980.3125</v>
      </c>
      <c r="G1298" s="12">
        <v>6.5972222218988463E-2</v>
      </c>
      <c r="H1298" s="2" t="s">
        <v>248</v>
      </c>
      <c r="J1298" s="2" t="s">
        <v>249</v>
      </c>
      <c r="K1298" s="2" t="s">
        <v>349</v>
      </c>
      <c r="L1298" s="2" t="s">
        <v>672</v>
      </c>
      <c r="M1298" t="s">
        <v>251</v>
      </c>
      <c r="N1298" t="s">
        <v>330</v>
      </c>
      <c r="O1298" t="s">
        <v>673</v>
      </c>
      <c r="P1298" t="s">
        <v>2375</v>
      </c>
      <c r="Q1298" t="s">
        <v>966</v>
      </c>
    </row>
    <row r="1299" spans="1:17">
      <c r="A1299" s="2" t="s">
        <v>382</v>
      </c>
      <c r="B1299" s="2" t="s">
        <v>382</v>
      </c>
      <c r="C1299" s="2" t="s">
        <v>254</v>
      </c>
      <c r="D1299" s="11">
        <v>45980.246527777781</v>
      </c>
      <c r="E1299" s="11">
        <v>45980.246527777781</v>
      </c>
      <c r="F1299" s="11">
        <v>45980.3125</v>
      </c>
      <c r="G1299" s="12">
        <v>6.5972222218988463E-2</v>
      </c>
      <c r="H1299" s="2" t="s">
        <v>248</v>
      </c>
      <c r="J1299" s="2" t="s">
        <v>249</v>
      </c>
      <c r="K1299" s="2" t="s">
        <v>349</v>
      </c>
      <c r="L1299" s="2" t="s">
        <v>672</v>
      </c>
      <c r="M1299" t="s">
        <v>251</v>
      </c>
      <c r="N1299" t="s">
        <v>330</v>
      </c>
      <c r="O1299" t="s">
        <v>673</v>
      </c>
      <c r="P1299" t="s">
        <v>2376</v>
      </c>
      <c r="Q1299" t="s">
        <v>966</v>
      </c>
    </row>
    <row r="1300" spans="1:17">
      <c r="A1300" s="2" t="s">
        <v>382</v>
      </c>
      <c r="B1300" s="2" t="s">
        <v>382</v>
      </c>
      <c r="C1300" s="2" t="s">
        <v>257</v>
      </c>
      <c r="D1300" s="11">
        <v>45980.246527777781</v>
      </c>
      <c r="E1300" s="11">
        <v>45980.246527777781</v>
      </c>
      <c r="F1300" s="11">
        <v>45980.3125</v>
      </c>
      <c r="G1300" s="12">
        <v>6.5972222218988463E-2</v>
      </c>
      <c r="H1300" s="2" t="s">
        <v>248</v>
      </c>
      <c r="J1300" s="2" t="s">
        <v>249</v>
      </c>
      <c r="K1300" s="2" t="s">
        <v>349</v>
      </c>
      <c r="L1300" s="2" t="s">
        <v>672</v>
      </c>
      <c r="M1300" t="s">
        <v>251</v>
      </c>
      <c r="N1300" t="s">
        <v>330</v>
      </c>
      <c r="O1300" t="s">
        <v>673</v>
      </c>
      <c r="P1300" t="s">
        <v>2377</v>
      </c>
      <c r="Q1300" t="s">
        <v>966</v>
      </c>
    </row>
    <row r="1301" spans="1:17">
      <c r="A1301" s="2" t="s">
        <v>382</v>
      </c>
      <c r="B1301" s="2" t="s">
        <v>382</v>
      </c>
      <c r="C1301" s="2" t="s">
        <v>256</v>
      </c>
      <c r="D1301" s="11">
        <v>45980.246527777781</v>
      </c>
      <c r="E1301" s="11">
        <v>45980.246527777781</v>
      </c>
      <c r="F1301" s="11">
        <v>45980.3125</v>
      </c>
      <c r="G1301" s="12">
        <v>6.5972222218988463E-2</v>
      </c>
      <c r="H1301" s="2" t="s">
        <v>248</v>
      </c>
      <c r="J1301" s="2" t="s">
        <v>249</v>
      </c>
      <c r="K1301" s="2" t="s">
        <v>349</v>
      </c>
      <c r="L1301" s="2" t="s">
        <v>672</v>
      </c>
      <c r="M1301" t="s">
        <v>251</v>
      </c>
      <c r="N1301" t="s">
        <v>330</v>
      </c>
      <c r="O1301" t="s">
        <v>673</v>
      </c>
      <c r="P1301" t="s">
        <v>2378</v>
      </c>
      <c r="Q1301" t="s">
        <v>966</v>
      </c>
    </row>
    <row r="1302" spans="1:17">
      <c r="A1302" s="2" t="s">
        <v>383</v>
      </c>
      <c r="B1302" s="2" t="s">
        <v>383</v>
      </c>
      <c r="C1302" s="2" t="s">
        <v>385</v>
      </c>
      <c r="D1302" s="11">
        <v>45980.246527777781</v>
      </c>
      <c r="E1302" s="11">
        <v>45980.246527777781</v>
      </c>
      <c r="F1302" s="11">
        <v>45980.3125</v>
      </c>
      <c r="G1302" s="12">
        <v>6.5972222218988463E-2</v>
      </c>
      <c r="H1302" s="2" t="s">
        <v>248</v>
      </c>
      <c r="J1302" s="2" t="s">
        <v>249</v>
      </c>
      <c r="K1302" s="2" t="s">
        <v>349</v>
      </c>
      <c r="L1302" s="2" t="s">
        <v>672</v>
      </c>
      <c r="M1302" t="s">
        <v>251</v>
      </c>
      <c r="N1302" t="s">
        <v>330</v>
      </c>
      <c r="O1302" t="s">
        <v>673</v>
      </c>
      <c r="P1302" t="s">
        <v>2379</v>
      </c>
      <c r="Q1302" t="s">
        <v>966</v>
      </c>
    </row>
    <row r="1303" spans="1:17">
      <c r="A1303" s="2" t="s">
        <v>383</v>
      </c>
      <c r="B1303" s="2" t="s">
        <v>383</v>
      </c>
      <c r="C1303" s="2" t="s">
        <v>386</v>
      </c>
      <c r="D1303" s="11">
        <v>45980.246527777781</v>
      </c>
      <c r="E1303" s="11">
        <v>45980.246527777781</v>
      </c>
      <c r="F1303" s="11">
        <v>45980.3125</v>
      </c>
      <c r="G1303" s="12">
        <v>6.5972222218988463E-2</v>
      </c>
      <c r="H1303" s="2" t="s">
        <v>248</v>
      </c>
      <c r="J1303" s="2" t="s">
        <v>249</v>
      </c>
      <c r="K1303" s="2" t="s">
        <v>349</v>
      </c>
      <c r="L1303" s="2" t="s">
        <v>672</v>
      </c>
      <c r="M1303" t="s">
        <v>251</v>
      </c>
      <c r="N1303" t="s">
        <v>330</v>
      </c>
      <c r="O1303" t="s">
        <v>673</v>
      </c>
      <c r="P1303" t="s">
        <v>2380</v>
      </c>
      <c r="Q1303" t="s">
        <v>966</v>
      </c>
    </row>
    <row r="1304" spans="1:17">
      <c r="A1304" s="2" t="s">
        <v>383</v>
      </c>
      <c r="B1304" s="2" t="s">
        <v>383</v>
      </c>
      <c r="C1304" s="2" t="s">
        <v>354</v>
      </c>
      <c r="D1304" s="11">
        <v>45980.246527777781</v>
      </c>
      <c r="E1304" s="11">
        <v>45980.246527777781</v>
      </c>
      <c r="F1304" s="11">
        <v>45980.3125</v>
      </c>
      <c r="G1304" s="12">
        <v>6.5972222218988463E-2</v>
      </c>
      <c r="H1304" s="2" t="s">
        <v>248</v>
      </c>
      <c r="J1304" s="2" t="s">
        <v>249</v>
      </c>
      <c r="K1304" s="2" t="s">
        <v>349</v>
      </c>
      <c r="L1304" s="2" t="s">
        <v>672</v>
      </c>
      <c r="M1304" t="s">
        <v>251</v>
      </c>
      <c r="N1304" t="s">
        <v>330</v>
      </c>
      <c r="O1304" t="s">
        <v>673</v>
      </c>
      <c r="P1304" t="s">
        <v>2381</v>
      </c>
      <c r="Q1304" t="s">
        <v>966</v>
      </c>
    </row>
    <row r="1305" spans="1:17">
      <c r="A1305" s="2" t="s">
        <v>383</v>
      </c>
      <c r="B1305" s="2" t="s">
        <v>383</v>
      </c>
      <c r="C1305" s="2" t="s">
        <v>384</v>
      </c>
      <c r="D1305" s="11">
        <v>45980.246527777781</v>
      </c>
      <c r="E1305" s="11">
        <v>45980.246527777781</v>
      </c>
      <c r="F1305" s="11">
        <v>45980.3125</v>
      </c>
      <c r="G1305" s="12">
        <v>6.5972222218988463E-2</v>
      </c>
      <c r="H1305" s="2" t="s">
        <v>248</v>
      </c>
      <c r="J1305" s="2" t="s">
        <v>249</v>
      </c>
      <c r="K1305" s="2" t="s">
        <v>349</v>
      </c>
      <c r="L1305" s="2" t="s">
        <v>672</v>
      </c>
      <c r="M1305" t="s">
        <v>251</v>
      </c>
      <c r="N1305" t="s">
        <v>330</v>
      </c>
      <c r="O1305" t="s">
        <v>673</v>
      </c>
      <c r="P1305" t="s">
        <v>2382</v>
      </c>
      <c r="Q1305" t="s">
        <v>966</v>
      </c>
    </row>
    <row r="1306" spans="1:17">
      <c r="A1306" s="2" t="s">
        <v>383</v>
      </c>
      <c r="B1306" s="2" t="s">
        <v>383</v>
      </c>
      <c r="C1306" s="2" t="s">
        <v>328</v>
      </c>
      <c r="D1306" s="11">
        <v>45980.246527777781</v>
      </c>
      <c r="E1306" s="11">
        <v>45980.246527777781</v>
      </c>
      <c r="F1306" s="11">
        <v>45980.3125</v>
      </c>
      <c r="G1306" s="12">
        <v>6.5972222218988463E-2</v>
      </c>
      <c r="H1306" s="2" t="s">
        <v>248</v>
      </c>
      <c r="J1306" s="2" t="s">
        <v>249</v>
      </c>
      <c r="K1306" s="2" t="s">
        <v>349</v>
      </c>
      <c r="L1306" s="2" t="s">
        <v>672</v>
      </c>
      <c r="M1306" t="s">
        <v>251</v>
      </c>
      <c r="N1306" t="s">
        <v>330</v>
      </c>
      <c r="O1306" t="s">
        <v>673</v>
      </c>
      <c r="P1306" t="s">
        <v>2383</v>
      </c>
      <c r="Q1306" t="s">
        <v>966</v>
      </c>
    </row>
    <row r="1307" spans="1:17">
      <c r="A1307" s="2" t="s">
        <v>387</v>
      </c>
      <c r="B1307" s="2" t="s">
        <v>387</v>
      </c>
      <c r="C1307" s="2" t="s">
        <v>257</v>
      </c>
      <c r="D1307" s="11">
        <v>45980.246527777781</v>
      </c>
      <c r="E1307" s="11">
        <v>45980.246527777781</v>
      </c>
      <c r="F1307" s="11">
        <v>45980.3125</v>
      </c>
      <c r="G1307" s="12">
        <v>6.5972222218988463E-2</v>
      </c>
      <c r="H1307" s="2" t="s">
        <v>248</v>
      </c>
      <c r="J1307" s="2" t="s">
        <v>249</v>
      </c>
      <c r="K1307" s="2" t="s">
        <v>349</v>
      </c>
      <c r="L1307" s="2" t="s">
        <v>672</v>
      </c>
      <c r="M1307" t="s">
        <v>251</v>
      </c>
      <c r="N1307" t="s">
        <v>330</v>
      </c>
      <c r="O1307" t="s">
        <v>673</v>
      </c>
      <c r="P1307" t="s">
        <v>2384</v>
      </c>
      <c r="Q1307" t="s">
        <v>966</v>
      </c>
    </row>
    <row r="1308" spans="1:17">
      <c r="A1308" s="2" t="s">
        <v>387</v>
      </c>
      <c r="B1308" s="2" t="s">
        <v>387</v>
      </c>
      <c r="C1308" s="2" t="s">
        <v>255</v>
      </c>
      <c r="D1308" s="11">
        <v>45980.246527777781</v>
      </c>
      <c r="E1308" s="11">
        <v>45980.246527777781</v>
      </c>
      <c r="F1308" s="11">
        <v>45980.3125</v>
      </c>
      <c r="G1308" s="12">
        <v>6.5972222218988463E-2</v>
      </c>
      <c r="H1308" s="2" t="s">
        <v>248</v>
      </c>
      <c r="J1308" s="2" t="s">
        <v>249</v>
      </c>
      <c r="K1308" s="2" t="s">
        <v>349</v>
      </c>
      <c r="L1308" s="2" t="s">
        <v>672</v>
      </c>
      <c r="M1308" t="s">
        <v>251</v>
      </c>
      <c r="N1308" t="s">
        <v>330</v>
      </c>
      <c r="O1308" t="s">
        <v>673</v>
      </c>
      <c r="P1308" t="s">
        <v>2385</v>
      </c>
      <c r="Q1308" t="s">
        <v>966</v>
      </c>
    </row>
    <row r="1309" spans="1:17">
      <c r="A1309" s="2" t="s">
        <v>387</v>
      </c>
      <c r="B1309" s="2" t="s">
        <v>387</v>
      </c>
      <c r="C1309" s="2" t="s">
        <v>256</v>
      </c>
      <c r="D1309" s="11">
        <v>45980.246527777781</v>
      </c>
      <c r="E1309" s="11">
        <v>45980.246527777781</v>
      </c>
      <c r="F1309" s="11">
        <v>45980.3125</v>
      </c>
      <c r="G1309" s="12">
        <v>6.5972222218988463E-2</v>
      </c>
      <c r="H1309" s="2" t="s">
        <v>248</v>
      </c>
      <c r="J1309" s="2" t="s">
        <v>249</v>
      </c>
      <c r="K1309" s="2" t="s">
        <v>349</v>
      </c>
      <c r="L1309" s="2" t="s">
        <v>672</v>
      </c>
      <c r="M1309" t="s">
        <v>251</v>
      </c>
      <c r="N1309" t="s">
        <v>330</v>
      </c>
      <c r="O1309" t="s">
        <v>673</v>
      </c>
      <c r="P1309" t="s">
        <v>2386</v>
      </c>
      <c r="Q1309" t="s">
        <v>966</v>
      </c>
    </row>
    <row r="1310" spans="1:17">
      <c r="A1310" s="2" t="s">
        <v>387</v>
      </c>
      <c r="B1310" s="2" t="s">
        <v>387</v>
      </c>
      <c r="C1310" s="2" t="s">
        <v>247</v>
      </c>
      <c r="D1310" s="11">
        <v>45980.246527777781</v>
      </c>
      <c r="E1310" s="11">
        <v>45980.246527777781</v>
      </c>
      <c r="F1310" s="11">
        <v>45980.3125</v>
      </c>
      <c r="G1310" s="12">
        <v>6.5972222218988463E-2</v>
      </c>
      <c r="H1310" s="2" t="s">
        <v>248</v>
      </c>
      <c r="J1310" s="2" t="s">
        <v>249</v>
      </c>
      <c r="K1310" s="2" t="s">
        <v>349</v>
      </c>
      <c r="L1310" s="2" t="s">
        <v>672</v>
      </c>
      <c r="M1310" t="s">
        <v>251</v>
      </c>
      <c r="N1310" t="s">
        <v>330</v>
      </c>
      <c r="O1310" t="s">
        <v>673</v>
      </c>
      <c r="P1310" t="s">
        <v>2387</v>
      </c>
      <c r="Q1310" t="s">
        <v>966</v>
      </c>
    </row>
    <row r="1311" spans="1:17">
      <c r="A1311" s="2" t="s">
        <v>387</v>
      </c>
      <c r="B1311" s="2" t="s">
        <v>387</v>
      </c>
      <c r="C1311" s="2" t="s">
        <v>254</v>
      </c>
      <c r="D1311" s="11">
        <v>45980.246527777781</v>
      </c>
      <c r="E1311" s="11">
        <v>45980.246527777781</v>
      </c>
      <c r="F1311" s="11">
        <v>45980.3125</v>
      </c>
      <c r="G1311" s="12">
        <v>6.5972222218988463E-2</v>
      </c>
      <c r="H1311" s="2" t="s">
        <v>248</v>
      </c>
      <c r="J1311" s="2" t="s">
        <v>249</v>
      </c>
      <c r="K1311" s="2" t="s">
        <v>349</v>
      </c>
      <c r="L1311" s="2" t="s">
        <v>672</v>
      </c>
      <c r="M1311" t="s">
        <v>251</v>
      </c>
      <c r="N1311" t="s">
        <v>330</v>
      </c>
      <c r="O1311" t="s">
        <v>673</v>
      </c>
      <c r="P1311" t="s">
        <v>2388</v>
      </c>
      <c r="Q1311" t="s">
        <v>966</v>
      </c>
    </row>
    <row r="1312" spans="1:17">
      <c r="A1312" s="2" t="s">
        <v>379</v>
      </c>
      <c r="B1312" s="2" t="s">
        <v>379</v>
      </c>
      <c r="C1312" s="2" t="s">
        <v>674</v>
      </c>
      <c r="D1312" s="11">
        <v>45980.246527777781</v>
      </c>
      <c r="E1312" s="11">
        <v>45980.246527777781</v>
      </c>
      <c r="F1312" s="11">
        <v>45980.3125</v>
      </c>
      <c r="G1312" s="12">
        <v>6.5972222218988463E-2</v>
      </c>
      <c r="H1312" s="2" t="s">
        <v>248</v>
      </c>
      <c r="J1312" s="2" t="s">
        <v>249</v>
      </c>
      <c r="K1312" s="2" t="s">
        <v>349</v>
      </c>
      <c r="L1312" s="2" t="s">
        <v>672</v>
      </c>
      <c r="M1312" t="s">
        <v>251</v>
      </c>
      <c r="N1312" t="s">
        <v>330</v>
      </c>
      <c r="O1312" t="s">
        <v>673</v>
      </c>
      <c r="P1312" t="s">
        <v>2389</v>
      </c>
      <c r="Q1312" t="s">
        <v>966</v>
      </c>
    </row>
    <row r="1313" spans="1:17">
      <c r="A1313" s="2" t="s">
        <v>379</v>
      </c>
      <c r="B1313" s="2" t="s">
        <v>379</v>
      </c>
      <c r="C1313" s="2" t="s">
        <v>255</v>
      </c>
      <c r="D1313" s="11">
        <v>45980.246527777781</v>
      </c>
      <c r="E1313" s="11">
        <v>45980.246527777781</v>
      </c>
      <c r="F1313" s="11">
        <v>45980.3125</v>
      </c>
      <c r="G1313" s="12">
        <v>6.5972222218988463E-2</v>
      </c>
      <c r="H1313" s="2" t="s">
        <v>248</v>
      </c>
      <c r="J1313" s="2" t="s">
        <v>249</v>
      </c>
      <c r="K1313" s="2" t="s">
        <v>349</v>
      </c>
      <c r="L1313" s="2" t="s">
        <v>672</v>
      </c>
      <c r="M1313" t="s">
        <v>251</v>
      </c>
      <c r="N1313" t="s">
        <v>330</v>
      </c>
      <c r="O1313" t="s">
        <v>673</v>
      </c>
      <c r="P1313" t="s">
        <v>2390</v>
      </c>
      <c r="Q1313" t="s">
        <v>966</v>
      </c>
    </row>
    <row r="1314" spans="1:17">
      <c r="A1314" s="2" t="s">
        <v>379</v>
      </c>
      <c r="B1314" s="2" t="s">
        <v>379</v>
      </c>
      <c r="C1314" s="2" t="s">
        <v>254</v>
      </c>
      <c r="D1314" s="11">
        <v>45980.246527777781</v>
      </c>
      <c r="E1314" s="11">
        <v>45980.246527777781</v>
      </c>
      <c r="F1314" s="11">
        <v>45980.3125</v>
      </c>
      <c r="G1314" s="12">
        <v>6.5972222218988463E-2</v>
      </c>
      <c r="H1314" s="2" t="s">
        <v>248</v>
      </c>
      <c r="J1314" s="2" t="s">
        <v>249</v>
      </c>
      <c r="K1314" s="2" t="s">
        <v>349</v>
      </c>
      <c r="L1314" s="2" t="s">
        <v>672</v>
      </c>
      <c r="M1314" t="s">
        <v>251</v>
      </c>
      <c r="N1314" t="s">
        <v>330</v>
      </c>
      <c r="O1314" t="s">
        <v>673</v>
      </c>
      <c r="P1314" t="s">
        <v>2391</v>
      </c>
      <c r="Q1314" t="s">
        <v>966</v>
      </c>
    </row>
    <row r="1315" spans="1:17">
      <c r="A1315" s="2" t="s">
        <v>379</v>
      </c>
      <c r="B1315" s="2" t="s">
        <v>379</v>
      </c>
      <c r="C1315" s="2" t="s">
        <v>257</v>
      </c>
      <c r="D1315" s="11">
        <v>45980.246527777781</v>
      </c>
      <c r="E1315" s="11">
        <v>45980.246527777781</v>
      </c>
      <c r="F1315" s="11">
        <v>45980.3125</v>
      </c>
      <c r="G1315" s="12">
        <v>6.5972222218988463E-2</v>
      </c>
      <c r="H1315" s="2" t="s">
        <v>248</v>
      </c>
      <c r="J1315" s="2" t="s">
        <v>249</v>
      </c>
      <c r="K1315" s="2" t="s">
        <v>349</v>
      </c>
      <c r="L1315" s="2" t="s">
        <v>672</v>
      </c>
      <c r="M1315" t="s">
        <v>251</v>
      </c>
      <c r="N1315" t="s">
        <v>330</v>
      </c>
      <c r="O1315" t="s">
        <v>673</v>
      </c>
      <c r="P1315" t="s">
        <v>2392</v>
      </c>
      <c r="Q1315" t="s">
        <v>966</v>
      </c>
    </row>
    <row r="1316" spans="1:17">
      <c r="A1316" s="2" t="s">
        <v>379</v>
      </c>
      <c r="B1316" s="2" t="s">
        <v>379</v>
      </c>
      <c r="C1316" s="2" t="s">
        <v>256</v>
      </c>
      <c r="D1316" s="11">
        <v>45980.246527777781</v>
      </c>
      <c r="E1316" s="11">
        <v>45980.246527777781</v>
      </c>
      <c r="F1316" s="11">
        <v>45980.3125</v>
      </c>
      <c r="G1316" s="12">
        <v>6.5972222218988463E-2</v>
      </c>
      <c r="H1316" s="2" t="s">
        <v>248</v>
      </c>
      <c r="J1316" s="2" t="s">
        <v>249</v>
      </c>
      <c r="K1316" s="2" t="s">
        <v>349</v>
      </c>
      <c r="L1316" s="2" t="s">
        <v>672</v>
      </c>
      <c r="M1316" t="s">
        <v>251</v>
      </c>
      <c r="N1316" t="s">
        <v>330</v>
      </c>
      <c r="O1316" t="s">
        <v>673</v>
      </c>
      <c r="P1316" t="s">
        <v>2393</v>
      </c>
      <c r="Q1316" t="s">
        <v>966</v>
      </c>
    </row>
    <row r="1317" spans="1:17">
      <c r="A1317" s="2" t="s">
        <v>388</v>
      </c>
      <c r="B1317" s="2" t="s">
        <v>388</v>
      </c>
      <c r="C1317" s="2" t="s">
        <v>256</v>
      </c>
      <c r="D1317" s="11">
        <v>45980.246527777781</v>
      </c>
      <c r="E1317" s="11">
        <v>45980.246527777781</v>
      </c>
      <c r="F1317" s="11">
        <v>45980.3125</v>
      </c>
      <c r="G1317" s="12">
        <v>6.5972222218988463E-2</v>
      </c>
      <c r="H1317" s="2" t="s">
        <v>248</v>
      </c>
      <c r="J1317" s="2" t="s">
        <v>249</v>
      </c>
      <c r="K1317" s="2" t="s">
        <v>349</v>
      </c>
      <c r="L1317" s="2" t="s">
        <v>672</v>
      </c>
      <c r="M1317" t="s">
        <v>251</v>
      </c>
      <c r="N1317" t="s">
        <v>330</v>
      </c>
      <c r="O1317" t="s">
        <v>673</v>
      </c>
      <c r="P1317" t="s">
        <v>2394</v>
      </c>
      <c r="Q1317" t="s">
        <v>966</v>
      </c>
    </row>
    <row r="1318" spans="1:17">
      <c r="A1318" s="2" t="s">
        <v>388</v>
      </c>
      <c r="B1318" s="2" t="s">
        <v>388</v>
      </c>
      <c r="C1318" s="2" t="s">
        <v>328</v>
      </c>
      <c r="D1318" s="11">
        <v>45980.246527777781</v>
      </c>
      <c r="E1318" s="11">
        <v>45980.246527777781</v>
      </c>
      <c r="F1318" s="11">
        <v>45980.3125</v>
      </c>
      <c r="G1318" s="12">
        <v>6.5972222218988463E-2</v>
      </c>
      <c r="H1318" s="2" t="s">
        <v>248</v>
      </c>
      <c r="J1318" s="2" t="s">
        <v>249</v>
      </c>
      <c r="K1318" s="2" t="s">
        <v>349</v>
      </c>
      <c r="L1318" s="2" t="s">
        <v>672</v>
      </c>
      <c r="M1318" t="s">
        <v>251</v>
      </c>
      <c r="N1318" t="s">
        <v>330</v>
      </c>
      <c r="O1318" t="s">
        <v>673</v>
      </c>
      <c r="P1318" t="s">
        <v>2395</v>
      </c>
      <c r="Q1318" t="s">
        <v>966</v>
      </c>
    </row>
    <row r="1319" spans="1:17">
      <c r="A1319" s="2" t="s">
        <v>388</v>
      </c>
      <c r="B1319" s="2" t="s">
        <v>388</v>
      </c>
      <c r="C1319" s="2" t="s">
        <v>254</v>
      </c>
      <c r="D1319" s="11">
        <v>45980.246527777781</v>
      </c>
      <c r="E1319" s="11">
        <v>45980.246527777781</v>
      </c>
      <c r="F1319" s="11">
        <v>45980.3125</v>
      </c>
      <c r="G1319" s="12">
        <v>6.5972222218988463E-2</v>
      </c>
      <c r="H1319" s="2" t="s">
        <v>248</v>
      </c>
      <c r="J1319" s="2" t="s">
        <v>249</v>
      </c>
      <c r="K1319" s="2" t="s">
        <v>349</v>
      </c>
      <c r="L1319" s="2" t="s">
        <v>672</v>
      </c>
      <c r="M1319" t="s">
        <v>251</v>
      </c>
      <c r="N1319" t="s">
        <v>330</v>
      </c>
      <c r="O1319" t="s">
        <v>673</v>
      </c>
      <c r="P1319" t="s">
        <v>2396</v>
      </c>
      <c r="Q1319" t="s">
        <v>966</v>
      </c>
    </row>
    <row r="1320" spans="1:17">
      <c r="A1320" s="2" t="s">
        <v>388</v>
      </c>
      <c r="B1320" s="2" t="s">
        <v>388</v>
      </c>
      <c r="C1320" s="2" t="s">
        <v>247</v>
      </c>
      <c r="D1320" s="11">
        <v>45980.246527777781</v>
      </c>
      <c r="E1320" s="11">
        <v>45980.246527777781</v>
      </c>
      <c r="F1320" s="11">
        <v>45980.3125</v>
      </c>
      <c r="G1320" s="12">
        <v>6.5972222218988463E-2</v>
      </c>
      <c r="H1320" s="2" t="s">
        <v>248</v>
      </c>
      <c r="J1320" s="2" t="s">
        <v>249</v>
      </c>
      <c r="K1320" s="2" t="s">
        <v>349</v>
      </c>
      <c r="L1320" s="2" t="s">
        <v>672</v>
      </c>
      <c r="M1320" t="s">
        <v>251</v>
      </c>
      <c r="N1320" t="s">
        <v>330</v>
      </c>
      <c r="O1320" t="s">
        <v>673</v>
      </c>
      <c r="P1320" t="s">
        <v>2397</v>
      </c>
      <c r="Q1320" t="s">
        <v>966</v>
      </c>
    </row>
    <row r="1321" spans="1:17">
      <c r="A1321" s="2" t="s">
        <v>388</v>
      </c>
      <c r="B1321" s="2" t="s">
        <v>388</v>
      </c>
      <c r="C1321" s="2" t="s">
        <v>358</v>
      </c>
      <c r="D1321" s="11">
        <v>45980.246527777781</v>
      </c>
      <c r="E1321" s="11">
        <v>45980.246527777781</v>
      </c>
      <c r="F1321" s="11">
        <v>45980.3125</v>
      </c>
      <c r="G1321" s="12">
        <v>6.5972222218988463E-2</v>
      </c>
      <c r="H1321" s="2" t="s">
        <v>248</v>
      </c>
      <c r="J1321" s="2" t="s">
        <v>249</v>
      </c>
      <c r="K1321" s="2" t="s">
        <v>349</v>
      </c>
      <c r="L1321" s="2" t="s">
        <v>672</v>
      </c>
      <c r="M1321" t="s">
        <v>251</v>
      </c>
      <c r="N1321" t="s">
        <v>330</v>
      </c>
      <c r="O1321" t="s">
        <v>673</v>
      </c>
      <c r="P1321" t="s">
        <v>2398</v>
      </c>
      <c r="Q1321" t="s">
        <v>966</v>
      </c>
    </row>
    <row r="1322" spans="1:17">
      <c r="A1322" s="2" t="s">
        <v>846</v>
      </c>
      <c r="B1322" s="2" t="s">
        <v>602</v>
      </c>
      <c r="C1322" s="2" t="s">
        <v>1221</v>
      </c>
      <c r="D1322" s="11">
        <v>45980.255231481482</v>
      </c>
      <c r="E1322" s="11">
        <v>45980.255231481482</v>
      </c>
      <c r="F1322" s="11">
        <v>45980.262175925927</v>
      </c>
      <c r="G1322" s="12">
        <v>6.9444444452528842E-3</v>
      </c>
      <c r="H1322" s="2" t="s">
        <v>248</v>
      </c>
      <c r="J1322" s="2" t="s">
        <v>300</v>
      </c>
      <c r="K1322" s="2" t="s">
        <v>350</v>
      </c>
      <c r="L1322" s="2" t="s">
        <v>1222</v>
      </c>
      <c r="M1322" t="s">
        <v>375</v>
      </c>
      <c r="N1322" t="s">
        <v>828</v>
      </c>
      <c r="P1322" t="s">
        <v>2399</v>
      </c>
      <c r="Q1322" t="s">
        <v>1224</v>
      </c>
    </row>
    <row r="1323" spans="1:17">
      <c r="A1323" s="2" t="s">
        <v>846</v>
      </c>
      <c r="B1323" s="2" t="s">
        <v>602</v>
      </c>
      <c r="C1323" s="2" t="s">
        <v>1303</v>
      </c>
      <c r="D1323" s="11">
        <v>45980.255462962959</v>
      </c>
      <c r="E1323" s="11">
        <v>45980.255462962959</v>
      </c>
      <c r="F1323" s="11">
        <v>45980.28197916667</v>
      </c>
      <c r="G1323" s="12">
        <v>2.6516203710343689E-2</v>
      </c>
      <c r="H1323" s="2" t="s">
        <v>248</v>
      </c>
      <c r="J1323" s="2" t="s">
        <v>300</v>
      </c>
      <c r="K1323" s="2" t="s">
        <v>350</v>
      </c>
      <c r="L1323" s="2" t="s">
        <v>1222</v>
      </c>
      <c r="M1323" t="s">
        <v>375</v>
      </c>
      <c r="N1323" t="s">
        <v>828</v>
      </c>
      <c r="P1323" t="s">
        <v>2400</v>
      </c>
      <c r="Q1323" t="s">
        <v>1224</v>
      </c>
    </row>
    <row r="1324" spans="1:17">
      <c r="A1324" s="2" t="s">
        <v>846</v>
      </c>
      <c r="B1324" s="2" t="s">
        <v>602</v>
      </c>
      <c r="C1324" s="2" t="s">
        <v>1407</v>
      </c>
      <c r="D1324" s="11">
        <v>45980.255486111113</v>
      </c>
      <c r="E1324" s="11">
        <v>45980.255486111113</v>
      </c>
      <c r="F1324" s="11">
        <v>45980.28197916667</v>
      </c>
      <c r="G1324" s="12">
        <v>2.6493055556784384E-2</v>
      </c>
      <c r="H1324" s="2" t="s">
        <v>248</v>
      </c>
      <c r="J1324" s="2" t="s">
        <v>300</v>
      </c>
      <c r="K1324" s="2" t="s">
        <v>350</v>
      </c>
      <c r="L1324" s="2" t="s">
        <v>1222</v>
      </c>
      <c r="M1324" t="s">
        <v>375</v>
      </c>
      <c r="N1324" t="s">
        <v>828</v>
      </c>
      <c r="P1324" t="s">
        <v>2401</v>
      </c>
      <c r="Q1324" t="s">
        <v>1224</v>
      </c>
    </row>
    <row r="1325" spans="1:17">
      <c r="A1325" s="2" t="s">
        <v>846</v>
      </c>
      <c r="B1325" s="2" t="s">
        <v>602</v>
      </c>
      <c r="C1325" s="2" t="s">
        <v>1305</v>
      </c>
      <c r="D1325" s="11">
        <v>45980.255520833336</v>
      </c>
      <c r="E1325" s="11">
        <v>45980.255520833336</v>
      </c>
      <c r="F1325" s="11">
        <v>45980.28197916667</v>
      </c>
      <c r="G1325" s="12">
        <v>2.6458333333721384E-2</v>
      </c>
      <c r="H1325" s="2" t="s">
        <v>248</v>
      </c>
      <c r="J1325" s="2" t="s">
        <v>300</v>
      </c>
      <c r="K1325" s="2" t="s">
        <v>350</v>
      </c>
      <c r="L1325" s="2" t="s">
        <v>1222</v>
      </c>
      <c r="M1325" t="s">
        <v>375</v>
      </c>
      <c r="N1325" t="s">
        <v>828</v>
      </c>
      <c r="P1325" t="s">
        <v>2402</v>
      </c>
      <c r="Q1325" t="s">
        <v>1224</v>
      </c>
    </row>
    <row r="1326" spans="1:17">
      <c r="A1326" s="2" t="s">
        <v>846</v>
      </c>
      <c r="B1326" s="2" t="s">
        <v>602</v>
      </c>
      <c r="C1326" s="2" t="s">
        <v>1534</v>
      </c>
      <c r="D1326" s="11">
        <v>45980.255567129629</v>
      </c>
      <c r="E1326" s="11">
        <v>45980.255567129629</v>
      </c>
      <c r="F1326" s="11">
        <v>45980.28197916667</v>
      </c>
      <c r="G1326" s="12">
        <v>2.641203704115469E-2</v>
      </c>
      <c r="H1326" s="2" t="s">
        <v>248</v>
      </c>
      <c r="J1326" s="2" t="s">
        <v>300</v>
      </c>
      <c r="K1326" s="2" t="s">
        <v>350</v>
      </c>
      <c r="L1326" s="2" t="s">
        <v>1222</v>
      </c>
      <c r="M1326" t="s">
        <v>375</v>
      </c>
      <c r="N1326" t="s">
        <v>828</v>
      </c>
      <c r="P1326" t="s">
        <v>2403</v>
      </c>
      <c r="Q1326" t="s">
        <v>1224</v>
      </c>
    </row>
    <row r="1327" spans="1:17">
      <c r="A1327" s="2" t="s">
        <v>353</v>
      </c>
      <c r="B1327" s="2" t="s">
        <v>353</v>
      </c>
      <c r="C1327" s="2" t="s">
        <v>354</v>
      </c>
      <c r="D1327" s="11">
        <v>45980.277777777781</v>
      </c>
      <c r="E1327" s="11">
        <v>45980.277777777781</v>
      </c>
      <c r="F1327" s="11">
        <v>45980.319444444445</v>
      </c>
      <c r="G1327" s="12">
        <v>4.1666666664241347E-2</v>
      </c>
      <c r="H1327" s="2" t="s">
        <v>248</v>
      </c>
      <c r="J1327" s="2" t="s">
        <v>249</v>
      </c>
      <c r="K1327" s="2" t="s">
        <v>349</v>
      </c>
      <c r="L1327" s="2" t="s">
        <v>2404</v>
      </c>
      <c r="M1327" t="s">
        <v>736</v>
      </c>
      <c r="N1327" t="s">
        <v>330</v>
      </c>
      <c r="O1327" t="s">
        <v>2405</v>
      </c>
      <c r="P1327" t="s">
        <v>2406</v>
      </c>
      <c r="Q1327" t="s">
        <v>966</v>
      </c>
    </row>
    <row r="1328" spans="1:17">
      <c r="A1328" s="2" t="s">
        <v>353</v>
      </c>
      <c r="B1328" s="2" t="s">
        <v>353</v>
      </c>
      <c r="C1328" s="2" t="s">
        <v>357</v>
      </c>
      <c r="D1328" s="11">
        <v>45980.277777777781</v>
      </c>
      <c r="E1328" s="11">
        <v>45980.277777777781</v>
      </c>
      <c r="F1328" s="11">
        <v>45980.319444444445</v>
      </c>
      <c r="G1328" s="12">
        <v>4.1666666664241347E-2</v>
      </c>
      <c r="H1328" s="2" t="s">
        <v>248</v>
      </c>
      <c r="J1328" s="2" t="s">
        <v>249</v>
      </c>
      <c r="K1328" s="2" t="s">
        <v>349</v>
      </c>
      <c r="L1328" s="2" t="s">
        <v>2404</v>
      </c>
      <c r="M1328" t="s">
        <v>736</v>
      </c>
      <c r="N1328" t="s">
        <v>330</v>
      </c>
      <c r="O1328" t="s">
        <v>2405</v>
      </c>
      <c r="P1328" t="s">
        <v>2407</v>
      </c>
      <c r="Q1328" t="s">
        <v>966</v>
      </c>
    </row>
    <row r="1329" spans="1:17">
      <c r="A1329" s="2" t="s">
        <v>353</v>
      </c>
      <c r="B1329" s="2" t="s">
        <v>353</v>
      </c>
      <c r="C1329" s="2" t="s">
        <v>358</v>
      </c>
      <c r="D1329" s="11">
        <v>45980.277777777781</v>
      </c>
      <c r="E1329" s="11">
        <v>45980.277777777781</v>
      </c>
      <c r="F1329" s="11">
        <v>45980.319444444445</v>
      </c>
      <c r="G1329" s="12">
        <v>4.1666666664241347E-2</v>
      </c>
      <c r="H1329" s="2" t="s">
        <v>248</v>
      </c>
      <c r="J1329" s="2" t="s">
        <v>249</v>
      </c>
      <c r="K1329" s="2" t="s">
        <v>349</v>
      </c>
      <c r="L1329" s="2" t="s">
        <v>2404</v>
      </c>
      <c r="M1329" t="s">
        <v>736</v>
      </c>
      <c r="N1329" t="s">
        <v>330</v>
      </c>
      <c r="O1329" t="s">
        <v>2405</v>
      </c>
      <c r="P1329" t="s">
        <v>2408</v>
      </c>
      <c r="Q1329" t="s">
        <v>966</v>
      </c>
    </row>
    <row r="1330" spans="1:17">
      <c r="A1330" s="2" t="s">
        <v>353</v>
      </c>
      <c r="B1330" s="2" t="s">
        <v>353</v>
      </c>
      <c r="C1330" s="2" t="s">
        <v>359</v>
      </c>
      <c r="D1330" s="11">
        <v>45980.277777777781</v>
      </c>
      <c r="E1330" s="11">
        <v>45980.277777777781</v>
      </c>
      <c r="F1330" s="11">
        <v>45980.319444444445</v>
      </c>
      <c r="G1330" s="12">
        <v>4.1666666664241347E-2</v>
      </c>
      <c r="H1330" s="2" t="s">
        <v>248</v>
      </c>
      <c r="J1330" s="2" t="s">
        <v>249</v>
      </c>
      <c r="K1330" s="2" t="s">
        <v>349</v>
      </c>
      <c r="L1330" s="2" t="s">
        <v>2404</v>
      </c>
      <c r="M1330" t="s">
        <v>736</v>
      </c>
      <c r="N1330" t="s">
        <v>330</v>
      </c>
      <c r="O1330" t="s">
        <v>2405</v>
      </c>
      <c r="P1330" t="s">
        <v>2409</v>
      </c>
      <c r="Q1330" t="s">
        <v>966</v>
      </c>
    </row>
    <row r="1331" spans="1:17">
      <c r="A1331" s="2" t="s">
        <v>360</v>
      </c>
      <c r="B1331" s="2" t="s">
        <v>360</v>
      </c>
      <c r="C1331" s="2" t="s">
        <v>354</v>
      </c>
      <c r="D1331" s="11">
        <v>45980.277777777781</v>
      </c>
      <c r="E1331" s="11">
        <v>45980.277777777781</v>
      </c>
      <c r="F1331" s="11">
        <v>45980.319444444445</v>
      </c>
      <c r="G1331" s="12">
        <v>4.1666666664241347E-2</v>
      </c>
      <c r="H1331" s="2" t="s">
        <v>248</v>
      </c>
      <c r="J1331" s="2" t="s">
        <v>249</v>
      </c>
      <c r="K1331" s="2" t="s">
        <v>349</v>
      </c>
      <c r="L1331" s="2" t="s">
        <v>2404</v>
      </c>
      <c r="M1331" t="s">
        <v>736</v>
      </c>
      <c r="N1331" t="s">
        <v>330</v>
      </c>
      <c r="O1331" t="s">
        <v>2405</v>
      </c>
      <c r="P1331" t="s">
        <v>2410</v>
      </c>
      <c r="Q1331" t="s">
        <v>966</v>
      </c>
    </row>
    <row r="1332" spans="1:17">
      <c r="A1332" s="2" t="s">
        <v>360</v>
      </c>
      <c r="B1332" s="2" t="s">
        <v>360</v>
      </c>
      <c r="C1332" s="2" t="s">
        <v>357</v>
      </c>
      <c r="D1332" s="11">
        <v>45980.277777777781</v>
      </c>
      <c r="E1332" s="11">
        <v>45980.277777777781</v>
      </c>
      <c r="F1332" s="11">
        <v>45980.319444444445</v>
      </c>
      <c r="G1332" s="12">
        <v>4.1666666664241347E-2</v>
      </c>
      <c r="H1332" s="2" t="s">
        <v>248</v>
      </c>
      <c r="J1332" s="2" t="s">
        <v>249</v>
      </c>
      <c r="K1332" s="2" t="s">
        <v>349</v>
      </c>
      <c r="L1332" s="2" t="s">
        <v>2404</v>
      </c>
      <c r="M1332" t="s">
        <v>736</v>
      </c>
      <c r="N1332" t="s">
        <v>330</v>
      </c>
      <c r="O1332" t="s">
        <v>2405</v>
      </c>
      <c r="P1332" t="s">
        <v>2411</v>
      </c>
      <c r="Q1332" t="s">
        <v>966</v>
      </c>
    </row>
    <row r="1333" spans="1:17">
      <c r="A1333" s="2" t="s">
        <v>360</v>
      </c>
      <c r="B1333" s="2" t="s">
        <v>360</v>
      </c>
      <c r="C1333" s="2" t="s">
        <v>358</v>
      </c>
      <c r="D1333" s="11">
        <v>45980.277777777781</v>
      </c>
      <c r="E1333" s="11">
        <v>45980.277777777781</v>
      </c>
      <c r="F1333" s="11">
        <v>45980.319444444445</v>
      </c>
      <c r="G1333" s="12">
        <v>4.1666666664241347E-2</v>
      </c>
      <c r="H1333" s="2" t="s">
        <v>248</v>
      </c>
      <c r="J1333" s="2" t="s">
        <v>249</v>
      </c>
      <c r="K1333" s="2" t="s">
        <v>349</v>
      </c>
      <c r="L1333" s="2" t="s">
        <v>2404</v>
      </c>
      <c r="M1333" t="s">
        <v>736</v>
      </c>
      <c r="N1333" t="s">
        <v>330</v>
      </c>
      <c r="O1333" t="s">
        <v>2405</v>
      </c>
      <c r="P1333" t="s">
        <v>2412</v>
      </c>
      <c r="Q1333" t="s">
        <v>966</v>
      </c>
    </row>
    <row r="1334" spans="1:17">
      <c r="A1334" s="2" t="s">
        <v>360</v>
      </c>
      <c r="B1334" s="2" t="s">
        <v>360</v>
      </c>
      <c r="C1334" s="2" t="s">
        <v>359</v>
      </c>
      <c r="D1334" s="11">
        <v>45980.277777777781</v>
      </c>
      <c r="E1334" s="11">
        <v>45980.277777777781</v>
      </c>
      <c r="F1334" s="11">
        <v>45980.319444444445</v>
      </c>
      <c r="G1334" s="12">
        <v>4.1666666664241347E-2</v>
      </c>
      <c r="H1334" s="2" t="s">
        <v>248</v>
      </c>
      <c r="J1334" s="2" t="s">
        <v>249</v>
      </c>
      <c r="K1334" s="2" t="s">
        <v>349</v>
      </c>
      <c r="L1334" s="2" t="s">
        <v>2404</v>
      </c>
      <c r="M1334" t="s">
        <v>736</v>
      </c>
      <c r="N1334" t="s">
        <v>330</v>
      </c>
      <c r="O1334" t="s">
        <v>2405</v>
      </c>
      <c r="P1334" t="s">
        <v>2413</v>
      </c>
      <c r="Q1334" t="s">
        <v>966</v>
      </c>
    </row>
    <row r="1335" spans="1:17">
      <c r="A1335" s="2" t="s">
        <v>361</v>
      </c>
      <c r="B1335" s="2" t="s">
        <v>361</v>
      </c>
      <c r="C1335" s="2" t="s">
        <v>362</v>
      </c>
      <c r="D1335" s="11">
        <v>45980.277777777781</v>
      </c>
      <c r="E1335" s="11">
        <v>45980.277777777781</v>
      </c>
      <c r="F1335" s="11">
        <v>45980.319444444445</v>
      </c>
      <c r="G1335" s="12">
        <v>4.1666666664241347E-2</v>
      </c>
      <c r="H1335" s="2" t="s">
        <v>248</v>
      </c>
      <c r="J1335" s="2" t="s">
        <v>249</v>
      </c>
      <c r="K1335" s="2" t="s">
        <v>349</v>
      </c>
      <c r="L1335" s="2" t="s">
        <v>2404</v>
      </c>
      <c r="M1335" t="s">
        <v>736</v>
      </c>
      <c r="N1335" t="s">
        <v>330</v>
      </c>
      <c r="O1335" t="s">
        <v>2405</v>
      </c>
      <c r="P1335" t="s">
        <v>2414</v>
      </c>
      <c r="Q1335" t="s">
        <v>966</v>
      </c>
    </row>
    <row r="1336" spans="1:17">
      <c r="A1336" s="2" t="s">
        <v>361</v>
      </c>
      <c r="B1336" s="2" t="s">
        <v>361</v>
      </c>
      <c r="C1336" s="2" t="s">
        <v>328</v>
      </c>
      <c r="D1336" s="11">
        <v>45980.277777777781</v>
      </c>
      <c r="E1336" s="11">
        <v>45980.277777777781</v>
      </c>
      <c r="F1336" s="11">
        <v>45980.319444444445</v>
      </c>
      <c r="G1336" s="12">
        <v>4.1666666664241347E-2</v>
      </c>
      <c r="H1336" s="2" t="s">
        <v>248</v>
      </c>
      <c r="J1336" s="2" t="s">
        <v>249</v>
      </c>
      <c r="K1336" s="2" t="s">
        <v>349</v>
      </c>
      <c r="L1336" s="2" t="s">
        <v>2404</v>
      </c>
      <c r="M1336" t="s">
        <v>736</v>
      </c>
      <c r="N1336" t="s">
        <v>330</v>
      </c>
      <c r="O1336" t="s">
        <v>2405</v>
      </c>
      <c r="P1336" t="s">
        <v>2415</v>
      </c>
      <c r="Q1336" t="s">
        <v>966</v>
      </c>
    </row>
    <row r="1337" spans="1:17">
      <c r="A1337" s="2" t="s">
        <v>846</v>
      </c>
      <c r="B1337" s="2" t="s">
        <v>602</v>
      </c>
      <c r="C1337" s="2" t="s">
        <v>1221</v>
      </c>
      <c r="D1337" s="11">
        <v>45980.283865740741</v>
      </c>
      <c r="E1337" s="11">
        <v>45980.283865740741</v>
      </c>
      <c r="F1337" s="11">
        <v>45980.29078703704</v>
      </c>
      <c r="G1337" s="12">
        <v>6.921296298969537E-3</v>
      </c>
      <c r="H1337" s="2" t="s">
        <v>248</v>
      </c>
      <c r="J1337" s="2" t="s">
        <v>300</v>
      </c>
      <c r="K1337" s="2" t="s">
        <v>350</v>
      </c>
      <c r="L1337" s="2" t="s">
        <v>1222</v>
      </c>
      <c r="M1337" t="s">
        <v>375</v>
      </c>
      <c r="N1337" t="s">
        <v>828</v>
      </c>
      <c r="P1337" t="s">
        <v>2416</v>
      </c>
      <c r="Q1337" t="s">
        <v>1224</v>
      </c>
    </row>
    <row r="1338" spans="1:17">
      <c r="A1338" s="2" t="s">
        <v>846</v>
      </c>
      <c r="B1338" s="2" t="s">
        <v>602</v>
      </c>
      <c r="C1338" s="2" t="s">
        <v>1305</v>
      </c>
      <c r="D1338" s="11">
        <v>45980.284074074072</v>
      </c>
      <c r="E1338" s="11">
        <v>45980.284074074072</v>
      </c>
      <c r="F1338" s="11">
        <v>45980.291006944448</v>
      </c>
      <c r="G1338" s="12">
        <v>6.9328703757491894E-3</v>
      </c>
      <c r="H1338" s="2" t="s">
        <v>248</v>
      </c>
      <c r="J1338" s="2" t="s">
        <v>300</v>
      </c>
      <c r="K1338" s="2" t="s">
        <v>350</v>
      </c>
      <c r="L1338" s="2" t="s">
        <v>1222</v>
      </c>
      <c r="M1338" t="s">
        <v>375</v>
      </c>
      <c r="N1338" t="s">
        <v>828</v>
      </c>
      <c r="P1338" t="s">
        <v>2417</v>
      </c>
      <c r="Q1338" t="s">
        <v>1224</v>
      </c>
    </row>
    <row r="1339" spans="1:17">
      <c r="A1339" s="2" t="s">
        <v>846</v>
      </c>
      <c r="B1339" s="2" t="s">
        <v>602</v>
      </c>
      <c r="C1339" s="2" t="s">
        <v>1303</v>
      </c>
      <c r="D1339" s="11">
        <v>45980.284085648149</v>
      </c>
      <c r="E1339" s="11">
        <v>45980.284085648149</v>
      </c>
      <c r="F1339" s="11">
        <v>45980.291030092594</v>
      </c>
      <c r="G1339" s="12">
        <v>6.9444444452528842E-3</v>
      </c>
      <c r="H1339" s="2" t="s">
        <v>248</v>
      </c>
      <c r="J1339" s="2" t="s">
        <v>300</v>
      </c>
      <c r="K1339" s="2" t="s">
        <v>350</v>
      </c>
      <c r="L1339" s="2" t="s">
        <v>1222</v>
      </c>
      <c r="M1339" t="s">
        <v>375</v>
      </c>
      <c r="N1339" t="s">
        <v>828</v>
      </c>
      <c r="P1339" t="s">
        <v>2418</v>
      </c>
      <c r="Q1339" t="s">
        <v>1224</v>
      </c>
    </row>
    <row r="1340" spans="1:17">
      <c r="A1340" s="2" t="s">
        <v>846</v>
      </c>
      <c r="B1340" s="2" t="s">
        <v>602</v>
      </c>
      <c r="C1340" s="2" t="s">
        <v>1534</v>
      </c>
      <c r="D1340" s="11">
        <v>45980.284131944441</v>
      </c>
      <c r="E1340" s="11">
        <v>45980.284131944441</v>
      </c>
      <c r="F1340" s="11">
        <v>45980.291087962964</v>
      </c>
      <c r="G1340" s="12">
        <v>6.9560185220325366E-3</v>
      </c>
      <c r="H1340" s="2" t="s">
        <v>248</v>
      </c>
      <c r="J1340" s="2" t="s">
        <v>300</v>
      </c>
      <c r="K1340" s="2" t="s">
        <v>350</v>
      </c>
      <c r="L1340" s="2" t="s">
        <v>1222</v>
      </c>
      <c r="M1340" t="s">
        <v>375</v>
      </c>
      <c r="N1340" t="s">
        <v>828</v>
      </c>
      <c r="P1340" t="s">
        <v>2419</v>
      </c>
      <c r="Q1340" t="s">
        <v>1224</v>
      </c>
    </row>
    <row r="1341" spans="1:17">
      <c r="A1341" s="2" t="s">
        <v>846</v>
      </c>
      <c r="B1341" s="2" t="s">
        <v>602</v>
      </c>
      <c r="C1341" s="2" t="s">
        <v>1407</v>
      </c>
      <c r="D1341" s="11">
        <v>45980.284131944441</v>
      </c>
      <c r="E1341" s="11">
        <v>45980.284131944441</v>
      </c>
      <c r="F1341" s="11">
        <v>45980.291064814817</v>
      </c>
      <c r="G1341" s="12">
        <v>6.9328703757491894E-3</v>
      </c>
      <c r="H1341" s="2" t="s">
        <v>248</v>
      </c>
      <c r="J1341" s="2" t="s">
        <v>300</v>
      </c>
      <c r="K1341" s="2" t="s">
        <v>350</v>
      </c>
      <c r="L1341" s="2" t="s">
        <v>1222</v>
      </c>
      <c r="M1341" t="s">
        <v>375</v>
      </c>
      <c r="N1341" t="s">
        <v>828</v>
      </c>
      <c r="P1341" t="s">
        <v>2420</v>
      </c>
      <c r="Q1341" t="s">
        <v>1224</v>
      </c>
    </row>
    <row r="1342" spans="1:17">
      <c r="A1342" s="2" t="s">
        <v>846</v>
      </c>
      <c r="B1342" s="2" t="s">
        <v>602</v>
      </c>
      <c r="C1342" s="2" t="s">
        <v>1536</v>
      </c>
      <c r="D1342" s="11">
        <v>45980.284247685187</v>
      </c>
      <c r="E1342" s="11">
        <v>45980.284247685187</v>
      </c>
      <c r="F1342" s="11">
        <v>45980.291215277779</v>
      </c>
      <c r="G1342" s="12">
        <v>6.9675925915362313E-3</v>
      </c>
      <c r="H1342" s="2" t="s">
        <v>248</v>
      </c>
      <c r="J1342" s="2" t="s">
        <v>300</v>
      </c>
      <c r="K1342" s="2" t="s">
        <v>350</v>
      </c>
      <c r="L1342" s="2" t="s">
        <v>1222</v>
      </c>
      <c r="M1342" t="s">
        <v>375</v>
      </c>
      <c r="N1342" t="s">
        <v>828</v>
      </c>
      <c r="P1342" t="s">
        <v>2421</v>
      </c>
      <c r="Q1342" t="s">
        <v>1224</v>
      </c>
    </row>
    <row r="1343" spans="1:17">
      <c r="A1343" s="2" t="s">
        <v>846</v>
      </c>
      <c r="B1343" s="2" t="s">
        <v>602</v>
      </c>
      <c r="C1343" s="2" t="s">
        <v>313</v>
      </c>
      <c r="D1343" s="11">
        <v>45980.284259259257</v>
      </c>
      <c r="E1343" s="11">
        <v>45980.284259259257</v>
      </c>
      <c r="F1343" s="11">
        <v>45980.291238425925</v>
      </c>
      <c r="G1343" s="12">
        <v>6.9791666683158837E-3</v>
      </c>
      <c r="H1343" s="2" t="s">
        <v>248</v>
      </c>
      <c r="J1343" s="2" t="s">
        <v>300</v>
      </c>
      <c r="K1343" s="2" t="s">
        <v>350</v>
      </c>
      <c r="L1343" s="2" t="s">
        <v>1222</v>
      </c>
      <c r="M1343" t="s">
        <v>375</v>
      </c>
      <c r="N1343" t="s">
        <v>828</v>
      </c>
      <c r="P1343" t="s">
        <v>2422</v>
      </c>
      <c r="Q1343" t="s">
        <v>1224</v>
      </c>
    </row>
    <row r="1344" spans="1:17">
      <c r="A1344" s="2" t="s">
        <v>846</v>
      </c>
      <c r="B1344" s="2" t="s">
        <v>602</v>
      </c>
      <c r="C1344" s="2" t="s">
        <v>1221</v>
      </c>
      <c r="D1344" s="11">
        <v>45981.259456018517</v>
      </c>
      <c r="E1344" s="11">
        <v>45981.259456018517</v>
      </c>
      <c r="F1344" s="11">
        <v>45981.266400462962</v>
      </c>
      <c r="G1344" s="12">
        <v>6.9444444452528842E-3</v>
      </c>
      <c r="H1344" s="2" t="s">
        <v>248</v>
      </c>
      <c r="J1344" s="2" t="s">
        <v>300</v>
      </c>
      <c r="K1344" s="2" t="s">
        <v>350</v>
      </c>
      <c r="L1344" s="2" t="s">
        <v>1222</v>
      </c>
      <c r="M1344" t="s">
        <v>375</v>
      </c>
      <c r="N1344" t="s">
        <v>828</v>
      </c>
      <c r="P1344" t="s">
        <v>2423</v>
      </c>
      <c r="Q1344" t="s">
        <v>1224</v>
      </c>
    </row>
    <row r="1345" spans="1:17">
      <c r="A1345" s="2" t="s">
        <v>846</v>
      </c>
      <c r="B1345" s="2" t="s">
        <v>602</v>
      </c>
      <c r="C1345" s="2" t="s">
        <v>1303</v>
      </c>
      <c r="D1345" s="11">
        <v>45981.259502314817</v>
      </c>
      <c r="E1345" s="11">
        <v>45981.259502314817</v>
      </c>
      <c r="F1345" s="11">
        <v>45981.266481481478</v>
      </c>
      <c r="G1345" s="12">
        <v>6.9791666610399261E-3</v>
      </c>
      <c r="H1345" s="2" t="s">
        <v>248</v>
      </c>
      <c r="J1345" s="2" t="s">
        <v>300</v>
      </c>
      <c r="K1345" s="2" t="s">
        <v>350</v>
      </c>
      <c r="L1345" s="2" t="s">
        <v>1222</v>
      </c>
      <c r="M1345" t="s">
        <v>375</v>
      </c>
      <c r="N1345" t="s">
        <v>828</v>
      </c>
      <c r="P1345" t="s">
        <v>2424</v>
      </c>
      <c r="Q1345" t="s">
        <v>1224</v>
      </c>
    </row>
    <row r="1346" spans="1:17">
      <c r="A1346" s="2" t="s">
        <v>846</v>
      </c>
      <c r="B1346" s="2" t="s">
        <v>602</v>
      </c>
      <c r="C1346" s="2" t="s">
        <v>1305</v>
      </c>
      <c r="D1346" s="11">
        <v>45981.259965277779</v>
      </c>
      <c r="E1346" s="11">
        <v>45981.259965277779</v>
      </c>
      <c r="F1346" s="11">
        <v>45981.282002314816</v>
      </c>
      <c r="G1346" s="12">
        <v>2.2037037037080154E-2</v>
      </c>
      <c r="H1346" s="2" t="s">
        <v>248</v>
      </c>
      <c r="J1346" s="2" t="s">
        <v>300</v>
      </c>
      <c r="K1346" s="2" t="s">
        <v>350</v>
      </c>
      <c r="L1346" s="2" t="s">
        <v>1222</v>
      </c>
      <c r="M1346" t="s">
        <v>375</v>
      </c>
      <c r="N1346" t="s">
        <v>828</v>
      </c>
      <c r="P1346" t="s">
        <v>2425</v>
      </c>
      <c r="Q1346" t="s">
        <v>1224</v>
      </c>
    </row>
    <row r="1347" spans="1:17">
      <c r="A1347" s="2" t="s">
        <v>846</v>
      </c>
      <c r="B1347" s="2" t="s">
        <v>602</v>
      </c>
      <c r="C1347" s="2" t="s">
        <v>1536</v>
      </c>
      <c r="D1347" s="11">
        <v>45981.260150462964</v>
      </c>
      <c r="E1347" s="11">
        <v>45981.260150462964</v>
      </c>
      <c r="F1347" s="11">
        <v>45981.282002314816</v>
      </c>
      <c r="G1347" s="12">
        <v>2.1851851852261461E-2</v>
      </c>
      <c r="H1347" s="2" t="s">
        <v>248</v>
      </c>
      <c r="J1347" s="2" t="s">
        <v>300</v>
      </c>
      <c r="K1347" s="2" t="s">
        <v>350</v>
      </c>
      <c r="L1347" s="2" t="s">
        <v>1222</v>
      </c>
      <c r="M1347" t="s">
        <v>375</v>
      </c>
      <c r="N1347" t="s">
        <v>828</v>
      </c>
      <c r="P1347" t="s">
        <v>2426</v>
      </c>
      <c r="Q1347" t="s">
        <v>1224</v>
      </c>
    </row>
    <row r="1348" spans="1:17">
      <c r="A1348" s="2" t="s">
        <v>846</v>
      </c>
      <c r="B1348" s="2" t="s">
        <v>602</v>
      </c>
      <c r="C1348" s="2" t="s">
        <v>1407</v>
      </c>
      <c r="D1348" s="11">
        <v>45981.260196759256</v>
      </c>
      <c r="E1348" s="11">
        <v>45981.260196759256</v>
      </c>
      <c r="F1348" s="11">
        <v>45981.282002314816</v>
      </c>
      <c r="G1348" s="12">
        <v>2.1805555559694767E-2</v>
      </c>
      <c r="H1348" s="2" t="s">
        <v>248</v>
      </c>
      <c r="J1348" s="2" t="s">
        <v>300</v>
      </c>
      <c r="K1348" s="2" t="s">
        <v>350</v>
      </c>
      <c r="L1348" s="2" t="s">
        <v>1222</v>
      </c>
      <c r="M1348" t="s">
        <v>375</v>
      </c>
      <c r="N1348" t="s">
        <v>828</v>
      </c>
      <c r="P1348" t="s">
        <v>2427</v>
      </c>
      <c r="Q1348" t="s">
        <v>1224</v>
      </c>
    </row>
    <row r="1349" spans="1:17">
      <c r="A1349" s="2" t="s">
        <v>846</v>
      </c>
      <c r="B1349" s="2" t="s">
        <v>602</v>
      </c>
      <c r="C1349" s="2" t="s">
        <v>1534</v>
      </c>
      <c r="D1349" s="11">
        <v>45981.260254629633</v>
      </c>
      <c r="E1349" s="11">
        <v>45981.260254629633</v>
      </c>
      <c r="F1349" s="11">
        <v>45981.282002314816</v>
      </c>
      <c r="G1349" s="12">
        <v>2.1747685183072463E-2</v>
      </c>
      <c r="H1349" s="2" t="s">
        <v>248</v>
      </c>
      <c r="J1349" s="2" t="s">
        <v>300</v>
      </c>
      <c r="K1349" s="2" t="s">
        <v>350</v>
      </c>
      <c r="L1349" s="2" t="s">
        <v>1222</v>
      </c>
      <c r="M1349" t="s">
        <v>375</v>
      </c>
      <c r="N1349" t="s">
        <v>828</v>
      </c>
      <c r="P1349" t="s">
        <v>2428</v>
      </c>
      <c r="Q1349" t="s">
        <v>1224</v>
      </c>
    </row>
    <row r="1350" spans="1:17">
      <c r="A1350" s="2" t="s">
        <v>846</v>
      </c>
      <c r="B1350" s="2" t="s">
        <v>602</v>
      </c>
      <c r="C1350" s="2" t="s">
        <v>1536</v>
      </c>
      <c r="D1350" s="11">
        <v>45981.288819444446</v>
      </c>
      <c r="E1350" s="11">
        <v>45981.288819444446</v>
      </c>
      <c r="F1350" s="11">
        <v>45981.29583333333</v>
      </c>
      <c r="G1350" s="12">
        <v>7.0138888841029257E-3</v>
      </c>
      <c r="H1350" s="2" t="s">
        <v>248</v>
      </c>
      <c r="J1350" s="2" t="s">
        <v>300</v>
      </c>
      <c r="K1350" s="2" t="s">
        <v>350</v>
      </c>
      <c r="L1350" s="2" t="s">
        <v>1222</v>
      </c>
      <c r="M1350" t="s">
        <v>375</v>
      </c>
      <c r="N1350" t="s">
        <v>828</v>
      </c>
      <c r="P1350" t="s">
        <v>2429</v>
      </c>
      <c r="Q1350" t="s">
        <v>1224</v>
      </c>
    </row>
    <row r="1351" spans="1:17">
      <c r="A1351" s="2" t="s">
        <v>846</v>
      </c>
      <c r="B1351" s="2" t="s">
        <v>602</v>
      </c>
      <c r="C1351" s="2" t="s">
        <v>1534</v>
      </c>
      <c r="D1351" s="11">
        <v>45981.288900462961</v>
      </c>
      <c r="E1351" s="11">
        <v>45981.288900462961</v>
      </c>
      <c r="F1351" s="11">
        <v>45981.295798611114</v>
      </c>
      <c r="G1351" s="12">
        <v>6.8981481526861899E-3</v>
      </c>
      <c r="H1351" s="2" t="s">
        <v>248</v>
      </c>
      <c r="J1351" s="2" t="s">
        <v>300</v>
      </c>
      <c r="K1351" s="2" t="s">
        <v>350</v>
      </c>
      <c r="L1351" s="2" t="s">
        <v>1222</v>
      </c>
      <c r="M1351" t="s">
        <v>375</v>
      </c>
      <c r="N1351" t="s">
        <v>828</v>
      </c>
      <c r="P1351" t="s">
        <v>2430</v>
      </c>
      <c r="Q1351" t="s">
        <v>1224</v>
      </c>
    </row>
    <row r="1352" spans="1:17">
      <c r="A1352" s="2" t="s">
        <v>424</v>
      </c>
      <c r="B1352" s="2" t="s">
        <v>424</v>
      </c>
      <c r="C1352" s="2" t="s">
        <v>358</v>
      </c>
      <c r="D1352" s="11">
        <v>45982.239583333336</v>
      </c>
      <c r="E1352" s="11">
        <v>45982.239583333336</v>
      </c>
      <c r="F1352" s="11">
        <v>45982.3125</v>
      </c>
      <c r="G1352" s="12">
        <v>7.2916666664241347E-2</v>
      </c>
      <c r="H1352" s="2" t="s">
        <v>248</v>
      </c>
      <c r="J1352" s="2" t="s">
        <v>230</v>
      </c>
      <c r="K1352" s="2" t="s">
        <v>230</v>
      </c>
      <c r="L1352" s="2" t="s">
        <v>2431</v>
      </c>
      <c r="M1352" t="s">
        <v>732</v>
      </c>
      <c r="N1352" t="s">
        <v>266</v>
      </c>
      <c r="O1352" t="s">
        <v>2405</v>
      </c>
      <c r="P1352" t="s">
        <v>2432</v>
      </c>
      <c r="Q1352" t="s">
        <v>1693</v>
      </c>
    </row>
    <row r="1353" spans="1:17">
      <c r="A1353" s="2" t="s">
        <v>424</v>
      </c>
      <c r="B1353" s="2" t="s">
        <v>424</v>
      </c>
      <c r="C1353" s="2" t="s">
        <v>357</v>
      </c>
      <c r="D1353" s="11">
        <v>45982.239583333336</v>
      </c>
      <c r="E1353" s="11">
        <v>45982.239583333336</v>
      </c>
      <c r="F1353" s="11">
        <v>45982.3125</v>
      </c>
      <c r="G1353" s="12">
        <v>7.2916666664241347E-2</v>
      </c>
      <c r="H1353" s="2" t="s">
        <v>248</v>
      </c>
      <c r="J1353" s="2" t="s">
        <v>230</v>
      </c>
      <c r="K1353" s="2" t="s">
        <v>230</v>
      </c>
      <c r="L1353" s="2" t="s">
        <v>2431</v>
      </c>
      <c r="M1353" t="s">
        <v>732</v>
      </c>
      <c r="N1353" t="s">
        <v>266</v>
      </c>
      <c r="O1353" t="s">
        <v>2405</v>
      </c>
      <c r="P1353" t="s">
        <v>2433</v>
      </c>
      <c r="Q1353" t="s">
        <v>1693</v>
      </c>
    </row>
    <row r="1354" spans="1:17">
      <c r="A1354" s="2" t="s">
        <v>424</v>
      </c>
      <c r="B1354" s="2" t="s">
        <v>424</v>
      </c>
      <c r="C1354" s="2" t="s">
        <v>354</v>
      </c>
      <c r="D1354" s="11">
        <v>45982.239583333336</v>
      </c>
      <c r="E1354" s="11">
        <v>45982.239583333336</v>
      </c>
      <c r="F1354" s="11">
        <v>45982.3125</v>
      </c>
      <c r="G1354" s="12">
        <v>7.2916666664241347E-2</v>
      </c>
      <c r="H1354" s="2" t="s">
        <v>248</v>
      </c>
      <c r="J1354" s="2" t="s">
        <v>230</v>
      </c>
      <c r="K1354" s="2" t="s">
        <v>230</v>
      </c>
      <c r="L1354" s="2" t="s">
        <v>2431</v>
      </c>
      <c r="M1354" t="s">
        <v>732</v>
      </c>
      <c r="N1354" t="s">
        <v>266</v>
      </c>
      <c r="O1354" t="s">
        <v>2405</v>
      </c>
      <c r="P1354" t="s">
        <v>2434</v>
      </c>
      <c r="Q1354" t="s">
        <v>1693</v>
      </c>
    </row>
    <row r="1355" spans="1:17">
      <c r="A1355" s="2" t="s">
        <v>424</v>
      </c>
      <c r="B1355" s="2" t="s">
        <v>424</v>
      </c>
      <c r="C1355" s="2" t="s">
        <v>328</v>
      </c>
      <c r="D1355" s="11">
        <v>45982.239583333336</v>
      </c>
      <c r="E1355" s="11">
        <v>45982.239583333336</v>
      </c>
      <c r="F1355" s="11">
        <v>45982.3125</v>
      </c>
      <c r="G1355" s="12">
        <v>7.2916666664241347E-2</v>
      </c>
      <c r="H1355" s="2" t="s">
        <v>248</v>
      </c>
      <c r="J1355" s="2" t="s">
        <v>230</v>
      </c>
      <c r="K1355" s="2" t="s">
        <v>230</v>
      </c>
      <c r="L1355" s="2" t="s">
        <v>2431</v>
      </c>
      <c r="M1355" t="s">
        <v>732</v>
      </c>
      <c r="N1355" t="s">
        <v>266</v>
      </c>
      <c r="O1355" t="s">
        <v>2405</v>
      </c>
      <c r="P1355" t="s">
        <v>2435</v>
      </c>
      <c r="Q1355" t="s">
        <v>1693</v>
      </c>
    </row>
    <row r="1356" spans="1:17">
      <c r="A1356" s="2" t="s">
        <v>419</v>
      </c>
      <c r="B1356" s="2" t="s">
        <v>419</v>
      </c>
      <c r="C1356" s="2" t="s">
        <v>410</v>
      </c>
      <c r="D1356" s="11">
        <v>45982.35833333333</v>
      </c>
      <c r="E1356" s="11">
        <v>45982.35833333333</v>
      </c>
      <c r="F1356" s="11">
        <v>45982.359027777777</v>
      </c>
      <c r="G1356" s="12">
        <v>6.944444467080757E-4</v>
      </c>
      <c r="H1356" s="2" t="s">
        <v>260</v>
      </c>
      <c r="I1356" s="2" t="s">
        <v>261</v>
      </c>
      <c r="J1356" s="2" t="s">
        <v>262</v>
      </c>
      <c r="K1356" s="2" t="s">
        <v>263</v>
      </c>
      <c r="L1356" s="2" t="s">
        <v>2436</v>
      </c>
      <c r="M1356" t="s">
        <v>265</v>
      </c>
      <c r="N1356" t="s">
        <v>266</v>
      </c>
      <c r="O1356" t="s">
        <v>267</v>
      </c>
      <c r="P1356" t="s">
        <v>2437</v>
      </c>
      <c r="Q1356" t="s">
        <v>1401</v>
      </c>
    </row>
    <row r="1357" spans="1:17">
      <c r="A1357" s="2" t="s">
        <v>419</v>
      </c>
      <c r="B1357" s="2" t="s">
        <v>419</v>
      </c>
      <c r="C1357" s="2" t="s">
        <v>411</v>
      </c>
      <c r="D1357" s="11">
        <v>45982.35833333333</v>
      </c>
      <c r="E1357" s="11">
        <v>45982.35833333333</v>
      </c>
      <c r="F1357" s="11">
        <v>45982.359027777777</v>
      </c>
      <c r="G1357" s="12">
        <v>6.944444467080757E-4</v>
      </c>
      <c r="H1357" s="2" t="s">
        <v>260</v>
      </c>
      <c r="I1357" s="2" t="s">
        <v>261</v>
      </c>
      <c r="J1357" s="2" t="s">
        <v>262</v>
      </c>
      <c r="K1357" s="2" t="s">
        <v>263</v>
      </c>
      <c r="L1357" s="2" t="s">
        <v>2436</v>
      </c>
      <c r="M1357" t="s">
        <v>265</v>
      </c>
      <c r="N1357" t="s">
        <v>266</v>
      </c>
      <c r="O1357" t="s">
        <v>267</v>
      </c>
      <c r="P1357" t="s">
        <v>2438</v>
      </c>
      <c r="Q1357" t="s">
        <v>1401</v>
      </c>
    </row>
    <row r="1358" spans="1:17">
      <c r="A1358" s="2" t="s">
        <v>419</v>
      </c>
      <c r="B1358" s="2" t="s">
        <v>419</v>
      </c>
      <c r="C1358" s="2" t="s">
        <v>409</v>
      </c>
      <c r="D1358" s="11">
        <v>45982.35833333333</v>
      </c>
      <c r="E1358" s="11">
        <v>45982.35833333333</v>
      </c>
      <c r="F1358" s="11">
        <v>45982.359027777777</v>
      </c>
      <c r="G1358" s="12">
        <v>6.944444467080757E-4</v>
      </c>
      <c r="H1358" s="2" t="s">
        <v>260</v>
      </c>
      <c r="I1358" s="2" t="s">
        <v>261</v>
      </c>
      <c r="J1358" s="2" t="s">
        <v>262</v>
      </c>
      <c r="K1358" s="2" t="s">
        <v>263</v>
      </c>
      <c r="L1358" s="2" t="s">
        <v>2436</v>
      </c>
      <c r="M1358" t="s">
        <v>265</v>
      </c>
      <c r="N1358" t="s">
        <v>266</v>
      </c>
      <c r="O1358" t="s">
        <v>267</v>
      </c>
      <c r="P1358" t="s">
        <v>2439</v>
      </c>
      <c r="Q1358" t="s">
        <v>1401</v>
      </c>
    </row>
    <row r="1359" spans="1:17">
      <c r="A1359" s="2" t="s">
        <v>419</v>
      </c>
      <c r="B1359" s="2" t="s">
        <v>419</v>
      </c>
      <c r="C1359" s="2" t="s">
        <v>407</v>
      </c>
      <c r="D1359" s="11">
        <v>45982.35833333333</v>
      </c>
      <c r="E1359" s="11">
        <v>45982.35833333333</v>
      </c>
      <c r="F1359" s="11">
        <v>45982.359027777777</v>
      </c>
      <c r="G1359" s="12">
        <v>6.944444467080757E-4</v>
      </c>
      <c r="H1359" s="2" t="s">
        <v>260</v>
      </c>
      <c r="I1359" s="2" t="s">
        <v>261</v>
      </c>
      <c r="J1359" s="2" t="s">
        <v>262</v>
      </c>
      <c r="K1359" s="2" t="s">
        <v>263</v>
      </c>
      <c r="L1359" s="2" t="s">
        <v>2436</v>
      </c>
      <c r="M1359" t="s">
        <v>265</v>
      </c>
      <c r="N1359" t="s">
        <v>266</v>
      </c>
      <c r="O1359" t="s">
        <v>267</v>
      </c>
      <c r="P1359" t="s">
        <v>2440</v>
      </c>
      <c r="Q1359" t="s">
        <v>1401</v>
      </c>
    </row>
    <row r="1360" spans="1:17">
      <c r="A1360" s="2" t="s">
        <v>419</v>
      </c>
      <c r="B1360" s="2" t="s">
        <v>419</v>
      </c>
      <c r="C1360" s="2" t="s">
        <v>408</v>
      </c>
      <c r="D1360" s="11">
        <v>45982.35833333333</v>
      </c>
      <c r="E1360" s="11">
        <v>45982.35833333333</v>
      </c>
      <c r="F1360" s="11">
        <v>45982.359027777777</v>
      </c>
      <c r="G1360" s="12">
        <v>6.944444467080757E-4</v>
      </c>
      <c r="H1360" s="2" t="s">
        <v>260</v>
      </c>
      <c r="I1360" s="2" t="s">
        <v>261</v>
      </c>
      <c r="J1360" s="2" t="s">
        <v>262</v>
      </c>
      <c r="K1360" s="2" t="s">
        <v>263</v>
      </c>
      <c r="L1360" s="2" t="s">
        <v>2436</v>
      </c>
      <c r="M1360" t="s">
        <v>265</v>
      </c>
      <c r="N1360" t="s">
        <v>266</v>
      </c>
      <c r="O1360" t="s">
        <v>267</v>
      </c>
      <c r="P1360" t="s">
        <v>2441</v>
      </c>
      <c r="Q1360" t="s">
        <v>1401</v>
      </c>
    </row>
    <row r="1361" spans="1:17">
      <c r="A1361" s="2" t="s">
        <v>444</v>
      </c>
      <c r="B1361" s="2" t="s">
        <v>444</v>
      </c>
      <c r="C1361" s="2" t="s">
        <v>354</v>
      </c>
      <c r="D1361" s="11">
        <v>45982.4375</v>
      </c>
      <c r="E1361" s="11">
        <v>45982.4375</v>
      </c>
      <c r="F1361" s="11">
        <v>45982.5</v>
      </c>
      <c r="G1361" s="12">
        <v>6.25E-2</v>
      </c>
      <c r="H1361" s="2" t="s">
        <v>343</v>
      </c>
      <c r="J1361" s="2" t="s">
        <v>230</v>
      </c>
      <c r="K1361" s="2" t="s">
        <v>230</v>
      </c>
      <c r="L1361" s="2" t="s">
        <v>2442</v>
      </c>
      <c r="M1361" t="s">
        <v>251</v>
      </c>
      <c r="N1361" t="s">
        <v>330</v>
      </c>
      <c r="O1361" t="s">
        <v>2443</v>
      </c>
      <c r="P1361" t="s">
        <v>2444</v>
      </c>
      <c r="Q1361" t="s">
        <v>1364</v>
      </c>
    </row>
    <row r="1362" spans="1:17">
      <c r="A1362" s="2" t="s">
        <v>444</v>
      </c>
      <c r="B1362" s="2" t="s">
        <v>444</v>
      </c>
      <c r="C1362" s="2" t="s">
        <v>357</v>
      </c>
      <c r="D1362" s="11">
        <v>45982.4375</v>
      </c>
      <c r="E1362" s="11">
        <v>45982.4375</v>
      </c>
      <c r="F1362" s="11">
        <v>45982.5</v>
      </c>
      <c r="G1362" s="12">
        <v>6.25E-2</v>
      </c>
      <c r="H1362" s="2" t="s">
        <v>343</v>
      </c>
      <c r="J1362" s="2" t="s">
        <v>230</v>
      </c>
      <c r="K1362" s="2" t="s">
        <v>230</v>
      </c>
      <c r="L1362" s="2" t="s">
        <v>2442</v>
      </c>
      <c r="M1362" t="s">
        <v>251</v>
      </c>
      <c r="N1362" t="s">
        <v>330</v>
      </c>
      <c r="O1362" t="s">
        <v>2443</v>
      </c>
      <c r="P1362" t="s">
        <v>2445</v>
      </c>
      <c r="Q1362" t="s">
        <v>1364</v>
      </c>
    </row>
    <row r="1363" spans="1:17">
      <c r="A1363" s="2" t="s">
        <v>444</v>
      </c>
      <c r="B1363" s="2" t="s">
        <v>444</v>
      </c>
      <c r="C1363" s="2" t="s">
        <v>358</v>
      </c>
      <c r="D1363" s="11">
        <v>45982.4375</v>
      </c>
      <c r="E1363" s="11">
        <v>45982.4375</v>
      </c>
      <c r="F1363" s="11">
        <v>45982.5</v>
      </c>
      <c r="G1363" s="12">
        <v>6.25E-2</v>
      </c>
      <c r="H1363" s="2" t="s">
        <v>343</v>
      </c>
      <c r="J1363" s="2" t="s">
        <v>230</v>
      </c>
      <c r="K1363" s="2" t="s">
        <v>230</v>
      </c>
      <c r="L1363" s="2" t="s">
        <v>2442</v>
      </c>
      <c r="M1363" t="s">
        <v>251</v>
      </c>
      <c r="N1363" t="s">
        <v>330</v>
      </c>
      <c r="O1363" t="s">
        <v>2443</v>
      </c>
      <c r="P1363" t="s">
        <v>2446</v>
      </c>
      <c r="Q1363" t="s">
        <v>1364</v>
      </c>
    </row>
    <row r="1364" spans="1:17">
      <c r="A1364" s="2" t="s">
        <v>444</v>
      </c>
      <c r="B1364" s="2" t="s">
        <v>444</v>
      </c>
      <c r="C1364" s="2" t="s">
        <v>359</v>
      </c>
      <c r="D1364" s="11">
        <v>45982.4375</v>
      </c>
      <c r="E1364" s="11">
        <v>45982.4375</v>
      </c>
      <c r="F1364" s="11">
        <v>45982.5</v>
      </c>
      <c r="G1364" s="12">
        <v>6.25E-2</v>
      </c>
      <c r="H1364" s="2" t="s">
        <v>343</v>
      </c>
      <c r="J1364" s="2" t="s">
        <v>230</v>
      </c>
      <c r="K1364" s="2" t="s">
        <v>230</v>
      </c>
      <c r="L1364" s="2" t="s">
        <v>2442</v>
      </c>
      <c r="M1364" t="s">
        <v>251</v>
      </c>
      <c r="N1364" t="s">
        <v>330</v>
      </c>
      <c r="O1364" t="s">
        <v>2443</v>
      </c>
      <c r="P1364" t="s">
        <v>2447</v>
      </c>
      <c r="Q1364" t="s">
        <v>1364</v>
      </c>
    </row>
    <row r="1365" spans="1:17">
      <c r="A1365" s="2" t="s">
        <v>444</v>
      </c>
      <c r="B1365" s="2" t="s">
        <v>444</v>
      </c>
      <c r="C1365" s="2" t="s">
        <v>354</v>
      </c>
      <c r="D1365" s="11">
        <v>45983.270833333336</v>
      </c>
      <c r="E1365" s="11">
        <v>45983.270833333336</v>
      </c>
      <c r="F1365" s="11">
        <v>45983.430555555555</v>
      </c>
      <c r="G1365" s="12">
        <v>0.15972222221898846</v>
      </c>
      <c r="H1365" s="2" t="s">
        <v>343</v>
      </c>
      <c r="J1365" s="2" t="s">
        <v>230</v>
      </c>
      <c r="K1365" s="2" t="s">
        <v>230</v>
      </c>
      <c r="L1365" s="2" t="s">
        <v>2448</v>
      </c>
      <c r="M1365" t="s">
        <v>251</v>
      </c>
      <c r="N1365" t="s">
        <v>330</v>
      </c>
      <c r="O1365" t="s">
        <v>2443</v>
      </c>
      <c r="P1365" t="s">
        <v>2449</v>
      </c>
      <c r="Q1365" t="s">
        <v>1364</v>
      </c>
    </row>
    <row r="1366" spans="1:17">
      <c r="A1366" s="2" t="s">
        <v>444</v>
      </c>
      <c r="B1366" s="2" t="s">
        <v>444</v>
      </c>
      <c r="C1366" s="2" t="s">
        <v>357</v>
      </c>
      <c r="D1366" s="11">
        <v>45983.270833333336</v>
      </c>
      <c r="E1366" s="11">
        <v>45983.270833333336</v>
      </c>
      <c r="F1366" s="11">
        <v>45983.430555555555</v>
      </c>
      <c r="G1366" s="12">
        <v>0.15972222221898846</v>
      </c>
      <c r="H1366" s="2" t="s">
        <v>343</v>
      </c>
      <c r="J1366" s="2" t="s">
        <v>230</v>
      </c>
      <c r="K1366" s="2" t="s">
        <v>230</v>
      </c>
      <c r="L1366" s="2" t="s">
        <v>2448</v>
      </c>
      <c r="M1366" t="s">
        <v>251</v>
      </c>
      <c r="N1366" t="s">
        <v>330</v>
      </c>
      <c r="O1366" t="s">
        <v>2443</v>
      </c>
      <c r="P1366" t="s">
        <v>2450</v>
      </c>
      <c r="Q1366" t="s">
        <v>1364</v>
      </c>
    </row>
    <row r="1367" spans="1:17">
      <c r="A1367" s="2" t="s">
        <v>444</v>
      </c>
      <c r="B1367" s="2" t="s">
        <v>444</v>
      </c>
      <c r="C1367" s="2" t="s">
        <v>358</v>
      </c>
      <c r="D1367" s="11">
        <v>45983.270833333336</v>
      </c>
      <c r="E1367" s="11">
        <v>45983.270833333336</v>
      </c>
      <c r="F1367" s="11">
        <v>45983.430555555555</v>
      </c>
      <c r="G1367" s="12">
        <v>0.15972222221898846</v>
      </c>
      <c r="H1367" s="2" t="s">
        <v>343</v>
      </c>
      <c r="J1367" s="2" t="s">
        <v>230</v>
      </c>
      <c r="K1367" s="2" t="s">
        <v>230</v>
      </c>
      <c r="L1367" s="2" t="s">
        <v>2448</v>
      </c>
      <c r="M1367" t="s">
        <v>251</v>
      </c>
      <c r="N1367" t="s">
        <v>330</v>
      </c>
      <c r="O1367" t="s">
        <v>2443</v>
      </c>
      <c r="P1367" t="s">
        <v>2451</v>
      </c>
      <c r="Q1367" t="s">
        <v>1364</v>
      </c>
    </row>
    <row r="1368" spans="1:17">
      <c r="A1368" s="2" t="s">
        <v>444</v>
      </c>
      <c r="B1368" s="2" t="s">
        <v>444</v>
      </c>
      <c r="C1368" s="2" t="s">
        <v>359</v>
      </c>
      <c r="D1368" s="11">
        <v>45983.270833333336</v>
      </c>
      <c r="E1368" s="11">
        <v>45983.270833333336</v>
      </c>
      <c r="F1368" s="11">
        <v>45983.430555555555</v>
      </c>
      <c r="G1368" s="12">
        <v>0.15972222221898846</v>
      </c>
      <c r="H1368" s="2" t="s">
        <v>343</v>
      </c>
      <c r="J1368" s="2" t="s">
        <v>230</v>
      </c>
      <c r="K1368" s="2" t="s">
        <v>230</v>
      </c>
      <c r="L1368" s="2" t="s">
        <v>2448</v>
      </c>
      <c r="M1368" t="s">
        <v>251</v>
      </c>
      <c r="N1368" t="s">
        <v>330</v>
      </c>
      <c r="O1368" t="s">
        <v>2443</v>
      </c>
      <c r="P1368" t="s">
        <v>2452</v>
      </c>
      <c r="Q1368" t="s">
        <v>1364</v>
      </c>
    </row>
    <row r="1369" spans="1:17">
      <c r="A1369" s="2" t="s">
        <v>370</v>
      </c>
      <c r="B1369" s="2" t="s">
        <v>370</v>
      </c>
      <c r="C1369" s="2" t="s">
        <v>354</v>
      </c>
      <c r="D1369" s="11">
        <v>45983.413194444445</v>
      </c>
      <c r="E1369" s="11">
        <v>45983.413194444445</v>
      </c>
      <c r="F1369" s="11">
        <v>45983.447222222225</v>
      </c>
      <c r="G1369" s="12">
        <v>3.4027777779556345E-2</v>
      </c>
      <c r="H1369" s="2" t="s">
        <v>260</v>
      </c>
      <c r="I1369" s="2" t="s">
        <v>261</v>
      </c>
      <c r="J1369" s="2" t="s">
        <v>262</v>
      </c>
      <c r="K1369" s="2" t="s">
        <v>263</v>
      </c>
      <c r="L1369" s="2" t="s">
        <v>2436</v>
      </c>
      <c r="M1369" t="s">
        <v>265</v>
      </c>
      <c r="N1369" t="s">
        <v>266</v>
      </c>
      <c r="O1369" t="s">
        <v>267</v>
      </c>
      <c r="P1369" t="s">
        <v>2453</v>
      </c>
      <c r="Q1369" t="s">
        <v>1401</v>
      </c>
    </row>
    <row r="1370" spans="1:17">
      <c r="A1370" s="2" t="s">
        <v>370</v>
      </c>
      <c r="B1370" s="2" t="s">
        <v>370</v>
      </c>
      <c r="C1370" s="2" t="s">
        <v>357</v>
      </c>
      <c r="D1370" s="11">
        <v>45983.413194444445</v>
      </c>
      <c r="E1370" s="11">
        <v>45983.413194444445</v>
      </c>
      <c r="F1370" s="11">
        <v>45983.447222222225</v>
      </c>
      <c r="G1370" s="12">
        <v>3.4027777779556345E-2</v>
      </c>
      <c r="H1370" s="2" t="s">
        <v>260</v>
      </c>
      <c r="I1370" s="2" t="s">
        <v>261</v>
      </c>
      <c r="J1370" s="2" t="s">
        <v>262</v>
      </c>
      <c r="K1370" s="2" t="s">
        <v>263</v>
      </c>
      <c r="L1370" s="2" t="s">
        <v>2436</v>
      </c>
      <c r="M1370" t="s">
        <v>265</v>
      </c>
      <c r="N1370" t="s">
        <v>266</v>
      </c>
      <c r="O1370" t="s">
        <v>267</v>
      </c>
      <c r="P1370" t="s">
        <v>2454</v>
      </c>
      <c r="Q1370" t="s">
        <v>1401</v>
      </c>
    </row>
    <row r="1371" spans="1:17">
      <c r="A1371" s="2" t="s">
        <v>846</v>
      </c>
      <c r="B1371" s="2" t="s">
        <v>602</v>
      </c>
      <c r="C1371" s="2" t="s">
        <v>1221</v>
      </c>
      <c r="D1371" s="11">
        <v>45984.273182870369</v>
      </c>
      <c r="E1371" s="11">
        <v>45984.273182870369</v>
      </c>
      <c r="F1371" s="11">
        <v>45984.280115740738</v>
      </c>
      <c r="G1371" s="12">
        <v>6.9328703684732318E-3</v>
      </c>
      <c r="H1371" s="2" t="s">
        <v>248</v>
      </c>
      <c r="J1371" s="2" t="s">
        <v>300</v>
      </c>
      <c r="K1371" s="2" t="s">
        <v>350</v>
      </c>
      <c r="L1371" s="2" t="s">
        <v>1222</v>
      </c>
      <c r="M1371" t="s">
        <v>375</v>
      </c>
      <c r="N1371" t="s">
        <v>828</v>
      </c>
      <c r="P1371" t="s">
        <v>2455</v>
      </c>
      <c r="Q1371" t="s">
        <v>1224</v>
      </c>
    </row>
    <row r="1372" spans="1:17">
      <c r="A1372" s="2" t="s">
        <v>846</v>
      </c>
      <c r="B1372" s="2" t="s">
        <v>602</v>
      </c>
      <c r="C1372" s="2" t="s">
        <v>1303</v>
      </c>
      <c r="D1372" s="11">
        <v>45984.2737037037</v>
      </c>
      <c r="E1372" s="11">
        <v>45984.2737037037</v>
      </c>
      <c r="F1372" s="11">
        <v>45984.331597222219</v>
      </c>
      <c r="G1372" s="12">
        <v>5.7893518518540077E-2</v>
      </c>
      <c r="H1372" s="2" t="s">
        <v>248</v>
      </c>
      <c r="J1372" s="2" t="s">
        <v>300</v>
      </c>
      <c r="K1372" s="2" t="s">
        <v>350</v>
      </c>
      <c r="L1372" s="2" t="s">
        <v>1222</v>
      </c>
      <c r="M1372" t="s">
        <v>375</v>
      </c>
      <c r="N1372" t="s">
        <v>828</v>
      </c>
      <c r="P1372" t="s">
        <v>2456</v>
      </c>
      <c r="Q1372" t="s">
        <v>1224</v>
      </c>
    </row>
    <row r="1373" spans="1:17">
      <c r="A1373" s="2" t="s">
        <v>846</v>
      </c>
      <c r="B1373" s="2" t="s">
        <v>602</v>
      </c>
      <c r="C1373" s="2" t="s">
        <v>1407</v>
      </c>
      <c r="D1373" s="11">
        <v>45984.273784722223</v>
      </c>
      <c r="E1373" s="11">
        <v>45984.273784722223</v>
      </c>
      <c r="F1373" s="11">
        <v>45984.331597222219</v>
      </c>
      <c r="G1373" s="12">
        <v>5.7812499995634425E-2</v>
      </c>
      <c r="H1373" s="2" t="s">
        <v>248</v>
      </c>
      <c r="J1373" s="2" t="s">
        <v>300</v>
      </c>
      <c r="K1373" s="2" t="s">
        <v>350</v>
      </c>
      <c r="L1373" s="2" t="s">
        <v>1222</v>
      </c>
      <c r="M1373" t="s">
        <v>375</v>
      </c>
      <c r="N1373" t="s">
        <v>828</v>
      </c>
      <c r="P1373" t="s">
        <v>2457</v>
      </c>
      <c r="Q1373" t="s">
        <v>1224</v>
      </c>
    </row>
    <row r="1374" spans="1:17">
      <c r="A1374" s="2" t="s">
        <v>846</v>
      </c>
      <c r="B1374" s="2" t="s">
        <v>602</v>
      </c>
      <c r="C1374" s="2" t="s">
        <v>1534</v>
      </c>
      <c r="D1374" s="11">
        <v>45984.273819444446</v>
      </c>
      <c r="E1374" s="11">
        <v>45984.273819444446</v>
      </c>
      <c r="F1374" s="11">
        <v>45984.331597222219</v>
      </c>
      <c r="G1374" s="12">
        <v>5.7777777772571426E-2</v>
      </c>
      <c r="H1374" s="2" t="s">
        <v>248</v>
      </c>
      <c r="J1374" s="2" t="s">
        <v>300</v>
      </c>
      <c r="K1374" s="2" t="s">
        <v>350</v>
      </c>
      <c r="L1374" s="2" t="s">
        <v>1222</v>
      </c>
      <c r="M1374" t="s">
        <v>375</v>
      </c>
      <c r="N1374" t="s">
        <v>828</v>
      </c>
      <c r="P1374" t="s">
        <v>2458</v>
      </c>
      <c r="Q1374" t="s">
        <v>1224</v>
      </c>
    </row>
    <row r="1375" spans="1:17">
      <c r="A1375" s="2" t="s">
        <v>846</v>
      </c>
      <c r="B1375" s="2" t="s">
        <v>602</v>
      </c>
      <c r="C1375" s="2" t="s">
        <v>1305</v>
      </c>
      <c r="D1375" s="11">
        <v>45984.273831018516</v>
      </c>
      <c r="E1375" s="11">
        <v>45984.273831018516</v>
      </c>
      <c r="F1375" s="11">
        <v>45984.331597222219</v>
      </c>
      <c r="G1375" s="12">
        <v>5.7766203703067731E-2</v>
      </c>
      <c r="H1375" s="2" t="s">
        <v>248</v>
      </c>
      <c r="J1375" s="2" t="s">
        <v>300</v>
      </c>
      <c r="K1375" s="2" t="s">
        <v>350</v>
      </c>
      <c r="L1375" s="2" t="s">
        <v>1222</v>
      </c>
      <c r="M1375" t="s">
        <v>375</v>
      </c>
      <c r="N1375" t="s">
        <v>828</v>
      </c>
      <c r="P1375" t="s">
        <v>2459</v>
      </c>
      <c r="Q1375" t="s">
        <v>1224</v>
      </c>
    </row>
    <row r="1376" spans="1:17">
      <c r="A1376" s="2" t="s">
        <v>846</v>
      </c>
      <c r="B1376" s="2" t="s">
        <v>602</v>
      </c>
      <c r="C1376" s="2" t="s">
        <v>1536</v>
      </c>
      <c r="D1376" s="11">
        <v>45984.273900462962</v>
      </c>
      <c r="E1376" s="11">
        <v>45984.273900462962</v>
      </c>
      <c r="F1376" s="11">
        <v>45984.331597222219</v>
      </c>
      <c r="G1376" s="12">
        <v>5.7696759256941732E-2</v>
      </c>
      <c r="H1376" s="2" t="s">
        <v>248</v>
      </c>
      <c r="J1376" s="2" t="s">
        <v>300</v>
      </c>
      <c r="K1376" s="2" t="s">
        <v>350</v>
      </c>
      <c r="L1376" s="2" t="s">
        <v>1222</v>
      </c>
      <c r="M1376" t="s">
        <v>375</v>
      </c>
      <c r="N1376" t="s">
        <v>828</v>
      </c>
      <c r="P1376" t="s">
        <v>2460</v>
      </c>
      <c r="Q1376" t="s">
        <v>1224</v>
      </c>
    </row>
    <row r="1377" spans="1:17">
      <c r="A1377" s="2" t="s">
        <v>846</v>
      </c>
      <c r="B1377" s="2" t="s">
        <v>602</v>
      </c>
      <c r="C1377" s="2" t="s">
        <v>1221</v>
      </c>
      <c r="D1377" s="11">
        <v>45984.302245370367</v>
      </c>
      <c r="E1377" s="11">
        <v>45984.302245370367</v>
      </c>
      <c r="F1377" s="11">
        <v>45984.308738425927</v>
      </c>
      <c r="G1377" s="12">
        <v>6.4930555599858053E-3</v>
      </c>
      <c r="H1377" s="2" t="s">
        <v>248</v>
      </c>
      <c r="J1377" s="2" t="s">
        <v>300</v>
      </c>
      <c r="K1377" s="2" t="s">
        <v>350</v>
      </c>
      <c r="L1377" s="2" t="s">
        <v>1222</v>
      </c>
      <c r="M1377" t="s">
        <v>375</v>
      </c>
      <c r="N1377" t="s">
        <v>828</v>
      </c>
      <c r="P1377" t="s">
        <v>2461</v>
      </c>
      <c r="Q1377" t="s">
        <v>1224</v>
      </c>
    </row>
    <row r="1378" spans="1:17">
      <c r="A1378" s="2" t="s">
        <v>429</v>
      </c>
      <c r="B1378" s="2" t="s">
        <v>429</v>
      </c>
      <c r="C1378" s="2" t="s">
        <v>357</v>
      </c>
      <c r="D1378" s="11">
        <v>45985.19027777778</v>
      </c>
      <c r="E1378" s="11">
        <v>45985.19027777778</v>
      </c>
      <c r="F1378" s="11">
        <v>45985.322916666664</v>
      </c>
      <c r="G1378" s="12">
        <v>0.132638888884685</v>
      </c>
      <c r="H1378" s="2" t="s">
        <v>260</v>
      </c>
      <c r="I1378" s="2" t="s">
        <v>261</v>
      </c>
      <c r="J1378" s="2" t="s">
        <v>262</v>
      </c>
      <c r="K1378" s="2" t="s">
        <v>263</v>
      </c>
      <c r="L1378" s="2" t="s">
        <v>2462</v>
      </c>
      <c r="M1378" t="s">
        <v>265</v>
      </c>
      <c r="N1378" t="s">
        <v>266</v>
      </c>
      <c r="O1378" t="s">
        <v>2463</v>
      </c>
      <c r="P1378" t="s">
        <v>2464</v>
      </c>
      <c r="Q1378" t="s">
        <v>1401</v>
      </c>
    </row>
    <row r="1379" spans="1:17">
      <c r="A1379" s="2" t="s">
        <v>429</v>
      </c>
      <c r="B1379" s="2" t="s">
        <v>429</v>
      </c>
      <c r="C1379" s="2" t="s">
        <v>354</v>
      </c>
      <c r="D1379" s="11">
        <v>45985.19027777778</v>
      </c>
      <c r="E1379" s="11">
        <v>45985.19027777778</v>
      </c>
      <c r="F1379" s="11">
        <v>45985.322916666664</v>
      </c>
      <c r="G1379" s="12">
        <v>0.132638888884685</v>
      </c>
      <c r="H1379" s="2" t="s">
        <v>260</v>
      </c>
      <c r="I1379" s="2" t="s">
        <v>261</v>
      </c>
      <c r="J1379" s="2" t="s">
        <v>262</v>
      </c>
      <c r="K1379" s="2" t="s">
        <v>263</v>
      </c>
      <c r="L1379" s="2" t="s">
        <v>2462</v>
      </c>
      <c r="M1379" t="s">
        <v>265</v>
      </c>
      <c r="N1379" t="s">
        <v>266</v>
      </c>
      <c r="O1379" t="s">
        <v>2463</v>
      </c>
      <c r="P1379" t="s">
        <v>2465</v>
      </c>
      <c r="Q1379" t="s">
        <v>1401</v>
      </c>
    </row>
    <row r="1380" spans="1:17">
      <c r="A1380" s="2" t="s">
        <v>429</v>
      </c>
      <c r="B1380" s="2" t="s">
        <v>429</v>
      </c>
      <c r="C1380" s="2" t="s">
        <v>359</v>
      </c>
      <c r="D1380" s="11">
        <v>45985.19027777778</v>
      </c>
      <c r="E1380" s="11">
        <v>45985.19027777778</v>
      </c>
      <c r="F1380" s="11">
        <v>45985.322916666664</v>
      </c>
      <c r="G1380" s="12">
        <v>0.132638888884685</v>
      </c>
      <c r="H1380" s="2" t="s">
        <v>260</v>
      </c>
      <c r="I1380" s="2" t="s">
        <v>261</v>
      </c>
      <c r="J1380" s="2" t="s">
        <v>262</v>
      </c>
      <c r="K1380" s="2" t="s">
        <v>263</v>
      </c>
      <c r="L1380" s="2" t="s">
        <v>2462</v>
      </c>
      <c r="M1380" t="s">
        <v>265</v>
      </c>
      <c r="N1380" t="s">
        <v>266</v>
      </c>
      <c r="O1380" t="s">
        <v>2463</v>
      </c>
      <c r="P1380" t="s">
        <v>2466</v>
      </c>
      <c r="Q1380" t="s">
        <v>1401</v>
      </c>
    </row>
    <row r="1381" spans="1:17">
      <c r="A1381" s="2" t="s">
        <v>429</v>
      </c>
      <c r="B1381" s="2" t="s">
        <v>429</v>
      </c>
      <c r="C1381" s="2" t="s">
        <v>358</v>
      </c>
      <c r="D1381" s="11">
        <v>45985.19027777778</v>
      </c>
      <c r="E1381" s="11">
        <v>45985.19027777778</v>
      </c>
      <c r="F1381" s="11">
        <v>45985.322916666664</v>
      </c>
      <c r="G1381" s="12">
        <v>0.132638888884685</v>
      </c>
      <c r="H1381" s="2" t="s">
        <v>260</v>
      </c>
      <c r="I1381" s="2" t="s">
        <v>261</v>
      </c>
      <c r="J1381" s="2" t="s">
        <v>262</v>
      </c>
      <c r="K1381" s="2" t="s">
        <v>263</v>
      </c>
      <c r="L1381" s="2" t="s">
        <v>2462</v>
      </c>
      <c r="M1381" t="s">
        <v>265</v>
      </c>
      <c r="N1381" t="s">
        <v>266</v>
      </c>
      <c r="O1381" t="s">
        <v>2463</v>
      </c>
      <c r="P1381" t="s">
        <v>2467</v>
      </c>
      <c r="Q1381" t="s">
        <v>1401</v>
      </c>
    </row>
    <row r="1382" spans="1:17">
      <c r="A1382" s="2" t="s">
        <v>869</v>
      </c>
      <c r="B1382" s="2" t="s">
        <v>746</v>
      </c>
      <c r="C1382" s="2" t="s">
        <v>747</v>
      </c>
      <c r="D1382" s="11">
        <v>45985.209722222222</v>
      </c>
      <c r="E1382" s="11">
        <v>45985.209722222222</v>
      </c>
      <c r="F1382" s="11">
        <v>45985.222222222219</v>
      </c>
      <c r="G1382" s="12">
        <v>1.2499999997089617E-2</v>
      </c>
      <c r="H1382" s="2" t="s">
        <v>248</v>
      </c>
      <c r="J1382" s="2" t="s">
        <v>249</v>
      </c>
      <c r="K1382" s="2" t="s">
        <v>349</v>
      </c>
      <c r="L1382" s="2" t="s">
        <v>971</v>
      </c>
      <c r="M1382" t="s">
        <v>251</v>
      </c>
      <c r="N1382" t="s">
        <v>330</v>
      </c>
      <c r="O1382" t="s">
        <v>331</v>
      </c>
      <c r="P1382" t="s">
        <v>2468</v>
      </c>
      <c r="Q1382" t="s">
        <v>966</v>
      </c>
    </row>
    <row r="1383" spans="1:17">
      <c r="A1383" s="2" t="s">
        <v>869</v>
      </c>
      <c r="B1383" s="2" t="s">
        <v>746</v>
      </c>
      <c r="C1383" s="2" t="s">
        <v>748</v>
      </c>
      <c r="D1383" s="11">
        <v>45985.209722222222</v>
      </c>
      <c r="E1383" s="11">
        <v>45985.209722222222</v>
      </c>
      <c r="F1383" s="11">
        <v>45985.222222222219</v>
      </c>
      <c r="G1383" s="12">
        <v>1.2499999997089617E-2</v>
      </c>
      <c r="H1383" s="2" t="s">
        <v>248</v>
      </c>
      <c r="J1383" s="2" t="s">
        <v>249</v>
      </c>
      <c r="K1383" s="2" t="s">
        <v>349</v>
      </c>
      <c r="L1383" s="2" t="s">
        <v>971</v>
      </c>
      <c r="M1383" t="s">
        <v>251</v>
      </c>
      <c r="N1383" t="s">
        <v>330</v>
      </c>
      <c r="O1383" t="s">
        <v>331</v>
      </c>
      <c r="P1383" t="s">
        <v>2469</v>
      </c>
      <c r="Q1383" t="s">
        <v>966</v>
      </c>
    </row>
    <row r="1384" spans="1:17">
      <c r="A1384" s="2" t="s">
        <v>869</v>
      </c>
      <c r="B1384" s="2" t="s">
        <v>746</v>
      </c>
      <c r="C1384" s="2" t="s">
        <v>749</v>
      </c>
      <c r="D1384" s="11">
        <v>45985.209722222222</v>
      </c>
      <c r="E1384" s="11">
        <v>45985.209722222222</v>
      </c>
      <c r="F1384" s="11">
        <v>45985.222222222219</v>
      </c>
      <c r="G1384" s="12">
        <v>1.2499999997089617E-2</v>
      </c>
      <c r="H1384" s="2" t="s">
        <v>248</v>
      </c>
      <c r="J1384" s="2" t="s">
        <v>249</v>
      </c>
      <c r="K1384" s="2" t="s">
        <v>349</v>
      </c>
      <c r="L1384" s="2" t="s">
        <v>971</v>
      </c>
      <c r="M1384" t="s">
        <v>251</v>
      </c>
      <c r="N1384" t="s">
        <v>330</v>
      </c>
      <c r="O1384" t="s">
        <v>331</v>
      </c>
      <c r="P1384" t="s">
        <v>2470</v>
      </c>
      <c r="Q1384" t="s">
        <v>966</v>
      </c>
    </row>
    <row r="1385" spans="1:17">
      <c r="A1385" s="2" t="s">
        <v>869</v>
      </c>
      <c r="B1385" s="2" t="s">
        <v>746</v>
      </c>
      <c r="C1385" s="2" t="s">
        <v>750</v>
      </c>
      <c r="D1385" s="11">
        <v>45985.209722222222</v>
      </c>
      <c r="E1385" s="11">
        <v>45985.209722222222</v>
      </c>
      <c r="F1385" s="11">
        <v>45985.222222222219</v>
      </c>
      <c r="G1385" s="12">
        <v>1.2499999997089617E-2</v>
      </c>
      <c r="H1385" s="2" t="s">
        <v>248</v>
      </c>
      <c r="J1385" s="2" t="s">
        <v>249</v>
      </c>
      <c r="K1385" s="2" t="s">
        <v>349</v>
      </c>
      <c r="L1385" s="2" t="s">
        <v>971</v>
      </c>
      <c r="M1385" t="s">
        <v>251</v>
      </c>
      <c r="N1385" t="s">
        <v>330</v>
      </c>
      <c r="O1385" t="s">
        <v>331</v>
      </c>
      <c r="P1385" t="s">
        <v>2471</v>
      </c>
      <c r="Q1385" t="s">
        <v>966</v>
      </c>
    </row>
    <row r="1386" spans="1:17">
      <c r="A1386" s="2" t="s">
        <v>869</v>
      </c>
      <c r="B1386" s="2" t="s">
        <v>746</v>
      </c>
      <c r="C1386" s="2" t="s">
        <v>751</v>
      </c>
      <c r="D1386" s="11">
        <v>45985.209722222222</v>
      </c>
      <c r="E1386" s="11">
        <v>45985.209722222222</v>
      </c>
      <c r="F1386" s="11">
        <v>45985.222222222219</v>
      </c>
      <c r="G1386" s="12">
        <v>1.2499999997089617E-2</v>
      </c>
      <c r="H1386" s="2" t="s">
        <v>248</v>
      </c>
      <c r="J1386" s="2" t="s">
        <v>249</v>
      </c>
      <c r="K1386" s="2" t="s">
        <v>349</v>
      </c>
      <c r="L1386" s="2" t="s">
        <v>971</v>
      </c>
      <c r="M1386" t="s">
        <v>251</v>
      </c>
      <c r="N1386" t="s">
        <v>330</v>
      </c>
      <c r="O1386" t="s">
        <v>331</v>
      </c>
      <c r="P1386" t="s">
        <v>2472</v>
      </c>
      <c r="Q1386" t="s">
        <v>966</v>
      </c>
    </row>
    <row r="1387" spans="1:17">
      <c r="A1387" s="2" t="s">
        <v>869</v>
      </c>
      <c r="B1387" s="2" t="s">
        <v>746</v>
      </c>
      <c r="C1387" s="2" t="s">
        <v>752</v>
      </c>
      <c r="D1387" s="11">
        <v>45985.209722222222</v>
      </c>
      <c r="E1387" s="11">
        <v>45985.209722222222</v>
      </c>
      <c r="F1387" s="11">
        <v>45985.222222222219</v>
      </c>
      <c r="G1387" s="12">
        <v>1.2499999997089617E-2</v>
      </c>
      <c r="H1387" s="2" t="s">
        <v>248</v>
      </c>
      <c r="J1387" s="2" t="s">
        <v>249</v>
      </c>
      <c r="K1387" s="2" t="s">
        <v>349</v>
      </c>
      <c r="L1387" s="2" t="s">
        <v>971</v>
      </c>
      <c r="M1387" t="s">
        <v>251</v>
      </c>
      <c r="N1387" t="s">
        <v>330</v>
      </c>
      <c r="O1387" t="s">
        <v>331</v>
      </c>
      <c r="P1387" t="s">
        <v>2473</v>
      </c>
      <c r="Q1387" t="s">
        <v>966</v>
      </c>
    </row>
    <row r="1388" spans="1:17">
      <c r="A1388" s="2" t="s">
        <v>869</v>
      </c>
      <c r="B1388" s="2" t="s">
        <v>746</v>
      </c>
      <c r="C1388" s="2" t="s">
        <v>753</v>
      </c>
      <c r="D1388" s="11">
        <v>45985.209722222222</v>
      </c>
      <c r="E1388" s="11">
        <v>45985.209722222222</v>
      </c>
      <c r="F1388" s="11">
        <v>45985.222222222219</v>
      </c>
      <c r="G1388" s="12">
        <v>1.2499999997089617E-2</v>
      </c>
      <c r="H1388" s="2" t="s">
        <v>248</v>
      </c>
      <c r="J1388" s="2" t="s">
        <v>249</v>
      </c>
      <c r="K1388" s="2" t="s">
        <v>349</v>
      </c>
      <c r="L1388" s="2" t="s">
        <v>971</v>
      </c>
      <c r="M1388" t="s">
        <v>251</v>
      </c>
      <c r="N1388" t="s">
        <v>330</v>
      </c>
      <c r="O1388" t="s">
        <v>331</v>
      </c>
      <c r="P1388" t="s">
        <v>2474</v>
      </c>
      <c r="Q1388" t="s">
        <v>966</v>
      </c>
    </row>
    <row r="1389" spans="1:17">
      <c r="A1389" s="2" t="s">
        <v>869</v>
      </c>
      <c r="B1389" s="2" t="s">
        <v>746</v>
      </c>
      <c r="C1389" s="2" t="s">
        <v>754</v>
      </c>
      <c r="D1389" s="11">
        <v>45985.209722222222</v>
      </c>
      <c r="E1389" s="11">
        <v>45985.209722222222</v>
      </c>
      <c r="F1389" s="11">
        <v>45985.222222222219</v>
      </c>
      <c r="G1389" s="12">
        <v>1.2499999997089617E-2</v>
      </c>
      <c r="H1389" s="2" t="s">
        <v>248</v>
      </c>
      <c r="J1389" s="2" t="s">
        <v>249</v>
      </c>
      <c r="K1389" s="2" t="s">
        <v>349</v>
      </c>
      <c r="L1389" s="2" t="s">
        <v>971</v>
      </c>
      <c r="M1389" t="s">
        <v>251</v>
      </c>
      <c r="N1389" t="s">
        <v>330</v>
      </c>
      <c r="O1389" t="s">
        <v>331</v>
      </c>
      <c r="P1389" t="s">
        <v>2475</v>
      </c>
      <c r="Q1389" t="s">
        <v>966</v>
      </c>
    </row>
    <row r="1390" spans="1:17">
      <c r="A1390" s="2" t="s">
        <v>869</v>
      </c>
      <c r="B1390" s="2" t="s">
        <v>746</v>
      </c>
      <c r="C1390" s="2" t="s">
        <v>755</v>
      </c>
      <c r="D1390" s="11">
        <v>45985.209722222222</v>
      </c>
      <c r="E1390" s="11">
        <v>45985.209722222222</v>
      </c>
      <c r="F1390" s="11">
        <v>45985.222222222219</v>
      </c>
      <c r="G1390" s="12">
        <v>1.2499999997089617E-2</v>
      </c>
      <c r="H1390" s="2" t="s">
        <v>248</v>
      </c>
      <c r="J1390" s="2" t="s">
        <v>249</v>
      </c>
      <c r="K1390" s="2" t="s">
        <v>349</v>
      </c>
      <c r="L1390" s="2" t="s">
        <v>971</v>
      </c>
      <c r="M1390" t="s">
        <v>251</v>
      </c>
      <c r="N1390" t="s">
        <v>330</v>
      </c>
      <c r="O1390" t="s">
        <v>331</v>
      </c>
      <c r="P1390" t="s">
        <v>2476</v>
      </c>
      <c r="Q1390" t="s">
        <v>966</v>
      </c>
    </row>
    <row r="1391" spans="1:17">
      <c r="A1391" s="2" t="s">
        <v>869</v>
      </c>
      <c r="B1391" s="2" t="s">
        <v>746</v>
      </c>
      <c r="C1391" s="2" t="s">
        <v>756</v>
      </c>
      <c r="D1391" s="11">
        <v>45985.209722222222</v>
      </c>
      <c r="E1391" s="11">
        <v>45985.209722222222</v>
      </c>
      <c r="F1391" s="11">
        <v>45985.222222222219</v>
      </c>
      <c r="G1391" s="12">
        <v>1.2499999997089617E-2</v>
      </c>
      <c r="H1391" s="2" t="s">
        <v>248</v>
      </c>
      <c r="J1391" s="2" t="s">
        <v>249</v>
      </c>
      <c r="K1391" s="2" t="s">
        <v>349</v>
      </c>
      <c r="L1391" s="2" t="s">
        <v>971</v>
      </c>
      <c r="M1391" t="s">
        <v>251</v>
      </c>
      <c r="N1391" t="s">
        <v>330</v>
      </c>
      <c r="O1391" t="s">
        <v>331</v>
      </c>
      <c r="P1391" t="s">
        <v>2477</v>
      </c>
      <c r="Q1391" t="s">
        <v>966</v>
      </c>
    </row>
    <row r="1392" spans="1:17">
      <c r="A1392" s="2" t="s">
        <v>869</v>
      </c>
      <c r="B1392" s="2" t="s">
        <v>746</v>
      </c>
      <c r="C1392" s="2" t="s">
        <v>757</v>
      </c>
      <c r="D1392" s="11">
        <v>45985.209722222222</v>
      </c>
      <c r="E1392" s="11">
        <v>45985.209722222222</v>
      </c>
      <c r="F1392" s="11">
        <v>45985.222222222219</v>
      </c>
      <c r="G1392" s="12">
        <v>1.2499999997089617E-2</v>
      </c>
      <c r="H1392" s="2" t="s">
        <v>248</v>
      </c>
      <c r="J1392" s="2" t="s">
        <v>249</v>
      </c>
      <c r="K1392" s="2" t="s">
        <v>349</v>
      </c>
      <c r="L1392" s="2" t="s">
        <v>971</v>
      </c>
      <c r="M1392" t="s">
        <v>251</v>
      </c>
      <c r="N1392" t="s">
        <v>330</v>
      </c>
      <c r="O1392" t="s">
        <v>331</v>
      </c>
      <c r="P1392" t="s">
        <v>2478</v>
      </c>
      <c r="Q1392" t="s">
        <v>966</v>
      </c>
    </row>
    <row r="1393" spans="1:17">
      <c r="A1393" s="2" t="s">
        <v>869</v>
      </c>
      <c r="B1393" s="2" t="s">
        <v>746</v>
      </c>
      <c r="C1393" s="2" t="s">
        <v>758</v>
      </c>
      <c r="D1393" s="11">
        <v>45985.209722222222</v>
      </c>
      <c r="E1393" s="11">
        <v>45985.209722222222</v>
      </c>
      <c r="F1393" s="11">
        <v>45985.222222222219</v>
      </c>
      <c r="G1393" s="12">
        <v>1.2499999997089617E-2</v>
      </c>
      <c r="H1393" s="2" t="s">
        <v>248</v>
      </c>
      <c r="J1393" s="2" t="s">
        <v>249</v>
      </c>
      <c r="K1393" s="2" t="s">
        <v>349</v>
      </c>
      <c r="L1393" s="2" t="s">
        <v>971</v>
      </c>
      <c r="M1393" t="s">
        <v>251</v>
      </c>
      <c r="N1393" t="s">
        <v>330</v>
      </c>
      <c r="O1393" t="s">
        <v>331</v>
      </c>
      <c r="P1393" t="s">
        <v>2479</v>
      </c>
      <c r="Q1393" t="s">
        <v>966</v>
      </c>
    </row>
    <row r="1394" spans="1:17">
      <c r="A1394" s="2" t="s">
        <v>869</v>
      </c>
      <c r="B1394" s="2" t="s">
        <v>746</v>
      </c>
      <c r="C1394" s="2" t="s">
        <v>759</v>
      </c>
      <c r="D1394" s="11">
        <v>45985.209722222222</v>
      </c>
      <c r="E1394" s="11">
        <v>45985.209722222222</v>
      </c>
      <c r="F1394" s="11">
        <v>45985.222222222219</v>
      </c>
      <c r="G1394" s="12">
        <v>1.2499999997089617E-2</v>
      </c>
      <c r="H1394" s="2" t="s">
        <v>248</v>
      </c>
      <c r="J1394" s="2" t="s">
        <v>249</v>
      </c>
      <c r="K1394" s="2" t="s">
        <v>349</v>
      </c>
      <c r="L1394" s="2" t="s">
        <v>971</v>
      </c>
      <c r="M1394" t="s">
        <v>251</v>
      </c>
      <c r="N1394" t="s">
        <v>330</v>
      </c>
      <c r="O1394" t="s">
        <v>331</v>
      </c>
      <c r="P1394" t="s">
        <v>2480</v>
      </c>
      <c r="Q1394" t="s">
        <v>966</v>
      </c>
    </row>
    <row r="1395" spans="1:17">
      <c r="A1395" s="2" t="s">
        <v>869</v>
      </c>
      <c r="B1395" s="2" t="s">
        <v>746</v>
      </c>
      <c r="C1395" s="2" t="s">
        <v>760</v>
      </c>
      <c r="D1395" s="11">
        <v>45985.209722222222</v>
      </c>
      <c r="E1395" s="11">
        <v>45985.209722222222</v>
      </c>
      <c r="F1395" s="11">
        <v>45985.222222222219</v>
      </c>
      <c r="G1395" s="12">
        <v>1.2499999997089617E-2</v>
      </c>
      <c r="H1395" s="2" t="s">
        <v>248</v>
      </c>
      <c r="J1395" s="2" t="s">
        <v>249</v>
      </c>
      <c r="K1395" s="2" t="s">
        <v>349</v>
      </c>
      <c r="L1395" s="2" t="s">
        <v>971</v>
      </c>
      <c r="M1395" t="s">
        <v>251</v>
      </c>
      <c r="N1395" t="s">
        <v>330</v>
      </c>
      <c r="O1395" t="s">
        <v>331</v>
      </c>
      <c r="P1395" t="s">
        <v>2481</v>
      </c>
      <c r="Q1395" t="s">
        <v>966</v>
      </c>
    </row>
    <row r="1396" spans="1:17">
      <c r="A1396" s="2" t="s">
        <v>869</v>
      </c>
      <c r="B1396" s="2" t="s">
        <v>746</v>
      </c>
      <c r="C1396" s="2" t="s">
        <v>761</v>
      </c>
      <c r="D1396" s="11">
        <v>45985.209722222222</v>
      </c>
      <c r="E1396" s="11">
        <v>45985.209722222222</v>
      </c>
      <c r="F1396" s="11">
        <v>45985.222222222219</v>
      </c>
      <c r="G1396" s="12">
        <v>1.2499999997089617E-2</v>
      </c>
      <c r="H1396" s="2" t="s">
        <v>248</v>
      </c>
      <c r="J1396" s="2" t="s">
        <v>249</v>
      </c>
      <c r="K1396" s="2" t="s">
        <v>349</v>
      </c>
      <c r="L1396" s="2" t="s">
        <v>971</v>
      </c>
      <c r="M1396" t="s">
        <v>251</v>
      </c>
      <c r="N1396" t="s">
        <v>330</v>
      </c>
      <c r="O1396" t="s">
        <v>331</v>
      </c>
      <c r="P1396" t="s">
        <v>2482</v>
      </c>
      <c r="Q1396" t="s">
        <v>966</v>
      </c>
    </row>
    <row r="1397" spans="1:17">
      <c r="A1397" s="2" t="s">
        <v>869</v>
      </c>
      <c r="B1397" s="2" t="s">
        <v>746</v>
      </c>
      <c r="C1397" s="2" t="s">
        <v>762</v>
      </c>
      <c r="D1397" s="11">
        <v>45985.209722222222</v>
      </c>
      <c r="E1397" s="11">
        <v>45985.209722222222</v>
      </c>
      <c r="F1397" s="11">
        <v>45985.222222222219</v>
      </c>
      <c r="G1397" s="12">
        <v>1.2499999997089617E-2</v>
      </c>
      <c r="H1397" s="2" t="s">
        <v>248</v>
      </c>
      <c r="J1397" s="2" t="s">
        <v>249</v>
      </c>
      <c r="K1397" s="2" t="s">
        <v>349</v>
      </c>
      <c r="L1397" s="2" t="s">
        <v>971</v>
      </c>
      <c r="M1397" t="s">
        <v>251</v>
      </c>
      <c r="N1397" t="s">
        <v>330</v>
      </c>
      <c r="O1397" t="s">
        <v>331</v>
      </c>
      <c r="P1397" t="s">
        <v>2483</v>
      </c>
      <c r="Q1397" t="s">
        <v>966</v>
      </c>
    </row>
    <row r="1398" spans="1:17">
      <c r="A1398" s="2" t="s">
        <v>869</v>
      </c>
      <c r="B1398" s="2" t="s">
        <v>746</v>
      </c>
      <c r="C1398" s="2" t="s">
        <v>763</v>
      </c>
      <c r="D1398" s="11">
        <v>45985.209722222222</v>
      </c>
      <c r="E1398" s="11">
        <v>45985.209722222222</v>
      </c>
      <c r="F1398" s="11">
        <v>45985.222222222219</v>
      </c>
      <c r="G1398" s="12">
        <v>1.2499999997089617E-2</v>
      </c>
      <c r="H1398" s="2" t="s">
        <v>248</v>
      </c>
      <c r="J1398" s="2" t="s">
        <v>249</v>
      </c>
      <c r="K1398" s="2" t="s">
        <v>349</v>
      </c>
      <c r="L1398" s="2" t="s">
        <v>971</v>
      </c>
      <c r="M1398" t="s">
        <v>251</v>
      </c>
      <c r="N1398" t="s">
        <v>330</v>
      </c>
      <c r="O1398" t="s">
        <v>331</v>
      </c>
      <c r="P1398" t="s">
        <v>2484</v>
      </c>
      <c r="Q1398" t="s">
        <v>966</v>
      </c>
    </row>
    <row r="1399" spans="1:17">
      <c r="A1399" s="2" t="s">
        <v>846</v>
      </c>
      <c r="B1399" s="2" t="s">
        <v>602</v>
      </c>
      <c r="C1399" s="2" t="s">
        <v>1221</v>
      </c>
      <c r="D1399" s="11">
        <v>45985.255648148152</v>
      </c>
      <c r="E1399" s="11">
        <v>45985.255648148152</v>
      </c>
      <c r="F1399" s="11">
        <v>45985.26284722222</v>
      </c>
      <c r="G1399" s="12">
        <v>7.1990740689216182E-3</v>
      </c>
      <c r="H1399" s="2" t="s">
        <v>248</v>
      </c>
      <c r="J1399" s="2" t="s">
        <v>300</v>
      </c>
      <c r="K1399" s="2" t="s">
        <v>350</v>
      </c>
      <c r="L1399" s="2" t="s">
        <v>1222</v>
      </c>
      <c r="M1399" t="s">
        <v>375</v>
      </c>
      <c r="N1399" t="s">
        <v>828</v>
      </c>
      <c r="P1399" t="s">
        <v>2485</v>
      </c>
      <c r="Q1399" t="s">
        <v>1224</v>
      </c>
    </row>
    <row r="1400" spans="1:17">
      <c r="A1400" s="2" t="s">
        <v>327</v>
      </c>
      <c r="B1400" s="2" t="s">
        <v>327</v>
      </c>
      <c r="C1400" s="2" t="s">
        <v>328</v>
      </c>
      <c r="D1400" s="11">
        <v>45985.355555555558</v>
      </c>
      <c r="E1400" s="11">
        <v>45985.355555555558</v>
      </c>
      <c r="F1400" s="11">
        <v>45985.35833333333</v>
      </c>
      <c r="G1400" s="12">
        <v>2.7777777722803876E-3</v>
      </c>
      <c r="H1400" s="2" t="s">
        <v>248</v>
      </c>
      <c r="J1400" s="2" t="s">
        <v>249</v>
      </c>
      <c r="K1400" s="2" t="s">
        <v>349</v>
      </c>
      <c r="L1400" s="2" t="s">
        <v>849</v>
      </c>
      <c r="M1400" t="s">
        <v>251</v>
      </c>
      <c r="N1400" t="s">
        <v>330</v>
      </c>
      <c r="O1400" t="s">
        <v>331</v>
      </c>
      <c r="P1400" t="s">
        <v>2486</v>
      </c>
      <c r="Q1400" t="s">
        <v>966</v>
      </c>
    </row>
    <row r="1401" spans="1:17">
      <c r="A1401" s="2" t="s">
        <v>332</v>
      </c>
      <c r="B1401" s="2" t="s">
        <v>332</v>
      </c>
      <c r="C1401" s="2" t="s">
        <v>328</v>
      </c>
      <c r="D1401" s="11">
        <v>45985.355555555558</v>
      </c>
      <c r="E1401" s="11">
        <v>45985.355555555558</v>
      </c>
      <c r="F1401" s="11">
        <v>45985.35833333333</v>
      </c>
      <c r="G1401" s="12">
        <v>2.7777777722803876E-3</v>
      </c>
      <c r="H1401" s="2" t="s">
        <v>248</v>
      </c>
      <c r="J1401" s="2" t="s">
        <v>249</v>
      </c>
      <c r="K1401" s="2" t="s">
        <v>349</v>
      </c>
      <c r="L1401" s="2" t="s">
        <v>849</v>
      </c>
      <c r="M1401" t="s">
        <v>251</v>
      </c>
      <c r="N1401" t="s">
        <v>330</v>
      </c>
      <c r="O1401" t="s">
        <v>331</v>
      </c>
      <c r="P1401" t="s">
        <v>2487</v>
      </c>
      <c r="Q1401" t="s">
        <v>966</v>
      </c>
    </row>
    <row r="1402" spans="1:17">
      <c r="A1402" s="2" t="s">
        <v>333</v>
      </c>
      <c r="B1402" s="2" t="s">
        <v>333</v>
      </c>
      <c r="C1402" s="2" t="s">
        <v>328</v>
      </c>
      <c r="D1402" s="11">
        <v>45985.355555555558</v>
      </c>
      <c r="E1402" s="11">
        <v>45985.355555555558</v>
      </c>
      <c r="F1402" s="11">
        <v>45985.35833333333</v>
      </c>
      <c r="G1402" s="12">
        <v>2.7777777722803876E-3</v>
      </c>
      <c r="H1402" s="2" t="s">
        <v>248</v>
      </c>
      <c r="J1402" s="2" t="s">
        <v>249</v>
      </c>
      <c r="K1402" s="2" t="s">
        <v>349</v>
      </c>
      <c r="L1402" s="2" t="s">
        <v>849</v>
      </c>
      <c r="M1402" t="s">
        <v>251</v>
      </c>
      <c r="N1402" t="s">
        <v>330</v>
      </c>
      <c r="O1402" t="s">
        <v>331</v>
      </c>
      <c r="P1402" t="s">
        <v>2488</v>
      </c>
      <c r="Q1402" t="s">
        <v>966</v>
      </c>
    </row>
    <row r="1403" spans="1:17">
      <c r="A1403" s="2" t="s">
        <v>334</v>
      </c>
      <c r="B1403" s="2" t="s">
        <v>334</v>
      </c>
      <c r="C1403" s="2" t="s">
        <v>328</v>
      </c>
      <c r="D1403" s="11">
        <v>45985.355555555558</v>
      </c>
      <c r="E1403" s="11">
        <v>45985.355555555558</v>
      </c>
      <c r="F1403" s="11">
        <v>45985.35833333333</v>
      </c>
      <c r="G1403" s="12">
        <v>2.7777777722803876E-3</v>
      </c>
      <c r="H1403" s="2" t="s">
        <v>248</v>
      </c>
      <c r="J1403" s="2" t="s">
        <v>249</v>
      </c>
      <c r="K1403" s="2" t="s">
        <v>349</v>
      </c>
      <c r="L1403" s="2" t="s">
        <v>849</v>
      </c>
      <c r="M1403" t="s">
        <v>251</v>
      </c>
      <c r="N1403" t="s">
        <v>330</v>
      </c>
      <c r="O1403" t="s">
        <v>331</v>
      </c>
      <c r="P1403" t="s">
        <v>2489</v>
      </c>
      <c r="Q1403" t="s">
        <v>966</v>
      </c>
    </row>
    <row r="1404" spans="1:17">
      <c r="A1404" s="2" t="s">
        <v>335</v>
      </c>
      <c r="B1404" s="2" t="s">
        <v>335</v>
      </c>
      <c r="C1404" s="2" t="s">
        <v>328</v>
      </c>
      <c r="D1404" s="11">
        <v>45985.355555555558</v>
      </c>
      <c r="E1404" s="11">
        <v>45985.355555555558</v>
      </c>
      <c r="F1404" s="11">
        <v>45985.35833333333</v>
      </c>
      <c r="G1404" s="12">
        <v>2.7777777722803876E-3</v>
      </c>
      <c r="H1404" s="2" t="s">
        <v>248</v>
      </c>
      <c r="J1404" s="2" t="s">
        <v>249</v>
      </c>
      <c r="K1404" s="2" t="s">
        <v>349</v>
      </c>
      <c r="L1404" s="2" t="s">
        <v>849</v>
      </c>
      <c r="M1404" t="s">
        <v>251</v>
      </c>
      <c r="N1404" t="s">
        <v>330</v>
      </c>
      <c r="O1404" t="s">
        <v>331</v>
      </c>
      <c r="P1404" t="s">
        <v>2490</v>
      </c>
      <c r="Q1404" t="s">
        <v>966</v>
      </c>
    </row>
    <row r="1405" spans="1:17">
      <c r="A1405" s="2" t="s">
        <v>1866</v>
      </c>
      <c r="B1405" s="2" t="s">
        <v>610</v>
      </c>
      <c r="C1405" s="2" t="s">
        <v>1867</v>
      </c>
      <c r="D1405" s="11">
        <v>45985.590277777781</v>
      </c>
      <c r="E1405" s="11">
        <v>45985.590277777781</v>
      </c>
      <c r="F1405" s="11">
        <v>45985.722222222219</v>
      </c>
      <c r="G1405" s="12">
        <v>0.13194444443797693</v>
      </c>
      <c r="H1405" s="2" t="s">
        <v>260</v>
      </c>
      <c r="I1405" s="2" t="s">
        <v>261</v>
      </c>
      <c r="J1405" s="2" t="s">
        <v>262</v>
      </c>
      <c r="K1405" s="2" t="s">
        <v>263</v>
      </c>
      <c r="L1405" s="2" t="s">
        <v>2491</v>
      </c>
      <c r="M1405" t="s">
        <v>302</v>
      </c>
      <c r="N1405" t="s">
        <v>345</v>
      </c>
      <c r="O1405" t="s">
        <v>2492</v>
      </c>
      <c r="P1405" t="s">
        <v>2493</v>
      </c>
      <c r="Q1405" t="s">
        <v>1401</v>
      </c>
    </row>
    <row r="1406" spans="1:17">
      <c r="A1406" s="2" t="s">
        <v>1870</v>
      </c>
      <c r="B1406" s="2" t="s">
        <v>610</v>
      </c>
      <c r="C1406" s="2" t="s">
        <v>1871</v>
      </c>
      <c r="D1406" s="11">
        <v>45985.590277777781</v>
      </c>
      <c r="E1406" s="11">
        <v>45985.590277777781</v>
      </c>
      <c r="F1406" s="11">
        <v>45985.722222222219</v>
      </c>
      <c r="G1406" s="12">
        <v>0.13194444443797693</v>
      </c>
      <c r="H1406" s="2" t="s">
        <v>260</v>
      </c>
      <c r="I1406" s="2" t="s">
        <v>261</v>
      </c>
      <c r="J1406" s="2" t="s">
        <v>262</v>
      </c>
      <c r="K1406" s="2" t="s">
        <v>263</v>
      </c>
      <c r="L1406" s="2" t="s">
        <v>2491</v>
      </c>
      <c r="M1406" t="s">
        <v>302</v>
      </c>
      <c r="N1406" t="s">
        <v>345</v>
      </c>
      <c r="O1406" t="s">
        <v>2492</v>
      </c>
      <c r="P1406" t="s">
        <v>2494</v>
      </c>
      <c r="Q1406" t="s">
        <v>1401</v>
      </c>
    </row>
    <row r="1407" spans="1:17">
      <c r="A1407" s="2" t="s">
        <v>1870</v>
      </c>
      <c r="B1407" s="2" t="s">
        <v>610</v>
      </c>
      <c r="C1407" s="2" t="s">
        <v>1873</v>
      </c>
      <c r="D1407" s="11">
        <v>45985.590277777781</v>
      </c>
      <c r="E1407" s="11">
        <v>45985.590277777781</v>
      </c>
      <c r="F1407" s="11">
        <v>45985.722222222219</v>
      </c>
      <c r="G1407" s="12">
        <v>0.13194444443797693</v>
      </c>
      <c r="H1407" s="2" t="s">
        <v>260</v>
      </c>
      <c r="I1407" s="2" t="s">
        <v>261</v>
      </c>
      <c r="J1407" s="2" t="s">
        <v>262</v>
      </c>
      <c r="K1407" s="2" t="s">
        <v>263</v>
      </c>
      <c r="L1407" s="2" t="s">
        <v>2491</v>
      </c>
      <c r="M1407" t="s">
        <v>302</v>
      </c>
      <c r="N1407" t="s">
        <v>345</v>
      </c>
      <c r="O1407" t="s">
        <v>2492</v>
      </c>
      <c r="P1407" t="s">
        <v>2495</v>
      </c>
      <c r="Q1407" t="s">
        <v>1401</v>
      </c>
    </row>
    <row r="1408" spans="1:17">
      <c r="A1408" s="2" t="s">
        <v>1866</v>
      </c>
      <c r="B1408" s="2" t="s">
        <v>610</v>
      </c>
      <c r="C1408" s="2" t="s">
        <v>1875</v>
      </c>
      <c r="D1408" s="11">
        <v>45985.590277777781</v>
      </c>
      <c r="E1408" s="11">
        <v>45985.590277777781</v>
      </c>
      <c r="F1408" s="11">
        <v>45985.722222222219</v>
      </c>
      <c r="G1408" s="12">
        <v>0.13194444443797693</v>
      </c>
      <c r="H1408" s="2" t="s">
        <v>260</v>
      </c>
      <c r="I1408" s="2" t="s">
        <v>261</v>
      </c>
      <c r="J1408" s="2" t="s">
        <v>262</v>
      </c>
      <c r="K1408" s="2" t="s">
        <v>263</v>
      </c>
      <c r="L1408" s="2" t="s">
        <v>2491</v>
      </c>
      <c r="M1408" t="s">
        <v>302</v>
      </c>
      <c r="N1408" t="s">
        <v>345</v>
      </c>
      <c r="O1408" t="s">
        <v>2492</v>
      </c>
      <c r="P1408" t="s">
        <v>2496</v>
      </c>
      <c r="Q1408" t="s">
        <v>1401</v>
      </c>
    </row>
    <row r="1409" spans="1:17">
      <c r="A1409" s="2" t="s">
        <v>423</v>
      </c>
      <c r="B1409" s="2" t="s">
        <v>423</v>
      </c>
      <c r="C1409" s="2" t="s">
        <v>354</v>
      </c>
      <c r="D1409" s="11">
        <v>45986.229166666664</v>
      </c>
      <c r="E1409" s="11">
        <v>45986.229166666664</v>
      </c>
      <c r="F1409" s="11">
        <v>45986.329861111109</v>
      </c>
      <c r="G1409" s="12">
        <v>0.10069444444525288</v>
      </c>
      <c r="H1409" s="2" t="s">
        <v>248</v>
      </c>
      <c r="J1409" s="2" t="s">
        <v>249</v>
      </c>
      <c r="K1409" s="2" t="s">
        <v>349</v>
      </c>
      <c r="L1409" s="2" t="s">
        <v>2497</v>
      </c>
      <c r="M1409" t="s">
        <v>251</v>
      </c>
      <c r="N1409" t="s">
        <v>266</v>
      </c>
      <c r="O1409" t="s">
        <v>676</v>
      </c>
      <c r="P1409" t="s">
        <v>2498</v>
      </c>
      <c r="Q1409" t="s">
        <v>966</v>
      </c>
    </row>
    <row r="1410" spans="1:17">
      <c r="A1410" s="2" t="s">
        <v>423</v>
      </c>
      <c r="B1410" s="2" t="s">
        <v>423</v>
      </c>
      <c r="C1410" s="2" t="s">
        <v>358</v>
      </c>
      <c r="D1410" s="11">
        <v>45986.229166666664</v>
      </c>
      <c r="E1410" s="11">
        <v>45986.229166666664</v>
      </c>
      <c r="F1410" s="11">
        <v>45986.329861111109</v>
      </c>
      <c r="G1410" s="12">
        <v>0.10069444444525288</v>
      </c>
      <c r="H1410" s="2" t="s">
        <v>248</v>
      </c>
      <c r="J1410" s="2" t="s">
        <v>249</v>
      </c>
      <c r="K1410" s="2" t="s">
        <v>349</v>
      </c>
      <c r="L1410" s="2" t="s">
        <v>2497</v>
      </c>
      <c r="M1410" t="s">
        <v>251</v>
      </c>
      <c r="N1410" t="s">
        <v>266</v>
      </c>
      <c r="O1410" t="s">
        <v>676</v>
      </c>
      <c r="P1410" t="s">
        <v>2499</v>
      </c>
      <c r="Q1410" t="s">
        <v>966</v>
      </c>
    </row>
    <row r="1411" spans="1:17">
      <c r="A1411" s="2" t="s">
        <v>423</v>
      </c>
      <c r="B1411" s="2" t="s">
        <v>423</v>
      </c>
      <c r="C1411" s="2" t="s">
        <v>357</v>
      </c>
      <c r="D1411" s="11">
        <v>45986.229166666664</v>
      </c>
      <c r="E1411" s="11">
        <v>45986.229166666664</v>
      </c>
      <c r="F1411" s="11">
        <v>45986.329861111109</v>
      </c>
      <c r="G1411" s="12">
        <v>0.10069444444525288</v>
      </c>
      <c r="H1411" s="2" t="s">
        <v>248</v>
      </c>
      <c r="J1411" s="2" t="s">
        <v>249</v>
      </c>
      <c r="K1411" s="2" t="s">
        <v>349</v>
      </c>
      <c r="L1411" s="2" t="s">
        <v>2497</v>
      </c>
      <c r="M1411" t="s">
        <v>251</v>
      </c>
      <c r="N1411" t="s">
        <v>266</v>
      </c>
      <c r="O1411" t="s">
        <v>676</v>
      </c>
      <c r="P1411" t="s">
        <v>2500</v>
      </c>
      <c r="Q1411" t="s">
        <v>966</v>
      </c>
    </row>
    <row r="1412" spans="1:17">
      <c r="A1412" s="2" t="s">
        <v>423</v>
      </c>
      <c r="B1412" s="2" t="s">
        <v>423</v>
      </c>
      <c r="C1412" s="2" t="s">
        <v>328</v>
      </c>
      <c r="D1412" s="11">
        <v>45986.229166666664</v>
      </c>
      <c r="E1412" s="11">
        <v>45986.229166666664</v>
      </c>
      <c r="F1412" s="11">
        <v>45986.329861111109</v>
      </c>
      <c r="G1412" s="12">
        <v>0.10069444444525288</v>
      </c>
      <c r="H1412" s="2" t="s">
        <v>248</v>
      </c>
      <c r="J1412" s="2" t="s">
        <v>249</v>
      </c>
      <c r="K1412" s="2" t="s">
        <v>349</v>
      </c>
      <c r="L1412" s="2" t="s">
        <v>2497</v>
      </c>
      <c r="M1412" t="s">
        <v>251</v>
      </c>
      <c r="N1412" t="s">
        <v>266</v>
      </c>
      <c r="O1412" t="s">
        <v>676</v>
      </c>
      <c r="P1412" t="s">
        <v>2501</v>
      </c>
      <c r="Q1412" t="s">
        <v>966</v>
      </c>
    </row>
    <row r="1413" spans="1:17">
      <c r="A1413" s="2" t="s">
        <v>424</v>
      </c>
      <c r="B1413" s="2" t="s">
        <v>424</v>
      </c>
      <c r="C1413" s="2" t="s">
        <v>358</v>
      </c>
      <c r="D1413" s="11">
        <v>45986.229166666664</v>
      </c>
      <c r="E1413" s="11">
        <v>45986.229166666664</v>
      </c>
      <c r="F1413" s="11">
        <v>45986.329861111109</v>
      </c>
      <c r="G1413" s="12">
        <v>0.10069444444525288</v>
      </c>
      <c r="H1413" s="2" t="s">
        <v>248</v>
      </c>
      <c r="J1413" s="2" t="s">
        <v>249</v>
      </c>
      <c r="K1413" s="2" t="s">
        <v>349</v>
      </c>
      <c r="L1413" s="2" t="s">
        <v>2497</v>
      </c>
      <c r="M1413" t="s">
        <v>251</v>
      </c>
      <c r="N1413" t="s">
        <v>266</v>
      </c>
      <c r="O1413" t="s">
        <v>676</v>
      </c>
      <c r="P1413" t="s">
        <v>2502</v>
      </c>
      <c r="Q1413" t="s">
        <v>966</v>
      </c>
    </row>
    <row r="1414" spans="1:17">
      <c r="A1414" s="2" t="s">
        <v>424</v>
      </c>
      <c r="B1414" s="2" t="s">
        <v>424</v>
      </c>
      <c r="C1414" s="2" t="s">
        <v>357</v>
      </c>
      <c r="D1414" s="11">
        <v>45986.229166666664</v>
      </c>
      <c r="E1414" s="11">
        <v>45986.229166666664</v>
      </c>
      <c r="F1414" s="11">
        <v>45986.329861111109</v>
      </c>
      <c r="G1414" s="12">
        <v>0.10069444444525288</v>
      </c>
      <c r="H1414" s="2" t="s">
        <v>248</v>
      </c>
      <c r="J1414" s="2" t="s">
        <v>249</v>
      </c>
      <c r="K1414" s="2" t="s">
        <v>349</v>
      </c>
      <c r="L1414" s="2" t="s">
        <v>2497</v>
      </c>
      <c r="M1414" t="s">
        <v>251</v>
      </c>
      <c r="N1414" t="s">
        <v>266</v>
      </c>
      <c r="O1414" t="s">
        <v>676</v>
      </c>
      <c r="P1414" t="s">
        <v>2503</v>
      </c>
      <c r="Q1414" t="s">
        <v>966</v>
      </c>
    </row>
    <row r="1415" spans="1:17">
      <c r="A1415" s="2" t="s">
        <v>424</v>
      </c>
      <c r="B1415" s="2" t="s">
        <v>424</v>
      </c>
      <c r="C1415" s="2" t="s">
        <v>354</v>
      </c>
      <c r="D1415" s="11">
        <v>45986.229166666664</v>
      </c>
      <c r="E1415" s="11">
        <v>45986.229166666664</v>
      </c>
      <c r="F1415" s="11">
        <v>45986.329861111109</v>
      </c>
      <c r="G1415" s="12">
        <v>0.10069444444525288</v>
      </c>
      <c r="H1415" s="2" t="s">
        <v>248</v>
      </c>
      <c r="J1415" s="2" t="s">
        <v>249</v>
      </c>
      <c r="K1415" s="2" t="s">
        <v>349</v>
      </c>
      <c r="L1415" s="2" t="s">
        <v>2497</v>
      </c>
      <c r="M1415" t="s">
        <v>251</v>
      </c>
      <c r="N1415" t="s">
        <v>266</v>
      </c>
      <c r="O1415" t="s">
        <v>676</v>
      </c>
      <c r="P1415" t="s">
        <v>2504</v>
      </c>
      <c r="Q1415" t="s">
        <v>966</v>
      </c>
    </row>
    <row r="1416" spans="1:17">
      <c r="A1416" s="2" t="s">
        <v>424</v>
      </c>
      <c r="B1416" s="2" t="s">
        <v>424</v>
      </c>
      <c r="C1416" s="2" t="s">
        <v>328</v>
      </c>
      <c r="D1416" s="11">
        <v>45986.229166666664</v>
      </c>
      <c r="E1416" s="11">
        <v>45986.229166666664</v>
      </c>
      <c r="F1416" s="11">
        <v>45986.329861111109</v>
      </c>
      <c r="G1416" s="12">
        <v>0.10069444444525288</v>
      </c>
      <c r="H1416" s="2" t="s">
        <v>248</v>
      </c>
      <c r="J1416" s="2" t="s">
        <v>249</v>
      </c>
      <c r="K1416" s="2" t="s">
        <v>349</v>
      </c>
      <c r="L1416" s="2" t="s">
        <v>2497</v>
      </c>
      <c r="M1416" t="s">
        <v>251</v>
      </c>
      <c r="N1416" t="s">
        <v>266</v>
      </c>
      <c r="O1416" t="s">
        <v>676</v>
      </c>
      <c r="P1416" t="s">
        <v>2505</v>
      </c>
      <c r="Q1416" t="s">
        <v>966</v>
      </c>
    </row>
    <row r="1417" spans="1:17">
      <c r="A1417" s="2" t="s">
        <v>425</v>
      </c>
      <c r="B1417" s="2" t="s">
        <v>425</v>
      </c>
      <c r="C1417" s="2" t="s">
        <v>357</v>
      </c>
      <c r="D1417" s="11">
        <v>45986.229166666664</v>
      </c>
      <c r="E1417" s="11">
        <v>45986.229166666664</v>
      </c>
      <c r="F1417" s="11">
        <v>45986.329861111109</v>
      </c>
      <c r="G1417" s="12">
        <v>0.10069444444525288</v>
      </c>
      <c r="H1417" s="2" t="s">
        <v>248</v>
      </c>
      <c r="J1417" s="2" t="s">
        <v>249</v>
      </c>
      <c r="K1417" s="2" t="s">
        <v>349</v>
      </c>
      <c r="L1417" s="2" t="s">
        <v>2497</v>
      </c>
      <c r="M1417" t="s">
        <v>251</v>
      </c>
      <c r="N1417" t="s">
        <v>266</v>
      </c>
      <c r="O1417" t="s">
        <v>676</v>
      </c>
      <c r="P1417" t="s">
        <v>2506</v>
      </c>
      <c r="Q1417" t="s">
        <v>966</v>
      </c>
    </row>
    <row r="1418" spans="1:17">
      <c r="A1418" s="2" t="s">
        <v>425</v>
      </c>
      <c r="B1418" s="2" t="s">
        <v>425</v>
      </c>
      <c r="C1418" s="2" t="s">
        <v>354</v>
      </c>
      <c r="D1418" s="11">
        <v>45986.229166666664</v>
      </c>
      <c r="E1418" s="11">
        <v>45986.229166666664</v>
      </c>
      <c r="F1418" s="11">
        <v>45986.329861111109</v>
      </c>
      <c r="G1418" s="12">
        <v>0.10069444444525288</v>
      </c>
      <c r="H1418" s="2" t="s">
        <v>248</v>
      </c>
      <c r="J1418" s="2" t="s">
        <v>249</v>
      </c>
      <c r="K1418" s="2" t="s">
        <v>349</v>
      </c>
      <c r="L1418" s="2" t="s">
        <v>2497</v>
      </c>
      <c r="M1418" t="s">
        <v>251</v>
      </c>
      <c r="N1418" t="s">
        <v>266</v>
      </c>
      <c r="O1418" t="s">
        <v>676</v>
      </c>
      <c r="P1418" t="s">
        <v>2507</v>
      </c>
      <c r="Q1418" t="s">
        <v>966</v>
      </c>
    </row>
    <row r="1419" spans="1:17">
      <c r="A1419" s="2" t="s">
        <v>429</v>
      </c>
      <c r="B1419" s="2" t="s">
        <v>429</v>
      </c>
      <c r="C1419" s="2" t="s">
        <v>357</v>
      </c>
      <c r="D1419" s="11">
        <v>45986.229166666664</v>
      </c>
      <c r="E1419" s="11">
        <v>45986.229166666664</v>
      </c>
      <c r="F1419" s="11">
        <v>45986.329861111109</v>
      </c>
      <c r="G1419" s="12">
        <v>0.10069444444525288</v>
      </c>
      <c r="H1419" s="2" t="s">
        <v>248</v>
      </c>
      <c r="J1419" s="2" t="s">
        <v>249</v>
      </c>
      <c r="K1419" s="2" t="s">
        <v>349</v>
      </c>
      <c r="L1419" s="2" t="s">
        <v>2497</v>
      </c>
      <c r="M1419" t="s">
        <v>251</v>
      </c>
      <c r="N1419" t="s">
        <v>266</v>
      </c>
      <c r="O1419" t="s">
        <v>676</v>
      </c>
      <c r="P1419" t="s">
        <v>2508</v>
      </c>
      <c r="Q1419" t="s">
        <v>966</v>
      </c>
    </row>
    <row r="1420" spans="1:17">
      <c r="A1420" s="2" t="s">
        <v>429</v>
      </c>
      <c r="B1420" s="2" t="s">
        <v>429</v>
      </c>
      <c r="C1420" s="2" t="s">
        <v>354</v>
      </c>
      <c r="D1420" s="11">
        <v>45986.229166666664</v>
      </c>
      <c r="E1420" s="11">
        <v>45986.229166666664</v>
      </c>
      <c r="F1420" s="11">
        <v>45986.329861111109</v>
      </c>
      <c r="G1420" s="12">
        <v>0.10069444444525288</v>
      </c>
      <c r="H1420" s="2" t="s">
        <v>248</v>
      </c>
      <c r="J1420" s="2" t="s">
        <v>249</v>
      </c>
      <c r="K1420" s="2" t="s">
        <v>349</v>
      </c>
      <c r="L1420" s="2" t="s">
        <v>2497</v>
      </c>
      <c r="M1420" t="s">
        <v>251</v>
      </c>
      <c r="N1420" t="s">
        <v>266</v>
      </c>
      <c r="O1420" t="s">
        <v>676</v>
      </c>
      <c r="P1420" t="s">
        <v>2509</v>
      </c>
      <c r="Q1420" t="s">
        <v>966</v>
      </c>
    </row>
    <row r="1421" spans="1:17">
      <c r="A1421" s="2" t="s">
        <v>429</v>
      </c>
      <c r="B1421" s="2" t="s">
        <v>429</v>
      </c>
      <c r="C1421" s="2" t="s">
        <v>359</v>
      </c>
      <c r="D1421" s="11">
        <v>45986.229166666664</v>
      </c>
      <c r="E1421" s="11">
        <v>45986.229166666664</v>
      </c>
      <c r="F1421" s="11">
        <v>45986.329861111109</v>
      </c>
      <c r="G1421" s="12">
        <v>0.10069444444525288</v>
      </c>
      <c r="H1421" s="2" t="s">
        <v>248</v>
      </c>
      <c r="J1421" s="2" t="s">
        <v>249</v>
      </c>
      <c r="K1421" s="2" t="s">
        <v>349</v>
      </c>
      <c r="L1421" s="2" t="s">
        <v>2497</v>
      </c>
      <c r="M1421" t="s">
        <v>251</v>
      </c>
      <c r="N1421" t="s">
        <v>266</v>
      </c>
      <c r="O1421" t="s">
        <v>676</v>
      </c>
      <c r="P1421" t="s">
        <v>2510</v>
      </c>
      <c r="Q1421" t="s">
        <v>966</v>
      </c>
    </row>
    <row r="1422" spans="1:17">
      <c r="A1422" s="2" t="s">
        <v>429</v>
      </c>
      <c r="B1422" s="2" t="s">
        <v>429</v>
      </c>
      <c r="C1422" s="2" t="s">
        <v>358</v>
      </c>
      <c r="D1422" s="11">
        <v>45986.229166666664</v>
      </c>
      <c r="E1422" s="11">
        <v>45986.229166666664</v>
      </c>
      <c r="F1422" s="11">
        <v>45986.329861111109</v>
      </c>
      <c r="G1422" s="12">
        <v>0.10069444444525288</v>
      </c>
      <c r="H1422" s="2" t="s">
        <v>248</v>
      </c>
      <c r="J1422" s="2" t="s">
        <v>249</v>
      </c>
      <c r="K1422" s="2" t="s">
        <v>349</v>
      </c>
      <c r="L1422" s="2" t="s">
        <v>2497</v>
      </c>
      <c r="M1422" t="s">
        <v>251</v>
      </c>
      <c r="N1422" t="s">
        <v>266</v>
      </c>
      <c r="O1422" t="s">
        <v>676</v>
      </c>
      <c r="P1422" t="s">
        <v>2511</v>
      </c>
      <c r="Q1422" t="s">
        <v>966</v>
      </c>
    </row>
    <row r="1423" spans="1:17">
      <c r="A1423" s="2" t="s">
        <v>421</v>
      </c>
      <c r="B1423" s="2" t="s">
        <v>421</v>
      </c>
      <c r="C1423" s="2" t="s">
        <v>357</v>
      </c>
      <c r="D1423" s="11">
        <v>45986.229166666664</v>
      </c>
      <c r="E1423" s="11">
        <v>45986.229166666664</v>
      </c>
      <c r="F1423" s="11">
        <v>45986.329861111109</v>
      </c>
      <c r="G1423" s="12">
        <v>0.10069444444525288</v>
      </c>
      <c r="H1423" s="2" t="s">
        <v>248</v>
      </c>
      <c r="J1423" s="2" t="s">
        <v>249</v>
      </c>
      <c r="K1423" s="2" t="s">
        <v>349</v>
      </c>
      <c r="L1423" s="2" t="s">
        <v>2497</v>
      </c>
      <c r="M1423" t="s">
        <v>251</v>
      </c>
      <c r="N1423" t="s">
        <v>266</v>
      </c>
      <c r="O1423" t="s">
        <v>676</v>
      </c>
      <c r="P1423" t="s">
        <v>2512</v>
      </c>
      <c r="Q1423" t="s">
        <v>966</v>
      </c>
    </row>
    <row r="1424" spans="1:17">
      <c r="A1424" s="2" t="s">
        <v>421</v>
      </c>
      <c r="B1424" s="2" t="s">
        <v>421</v>
      </c>
      <c r="C1424" s="2" t="s">
        <v>354</v>
      </c>
      <c r="D1424" s="11">
        <v>45986.229166666664</v>
      </c>
      <c r="E1424" s="11">
        <v>45986.229166666664</v>
      </c>
      <c r="F1424" s="11">
        <v>45986.329861111109</v>
      </c>
      <c r="G1424" s="12">
        <v>0.10069444444525288</v>
      </c>
      <c r="H1424" s="2" t="s">
        <v>248</v>
      </c>
      <c r="J1424" s="2" t="s">
        <v>249</v>
      </c>
      <c r="K1424" s="2" t="s">
        <v>349</v>
      </c>
      <c r="L1424" s="2" t="s">
        <v>2497</v>
      </c>
      <c r="M1424" t="s">
        <v>251</v>
      </c>
      <c r="N1424" t="s">
        <v>266</v>
      </c>
      <c r="O1424" t="s">
        <v>676</v>
      </c>
      <c r="P1424" t="s">
        <v>2513</v>
      </c>
      <c r="Q1424" t="s">
        <v>966</v>
      </c>
    </row>
    <row r="1425" spans="1:17">
      <c r="A1425" s="2" t="s">
        <v>421</v>
      </c>
      <c r="B1425" s="2" t="s">
        <v>421</v>
      </c>
      <c r="C1425" s="2" t="s">
        <v>359</v>
      </c>
      <c r="D1425" s="11">
        <v>45986.229166666664</v>
      </c>
      <c r="E1425" s="11">
        <v>45986.229166666664</v>
      </c>
      <c r="F1425" s="11">
        <v>45986.329861111109</v>
      </c>
      <c r="G1425" s="12">
        <v>0.10069444444525288</v>
      </c>
      <c r="H1425" s="2" t="s">
        <v>248</v>
      </c>
      <c r="J1425" s="2" t="s">
        <v>249</v>
      </c>
      <c r="K1425" s="2" t="s">
        <v>349</v>
      </c>
      <c r="L1425" s="2" t="s">
        <v>2497</v>
      </c>
      <c r="M1425" t="s">
        <v>251</v>
      </c>
      <c r="N1425" t="s">
        <v>266</v>
      </c>
      <c r="O1425" t="s">
        <v>676</v>
      </c>
      <c r="P1425" t="s">
        <v>2514</v>
      </c>
      <c r="Q1425" t="s">
        <v>966</v>
      </c>
    </row>
    <row r="1426" spans="1:17">
      <c r="A1426" s="2" t="s">
        <v>421</v>
      </c>
      <c r="B1426" s="2" t="s">
        <v>421</v>
      </c>
      <c r="C1426" s="2" t="s">
        <v>358</v>
      </c>
      <c r="D1426" s="11">
        <v>45986.229166666664</v>
      </c>
      <c r="E1426" s="11">
        <v>45986.229166666664</v>
      </c>
      <c r="F1426" s="11">
        <v>45986.329861111109</v>
      </c>
      <c r="G1426" s="12">
        <v>0.10069444444525288</v>
      </c>
      <c r="H1426" s="2" t="s">
        <v>248</v>
      </c>
      <c r="J1426" s="2" t="s">
        <v>249</v>
      </c>
      <c r="K1426" s="2" t="s">
        <v>349</v>
      </c>
      <c r="L1426" s="2" t="s">
        <v>2497</v>
      </c>
      <c r="M1426" t="s">
        <v>251</v>
      </c>
      <c r="N1426" t="s">
        <v>266</v>
      </c>
      <c r="O1426" t="s">
        <v>676</v>
      </c>
      <c r="P1426" t="s">
        <v>2515</v>
      </c>
      <c r="Q1426" t="s">
        <v>966</v>
      </c>
    </row>
    <row r="1427" spans="1:17">
      <c r="A1427" s="2" t="s">
        <v>430</v>
      </c>
      <c r="B1427" s="2" t="s">
        <v>430</v>
      </c>
      <c r="C1427" s="2" t="s">
        <v>357</v>
      </c>
      <c r="D1427" s="11">
        <v>45986.229166666664</v>
      </c>
      <c r="E1427" s="11">
        <v>45986.229166666664</v>
      </c>
      <c r="F1427" s="11">
        <v>45986.329861111109</v>
      </c>
      <c r="G1427" s="12">
        <v>0.10069444444525288</v>
      </c>
      <c r="H1427" s="2" t="s">
        <v>248</v>
      </c>
      <c r="J1427" s="2" t="s">
        <v>249</v>
      </c>
      <c r="K1427" s="2" t="s">
        <v>349</v>
      </c>
      <c r="L1427" s="2" t="s">
        <v>2497</v>
      </c>
      <c r="M1427" t="s">
        <v>251</v>
      </c>
      <c r="N1427" t="s">
        <v>266</v>
      </c>
      <c r="O1427" t="s">
        <v>676</v>
      </c>
      <c r="P1427" t="s">
        <v>2516</v>
      </c>
      <c r="Q1427" t="s">
        <v>966</v>
      </c>
    </row>
    <row r="1428" spans="1:17">
      <c r="A1428" s="2" t="s">
        <v>430</v>
      </c>
      <c r="B1428" s="2" t="s">
        <v>430</v>
      </c>
      <c r="C1428" s="2" t="s">
        <v>354</v>
      </c>
      <c r="D1428" s="11">
        <v>45986.229166666664</v>
      </c>
      <c r="E1428" s="11">
        <v>45986.229166666664</v>
      </c>
      <c r="F1428" s="11">
        <v>45986.329861111109</v>
      </c>
      <c r="G1428" s="12">
        <v>0.10069444444525288</v>
      </c>
      <c r="H1428" s="2" t="s">
        <v>248</v>
      </c>
      <c r="J1428" s="2" t="s">
        <v>249</v>
      </c>
      <c r="K1428" s="2" t="s">
        <v>349</v>
      </c>
      <c r="L1428" s="2" t="s">
        <v>2497</v>
      </c>
      <c r="M1428" t="s">
        <v>251</v>
      </c>
      <c r="N1428" t="s">
        <v>266</v>
      </c>
      <c r="O1428" t="s">
        <v>676</v>
      </c>
      <c r="P1428" t="s">
        <v>2517</v>
      </c>
      <c r="Q1428" t="s">
        <v>966</v>
      </c>
    </row>
    <row r="1429" spans="1:17">
      <c r="A1429" s="2" t="s">
        <v>771</v>
      </c>
      <c r="B1429" s="2" t="s">
        <v>477</v>
      </c>
      <c r="C1429" s="2" t="s">
        <v>634</v>
      </c>
      <c r="D1429" s="11">
        <v>45986.239583333336</v>
      </c>
      <c r="E1429" s="11">
        <v>45986.239583333336</v>
      </c>
      <c r="F1429" s="11">
        <v>45986.336805555555</v>
      </c>
      <c r="G1429" s="12">
        <f>F1429-E1429</f>
        <v>9.7222222218988463E-2</v>
      </c>
      <c r="H1429" s="2" t="s">
        <v>248</v>
      </c>
      <c r="J1429" s="2" t="s">
        <v>249</v>
      </c>
      <c r="K1429" s="2" t="s">
        <v>349</v>
      </c>
      <c r="L1429" s="2" t="s">
        <v>971</v>
      </c>
      <c r="M1429" t="s">
        <v>251</v>
      </c>
      <c r="N1429" t="s">
        <v>330</v>
      </c>
      <c r="O1429" t="s">
        <v>331</v>
      </c>
      <c r="P1429" t="s">
        <v>2518</v>
      </c>
      <c r="Q1429" t="s">
        <v>966</v>
      </c>
    </row>
    <row r="1430" spans="1:17">
      <c r="A1430" s="2" t="s">
        <v>773</v>
      </c>
      <c r="B1430" s="2" t="s">
        <v>477</v>
      </c>
      <c r="C1430" s="2" t="s">
        <v>628</v>
      </c>
      <c r="D1430" s="11">
        <v>45986.239583333336</v>
      </c>
      <c r="E1430" s="11">
        <v>45986.239583333336</v>
      </c>
      <c r="F1430" s="11">
        <v>45986.336805555555</v>
      </c>
      <c r="G1430" s="12">
        <f>F1430-E1430</f>
        <v>9.7222222218988463E-2</v>
      </c>
      <c r="H1430" s="2" t="s">
        <v>248</v>
      </c>
      <c r="J1430" s="2" t="s">
        <v>249</v>
      </c>
      <c r="K1430" s="2" t="s">
        <v>349</v>
      </c>
      <c r="L1430" s="2" t="s">
        <v>971</v>
      </c>
      <c r="M1430" t="s">
        <v>251</v>
      </c>
      <c r="N1430" t="s">
        <v>330</v>
      </c>
      <c r="O1430" t="s">
        <v>331</v>
      </c>
      <c r="P1430" t="s">
        <v>2519</v>
      </c>
      <c r="Q1430" t="s">
        <v>966</v>
      </c>
    </row>
    <row r="1431" spans="1:17">
      <c r="A1431" s="2" t="s">
        <v>773</v>
      </c>
      <c r="B1431" s="2" t="s">
        <v>477</v>
      </c>
      <c r="C1431" s="2" t="s">
        <v>491</v>
      </c>
      <c r="D1431" s="11">
        <v>45986.239583333336</v>
      </c>
      <c r="E1431" s="11">
        <v>45986.239583333336</v>
      </c>
      <c r="F1431" s="11">
        <v>45986.336805555555</v>
      </c>
      <c r="G1431" s="12">
        <f>F1431-E1431</f>
        <v>9.7222222218988463E-2</v>
      </c>
      <c r="H1431" s="2" t="s">
        <v>248</v>
      </c>
      <c r="J1431" s="2" t="s">
        <v>249</v>
      </c>
      <c r="K1431" s="2" t="s">
        <v>349</v>
      </c>
      <c r="L1431" s="2" t="s">
        <v>971</v>
      </c>
      <c r="M1431" t="s">
        <v>251</v>
      </c>
      <c r="N1431" t="s">
        <v>330</v>
      </c>
      <c r="O1431" t="s">
        <v>331</v>
      </c>
      <c r="P1431" t="s">
        <v>2520</v>
      </c>
      <c r="Q1431" t="s">
        <v>966</v>
      </c>
    </row>
    <row r="1432" spans="1:17">
      <c r="A1432" s="2" t="s">
        <v>773</v>
      </c>
      <c r="B1432" s="2" t="s">
        <v>477</v>
      </c>
      <c r="C1432" s="2" t="s">
        <v>488</v>
      </c>
      <c r="D1432" s="11">
        <v>45986.239583333336</v>
      </c>
      <c r="E1432" s="11">
        <v>45986.239583333336</v>
      </c>
      <c r="F1432" s="11">
        <v>45986.336805555555</v>
      </c>
      <c r="G1432" s="12">
        <f>F1432-E1432</f>
        <v>9.7222222218988463E-2</v>
      </c>
      <c r="H1432" s="2" t="s">
        <v>248</v>
      </c>
      <c r="J1432" s="2" t="s">
        <v>249</v>
      </c>
      <c r="K1432" s="2" t="s">
        <v>349</v>
      </c>
      <c r="L1432" s="2" t="s">
        <v>971</v>
      </c>
      <c r="M1432" t="s">
        <v>251</v>
      </c>
      <c r="N1432" t="s">
        <v>330</v>
      </c>
      <c r="O1432" t="s">
        <v>331</v>
      </c>
      <c r="P1432" t="s">
        <v>2521</v>
      </c>
      <c r="Q1432" t="s">
        <v>966</v>
      </c>
    </row>
    <row r="1433" spans="1:17">
      <c r="A1433" s="2" t="s">
        <v>773</v>
      </c>
      <c r="B1433" s="2" t="s">
        <v>477</v>
      </c>
      <c r="C1433" s="2" t="s">
        <v>492</v>
      </c>
      <c r="D1433" s="11">
        <v>45986.239583333336</v>
      </c>
      <c r="E1433" s="11">
        <v>45986.239583333336</v>
      </c>
      <c r="F1433" s="11">
        <v>45986.336805555555</v>
      </c>
      <c r="G1433" s="12">
        <f>F1433-E1433</f>
        <v>9.7222222218988463E-2</v>
      </c>
      <c r="H1433" s="2" t="s">
        <v>248</v>
      </c>
      <c r="J1433" s="2" t="s">
        <v>249</v>
      </c>
      <c r="K1433" s="2" t="s">
        <v>349</v>
      </c>
      <c r="L1433" s="2" t="s">
        <v>971</v>
      </c>
      <c r="M1433" t="s">
        <v>251</v>
      </c>
      <c r="N1433" t="s">
        <v>330</v>
      </c>
      <c r="O1433" t="s">
        <v>331</v>
      </c>
      <c r="P1433" t="s">
        <v>2522</v>
      </c>
      <c r="Q1433" t="s">
        <v>966</v>
      </c>
    </row>
    <row r="1434" spans="1:17">
      <c r="A1434" s="2" t="s">
        <v>773</v>
      </c>
      <c r="B1434" s="2" t="s">
        <v>477</v>
      </c>
      <c r="C1434" s="2" t="s">
        <v>490</v>
      </c>
      <c r="D1434" s="11">
        <v>45986.239583333336</v>
      </c>
      <c r="E1434" s="11">
        <v>45986.239583333336</v>
      </c>
      <c r="F1434" s="11">
        <v>45986.336805555555</v>
      </c>
      <c r="G1434" s="12">
        <f>F1434-E1434</f>
        <v>9.7222222218988463E-2</v>
      </c>
      <c r="H1434" s="2" t="s">
        <v>248</v>
      </c>
      <c r="J1434" s="2" t="s">
        <v>249</v>
      </c>
      <c r="K1434" s="2" t="s">
        <v>349</v>
      </c>
      <c r="L1434" s="2" t="s">
        <v>971</v>
      </c>
      <c r="M1434" t="s">
        <v>251</v>
      </c>
      <c r="N1434" t="s">
        <v>330</v>
      </c>
      <c r="O1434" t="s">
        <v>331</v>
      </c>
      <c r="P1434" t="s">
        <v>2523</v>
      </c>
      <c r="Q1434" t="s">
        <v>966</v>
      </c>
    </row>
    <row r="1435" spans="1:17">
      <c r="A1435" s="2" t="s">
        <v>773</v>
      </c>
      <c r="B1435" s="2" t="s">
        <v>477</v>
      </c>
      <c r="C1435" s="2" t="s">
        <v>978</v>
      </c>
      <c r="D1435" s="11">
        <v>45986.239583333336</v>
      </c>
      <c r="E1435" s="11">
        <v>45986.239583333336</v>
      </c>
      <c r="F1435" s="11">
        <v>45986.336805555555</v>
      </c>
      <c r="G1435" s="12">
        <f>F1435-E1435</f>
        <v>9.7222222218988463E-2</v>
      </c>
      <c r="H1435" s="2" t="s">
        <v>248</v>
      </c>
      <c r="J1435" s="2" t="s">
        <v>249</v>
      </c>
      <c r="K1435" s="2" t="s">
        <v>349</v>
      </c>
      <c r="L1435" s="2" t="s">
        <v>971</v>
      </c>
      <c r="M1435" t="s">
        <v>251</v>
      </c>
      <c r="N1435" t="s">
        <v>330</v>
      </c>
      <c r="O1435" t="s">
        <v>331</v>
      </c>
      <c r="P1435" t="s">
        <v>2524</v>
      </c>
      <c r="Q1435" t="s">
        <v>966</v>
      </c>
    </row>
    <row r="1436" spans="1:17">
      <c r="A1436" s="2" t="s">
        <v>782</v>
      </c>
      <c r="B1436" s="2" t="s">
        <v>477</v>
      </c>
      <c r="C1436" s="2" t="s">
        <v>489</v>
      </c>
      <c r="D1436" s="11">
        <v>45986.239583333336</v>
      </c>
      <c r="E1436" s="11">
        <v>45986.239583333336</v>
      </c>
      <c r="F1436" s="11">
        <v>45986.336805555555</v>
      </c>
      <c r="G1436" s="12">
        <f>F1436-E1436</f>
        <v>9.7222222218988463E-2</v>
      </c>
      <c r="H1436" s="2" t="s">
        <v>248</v>
      </c>
      <c r="J1436" s="2" t="s">
        <v>249</v>
      </c>
      <c r="K1436" s="2" t="s">
        <v>349</v>
      </c>
      <c r="L1436" s="2" t="s">
        <v>971</v>
      </c>
      <c r="M1436" t="s">
        <v>251</v>
      </c>
      <c r="N1436" t="s">
        <v>330</v>
      </c>
      <c r="O1436" t="s">
        <v>331</v>
      </c>
      <c r="P1436" t="s">
        <v>2525</v>
      </c>
      <c r="Q1436" t="s">
        <v>966</v>
      </c>
    </row>
    <row r="1437" spans="1:17">
      <c r="A1437" s="2" t="s">
        <v>782</v>
      </c>
      <c r="B1437" s="2" t="s">
        <v>477</v>
      </c>
      <c r="C1437" s="2" t="s">
        <v>713</v>
      </c>
      <c r="D1437" s="11">
        <v>45986.239583333336</v>
      </c>
      <c r="E1437" s="11">
        <v>45986.239583333336</v>
      </c>
      <c r="F1437" s="11">
        <v>45986.336805555555</v>
      </c>
      <c r="G1437" s="12">
        <f>F1437-E1437</f>
        <v>9.7222222218988463E-2</v>
      </c>
      <c r="H1437" s="2" t="s">
        <v>248</v>
      </c>
      <c r="J1437" s="2" t="s">
        <v>249</v>
      </c>
      <c r="K1437" s="2" t="s">
        <v>349</v>
      </c>
      <c r="L1437" s="2" t="s">
        <v>971</v>
      </c>
      <c r="M1437" t="s">
        <v>251</v>
      </c>
      <c r="N1437" t="s">
        <v>330</v>
      </c>
      <c r="O1437" t="s">
        <v>331</v>
      </c>
      <c r="P1437" t="s">
        <v>2526</v>
      </c>
      <c r="Q1437" t="s">
        <v>966</v>
      </c>
    </row>
    <row r="1438" spans="1:17">
      <c r="A1438" s="2" t="s">
        <v>782</v>
      </c>
      <c r="B1438" s="2" t="s">
        <v>477</v>
      </c>
      <c r="C1438" s="2" t="s">
        <v>486</v>
      </c>
      <c r="D1438" s="11">
        <v>45986.239583333336</v>
      </c>
      <c r="E1438" s="11">
        <v>45986.239583333336</v>
      </c>
      <c r="F1438" s="11">
        <v>45986.336805555555</v>
      </c>
      <c r="G1438" s="12">
        <f>F1438-E1438</f>
        <v>9.7222222218988463E-2</v>
      </c>
      <c r="H1438" s="2" t="s">
        <v>248</v>
      </c>
      <c r="J1438" s="2" t="s">
        <v>249</v>
      </c>
      <c r="K1438" s="2" t="s">
        <v>349</v>
      </c>
      <c r="L1438" s="2" t="s">
        <v>971</v>
      </c>
      <c r="M1438" t="s">
        <v>251</v>
      </c>
      <c r="N1438" t="s">
        <v>330</v>
      </c>
      <c r="O1438" t="s">
        <v>331</v>
      </c>
      <c r="P1438" t="s">
        <v>2527</v>
      </c>
      <c r="Q1438" t="s">
        <v>966</v>
      </c>
    </row>
    <row r="1439" spans="1:17">
      <c r="A1439" s="2" t="s">
        <v>782</v>
      </c>
      <c r="B1439" s="2" t="s">
        <v>477</v>
      </c>
      <c r="C1439" s="2" t="s">
        <v>478</v>
      </c>
      <c r="D1439" s="11">
        <v>45986.239583333336</v>
      </c>
      <c r="E1439" s="11">
        <v>45986.239583333336</v>
      </c>
      <c r="F1439" s="11">
        <v>45986.336805555555</v>
      </c>
      <c r="G1439" s="12">
        <f>F1439-E1439</f>
        <v>9.7222222218988463E-2</v>
      </c>
      <c r="H1439" s="2" t="s">
        <v>248</v>
      </c>
      <c r="J1439" s="2" t="s">
        <v>249</v>
      </c>
      <c r="K1439" s="2" t="s">
        <v>349</v>
      </c>
      <c r="L1439" s="2" t="s">
        <v>971</v>
      </c>
      <c r="M1439" t="s">
        <v>251</v>
      </c>
      <c r="N1439" t="s">
        <v>330</v>
      </c>
      <c r="O1439" t="s">
        <v>331</v>
      </c>
      <c r="P1439" t="s">
        <v>2528</v>
      </c>
      <c r="Q1439" t="s">
        <v>966</v>
      </c>
    </row>
    <row r="1440" spans="1:17">
      <c r="A1440" s="2" t="s">
        <v>782</v>
      </c>
      <c r="B1440" s="2" t="s">
        <v>477</v>
      </c>
      <c r="C1440" s="2" t="s">
        <v>632</v>
      </c>
      <c r="D1440" s="11">
        <v>45986.239583333336</v>
      </c>
      <c r="E1440" s="11">
        <v>45986.239583333336</v>
      </c>
      <c r="F1440" s="11">
        <v>45986.336805555555</v>
      </c>
      <c r="G1440" s="12">
        <f>F1440-E1440</f>
        <v>9.7222222218988463E-2</v>
      </c>
      <c r="H1440" s="2" t="s">
        <v>248</v>
      </c>
      <c r="J1440" s="2" t="s">
        <v>249</v>
      </c>
      <c r="K1440" s="2" t="s">
        <v>349</v>
      </c>
      <c r="L1440" s="2" t="s">
        <v>971</v>
      </c>
      <c r="M1440" t="s">
        <v>251</v>
      </c>
      <c r="N1440" t="s">
        <v>330</v>
      </c>
      <c r="O1440" t="s">
        <v>331</v>
      </c>
      <c r="P1440" t="s">
        <v>2529</v>
      </c>
      <c r="Q1440" t="s">
        <v>966</v>
      </c>
    </row>
    <row r="1441" spans="1:17">
      <c r="A1441" s="2" t="s">
        <v>782</v>
      </c>
      <c r="B1441" s="2" t="s">
        <v>477</v>
      </c>
      <c r="C1441" s="2" t="s">
        <v>629</v>
      </c>
      <c r="D1441" s="11">
        <v>45986.239583333336</v>
      </c>
      <c r="E1441" s="11">
        <v>45986.239583333336</v>
      </c>
      <c r="F1441" s="11">
        <v>45986.336805555555</v>
      </c>
      <c r="G1441" s="12">
        <f>F1441-E1441</f>
        <v>9.7222222218988463E-2</v>
      </c>
      <c r="H1441" s="2" t="s">
        <v>248</v>
      </c>
      <c r="J1441" s="2" t="s">
        <v>249</v>
      </c>
      <c r="K1441" s="2" t="s">
        <v>349</v>
      </c>
      <c r="L1441" s="2" t="s">
        <v>971</v>
      </c>
      <c r="M1441" t="s">
        <v>251</v>
      </c>
      <c r="N1441" t="s">
        <v>330</v>
      </c>
      <c r="O1441" t="s">
        <v>331</v>
      </c>
      <c r="P1441" t="s">
        <v>2530</v>
      </c>
      <c r="Q1441" t="s">
        <v>966</v>
      </c>
    </row>
    <row r="1442" spans="1:17">
      <c r="A1442" s="2" t="s">
        <v>782</v>
      </c>
      <c r="B1442" s="2" t="s">
        <v>477</v>
      </c>
      <c r="C1442" s="2" t="s">
        <v>631</v>
      </c>
      <c r="D1442" s="11">
        <v>45986.239583333336</v>
      </c>
      <c r="E1442" s="11">
        <v>45986.239583333336</v>
      </c>
      <c r="F1442" s="11">
        <v>45986.336805555555</v>
      </c>
      <c r="G1442" s="12">
        <f>F1442-E1442</f>
        <v>9.7222222218988463E-2</v>
      </c>
      <c r="H1442" s="2" t="s">
        <v>248</v>
      </c>
      <c r="J1442" s="2" t="s">
        <v>249</v>
      </c>
      <c r="K1442" s="2" t="s">
        <v>349</v>
      </c>
      <c r="L1442" s="2" t="s">
        <v>971</v>
      </c>
      <c r="M1442" t="s">
        <v>251</v>
      </c>
      <c r="N1442" t="s">
        <v>330</v>
      </c>
      <c r="O1442" t="s">
        <v>331</v>
      </c>
      <c r="P1442" t="s">
        <v>2531</v>
      </c>
      <c r="Q1442" t="s">
        <v>966</v>
      </c>
    </row>
    <row r="1443" spans="1:17">
      <c r="A1443" s="2" t="s">
        <v>782</v>
      </c>
      <c r="B1443" s="2" t="s">
        <v>477</v>
      </c>
      <c r="C1443" s="2" t="s">
        <v>635</v>
      </c>
      <c r="D1443" s="11">
        <v>45986.239583333336</v>
      </c>
      <c r="E1443" s="11">
        <v>45986.239583333336</v>
      </c>
      <c r="F1443" s="11">
        <v>45986.336805555555</v>
      </c>
      <c r="G1443" s="12">
        <f>F1443-E1443</f>
        <v>9.7222222218988463E-2</v>
      </c>
      <c r="H1443" s="2" t="s">
        <v>248</v>
      </c>
      <c r="J1443" s="2" t="s">
        <v>249</v>
      </c>
      <c r="K1443" s="2" t="s">
        <v>349</v>
      </c>
      <c r="L1443" s="2" t="s">
        <v>971</v>
      </c>
      <c r="M1443" t="s">
        <v>251</v>
      </c>
      <c r="N1443" t="s">
        <v>330</v>
      </c>
      <c r="O1443" t="s">
        <v>331</v>
      </c>
      <c r="P1443" t="s">
        <v>2532</v>
      </c>
      <c r="Q1443" t="s">
        <v>966</v>
      </c>
    </row>
    <row r="1444" spans="1:17">
      <c r="A1444" s="2" t="s">
        <v>782</v>
      </c>
      <c r="B1444" s="2" t="s">
        <v>477</v>
      </c>
      <c r="C1444" s="2" t="s">
        <v>487</v>
      </c>
      <c r="D1444" s="11">
        <v>45986.239583333336</v>
      </c>
      <c r="E1444" s="11">
        <v>45986.239583333336</v>
      </c>
      <c r="F1444" s="11">
        <v>45986.336805555555</v>
      </c>
      <c r="G1444" s="12">
        <f>F1444-E1444</f>
        <v>9.7222222218988463E-2</v>
      </c>
      <c r="H1444" s="2" t="s">
        <v>248</v>
      </c>
      <c r="J1444" s="2" t="s">
        <v>249</v>
      </c>
      <c r="K1444" s="2" t="s">
        <v>349</v>
      </c>
      <c r="L1444" s="2" t="s">
        <v>971</v>
      </c>
      <c r="M1444" t="s">
        <v>251</v>
      </c>
      <c r="N1444" t="s">
        <v>330</v>
      </c>
      <c r="O1444" t="s">
        <v>331</v>
      </c>
      <c r="P1444" t="s">
        <v>2533</v>
      </c>
      <c r="Q1444" t="s">
        <v>966</v>
      </c>
    </row>
    <row r="1445" spans="1:17">
      <c r="A1445" s="2" t="s">
        <v>782</v>
      </c>
      <c r="B1445" s="2" t="s">
        <v>477</v>
      </c>
      <c r="C1445" s="2" t="s">
        <v>627</v>
      </c>
      <c r="D1445" s="11">
        <v>45986.239583333336</v>
      </c>
      <c r="E1445" s="11">
        <v>45986.239583333336</v>
      </c>
      <c r="F1445" s="11">
        <v>45986.336805555555</v>
      </c>
      <c r="G1445" s="12">
        <f>F1445-E1445</f>
        <v>9.7222222218988463E-2</v>
      </c>
      <c r="H1445" s="2" t="s">
        <v>248</v>
      </c>
      <c r="J1445" s="2" t="s">
        <v>249</v>
      </c>
      <c r="K1445" s="2" t="s">
        <v>349</v>
      </c>
      <c r="L1445" s="2" t="s">
        <v>971</v>
      </c>
      <c r="M1445" t="s">
        <v>251</v>
      </c>
      <c r="N1445" t="s">
        <v>330</v>
      </c>
      <c r="O1445" t="s">
        <v>331</v>
      </c>
      <c r="P1445" t="s">
        <v>2534</v>
      </c>
      <c r="Q1445" t="s">
        <v>966</v>
      </c>
    </row>
    <row r="1446" spans="1:17">
      <c r="A1446" s="2" t="s">
        <v>780</v>
      </c>
      <c r="B1446" s="2" t="s">
        <v>268</v>
      </c>
      <c r="C1446" s="2" t="s">
        <v>269</v>
      </c>
      <c r="D1446" s="11">
        <v>45986.239583333336</v>
      </c>
      <c r="E1446" s="11">
        <v>45986.239583333336</v>
      </c>
      <c r="F1446" s="11">
        <v>45986.315972222219</v>
      </c>
      <c r="G1446" s="12">
        <v>0.11805555555474712</v>
      </c>
      <c r="H1446" s="2" t="s">
        <v>248</v>
      </c>
      <c r="J1446" s="2" t="s">
        <v>249</v>
      </c>
      <c r="K1446" s="2" t="s">
        <v>349</v>
      </c>
      <c r="L1446" s="2" t="s">
        <v>971</v>
      </c>
      <c r="M1446" t="s">
        <v>251</v>
      </c>
      <c r="N1446" t="s">
        <v>330</v>
      </c>
      <c r="O1446" t="s">
        <v>331</v>
      </c>
      <c r="P1446" t="s">
        <v>2535</v>
      </c>
      <c r="Q1446" t="s">
        <v>966</v>
      </c>
    </row>
    <row r="1447" spans="1:17">
      <c r="A1447" s="2" t="s">
        <v>780</v>
      </c>
      <c r="B1447" s="2" t="s">
        <v>268</v>
      </c>
      <c r="C1447" s="2" t="s">
        <v>270</v>
      </c>
      <c r="D1447" s="11">
        <v>45986.239583333336</v>
      </c>
      <c r="E1447" s="11">
        <v>45986.239583333336</v>
      </c>
      <c r="F1447" s="11">
        <v>45986.315972222219</v>
      </c>
      <c r="G1447" s="12">
        <v>0.11805555555474712</v>
      </c>
      <c r="H1447" s="2" t="s">
        <v>248</v>
      </c>
      <c r="J1447" s="2" t="s">
        <v>249</v>
      </c>
      <c r="K1447" s="2" t="s">
        <v>349</v>
      </c>
      <c r="L1447" s="2" t="s">
        <v>971</v>
      </c>
      <c r="M1447" t="s">
        <v>251</v>
      </c>
      <c r="N1447" t="s">
        <v>330</v>
      </c>
      <c r="O1447" t="s">
        <v>331</v>
      </c>
      <c r="P1447" t="s">
        <v>2536</v>
      </c>
      <c r="Q1447" t="s">
        <v>966</v>
      </c>
    </row>
    <row r="1448" spans="1:17">
      <c r="A1448" s="2" t="s">
        <v>780</v>
      </c>
      <c r="B1448" s="2" t="s">
        <v>268</v>
      </c>
      <c r="C1448" s="2" t="s">
        <v>271</v>
      </c>
      <c r="D1448" s="11">
        <v>45986.239583333336</v>
      </c>
      <c r="E1448" s="11">
        <v>45986.239583333336</v>
      </c>
      <c r="F1448" s="11">
        <v>45986.315972222219</v>
      </c>
      <c r="G1448" s="12">
        <v>0.11805555555474712</v>
      </c>
      <c r="H1448" s="2" t="s">
        <v>248</v>
      </c>
      <c r="J1448" s="2" t="s">
        <v>249</v>
      </c>
      <c r="K1448" s="2" t="s">
        <v>349</v>
      </c>
      <c r="L1448" s="2" t="s">
        <v>971</v>
      </c>
      <c r="M1448" t="s">
        <v>251</v>
      </c>
      <c r="N1448" t="s">
        <v>330</v>
      </c>
      <c r="O1448" t="s">
        <v>331</v>
      </c>
      <c r="P1448" t="s">
        <v>2537</v>
      </c>
      <c r="Q1448" t="s">
        <v>966</v>
      </c>
    </row>
    <row r="1449" spans="1:17">
      <c r="A1449" s="2" t="s">
        <v>780</v>
      </c>
      <c r="B1449" s="2" t="s">
        <v>268</v>
      </c>
      <c r="C1449" s="2" t="s">
        <v>272</v>
      </c>
      <c r="D1449" s="11">
        <v>45986.239583333336</v>
      </c>
      <c r="E1449" s="11">
        <v>45986.239583333336</v>
      </c>
      <c r="F1449" s="11">
        <v>45986.315972222219</v>
      </c>
      <c r="G1449" s="12">
        <v>0.11805555555474712</v>
      </c>
      <c r="H1449" s="2" t="s">
        <v>248</v>
      </c>
      <c r="J1449" s="2" t="s">
        <v>249</v>
      </c>
      <c r="K1449" s="2" t="s">
        <v>349</v>
      </c>
      <c r="L1449" s="2" t="s">
        <v>971</v>
      </c>
      <c r="M1449" t="s">
        <v>251</v>
      </c>
      <c r="N1449" t="s">
        <v>330</v>
      </c>
      <c r="O1449" t="s">
        <v>331</v>
      </c>
      <c r="P1449" t="s">
        <v>2538</v>
      </c>
      <c r="Q1449" t="s">
        <v>966</v>
      </c>
    </row>
    <row r="1450" spans="1:17">
      <c r="A1450" s="2" t="s">
        <v>780</v>
      </c>
      <c r="B1450" s="2" t="s">
        <v>268</v>
      </c>
      <c r="C1450" s="2" t="s">
        <v>273</v>
      </c>
      <c r="D1450" s="11">
        <v>45986.239583333336</v>
      </c>
      <c r="E1450" s="11">
        <v>45986.239583333336</v>
      </c>
      <c r="F1450" s="11">
        <v>45986.315972222219</v>
      </c>
      <c r="G1450" s="12">
        <v>0.11805555555474712</v>
      </c>
      <c r="H1450" s="2" t="s">
        <v>248</v>
      </c>
      <c r="J1450" s="2" t="s">
        <v>249</v>
      </c>
      <c r="K1450" s="2" t="s">
        <v>349</v>
      </c>
      <c r="L1450" s="2" t="s">
        <v>971</v>
      </c>
      <c r="M1450" t="s">
        <v>251</v>
      </c>
      <c r="N1450" t="s">
        <v>330</v>
      </c>
      <c r="O1450" t="s">
        <v>331</v>
      </c>
      <c r="P1450" t="s">
        <v>2539</v>
      </c>
      <c r="Q1450" t="s">
        <v>966</v>
      </c>
    </row>
    <row r="1451" spans="1:17">
      <c r="A1451" s="2" t="s">
        <v>780</v>
      </c>
      <c r="B1451" s="2" t="s">
        <v>268</v>
      </c>
      <c r="C1451" s="2" t="s">
        <v>274</v>
      </c>
      <c r="D1451" s="11">
        <v>45986.239583333336</v>
      </c>
      <c r="E1451" s="11">
        <v>45986.239583333336</v>
      </c>
      <c r="F1451" s="11">
        <v>45986.315972222219</v>
      </c>
      <c r="G1451" s="12">
        <v>0.11805555555474712</v>
      </c>
      <c r="H1451" s="2" t="s">
        <v>248</v>
      </c>
      <c r="J1451" s="2" t="s">
        <v>249</v>
      </c>
      <c r="K1451" s="2" t="s">
        <v>349</v>
      </c>
      <c r="L1451" s="2" t="s">
        <v>971</v>
      </c>
      <c r="M1451" t="s">
        <v>251</v>
      </c>
      <c r="N1451" t="s">
        <v>330</v>
      </c>
      <c r="O1451" t="s">
        <v>331</v>
      </c>
      <c r="P1451" t="s">
        <v>2540</v>
      </c>
      <c r="Q1451" t="s">
        <v>966</v>
      </c>
    </row>
    <row r="1452" spans="1:17">
      <c r="A1452" s="2" t="s">
        <v>780</v>
      </c>
      <c r="B1452" s="2" t="s">
        <v>268</v>
      </c>
      <c r="C1452" s="2" t="s">
        <v>275</v>
      </c>
      <c r="D1452" s="11">
        <v>45986.239583333336</v>
      </c>
      <c r="E1452" s="11">
        <v>45986.239583333336</v>
      </c>
      <c r="F1452" s="11">
        <v>45986.315972222219</v>
      </c>
      <c r="G1452" s="12">
        <v>0.11805555555474712</v>
      </c>
      <c r="H1452" s="2" t="s">
        <v>248</v>
      </c>
      <c r="J1452" s="2" t="s">
        <v>249</v>
      </c>
      <c r="K1452" s="2" t="s">
        <v>349</v>
      </c>
      <c r="L1452" s="2" t="s">
        <v>971</v>
      </c>
      <c r="M1452" t="s">
        <v>251</v>
      </c>
      <c r="N1452" t="s">
        <v>330</v>
      </c>
      <c r="O1452" t="s">
        <v>331</v>
      </c>
      <c r="P1452" t="s">
        <v>2541</v>
      </c>
      <c r="Q1452" t="s">
        <v>966</v>
      </c>
    </row>
    <row r="1453" spans="1:17">
      <c r="A1453" s="2" t="s">
        <v>780</v>
      </c>
      <c r="B1453" s="2" t="s">
        <v>268</v>
      </c>
      <c r="C1453" s="2" t="s">
        <v>276</v>
      </c>
      <c r="D1453" s="11">
        <v>45986.239583333336</v>
      </c>
      <c r="E1453" s="11">
        <v>45986.239583333336</v>
      </c>
      <c r="F1453" s="11">
        <v>45986.315972222219</v>
      </c>
      <c r="G1453" s="12">
        <v>0.11805555555474712</v>
      </c>
      <c r="H1453" s="2" t="s">
        <v>248</v>
      </c>
      <c r="J1453" s="2" t="s">
        <v>249</v>
      </c>
      <c r="K1453" s="2" t="s">
        <v>349</v>
      </c>
      <c r="L1453" s="2" t="s">
        <v>971</v>
      </c>
      <c r="M1453" t="s">
        <v>251</v>
      </c>
      <c r="N1453" t="s">
        <v>330</v>
      </c>
      <c r="O1453" t="s">
        <v>331</v>
      </c>
      <c r="P1453" t="s">
        <v>2542</v>
      </c>
      <c r="Q1453" t="s">
        <v>966</v>
      </c>
    </row>
    <row r="1454" spans="1:17">
      <c r="A1454" s="2" t="s">
        <v>781</v>
      </c>
      <c r="B1454" s="2" t="s">
        <v>268</v>
      </c>
      <c r="C1454" s="2" t="s">
        <v>277</v>
      </c>
      <c r="D1454" s="11">
        <v>45986.239583333336</v>
      </c>
      <c r="E1454" s="11">
        <v>45986.239583333336</v>
      </c>
      <c r="F1454" s="11">
        <v>45986.315972222219</v>
      </c>
      <c r="G1454" s="12">
        <v>0.11805555555474712</v>
      </c>
      <c r="H1454" s="2" t="s">
        <v>248</v>
      </c>
      <c r="J1454" s="2" t="s">
        <v>249</v>
      </c>
      <c r="K1454" s="2" t="s">
        <v>349</v>
      </c>
      <c r="L1454" s="2" t="s">
        <v>971</v>
      </c>
      <c r="M1454" t="s">
        <v>251</v>
      </c>
      <c r="N1454" t="s">
        <v>330</v>
      </c>
      <c r="O1454" t="s">
        <v>331</v>
      </c>
      <c r="P1454" t="s">
        <v>2543</v>
      </c>
      <c r="Q1454" t="s">
        <v>966</v>
      </c>
    </row>
    <row r="1455" spans="1:17">
      <c r="A1455" s="2" t="s">
        <v>781</v>
      </c>
      <c r="B1455" s="2" t="s">
        <v>268</v>
      </c>
      <c r="C1455" s="2" t="s">
        <v>278</v>
      </c>
      <c r="D1455" s="11">
        <v>45986.239583333336</v>
      </c>
      <c r="E1455" s="11">
        <v>45986.239583333336</v>
      </c>
      <c r="F1455" s="11">
        <v>45986.315972222219</v>
      </c>
      <c r="G1455" s="12">
        <v>0.11805555555474712</v>
      </c>
      <c r="H1455" s="2" t="s">
        <v>248</v>
      </c>
      <c r="J1455" s="2" t="s">
        <v>249</v>
      </c>
      <c r="K1455" s="2" t="s">
        <v>349</v>
      </c>
      <c r="L1455" s="2" t="s">
        <v>971</v>
      </c>
      <c r="M1455" t="s">
        <v>251</v>
      </c>
      <c r="N1455" t="s">
        <v>330</v>
      </c>
      <c r="O1455" t="s">
        <v>331</v>
      </c>
      <c r="P1455" t="s">
        <v>2544</v>
      </c>
      <c r="Q1455" t="s">
        <v>966</v>
      </c>
    </row>
    <row r="1456" spans="1:17">
      <c r="A1456" s="2" t="s">
        <v>781</v>
      </c>
      <c r="B1456" s="2" t="s">
        <v>268</v>
      </c>
      <c r="C1456" s="2" t="s">
        <v>279</v>
      </c>
      <c r="D1456" s="11">
        <v>45986.239583333336</v>
      </c>
      <c r="E1456" s="11">
        <v>45986.239583333336</v>
      </c>
      <c r="F1456" s="11">
        <v>45986.315972222219</v>
      </c>
      <c r="G1456" s="12">
        <v>0.11805555555474712</v>
      </c>
      <c r="H1456" s="2" t="s">
        <v>248</v>
      </c>
      <c r="J1456" s="2" t="s">
        <v>249</v>
      </c>
      <c r="K1456" s="2" t="s">
        <v>349</v>
      </c>
      <c r="L1456" s="2" t="s">
        <v>971</v>
      </c>
      <c r="M1456" t="s">
        <v>251</v>
      </c>
      <c r="N1456" t="s">
        <v>330</v>
      </c>
      <c r="O1456" t="s">
        <v>331</v>
      </c>
      <c r="P1456" t="s">
        <v>2545</v>
      </c>
      <c r="Q1456" t="s">
        <v>966</v>
      </c>
    </row>
    <row r="1457" spans="1:17">
      <c r="A1457" s="2" t="s">
        <v>781</v>
      </c>
      <c r="B1457" s="2" t="s">
        <v>268</v>
      </c>
      <c r="C1457" s="2" t="s">
        <v>280</v>
      </c>
      <c r="D1457" s="11">
        <v>45986.239583333336</v>
      </c>
      <c r="E1457" s="11">
        <v>45986.239583333336</v>
      </c>
      <c r="F1457" s="11">
        <v>45986.315972222219</v>
      </c>
      <c r="G1457" s="12">
        <v>0.11805555555474712</v>
      </c>
      <c r="H1457" s="2" t="s">
        <v>248</v>
      </c>
      <c r="J1457" s="2" t="s">
        <v>249</v>
      </c>
      <c r="K1457" s="2" t="s">
        <v>349</v>
      </c>
      <c r="L1457" s="2" t="s">
        <v>971</v>
      </c>
      <c r="M1457" t="s">
        <v>251</v>
      </c>
      <c r="N1457" t="s">
        <v>330</v>
      </c>
      <c r="O1457" t="s">
        <v>331</v>
      </c>
      <c r="P1457" t="s">
        <v>2546</v>
      </c>
      <c r="Q1457" t="s">
        <v>966</v>
      </c>
    </row>
    <row r="1458" spans="1:17">
      <c r="A1458" s="2" t="s">
        <v>781</v>
      </c>
      <c r="B1458" s="2" t="s">
        <v>268</v>
      </c>
      <c r="C1458" s="2" t="s">
        <v>281</v>
      </c>
      <c r="D1458" s="11">
        <v>45986.239583333336</v>
      </c>
      <c r="E1458" s="11">
        <v>45986.239583333336</v>
      </c>
      <c r="F1458" s="11">
        <v>45986.315972222219</v>
      </c>
      <c r="G1458" s="12">
        <v>0.11805555555474712</v>
      </c>
      <c r="H1458" s="2" t="s">
        <v>248</v>
      </c>
      <c r="J1458" s="2" t="s">
        <v>249</v>
      </c>
      <c r="K1458" s="2" t="s">
        <v>349</v>
      </c>
      <c r="L1458" s="2" t="s">
        <v>971</v>
      </c>
      <c r="M1458" t="s">
        <v>251</v>
      </c>
      <c r="N1458" t="s">
        <v>330</v>
      </c>
      <c r="O1458" t="s">
        <v>331</v>
      </c>
      <c r="P1458" t="s">
        <v>2547</v>
      </c>
      <c r="Q1458" t="s">
        <v>966</v>
      </c>
    </row>
    <row r="1459" spans="1:17">
      <c r="A1459" s="2" t="s">
        <v>781</v>
      </c>
      <c r="B1459" s="2" t="s">
        <v>268</v>
      </c>
      <c r="C1459" s="2" t="s">
        <v>282</v>
      </c>
      <c r="D1459" s="11">
        <v>45986.239583333336</v>
      </c>
      <c r="E1459" s="11">
        <v>45986.239583333336</v>
      </c>
      <c r="F1459" s="11">
        <v>45986.315972222219</v>
      </c>
      <c r="G1459" s="12">
        <v>0.11805555555474712</v>
      </c>
      <c r="H1459" s="2" t="s">
        <v>248</v>
      </c>
      <c r="J1459" s="2" t="s">
        <v>249</v>
      </c>
      <c r="K1459" s="2" t="s">
        <v>349</v>
      </c>
      <c r="L1459" s="2" t="s">
        <v>971</v>
      </c>
      <c r="M1459" t="s">
        <v>251</v>
      </c>
      <c r="N1459" t="s">
        <v>330</v>
      </c>
      <c r="O1459" t="s">
        <v>331</v>
      </c>
      <c r="P1459" t="s">
        <v>2548</v>
      </c>
      <c r="Q1459" t="s">
        <v>966</v>
      </c>
    </row>
    <row r="1460" spans="1:17">
      <c r="A1460" s="2" t="s">
        <v>781</v>
      </c>
      <c r="B1460" s="2" t="s">
        <v>268</v>
      </c>
      <c r="C1460" s="2" t="s">
        <v>283</v>
      </c>
      <c r="D1460" s="11">
        <v>45986.239583333336</v>
      </c>
      <c r="E1460" s="11">
        <v>45986.239583333336</v>
      </c>
      <c r="F1460" s="11">
        <v>45986.315972222219</v>
      </c>
      <c r="G1460" s="12">
        <v>0.11805555555474712</v>
      </c>
      <c r="H1460" s="2" t="s">
        <v>248</v>
      </c>
      <c r="J1460" s="2" t="s">
        <v>249</v>
      </c>
      <c r="K1460" s="2" t="s">
        <v>349</v>
      </c>
      <c r="L1460" s="2" t="s">
        <v>971</v>
      </c>
      <c r="M1460" t="s">
        <v>251</v>
      </c>
      <c r="N1460" t="s">
        <v>330</v>
      </c>
      <c r="O1460" t="s">
        <v>331</v>
      </c>
      <c r="P1460" t="s">
        <v>2549</v>
      </c>
      <c r="Q1460" t="s">
        <v>966</v>
      </c>
    </row>
    <row r="1461" spans="1:17">
      <c r="A1461" s="2" t="s">
        <v>794</v>
      </c>
      <c r="B1461" s="2" t="s">
        <v>268</v>
      </c>
      <c r="C1461" s="2" t="s">
        <v>284</v>
      </c>
      <c r="D1461" s="11">
        <v>45986.239583333336</v>
      </c>
      <c r="E1461" s="11">
        <v>45986.239583333336</v>
      </c>
      <c r="F1461" s="11">
        <v>45986.315972222219</v>
      </c>
      <c r="G1461" s="12">
        <v>0.11805555555474712</v>
      </c>
      <c r="H1461" s="2" t="s">
        <v>248</v>
      </c>
      <c r="J1461" s="2" t="s">
        <v>249</v>
      </c>
      <c r="K1461" s="2" t="s">
        <v>349</v>
      </c>
      <c r="L1461" s="2" t="s">
        <v>971</v>
      </c>
      <c r="M1461" t="s">
        <v>251</v>
      </c>
      <c r="N1461" t="s">
        <v>330</v>
      </c>
      <c r="O1461" t="s">
        <v>331</v>
      </c>
      <c r="P1461" t="s">
        <v>2550</v>
      </c>
      <c r="Q1461" t="s">
        <v>966</v>
      </c>
    </row>
    <row r="1462" spans="1:17">
      <c r="A1462" s="2" t="s">
        <v>794</v>
      </c>
      <c r="B1462" s="2" t="s">
        <v>268</v>
      </c>
      <c r="C1462" s="2" t="s">
        <v>285</v>
      </c>
      <c r="D1462" s="11">
        <v>45986.239583333336</v>
      </c>
      <c r="E1462" s="11">
        <v>45986.239583333336</v>
      </c>
      <c r="F1462" s="11">
        <v>45986.315972222219</v>
      </c>
      <c r="G1462" s="12">
        <v>0.11805555555474712</v>
      </c>
      <c r="H1462" s="2" t="s">
        <v>248</v>
      </c>
      <c r="J1462" s="2" t="s">
        <v>249</v>
      </c>
      <c r="K1462" s="2" t="s">
        <v>349</v>
      </c>
      <c r="L1462" s="2" t="s">
        <v>971</v>
      </c>
      <c r="M1462" t="s">
        <v>251</v>
      </c>
      <c r="N1462" t="s">
        <v>330</v>
      </c>
      <c r="O1462" t="s">
        <v>331</v>
      </c>
      <c r="P1462" t="s">
        <v>2551</v>
      </c>
      <c r="Q1462" t="s">
        <v>966</v>
      </c>
    </row>
    <row r="1463" spans="1:17">
      <c r="A1463" s="2" t="s">
        <v>794</v>
      </c>
      <c r="B1463" s="2" t="s">
        <v>268</v>
      </c>
      <c r="C1463" s="2" t="s">
        <v>286</v>
      </c>
      <c r="D1463" s="11">
        <v>45986.239583333336</v>
      </c>
      <c r="E1463" s="11">
        <v>45986.239583333336</v>
      </c>
      <c r="F1463" s="11">
        <v>45986.315972222219</v>
      </c>
      <c r="G1463" s="12">
        <v>0.11805555555474712</v>
      </c>
      <c r="H1463" s="2" t="s">
        <v>248</v>
      </c>
      <c r="J1463" s="2" t="s">
        <v>249</v>
      </c>
      <c r="K1463" s="2" t="s">
        <v>349</v>
      </c>
      <c r="L1463" s="2" t="s">
        <v>971</v>
      </c>
      <c r="M1463" t="s">
        <v>251</v>
      </c>
      <c r="N1463" t="s">
        <v>330</v>
      </c>
      <c r="O1463" t="s">
        <v>331</v>
      </c>
      <c r="P1463" t="s">
        <v>2552</v>
      </c>
      <c r="Q1463" t="s">
        <v>966</v>
      </c>
    </row>
    <row r="1464" spans="1:17">
      <c r="A1464" s="2" t="s">
        <v>794</v>
      </c>
      <c r="B1464" s="2" t="s">
        <v>268</v>
      </c>
      <c r="C1464" s="2" t="s">
        <v>287</v>
      </c>
      <c r="D1464" s="11">
        <v>45986.239583333336</v>
      </c>
      <c r="E1464" s="11">
        <v>45986.239583333336</v>
      </c>
      <c r="F1464" s="11">
        <v>45986.315972222219</v>
      </c>
      <c r="G1464" s="12">
        <v>0.11805555555474712</v>
      </c>
      <c r="H1464" s="2" t="s">
        <v>248</v>
      </c>
      <c r="J1464" s="2" t="s">
        <v>249</v>
      </c>
      <c r="K1464" s="2" t="s">
        <v>349</v>
      </c>
      <c r="L1464" s="2" t="s">
        <v>971</v>
      </c>
      <c r="M1464" t="s">
        <v>251</v>
      </c>
      <c r="N1464" t="s">
        <v>330</v>
      </c>
      <c r="O1464" t="s">
        <v>331</v>
      </c>
      <c r="P1464" t="s">
        <v>2553</v>
      </c>
      <c r="Q1464" t="s">
        <v>966</v>
      </c>
    </row>
    <row r="1465" spans="1:17">
      <c r="A1465" s="2" t="s">
        <v>794</v>
      </c>
      <c r="B1465" s="2" t="s">
        <v>268</v>
      </c>
      <c r="C1465" s="2" t="s">
        <v>288</v>
      </c>
      <c r="D1465" s="11">
        <v>45986.239583333336</v>
      </c>
      <c r="E1465" s="11">
        <v>45986.239583333336</v>
      </c>
      <c r="F1465" s="11">
        <v>45986.315972222219</v>
      </c>
      <c r="G1465" s="12">
        <v>0.11805555555474712</v>
      </c>
      <c r="H1465" s="2" t="s">
        <v>248</v>
      </c>
      <c r="J1465" s="2" t="s">
        <v>249</v>
      </c>
      <c r="K1465" s="2" t="s">
        <v>349</v>
      </c>
      <c r="L1465" s="2" t="s">
        <v>971</v>
      </c>
      <c r="M1465" t="s">
        <v>251</v>
      </c>
      <c r="N1465" t="s">
        <v>330</v>
      </c>
      <c r="O1465" t="s">
        <v>331</v>
      </c>
      <c r="P1465" t="s">
        <v>2554</v>
      </c>
      <c r="Q1465" t="s">
        <v>966</v>
      </c>
    </row>
    <row r="1466" spans="1:17">
      <c r="A1466" s="2" t="s">
        <v>795</v>
      </c>
      <c r="B1466" s="2" t="s">
        <v>268</v>
      </c>
      <c r="C1466" s="2" t="s">
        <v>289</v>
      </c>
      <c r="D1466" s="11">
        <v>45986.239583333336</v>
      </c>
      <c r="E1466" s="11">
        <v>45986.239583333336</v>
      </c>
      <c r="F1466" s="11">
        <v>45986.315972222219</v>
      </c>
      <c r="G1466" s="12">
        <v>0.11805555555474712</v>
      </c>
      <c r="H1466" s="2" t="s">
        <v>248</v>
      </c>
      <c r="J1466" s="2" t="s">
        <v>249</v>
      </c>
      <c r="K1466" s="2" t="s">
        <v>349</v>
      </c>
      <c r="L1466" s="2" t="s">
        <v>971</v>
      </c>
      <c r="M1466" t="s">
        <v>251</v>
      </c>
      <c r="N1466" t="s">
        <v>330</v>
      </c>
      <c r="O1466" t="s">
        <v>331</v>
      </c>
      <c r="P1466" t="s">
        <v>2555</v>
      </c>
      <c r="Q1466" t="s">
        <v>966</v>
      </c>
    </row>
    <row r="1467" spans="1:17">
      <c r="A1467" s="2" t="s">
        <v>795</v>
      </c>
      <c r="B1467" s="2" t="s">
        <v>268</v>
      </c>
      <c r="C1467" s="2" t="s">
        <v>290</v>
      </c>
      <c r="D1467" s="11">
        <v>45986.239583333336</v>
      </c>
      <c r="E1467" s="11">
        <v>45986.239583333336</v>
      </c>
      <c r="F1467" s="11">
        <v>45986.315972222219</v>
      </c>
      <c r="G1467" s="12">
        <v>0.11805555555474712</v>
      </c>
      <c r="H1467" s="2" t="s">
        <v>248</v>
      </c>
      <c r="J1467" s="2" t="s">
        <v>249</v>
      </c>
      <c r="K1467" s="2" t="s">
        <v>349</v>
      </c>
      <c r="L1467" s="2" t="s">
        <v>971</v>
      </c>
      <c r="M1467" t="s">
        <v>251</v>
      </c>
      <c r="N1467" t="s">
        <v>330</v>
      </c>
      <c r="O1467" t="s">
        <v>331</v>
      </c>
      <c r="P1467" t="s">
        <v>2556</v>
      </c>
      <c r="Q1467" t="s">
        <v>966</v>
      </c>
    </row>
    <row r="1468" spans="1:17">
      <c r="A1468" s="2" t="s">
        <v>795</v>
      </c>
      <c r="B1468" s="2" t="s">
        <v>268</v>
      </c>
      <c r="C1468" s="2" t="s">
        <v>291</v>
      </c>
      <c r="D1468" s="11">
        <v>45986.239583333336</v>
      </c>
      <c r="E1468" s="11">
        <v>45986.239583333336</v>
      </c>
      <c r="F1468" s="11">
        <v>45986.315972222219</v>
      </c>
      <c r="G1468" s="12">
        <v>0.11805555555474712</v>
      </c>
      <c r="H1468" s="2" t="s">
        <v>248</v>
      </c>
      <c r="J1468" s="2" t="s">
        <v>249</v>
      </c>
      <c r="K1468" s="2" t="s">
        <v>349</v>
      </c>
      <c r="L1468" s="2" t="s">
        <v>971</v>
      </c>
      <c r="M1468" t="s">
        <v>251</v>
      </c>
      <c r="N1468" t="s">
        <v>330</v>
      </c>
      <c r="O1468" t="s">
        <v>331</v>
      </c>
      <c r="P1468" t="s">
        <v>2557</v>
      </c>
      <c r="Q1468" t="s">
        <v>966</v>
      </c>
    </row>
    <row r="1469" spans="1:17">
      <c r="A1469" s="2" t="s">
        <v>795</v>
      </c>
      <c r="B1469" s="2" t="s">
        <v>268</v>
      </c>
      <c r="C1469" s="2" t="s">
        <v>292</v>
      </c>
      <c r="D1469" s="11">
        <v>45986.239583333336</v>
      </c>
      <c r="E1469" s="11">
        <v>45986.239583333336</v>
      </c>
      <c r="F1469" s="11">
        <v>45986.315972222219</v>
      </c>
      <c r="G1469" s="12">
        <v>0.11805555555474712</v>
      </c>
      <c r="H1469" s="2" t="s">
        <v>248</v>
      </c>
      <c r="J1469" s="2" t="s">
        <v>249</v>
      </c>
      <c r="K1469" s="2" t="s">
        <v>349</v>
      </c>
      <c r="L1469" s="2" t="s">
        <v>971</v>
      </c>
      <c r="M1469" t="s">
        <v>251</v>
      </c>
      <c r="N1469" t="s">
        <v>330</v>
      </c>
      <c r="O1469" t="s">
        <v>331</v>
      </c>
      <c r="P1469" t="s">
        <v>2558</v>
      </c>
      <c r="Q1469" t="s">
        <v>966</v>
      </c>
    </row>
    <row r="1470" spans="1:17">
      <c r="A1470" s="2" t="s">
        <v>796</v>
      </c>
      <c r="B1470" s="2" t="s">
        <v>268</v>
      </c>
      <c r="C1470" s="2" t="s">
        <v>293</v>
      </c>
      <c r="D1470" s="11">
        <v>45986.239583333336</v>
      </c>
      <c r="E1470" s="11">
        <v>45986.239583333336</v>
      </c>
      <c r="F1470" s="11">
        <v>45986.315972222219</v>
      </c>
      <c r="G1470" s="12">
        <v>0.11805555555474712</v>
      </c>
      <c r="H1470" s="2" t="s">
        <v>248</v>
      </c>
      <c r="J1470" s="2" t="s">
        <v>249</v>
      </c>
      <c r="K1470" s="2" t="s">
        <v>349</v>
      </c>
      <c r="L1470" s="2" t="s">
        <v>971</v>
      </c>
      <c r="M1470" t="s">
        <v>251</v>
      </c>
      <c r="N1470" t="s">
        <v>330</v>
      </c>
      <c r="O1470" t="s">
        <v>331</v>
      </c>
      <c r="P1470" t="s">
        <v>2559</v>
      </c>
      <c r="Q1470" t="s">
        <v>966</v>
      </c>
    </row>
    <row r="1471" spans="1:17">
      <c r="A1471" s="2" t="s">
        <v>796</v>
      </c>
      <c r="B1471" s="2" t="s">
        <v>268</v>
      </c>
      <c r="C1471" s="2" t="s">
        <v>294</v>
      </c>
      <c r="D1471" s="11">
        <v>45986.239583333336</v>
      </c>
      <c r="E1471" s="11">
        <v>45986.239583333336</v>
      </c>
      <c r="F1471" s="11">
        <v>45986.315972222219</v>
      </c>
      <c r="G1471" s="12">
        <v>0.11805555555474712</v>
      </c>
      <c r="H1471" s="2" t="s">
        <v>248</v>
      </c>
      <c r="J1471" s="2" t="s">
        <v>249</v>
      </c>
      <c r="K1471" s="2" t="s">
        <v>349</v>
      </c>
      <c r="L1471" s="2" t="s">
        <v>971</v>
      </c>
      <c r="M1471" t="s">
        <v>251</v>
      </c>
      <c r="N1471" t="s">
        <v>330</v>
      </c>
      <c r="O1471" t="s">
        <v>331</v>
      </c>
      <c r="P1471" t="s">
        <v>2560</v>
      </c>
      <c r="Q1471" t="s">
        <v>966</v>
      </c>
    </row>
    <row r="1472" spans="1:17">
      <c r="A1472" s="2" t="s">
        <v>796</v>
      </c>
      <c r="B1472" s="2" t="s">
        <v>268</v>
      </c>
      <c r="C1472" s="2" t="s">
        <v>295</v>
      </c>
      <c r="D1472" s="11">
        <v>45986.239583333336</v>
      </c>
      <c r="E1472" s="11">
        <v>45986.239583333336</v>
      </c>
      <c r="F1472" s="11">
        <v>45986.315972222219</v>
      </c>
      <c r="G1472" s="12">
        <v>0.11805555555474712</v>
      </c>
      <c r="H1472" s="2" t="s">
        <v>248</v>
      </c>
      <c r="J1472" s="2" t="s">
        <v>249</v>
      </c>
      <c r="K1472" s="2" t="s">
        <v>349</v>
      </c>
      <c r="L1472" s="2" t="s">
        <v>971</v>
      </c>
      <c r="M1472" t="s">
        <v>251</v>
      </c>
      <c r="N1472" t="s">
        <v>330</v>
      </c>
      <c r="O1472" t="s">
        <v>331</v>
      </c>
      <c r="P1472" t="s">
        <v>2561</v>
      </c>
      <c r="Q1472" t="s">
        <v>966</v>
      </c>
    </row>
    <row r="1473" spans="1:17">
      <c r="A1473" s="2" t="s">
        <v>796</v>
      </c>
      <c r="B1473" s="2" t="s">
        <v>268</v>
      </c>
      <c r="C1473" s="2" t="s">
        <v>296</v>
      </c>
      <c r="D1473" s="11">
        <v>45986.239583333336</v>
      </c>
      <c r="E1473" s="11">
        <v>45986.239583333336</v>
      </c>
      <c r="F1473" s="11">
        <v>45986.315972222219</v>
      </c>
      <c r="G1473" s="12">
        <v>0.11805555555474712</v>
      </c>
      <c r="H1473" s="2" t="s">
        <v>248</v>
      </c>
      <c r="J1473" s="2" t="s">
        <v>249</v>
      </c>
      <c r="K1473" s="2" t="s">
        <v>349</v>
      </c>
      <c r="L1473" s="2" t="s">
        <v>971</v>
      </c>
      <c r="M1473" t="s">
        <v>251</v>
      </c>
      <c r="N1473" t="s">
        <v>330</v>
      </c>
      <c r="O1473" t="s">
        <v>331</v>
      </c>
      <c r="P1473" t="s">
        <v>2562</v>
      </c>
      <c r="Q1473" t="s">
        <v>966</v>
      </c>
    </row>
    <row r="1474" spans="1:17">
      <c r="A1474" s="2" t="s">
        <v>796</v>
      </c>
      <c r="B1474" s="2" t="s">
        <v>268</v>
      </c>
      <c r="C1474" s="2" t="s">
        <v>297</v>
      </c>
      <c r="D1474" s="11">
        <v>45986.239583333336</v>
      </c>
      <c r="E1474" s="11">
        <v>45986.239583333336</v>
      </c>
      <c r="F1474" s="11">
        <v>45986.315972222219</v>
      </c>
      <c r="G1474" s="12">
        <v>0.11805555555474712</v>
      </c>
      <c r="H1474" s="2" t="s">
        <v>248</v>
      </c>
      <c r="J1474" s="2" t="s">
        <v>249</v>
      </c>
      <c r="K1474" s="2" t="s">
        <v>349</v>
      </c>
      <c r="L1474" s="2" t="s">
        <v>971</v>
      </c>
      <c r="M1474" t="s">
        <v>251</v>
      </c>
      <c r="N1474" t="s">
        <v>330</v>
      </c>
      <c r="O1474" t="s">
        <v>331</v>
      </c>
      <c r="P1474" t="s">
        <v>2563</v>
      </c>
      <c r="Q1474" t="s">
        <v>966</v>
      </c>
    </row>
    <row r="1475" spans="1:17">
      <c r="A1475" s="2" t="s">
        <v>246</v>
      </c>
      <c r="B1475" s="2" t="s">
        <v>246</v>
      </c>
      <c r="C1475" s="2" t="s">
        <v>247</v>
      </c>
      <c r="D1475" s="11">
        <v>45986.239583333336</v>
      </c>
      <c r="E1475" s="11">
        <v>45986.239583333336</v>
      </c>
      <c r="F1475" s="11">
        <v>45986.315972222219</v>
      </c>
      <c r="G1475" s="12">
        <v>0.11805555555474712</v>
      </c>
      <c r="H1475" s="2" t="s">
        <v>248</v>
      </c>
      <c r="J1475" s="2" t="s">
        <v>249</v>
      </c>
      <c r="K1475" s="2" t="s">
        <v>349</v>
      </c>
      <c r="L1475" s="2" t="s">
        <v>971</v>
      </c>
      <c r="M1475" t="s">
        <v>251</v>
      </c>
      <c r="N1475" t="s">
        <v>330</v>
      </c>
      <c r="O1475" t="s">
        <v>331</v>
      </c>
      <c r="P1475" t="s">
        <v>2564</v>
      </c>
      <c r="Q1475" t="s">
        <v>966</v>
      </c>
    </row>
    <row r="1476" spans="1:17">
      <c r="A1476" s="2" t="s">
        <v>246</v>
      </c>
      <c r="B1476" s="2" t="s">
        <v>246</v>
      </c>
      <c r="C1476" s="2" t="s">
        <v>254</v>
      </c>
      <c r="D1476" s="11">
        <v>45986.239583333336</v>
      </c>
      <c r="E1476" s="11">
        <v>45986.239583333336</v>
      </c>
      <c r="F1476" s="11">
        <v>45986.315972222219</v>
      </c>
      <c r="G1476" s="12">
        <v>0.11805555555474712</v>
      </c>
      <c r="H1476" s="2" t="s">
        <v>248</v>
      </c>
      <c r="J1476" s="2" t="s">
        <v>249</v>
      </c>
      <c r="K1476" s="2" t="s">
        <v>349</v>
      </c>
      <c r="L1476" s="2" t="s">
        <v>971</v>
      </c>
      <c r="M1476" t="s">
        <v>251</v>
      </c>
      <c r="N1476" t="s">
        <v>330</v>
      </c>
      <c r="O1476" t="s">
        <v>331</v>
      </c>
      <c r="P1476" t="s">
        <v>2565</v>
      </c>
      <c r="Q1476" t="s">
        <v>966</v>
      </c>
    </row>
    <row r="1477" spans="1:17">
      <c r="A1477" s="2" t="s">
        <v>246</v>
      </c>
      <c r="B1477" s="2" t="s">
        <v>246</v>
      </c>
      <c r="C1477" s="2" t="s">
        <v>255</v>
      </c>
      <c r="D1477" s="11">
        <v>45986.239583333336</v>
      </c>
      <c r="E1477" s="11">
        <v>45986.239583333336</v>
      </c>
      <c r="F1477" s="11">
        <v>45986.315972222219</v>
      </c>
      <c r="G1477" s="12">
        <v>0.11805555555474712</v>
      </c>
      <c r="H1477" s="2" t="s">
        <v>248</v>
      </c>
      <c r="J1477" s="2" t="s">
        <v>249</v>
      </c>
      <c r="K1477" s="2" t="s">
        <v>349</v>
      </c>
      <c r="L1477" s="2" t="s">
        <v>971</v>
      </c>
      <c r="M1477" t="s">
        <v>251</v>
      </c>
      <c r="N1477" t="s">
        <v>330</v>
      </c>
      <c r="O1477" t="s">
        <v>331</v>
      </c>
      <c r="P1477" t="s">
        <v>2566</v>
      </c>
      <c r="Q1477" t="s">
        <v>966</v>
      </c>
    </row>
    <row r="1478" spans="1:17">
      <c r="A1478" s="2" t="s">
        <v>246</v>
      </c>
      <c r="B1478" s="2" t="s">
        <v>246</v>
      </c>
      <c r="C1478" s="2" t="s">
        <v>256</v>
      </c>
      <c r="D1478" s="11">
        <v>45986.239583333336</v>
      </c>
      <c r="E1478" s="11">
        <v>45986.239583333336</v>
      </c>
      <c r="F1478" s="11">
        <v>45986.315972222219</v>
      </c>
      <c r="G1478" s="12">
        <v>0.11805555555474712</v>
      </c>
      <c r="H1478" s="2" t="s">
        <v>248</v>
      </c>
      <c r="J1478" s="2" t="s">
        <v>249</v>
      </c>
      <c r="K1478" s="2" t="s">
        <v>349</v>
      </c>
      <c r="L1478" s="2" t="s">
        <v>971</v>
      </c>
      <c r="M1478" t="s">
        <v>251</v>
      </c>
      <c r="N1478" t="s">
        <v>330</v>
      </c>
      <c r="O1478" t="s">
        <v>331</v>
      </c>
      <c r="P1478" t="s">
        <v>2567</v>
      </c>
      <c r="Q1478" t="s">
        <v>966</v>
      </c>
    </row>
    <row r="1479" spans="1:17">
      <c r="A1479" s="2" t="s">
        <v>246</v>
      </c>
      <c r="B1479" s="2" t="s">
        <v>246</v>
      </c>
      <c r="C1479" s="2" t="s">
        <v>257</v>
      </c>
      <c r="D1479" s="11">
        <v>45986.239583333336</v>
      </c>
      <c r="E1479" s="11">
        <v>45986.239583333336</v>
      </c>
      <c r="F1479" s="11">
        <v>45986.315972222219</v>
      </c>
      <c r="G1479" s="12">
        <v>0.11805555555474712</v>
      </c>
      <c r="H1479" s="2" t="s">
        <v>248</v>
      </c>
      <c r="J1479" s="2" t="s">
        <v>249</v>
      </c>
      <c r="K1479" s="2" t="s">
        <v>349</v>
      </c>
      <c r="L1479" s="2" t="s">
        <v>971</v>
      </c>
      <c r="M1479" t="s">
        <v>251</v>
      </c>
      <c r="N1479" t="s">
        <v>330</v>
      </c>
      <c r="O1479" t="s">
        <v>331</v>
      </c>
      <c r="P1479" t="s">
        <v>2568</v>
      </c>
      <c r="Q1479" t="s">
        <v>966</v>
      </c>
    </row>
    <row r="1480" spans="1:17">
      <c r="A1480" s="2" t="s">
        <v>258</v>
      </c>
      <c r="B1480" s="2" t="s">
        <v>258</v>
      </c>
      <c r="C1480" s="2" t="s">
        <v>247</v>
      </c>
      <c r="D1480" s="11">
        <v>45986.239583333336</v>
      </c>
      <c r="E1480" s="11">
        <v>45986.239583333336</v>
      </c>
      <c r="F1480" s="11">
        <v>45986.315972222219</v>
      </c>
      <c r="G1480" s="12">
        <v>0.11805555555474712</v>
      </c>
      <c r="H1480" s="2" t="s">
        <v>248</v>
      </c>
      <c r="J1480" s="2" t="s">
        <v>249</v>
      </c>
      <c r="K1480" s="2" t="s">
        <v>349</v>
      </c>
      <c r="L1480" s="2" t="s">
        <v>971</v>
      </c>
      <c r="M1480" t="s">
        <v>251</v>
      </c>
      <c r="N1480" t="s">
        <v>330</v>
      </c>
      <c r="O1480" t="s">
        <v>331</v>
      </c>
      <c r="P1480" t="s">
        <v>2569</v>
      </c>
      <c r="Q1480" t="s">
        <v>966</v>
      </c>
    </row>
    <row r="1481" spans="1:17">
      <c r="A1481" s="2" t="s">
        <v>258</v>
      </c>
      <c r="B1481" s="2" t="s">
        <v>258</v>
      </c>
      <c r="C1481" s="2" t="s">
        <v>254</v>
      </c>
      <c r="D1481" s="11">
        <v>45986.239583333336</v>
      </c>
      <c r="E1481" s="11">
        <v>45986.239583333336</v>
      </c>
      <c r="F1481" s="11">
        <v>45986.315972222219</v>
      </c>
      <c r="G1481" s="12">
        <v>0.11805555555474712</v>
      </c>
      <c r="H1481" s="2" t="s">
        <v>248</v>
      </c>
      <c r="J1481" s="2" t="s">
        <v>249</v>
      </c>
      <c r="K1481" s="2" t="s">
        <v>349</v>
      </c>
      <c r="L1481" s="2" t="s">
        <v>971</v>
      </c>
      <c r="M1481" t="s">
        <v>251</v>
      </c>
      <c r="N1481" t="s">
        <v>330</v>
      </c>
      <c r="O1481" t="s">
        <v>331</v>
      </c>
      <c r="P1481" t="s">
        <v>2570</v>
      </c>
      <c r="Q1481" t="s">
        <v>966</v>
      </c>
    </row>
    <row r="1482" spans="1:17">
      <c r="A1482" s="2" t="s">
        <v>258</v>
      </c>
      <c r="B1482" s="2" t="s">
        <v>258</v>
      </c>
      <c r="C1482" s="2" t="s">
        <v>255</v>
      </c>
      <c r="D1482" s="11">
        <v>45986.239583333336</v>
      </c>
      <c r="E1482" s="11">
        <v>45986.239583333336</v>
      </c>
      <c r="F1482" s="11">
        <v>45986.315972222219</v>
      </c>
      <c r="G1482" s="12">
        <v>0.11805555555474712</v>
      </c>
      <c r="H1482" s="2" t="s">
        <v>248</v>
      </c>
      <c r="J1482" s="2" t="s">
        <v>249</v>
      </c>
      <c r="K1482" s="2" t="s">
        <v>349</v>
      </c>
      <c r="L1482" s="2" t="s">
        <v>971</v>
      </c>
      <c r="M1482" t="s">
        <v>251</v>
      </c>
      <c r="N1482" t="s">
        <v>330</v>
      </c>
      <c r="O1482" t="s">
        <v>331</v>
      </c>
      <c r="P1482" t="s">
        <v>2571</v>
      </c>
      <c r="Q1482" t="s">
        <v>966</v>
      </c>
    </row>
    <row r="1483" spans="1:17">
      <c r="A1483" s="2" t="s">
        <v>258</v>
      </c>
      <c r="B1483" s="2" t="s">
        <v>258</v>
      </c>
      <c r="C1483" s="2" t="s">
        <v>256</v>
      </c>
      <c r="D1483" s="11">
        <v>45986.239583333336</v>
      </c>
      <c r="E1483" s="11">
        <v>45986.239583333336</v>
      </c>
      <c r="F1483" s="11">
        <v>45986.315972222219</v>
      </c>
      <c r="G1483" s="12">
        <v>0.11805555555474712</v>
      </c>
      <c r="H1483" s="2" t="s">
        <v>248</v>
      </c>
      <c r="J1483" s="2" t="s">
        <v>249</v>
      </c>
      <c r="K1483" s="2" t="s">
        <v>349</v>
      </c>
      <c r="L1483" s="2" t="s">
        <v>971</v>
      </c>
      <c r="M1483" t="s">
        <v>251</v>
      </c>
      <c r="N1483" t="s">
        <v>330</v>
      </c>
      <c r="O1483" t="s">
        <v>331</v>
      </c>
      <c r="P1483" t="s">
        <v>2572</v>
      </c>
      <c r="Q1483" t="s">
        <v>966</v>
      </c>
    </row>
    <row r="1484" spans="1:17">
      <c r="A1484" s="2" t="s">
        <v>258</v>
      </c>
      <c r="B1484" s="2" t="s">
        <v>258</v>
      </c>
      <c r="C1484" s="2" t="s">
        <v>257</v>
      </c>
      <c r="D1484" s="11">
        <v>45986.239583333336</v>
      </c>
      <c r="E1484" s="11">
        <v>45986.239583333336</v>
      </c>
      <c r="F1484" s="11">
        <v>45986.315972222219</v>
      </c>
      <c r="G1484" s="12">
        <v>0.11805555555474712</v>
      </c>
      <c r="H1484" s="2" t="s">
        <v>248</v>
      </c>
      <c r="J1484" s="2" t="s">
        <v>249</v>
      </c>
      <c r="K1484" s="2" t="s">
        <v>349</v>
      </c>
      <c r="L1484" s="2" t="s">
        <v>971</v>
      </c>
      <c r="M1484" t="s">
        <v>251</v>
      </c>
      <c r="N1484" t="s">
        <v>330</v>
      </c>
      <c r="O1484" t="s">
        <v>331</v>
      </c>
      <c r="P1484" t="s">
        <v>2573</v>
      </c>
      <c r="Q1484" t="s">
        <v>966</v>
      </c>
    </row>
    <row r="1485" spans="1:17">
      <c r="A1485" s="2" t="s">
        <v>259</v>
      </c>
      <c r="B1485" s="2" t="s">
        <v>259</v>
      </c>
      <c r="C1485" s="2" t="s">
        <v>247</v>
      </c>
      <c r="D1485" s="11">
        <v>45986.239583333336</v>
      </c>
      <c r="E1485" s="11">
        <v>45986.239583333336</v>
      </c>
      <c r="F1485" s="11">
        <v>45986.315972222219</v>
      </c>
      <c r="G1485" s="12">
        <v>0.11805555555474712</v>
      </c>
      <c r="H1485" s="2" t="s">
        <v>248</v>
      </c>
      <c r="J1485" s="2" t="s">
        <v>249</v>
      </c>
      <c r="K1485" s="2" t="s">
        <v>349</v>
      </c>
      <c r="L1485" s="2" t="s">
        <v>971</v>
      </c>
      <c r="M1485" t="s">
        <v>251</v>
      </c>
      <c r="N1485" t="s">
        <v>330</v>
      </c>
      <c r="O1485" t="s">
        <v>331</v>
      </c>
      <c r="P1485" t="s">
        <v>2574</v>
      </c>
      <c r="Q1485" t="s">
        <v>966</v>
      </c>
    </row>
    <row r="1486" spans="1:17">
      <c r="A1486" s="2" t="s">
        <v>259</v>
      </c>
      <c r="B1486" s="2" t="s">
        <v>259</v>
      </c>
      <c r="C1486" s="2" t="s">
        <v>254</v>
      </c>
      <c r="D1486" s="11">
        <v>45986.239583333336</v>
      </c>
      <c r="E1486" s="11">
        <v>45986.239583333336</v>
      </c>
      <c r="F1486" s="11">
        <v>45986.315972222219</v>
      </c>
      <c r="G1486" s="12">
        <v>0.11805555555474712</v>
      </c>
      <c r="H1486" s="2" t="s">
        <v>248</v>
      </c>
      <c r="J1486" s="2" t="s">
        <v>249</v>
      </c>
      <c r="K1486" s="2" t="s">
        <v>349</v>
      </c>
      <c r="L1486" s="2" t="s">
        <v>971</v>
      </c>
      <c r="M1486" t="s">
        <v>251</v>
      </c>
      <c r="N1486" t="s">
        <v>330</v>
      </c>
      <c r="O1486" t="s">
        <v>331</v>
      </c>
      <c r="P1486" t="s">
        <v>2575</v>
      </c>
      <c r="Q1486" t="s">
        <v>966</v>
      </c>
    </row>
    <row r="1487" spans="1:17">
      <c r="A1487" s="2" t="s">
        <v>259</v>
      </c>
      <c r="B1487" s="2" t="s">
        <v>259</v>
      </c>
      <c r="C1487" s="2" t="s">
        <v>255</v>
      </c>
      <c r="D1487" s="11">
        <v>45986.239583333336</v>
      </c>
      <c r="E1487" s="11">
        <v>45986.239583333336</v>
      </c>
      <c r="F1487" s="11">
        <v>45986.315972222219</v>
      </c>
      <c r="G1487" s="12">
        <v>0.11805555555474712</v>
      </c>
      <c r="H1487" s="2" t="s">
        <v>248</v>
      </c>
      <c r="J1487" s="2" t="s">
        <v>249</v>
      </c>
      <c r="K1487" s="2" t="s">
        <v>349</v>
      </c>
      <c r="L1487" s="2" t="s">
        <v>971</v>
      </c>
      <c r="M1487" t="s">
        <v>251</v>
      </c>
      <c r="N1487" t="s">
        <v>330</v>
      </c>
      <c r="O1487" t="s">
        <v>331</v>
      </c>
      <c r="P1487" t="s">
        <v>2576</v>
      </c>
      <c r="Q1487" t="s">
        <v>966</v>
      </c>
    </row>
    <row r="1488" spans="1:17">
      <c r="A1488" s="2" t="s">
        <v>259</v>
      </c>
      <c r="B1488" s="2" t="s">
        <v>259</v>
      </c>
      <c r="C1488" s="2" t="s">
        <v>256</v>
      </c>
      <c r="D1488" s="11">
        <v>45986.239583333336</v>
      </c>
      <c r="E1488" s="11">
        <v>45986.239583333336</v>
      </c>
      <c r="F1488" s="11">
        <v>45986.315972222219</v>
      </c>
      <c r="G1488" s="12">
        <v>0.11805555555474712</v>
      </c>
      <c r="H1488" s="2" t="s">
        <v>248</v>
      </c>
      <c r="J1488" s="2" t="s">
        <v>249</v>
      </c>
      <c r="K1488" s="2" t="s">
        <v>349</v>
      </c>
      <c r="L1488" s="2" t="s">
        <v>971</v>
      </c>
      <c r="M1488" t="s">
        <v>251</v>
      </c>
      <c r="N1488" t="s">
        <v>330</v>
      </c>
      <c r="O1488" t="s">
        <v>331</v>
      </c>
      <c r="P1488" t="s">
        <v>2577</v>
      </c>
      <c r="Q1488" t="s">
        <v>966</v>
      </c>
    </row>
    <row r="1489" spans="1:17">
      <c r="A1489" s="2" t="s">
        <v>259</v>
      </c>
      <c r="B1489" s="2" t="s">
        <v>259</v>
      </c>
      <c r="C1489" s="2" t="s">
        <v>257</v>
      </c>
      <c r="D1489" s="11">
        <v>45986.239583333336</v>
      </c>
      <c r="E1489" s="11">
        <v>45986.239583333336</v>
      </c>
      <c r="F1489" s="11">
        <v>45986.315972222219</v>
      </c>
      <c r="G1489" s="12">
        <v>0.11805555555474712</v>
      </c>
      <c r="H1489" s="2" t="s">
        <v>248</v>
      </c>
      <c r="J1489" s="2" t="s">
        <v>249</v>
      </c>
      <c r="K1489" s="2" t="s">
        <v>349</v>
      </c>
      <c r="L1489" s="2" t="s">
        <v>971</v>
      </c>
      <c r="M1489" t="s">
        <v>251</v>
      </c>
      <c r="N1489" t="s">
        <v>330</v>
      </c>
      <c r="O1489" t="s">
        <v>331</v>
      </c>
      <c r="P1489" t="s">
        <v>2578</v>
      </c>
      <c r="Q1489" t="s">
        <v>966</v>
      </c>
    </row>
    <row r="1490" spans="1:17">
      <c r="A1490" s="2" t="s">
        <v>846</v>
      </c>
      <c r="B1490" s="2" t="s">
        <v>602</v>
      </c>
      <c r="C1490" s="2" t="s">
        <v>1221</v>
      </c>
      <c r="D1490" s="11">
        <v>45986.272465277776</v>
      </c>
      <c r="E1490" s="11">
        <v>45986.272465277776</v>
      </c>
      <c r="F1490" s="11">
        <v>45986.279409722221</v>
      </c>
      <c r="G1490" s="12">
        <v>6.9444444452528842E-3</v>
      </c>
      <c r="H1490" s="2" t="s">
        <v>248</v>
      </c>
      <c r="J1490" s="2" t="s">
        <v>300</v>
      </c>
      <c r="K1490" s="2" t="s">
        <v>350</v>
      </c>
      <c r="L1490" s="2" t="s">
        <v>1222</v>
      </c>
      <c r="M1490" t="s">
        <v>375</v>
      </c>
      <c r="N1490" t="s">
        <v>828</v>
      </c>
      <c r="P1490" t="s">
        <v>2579</v>
      </c>
      <c r="Q1490" t="s">
        <v>1224</v>
      </c>
    </row>
    <row r="1491" spans="1:17">
      <c r="A1491" s="2" t="s">
        <v>773</v>
      </c>
      <c r="B1491" s="2" t="s">
        <v>477</v>
      </c>
      <c r="C1491" s="2" t="s">
        <v>628</v>
      </c>
      <c r="D1491" s="11">
        <v>45986.350694444445</v>
      </c>
      <c r="E1491" s="11">
        <v>45986.350694444445</v>
      </c>
      <c r="F1491" s="11">
        <v>45986.399305555555</v>
      </c>
      <c r="G1491" s="12">
        <f>F1491-E1491</f>
        <v>4.8611111109494232E-2</v>
      </c>
      <c r="H1491" s="2" t="s">
        <v>343</v>
      </c>
      <c r="J1491" s="2" t="s">
        <v>300</v>
      </c>
      <c r="K1491" s="2" t="s">
        <v>350</v>
      </c>
      <c r="L1491" s="2" t="s">
        <v>2580</v>
      </c>
      <c r="M1491" t="s">
        <v>302</v>
      </c>
      <c r="N1491" t="s">
        <v>303</v>
      </c>
      <c r="O1491" t="s">
        <v>2581</v>
      </c>
      <c r="P1491" t="s">
        <v>2582</v>
      </c>
      <c r="Q1491" t="s">
        <v>2583</v>
      </c>
    </row>
    <row r="1492" spans="1:17">
      <c r="A1492" s="2" t="s">
        <v>773</v>
      </c>
      <c r="B1492" s="2" t="s">
        <v>477</v>
      </c>
      <c r="C1492" s="2" t="s">
        <v>491</v>
      </c>
      <c r="D1492" s="11">
        <v>45986.350694444445</v>
      </c>
      <c r="E1492" s="11">
        <v>45986.350694444445</v>
      </c>
      <c r="F1492" s="11">
        <v>45986.399305555555</v>
      </c>
      <c r="G1492" s="12">
        <f>F1492-E1492</f>
        <v>4.8611111109494232E-2</v>
      </c>
      <c r="H1492" s="2" t="s">
        <v>343</v>
      </c>
      <c r="J1492" s="2" t="s">
        <v>300</v>
      </c>
      <c r="K1492" s="2" t="s">
        <v>350</v>
      </c>
      <c r="L1492" s="2" t="s">
        <v>2580</v>
      </c>
      <c r="M1492" t="s">
        <v>302</v>
      </c>
      <c r="N1492" t="s">
        <v>303</v>
      </c>
      <c r="O1492" t="s">
        <v>2581</v>
      </c>
      <c r="P1492" t="s">
        <v>2584</v>
      </c>
      <c r="Q1492" t="s">
        <v>2583</v>
      </c>
    </row>
    <row r="1493" spans="1:17">
      <c r="A1493" s="2" t="s">
        <v>773</v>
      </c>
      <c r="B1493" s="2" t="s">
        <v>477</v>
      </c>
      <c r="C1493" s="2" t="s">
        <v>488</v>
      </c>
      <c r="D1493" s="11">
        <v>45986.350694444445</v>
      </c>
      <c r="E1493" s="11">
        <v>45986.350694444445</v>
      </c>
      <c r="F1493" s="11">
        <v>45986.399305555555</v>
      </c>
      <c r="G1493" s="12">
        <f>F1493-E1493</f>
        <v>4.8611111109494232E-2</v>
      </c>
      <c r="H1493" s="2" t="s">
        <v>343</v>
      </c>
      <c r="J1493" s="2" t="s">
        <v>300</v>
      </c>
      <c r="K1493" s="2" t="s">
        <v>350</v>
      </c>
      <c r="L1493" s="2" t="s">
        <v>2580</v>
      </c>
      <c r="M1493" t="s">
        <v>302</v>
      </c>
      <c r="N1493" t="s">
        <v>303</v>
      </c>
      <c r="O1493" t="s">
        <v>2581</v>
      </c>
      <c r="P1493" t="s">
        <v>2585</v>
      </c>
      <c r="Q1493" t="s">
        <v>2583</v>
      </c>
    </row>
    <row r="1494" spans="1:17">
      <c r="A1494" s="2" t="s">
        <v>773</v>
      </c>
      <c r="B1494" s="2" t="s">
        <v>477</v>
      </c>
      <c r="C1494" s="2" t="s">
        <v>492</v>
      </c>
      <c r="D1494" s="11">
        <v>45986.350694444445</v>
      </c>
      <c r="E1494" s="11">
        <v>45986.350694444445</v>
      </c>
      <c r="F1494" s="11">
        <v>45986.399305555555</v>
      </c>
      <c r="G1494" s="12">
        <f>F1494-E1494</f>
        <v>4.8611111109494232E-2</v>
      </c>
      <c r="H1494" s="2" t="s">
        <v>343</v>
      </c>
      <c r="J1494" s="2" t="s">
        <v>300</v>
      </c>
      <c r="K1494" s="2" t="s">
        <v>350</v>
      </c>
      <c r="L1494" s="2" t="s">
        <v>2580</v>
      </c>
      <c r="M1494" t="s">
        <v>302</v>
      </c>
      <c r="N1494" t="s">
        <v>303</v>
      </c>
      <c r="O1494" t="s">
        <v>2581</v>
      </c>
      <c r="P1494" t="s">
        <v>2586</v>
      </c>
      <c r="Q1494" t="s">
        <v>2583</v>
      </c>
    </row>
    <row r="1495" spans="1:17">
      <c r="A1495" s="2" t="s">
        <v>773</v>
      </c>
      <c r="B1495" s="2" t="s">
        <v>477</v>
      </c>
      <c r="C1495" s="2" t="s">
        <v>490</v>
      </c>
      <c r="D1495" s="11">
        <v>45986.350694444445</v>
      </c>
      <c r="E1495" s="11">
        <v>45986.350694444445</v>
      </c>
      <c r="F1495" s="11">
        <v>45986.399305555555</v>
      </c>
      <c r="G1495" s="12">
        <f>F1495-E1495</f>
        <v>4.8611111109494232E-2</v>
      </c>
      <c r="H1495" s="2" t="s">
        <v>343</v>
      </c>
      <c r="J1495" s="2" t="s">
        <v>300</v>
      </c>
      <c r="K1495" s="2" t="s">
        <v>350</v>
      </c>
      <c r="L1495" s="2" t="s">
        <v>2580</v>
      </c>
      <c r="M1495" t="s">
        <v>302</v>
      </c>
      <c r="N1495" t="s">
        <v>303</v>
      </c>
      <c r="O1495" t="s">
        <v>2581</v>
      </c>
      <c r="P1495" t="s">
        <v>2587</v>
      </c>
      <c r="Q1495" t="s">
        <v>2583</v>
      </c>
    </row>
    <row r="1496" spans="1:17">
      <c r="A1496" s="2" t="s">
        <v>773</v>
      </c>
      <c r="B1496" s="2" t="s">
        <v>477</v>
      </c>
      <c r="C1496" s="2" t="s">
        <v>978</v>
      </c>
      <c r="D1496" s="11">
        <v>45986.350694444445</v>
      </c>
      <c r="E1496" s="11">
        <v>45986.350694444445</v>
      </c>
      <c r="F1496" s="11">
        <v>45986.399305555555</v>
      </c>
      <c r="G1496" s="12">
        <f>F1496-E1496</f>
        <v>4.8611111109494232E-2</v>
      </c>
      <c r="H1496" s="2" t="s">
        <v>343</v>
      </c>
      <c r="J1496" s="2" t="s">
        <v>300</v>
      </c>
      <c r="K1496" s="2" t="s">
        <v>350</v>
      </c>
      <c r="L1496" s="2" t="s">
        <v>2580</v>
      </c>
      <c r="M1496" t="s">
        <v>302</v>
      </c>
      <c r="N1496" t="s">
        <v>303</v>
      </c>
      <c r="O1496" t="s">
        <v>2581</v>
      </c>
      <c r="P1496" t="s">
        <v>2588</v>
      </c>
      <c r="Q1496" t="s">
        <v>2583</v>
      </c>
    </row>
    <row r="1497" spans="1:17">
      <c r="A1497" s="2" t="s">
        <v>782</v>
      </c>
      <c r="B1497" s="2" t="s">
        <v>477</v>
      </c>
      <c r="C1497" s="2" t="s">
        <v>489</v>
      </c>
      <c r="D1497" s="11">
        <v>45986.350694444445</v>
      </c>
      <c r="E1497" s="11">
        <v>45986.350694444445</v>
      </c>
      <c r="F1497" s="11">
        <v>45986.399305555555</v>
      </c>
      <c r="G1497" s="12">
        <f>F1497-E1497</f>
        <v>4.8611111109494232E-2</v>
      </c>
      <c r="H1497" s="2" t="s">
        <v>343</v>
      </c>
      <c r="J1497" s="2" t="s">
        <v>300</v>
      </c>
      <c r="K1497" s="2" t="s">
        <v>350</v>
      </c>
      <c r="L1497" s="2" t="s">
        <v>2580</v>
      </c>
      <c r="M1497" t="s">
        <v>302</v>
      </c>
      <c r="N1497" t="s">
        <v>303</v>
      </c>
      <c r="O1497" t="s">
        <v>2581</v>
      </c>
      <c r="P1497" t="s">
        <v>2589</v>
      </c>
      <c r="Q1497" t="s">
        <v>2583</v>
      </c>
    </row>
    <row r="1498" spans="1:17">
      <c r="A1498" s="2" t="s">
        <v>782</v>
      </c>
      <c r="B1498" s="2" t="s">
        <v>477</v>
      </c>
      <c r="C1498" s="2" t="s">
        <v>713</v>
      </c>
      <c r="D1498" s="11">
        <v>45986.350694444445</v>
      </c>
      <c r="E1498" s="11">
        <v>45986.350694444445</v>
      </c>
      <c r="F1498" s="11">
        <v>45986.399305555555</v>
      </c>
      <c r="G1498" s="12">
        <f>F1498-E1498</f>
        <v>4.8611111109494232E-2</v>
      </c>
      <c r="H1498" s="2" t="s">
        <v>343</v>
      </c>
      <c r="J1498" s="2" t="s">
        <v>300</v>
      </c>
      <c r="K1498" s="2" t="s">
        <v>350</v>
      </c>
      <c r="L1498" s="2" t="s">
        <v>2580</v>
      </c>
      <c r="M1498" t="s">
        <v>302</v>
      </c>
      <c r="N1498" t="s">
        <v>303</v>
      </c>
      <c r="O1498" t="s">
        <v>2581</v>
      </c>
      <c r="P1498" t="s">
        <v>2590</v>
      </c>
      <c r="Q1498" t="s">
        <v>2583</v>
      </c>
    </row>
    <row r="1499" spans="1:17">
      <c r="A1499" s="2" t="s">
        <v>782</v>
      </c>
      <c r="B1499" s="2" t="s">
        <v>477</v>
      </c>
      <c r="C1499" s="2" t="s">
        <v>486</v>
      </c>
      <c r="D1499" s="11">
        <v>45986.350694444445</v>
      </c>
      <c r="E1499" s="11">
        <v>45986.350694444445</v>
      </c>
      <c r="F1499" s="11">
        <v>45986.399305555555</v>
      </c>
      <c r="G1499" s="12">
        <f>F1499-E1499</f>
        <v>4.8611111109494232E-2</v>
      </c>
      <c r="H1499" s="2" t="s">
        <v>343</v>
      </c>
      <c r="J1499" s="2" t="s">
        <v>300</v>
      </c>
      <c r="K1499" s="2" t="s">
        <v>350</v>
      </c>
      <c r="L1499" s="2" t="s">
        <v>2580</v>
      </c>
      <c r="M1499" t="s">
        <v>302</v>
      </c>
      <c r="N1499" t="s">
        <v>303</v>
      </c>
      <c r="O1499" t="s">
        <v>2581</v>
      </c>
      <c r="P1499" t="s">
        <v>2591</v>
      </c>
      <c r="Q1499" t="s">
        <v>2583</v>
      </c>
    </row>
    <row r="1500" spans="1:17">
      <c r="A1500" s="2" t="s">
        <v>782</v>
      </c>
      <c r="B1500" s="2" t="s">
        <v>477</v>
      </c>
      <c r="C1500" s="2" t="s">
        <v>478</v>
      </c>
      <c r="D1500" s="11">
        <v>45986.350694444445</v>
      </c>
      <c r="E1500" s="11">
        <v>45986.350694444445</v>
      </c>
      <c r="F1500" s="11">
        <v>45986.399305555555</v>
      </c>
      <c r="G1500" s="12">
        <f>F1500-E1500</f>
        <v>4.8611111109494232E-2</v>
      </c>
      <c r="H1500" s="2" t="s">
        <v>343</v>
      </c>
      <c r="J1500" s="2" t="s">
        <v>300</v>
      </c>
      <c r="K1500" s="2" t="s">
        <v>350</v>
      </c>
      <c r="L1500" s="2" t="s">
        <v>2580</v>
      </c>
      <c r="M1500" t="s">
        <v>302</v>
      </c>
      <c r="N1500" t="s">
        <v>303</v>
      </c>
      <c r="O1500" t="s">
        <v>2581</v>
      </c>
      <c r="P1500" t="s">
        <v>2592</v>
      </c>
      <c r="Q1500" t="s">
        <v>2583</v>
      </c>
    </row>
    <row r="1501" spans="1:17">
      <c r="A1501" s="2" t="s">
        <v>782</v>
      </c>
      <c r="B1501" s="2" t="s">
        <v>477</v>
      </c>
      <c r="C1501" s="2" t="s">
        <v>632</v>
      </c>
      <c r="D1501" s="11">
        <v>45986.350694444445</v>
      </c>
      <c r="E1501" s="11">
        <v>45986.350694444445</v>
      </c>
      <c r="F1501" s="11">
        <v>45986.399305555555</v>
      </c>
      <c r="G1501" s="12">
        <f>F1501-E1501</f>
        <v>4.8611111109494232E-2</v>
      </c>
      <c r="H1501" s="2" t="s">
        <v>343</v>
      </c>
      <c r="J1501" s="2" t="s">
        <v>300</v>
      </c>
      <c r="K1501" s="2" t="s">
        <v>350</v>
      </c>
      <c r="L1501" s="2" t="s">
        <v>2580</v>
      </c>
      <c r="M1501" t="s">
        <v>302</v>
      </c>
      <c r="N1501" t="s">
        <v>303</v>
      </c>
      <c r="O1501" t="s">
        <v>2581</v>
      </c>
      <c r="P1501" t="s">
        <v>2593</v>
      </c>
      <c r="Q1501" t="s">
        <v>2583</v>
      </c>
    </row>
    <row r="1502" spans="1:17">
      <c r="A1502" s="2" t="s">
        <v>782</v>
      </c>
      <c r="B1502" s="2" t="s">
        <v>477</v>
      </c>
      <c r="C1502" s="2" t="s">
        <v>629</v>
      </c>
      <c r="D1502" s="11">
        <v>45986.350694444445</v>
      </c>
      <c r="E1502" s="11">
        <v>45986.350694444445</v>
      </c>
      <c r="F1502" s="11">
        <v>45986.399305555555</v>
      </c>
      <c r="G1502" s="12">
        <f>F1502-E1502</f>
        <v>4.8611111109494232E-2</v>
      </c>
      <c r="H1502" s="2" t="s">
        <v>343</v>
      </c>
      <c r="J1502" s="2" t="s">
        <v>300</v>
      </c>
      <c r="K1502" s="2" t="s">
        <v>350</v>
      </c>
      <c r="L1502" s="2" t="s">
        <v>2580</v>
      </c>
      <c r="M1502" t="s">
        <v>302</v>
      </c>
      <c r="N1502" t="s">
        <v>303</v>
      </c>
      <c r="O1502" t="s">
        <v>2581</v>
      </c>
      <c r="P1502" t="s">
        <v>2594</v>
      </c>
      <c r="Q1502" t="s">
        <v>2583</v>
      </c>
    </row>
    <row r="1503" spans="1:17">
      <c r="A1503" s="2" t="s">
        <v>782</v>
      </c>
      <c r="B1503" s="2" t="s">
        <v>477</v>
      </c>
      <c r="C1503" s="2" t="s">
        <v>631</v>
      </c>
      <c r="D1503" s="11">
        <v>45986.350694444445</v>
      </c>
      <c r="E1503" s="11">
        <v>45986.350694444445</v>
      </c>
      <c r="F1503" s="11">
        <v>45986.399305555555</v>
      </c>
      <c r="G1503" s="12">
        <f>F1503-E1503</f>
        <v>4.8611111109494232E-2</v>
      </c>
      <c r="H1503" s="2" t="s">
        <v>343</v>
      </c>
      <c r="J1503" s="2" t="s">
        <v>300</v>
      </c>
      <c r="K1503" s="2" t="s">
        <v>350</v>
      </c>
      <c r="L1503" s="2" t="s">
        <v>2580</v>
      </c>
      <c r="M1503" t="s">
        <v>302</v>
      </c>
      <c r="N1503" t="s">
        <v>303</v>
      </c>
      <c r="O1503" t="s">
        <v>2581</v>
      </c>
      <c r="P1503" t="s">
        <v>2595</v>
      </c>
      <c r="Q1503" t="s">
        <v>2583</v>
      </c>
    </row>
    <row r="1504" spans="1:17">
      <c r="A1504" s="2" t="s">
        <v>782</v>
      </c>
      <c r="B1504" s="2" t="s">
        <v>477</v>
      </c>
      <c r="C1504" s="2" t="s">
        <v>635</v>
      </c>
      <c r="D1504" s="11">
        <v>45986.350694444445</v>
      </c>
      <c r="E1504" s="11">
        <v>45986.350694444445</v>
      </c>
      <c r="F1504" s="11">
        <v>45986.399305555555</v>
      </c>
      <c r="G1504" s="12">
        <f>F1504-E1504</f>
        <v>4.8611111109494232E-2</v>
      </c>
      <c r="H1504" s="2" t="s">
        <v>343</v>
      </c>
      <c r="J1504" s="2" t="s">
        <v>300</v>
      </c>
      <c r="K1504" s="2" t="s">
        <v>350</v>
      </c>
      <c r="L1504" s="2" t="s">
        <v>2580</v>
      </c>
      <c r="M1504" t="s">
        <v>302</v>
      </c>
      <c r="N1504" t="s">
        <v>303</v>
      </c>
      <c r="O1504" t="s">
        <v>2581</v>
      </c>
      <c r="P1504" t="s">
        <v>2596</v>
      </c>
      <c r="Q1504" t="s">
        <v>2583</v>
      </c>
    </row>
    <row r="1505" spans="1:17">
      <c r="A1505" s="2" t="s">
        <v>782</v>
      </c>
      <c r="B1505" s="2" t="s">
        <v>477</v>
      </c>
      <c r="C1505" s="2" t="s">
        <v>487</v>
      </c>
      <c r="D1505" s="11">
        <v>45986.350694444445</v>
      </c>
      <c r="E1505" s="11">
        <v>45986.350694444445</v>
      </c>
      <c r="F1505" s="11">
        <v>45986.399305555555</v>
      </c>
      <c r="G1505" s="12">
        <f>F1505-E1505</f>
        <v>4.8611111109494232E-2</v>
      </c>
      <c r="H1505" s="2" t="s">
        <v>343</v>
      </c>
      <c r="J1505" s="2" t="s">
        <v>300</v>
      </c>
      <c r="K1505" s="2" t="s">
        <v>350</v>
      </c>
      <c r="L1505" s="2" t="s">
        <v>2580</v>
      </c>
      <c r="M1505" t="s">
        <v>302</v>
      </c>
      <c r="N1505" t="s">
        <v>303</v>
      </c>
      <c r="O1505" t="s">
        <v>2581</v>
      </c>
      <c r="P1505" t="s">
        <v>2597</v>
      </c>
      <c r="Q1505" t="s">
        <v>2583</v>
      </c>
    </row>
    <row r="1506" spans="1:17">
      <c r="A1506" s="2" t="s">
        <v>782</v>
      </c>
      <c r="B1506" s="2" t="s">
        <v>477</v>
      </c>
      <c r="C1506" s="2" t="s">
        <v>627</v>
      </c>
      <c r="D1506" s="11">
        <v>45986.350694444445</v>
      </c>
      <c r="E1506" s="11">
        <v>45986.350694444445</v>
      </c>
      <c r="F1506" s="11">
        <v>45986.399305555555</v>
      </c>
      <c r="G1506" s="12">
        <f>F1506-E1506</f>
        <v>4.8611111109494232E-2</v>
      </c>
      <c r="H1506" s="2" t="s">
        <v>343</v>
      </c>
      <c r="J1506" s="2" t="s">
        <v>300</v>
      </c>
      <c r="K1506" s="2" t="s">
        <v>350</v>
      </c>
      <c r="L1506" s="2" t="s">
        <v>2580</v>
      </c>
      <c r="M1506" t="s">
        <v>302</v>
      </c>
      <c r="N1506" t="s">
        <v>303</v>
      </c>
      <c r="O1506" t="s">
        <v>2581</v>
      </c>
      <c r="P1506" t="s">
        <v>2598</v>
      </c>
      <c r="Q1506" t="s">
        <v>2583</v>
      </c>
    </row>
    <row r="1507" spans="1:17">
      <c r="A1507" s="2" t="s">
        <v>1126</v>
      </c>
      <c r="B1507" s="2" t="s">
        <v>493</v>
      </c>
      <c r="C1507" s="2" t="s">
        <v>494</v>
      </c>
      <c r="D1507" s="11">
        <v>45987.234722222223</v>
      </c>
      <c r="E1507" s="11">
        <v>45987.234722222223</v>
      </c>
      <c r="F1507" s="11">
        <v>45987.395833333336</v>
      </c>
      <c r="G1507" s="12">
        <v>0.16111111111240461</v>
      </c>
      <c r="H1507" s="2" t="s">
        <v>248</v>
      </c>
      <c r="J1507" s="2" t="s">
        <v>249</v>
      </c>
      <c r="K1507" s="2" t="s">
        <v>349</v>
      </c>
      <c r="L1507" s="2" t="s">
        <v>971</v>
      </c>
      <c r="M1507" t="s">
        <v>251</v>
      </c>
      <c r="N1507" t="s">
        <v>330</v>
      </c>
      <c r="O1507" t="s">
        <v>331</v>
      </c>
      <c r="P1507" t="s">
        <v>2599</v>
      </c>
      <c r="Q1507" t="s">
        <v>966</v>
      </c>
    </row>
    <row r="1508" spans="1:17">
      <c r="A1508" s="2" t="s">
        <v>1126</v>
      </c>
      <c r="B1508" s="2" t="s">
        <v>493</v>
      </c>
      <c r="C1508" s="2" t="s">
        <v>497</v>
      </c>
      <c r="D1508" s="11">
        <v>45987.234722222223</v>
      </c>
      <c r="E1508" s="11">
        <v>45987.234722222223</v>
      </c>
      <c r="F1508" s="11">
        <v>45987.395833333336</v>
      </c>
      <c r="G1508" s="12">
        <v>0.16111111111240461</v>
      </c>
      <c r="H1508" s="2" t="s">
        <v>248</v>
      </c>
      <c r="J1508" s="2" t="s">
        <v>249</v>
      </c>
      <c r="K1508" s="2" t="s">
        <v>349</v>
      </c>
      <c r="L1508" s="2" t="s">
        <v>971</v>
      </c>
      <c r="M1508" t="s">
        <v>251</v>
      </c>
      <c r="N1508" t="s">
        <v>330</v>
      </c>
      <c r="O1508" t="s">
        <v>331</v>
      </c>
      <c r="P1508" t="s">
        <v>2600</v>
      </c>
      <c r="Q1508" t="s">
        <v>966</v>
      </c>
    </row>
    <row r="1509" spans="1:17">
      <c r="A1509" s="2" t="s">
        <v>1126</v>
      </c>
      <c r="B1509" s="2" t="s">
        <v>493</v>
      </c>
      <c r="C1509" s="2" t="s">
        <v>498</v>
      </c>
      <c r="D1509" s="11">
        <v>45987.234722222223</v>
      </c>
      <c r="E1509" s="11">
        <v>45987.234722222223</v>
      </c>
      <c r="F1509" s="11">
        <v>45987.395833333336</v>
      </c>
      <c r="G1509" s="12">
        <v>0.16111111111240461</v>
      </c>
      <c r="H1509" s="2" t="s">
        <v>248</v>
      </c>
      <c r="J1509" s="2" t="s">
        <v>249</v>
      </c>
      <c r="K1509" s="2" t="s">
        <v>349</v>
      </c>
      <c r="L1509" s="2" t="s">
        <v>971</v>
      </c>
      <c r="M1509" t="s">
        <v>251</v>
      </c>
      <c r="N1509" t="s">
        <v>330</v>
      </c>
      <c r="O1509" t="s">
        <v>331</v>
      </c>
      <c r="P1509" t="s">
        <v>2601</v>
      </c>
      <c r="Q1509" t="s">
        <v>966</v>
      </c>
    </row>
    <row r="1510" spans="1:17">
      <c r="A1510" s="2" t="s">
        <v>1126</v>
      </c>
      <c r="B1510" s="2" t="s">
        <v>493</v>
      </c>
      <c r="C1510" s="2" t="s">
        <v>499</v>
      </c>
      <c r="D1510" s="11">
        <v>45987.234722222223</v>
      </c>
      <c r="E1510" s="11">
        <v>45987.234722222223</v>
      </c>
      <c r="F1510" s="11">
        <v>45987.395833333336</v>
      </c>
      <c r="G1510" s="12">
        <v>0.16111111111240461</v>
      </c>
      <c r="H1510" s="2" t="s">
        <v>248</v>
      </c>
      <c r="J1510" s="2" t="s">
        <v>249</v>
      </c>
      <c r="K1510" s="2" t="s">
        <v>349</v>
      </c>
      <c r="L1510" s="2" t="s">
        <v>971</v>
      </c>
      <c r="M1510" t="s">
        <v>251</v>
      </c>
      <c r="N1510" t="s">
        <v>330</v>
      </c>
      <c r="O1510" t="s">
        <v>331</v>
      </c>
      <c r="P1510" t="s">
        <v>2602</v>
      </c>
      <c r="Q1510" t="s">
        <v>966</v>
      </c>
    </row>
    <row r="1511" spans="1:17">
      <c r="A1511" s="2" t="s">
        <v>869</v>
      </c>
      <c r="B1511" s="2" t="s">
        <v>746</v>
      </c>
      <c r="C1511" s="2" t="s">
        <v>747</v>
      </c>
      <c r="D1511" s="11">
        <v>45987.234722222223</v>
      </c>
      <c r="E1511" s="11">
        <v>45987.234722222223</v>
      </c>
      <c r="F1511" s="11">
        <v>45987.395833333336</v>
      </c>
      <c r="G1511" s="12">
        <v>0.16111111111240461</v>
      </c>
      <c r="H1511" s="2" t="s">
        <v>248</v>
      </c>
      <c r="J1511" s="2" t="s">
        <v>249</v>
      </c>
      <c r="K1511" s="2" t="s">
        <v>349</v>
      </c>
      <c r="L1511" s="2" t="s">
        <v>971</v>
      </c>
      <c r="M1511" t="s">
        <v>251</v>
      </c>
      <c r="N1511" t="s">
        <v>330</v>
      </c>
      <c r="O1511" t="s">
        <v>331</v>
      </c>
      <c r="P1511" t="s">
        <v>2603</v>
      </c>
      <c r="Q1511" t="s">
        <v>966</v>
      </c>
    </row>
    <row r="1512" spans="1:17">
      <c r="A1512" s="2" t="s">
        <v>869</v>
      </c>
      <c r="B1512" s="2" t="s">
        <v>746</v>
      </c>
      <c r="C1512" s="2" t="s">
        <v>748</v>
      </c>
      <c r="D1512" s="11">
        <v>45987.234722222223</v>
      </c>
      <c r="E1512" s="11">
        <v>45987.234722222223</v>
      </c>
      <c r="F1512" s="11">
        <v>45987.395833333336</v>
      </c>
      <c r="G1512" s="12">
        <v>0.16111111111240461</v>
      </c>
      <c r="H1512" s="2" t="s">
        <v>248</v>
      </c>
      <c r="J1512" s="2" t="s">
        <v>249</v>
      </c>
      <c r="K1512" s="2" t="s">
        <v>349</v>
      </c>
      <c r="L1512" s="2" t="s">
        <v>971</v>
      </c>
      <c r="M1512" t="s">
        <v>251</v>
      </c>
      <c r="N1512" t="s">
        <v>330</v>
      </c>
      <c r="O1512" t="s">
        <v>331</v>
      </c>
      <c r="P1512" t="s">
        <v>2604</v>
      </c>
      <c r="Q1512" t="s">
        <v>966</v>
      </c>
    </row>
    <row r="1513" spans="1:17">
      <c r="A1513" s="2" t="s">
        <v>869</v>
      </c>
      <c r="B1513" s="2" t="s">
        <v>746</v>
      </c>
      <c r="C1513" s="2" t="s">
        <v>749</v>
      </c>
      <c r="D1513" s="11">
        <v>45987.234722222223</v>
      </c>
      <c r="E1513" s="11">
        <v>45987.234722222223</v>
      </c>
      <c r="F1513" s="11">
        <v>45987.395833333336</v>
      </c>
      <c r="G1513" s="12">
        <v>0.16111111111240461</v>
      </c>
      <c r="H1513" s="2" t="s">
        <v>248</v>
      </c>
      <c r="J1513" s="2" t="s">
        <v>249</v>
      </c>
      <c r="K1513" s="2" t="s">
        <v>349</v>
      </c>
      <c r="L1513" s="2" t="s">
        <v>971</v>
      </c>
      <c r="M1513" t="s">
        <v>251</v>
      </c>
      <c r="N1513" t="s">
        <v>330</v>
      </c>
      <c r="O1513" t="s">
        <v>331</v>
      </c>
      <c r="P1513" t="s">
        <v>2605</v>
      </c>
      <c r="Q1513" t="s">
        <v>966</v>
      </c>
    </row>
    <row r="1514" spans="1:17">
      <c r="A1514" s="2" t="s">
        <v>869</v>
      </c>
      <c r="B1514" s="2" t="s">
        <v>746</v>
      </c>
      <c r="C1514" s="2" t="s">
        <v>750</v>
      </c>
      <c r="D1514" s="11">
        <v>45987.234722222223</v>
      </c>
      <c r="E1514" s="11">
        <v>45987.234722222223</v>
      </c>
      <c r="F1514" s="11">
        <v>45987.395833333336</v>
      </c>
      <c r="G1514" s="12">
        <v>0.16111111111240461</v>
      </c>
      <c r="H1514" s="2" t="s">
        <v>248</v>
      </c>
      <c r="J1514" s="2" t="s">
        <v>249</v>
      </c>
      <c r="K1514" s="2" t="s">
        <v>349</v>
      </c>
      <c r="L1514" s="2" t="s">
        <v>971</v>
      </c>
      <c r="M1514" t="s">
        <v>251</v>
      </c>
      <c r="N1514" t="s">
        <v>330</v>
      </c>
      <c r="O1514" t="s">
        <v>331</v>
      </c>
      <c r="P1514" t="s">
        <v>2606</v>
      </c>
      <c r="Q1514" t="s">
        <v>966</v>
      </c>
    </row>
    <row r="1515" spans="1:17">
      <c r="A1515" s="2" t="s">
        <v>869</v>
      </c>
      <c r="B1515" s="2" t="s">
        <v>746</v>
      </c>
      <c r="C1515" s="2" t="s">
        <v>751</v>
      </c>
      <c r="D1515" s="11">
        <v>45987.234722222223</v>
      </c>
      <c r="E1515" s="11">
        <v>45987.234722222223</v>
      </c>
      <c r="F1515" s="11">
        <v>45987.395833333336</v>
      </c>
      <c r="G1515" s="12">
        <v>0.16111111111240461</v>
      </c>
      <c r="H1515" s="2" t="s">
        <v>248</v>
      </c>
      <c r="J1515" s="2" t="s">
        <v>249</v>
      </c>
      <c r="K1515" s="2" t="s">
        <v>349</v>
      </c>
      <c r="L1515" s="2" t="s">
        <v>971</v>
      </c>
      <c r="M1515" t="s">
        <v>251</v>
      </c>
      <c r="N1515" t="s">
        <v>330</v>
      </c>
      <c r="O1515" t="s">
        <v>331</v>
      </c>
      <c r="P1515" t="s">
        <v>2607</v>
      </c>
      <c r="Q1515" t="s">
        <v>966</v>
      </c>
    </row>
    <row r="1516" spans="1:17">
      <c r="A1516" s="2" t="s">
        <v>869</v>
      </c>
      <c r="B1516" s="2" t="s">
        <v>746</v>
      </c>
      <c r="C1516" s="2" t="s">
        <v>752</v>
      </c>
      <c r="D1516" s="11">
        <v>45987.234722222223</v>
      </c>
      <c r="E1516" s="11">
        <v>45987.234722222223</v>
      </c>
      <c r="F1516" s="11">
        <v>45987.395833333336</v>
      </c>
      <c r="G1516" s="12">
        <v>0.16111111111240461</v>
      </c>
      <c r="H1516" s="2" t="s">
        <v>248</v>
      </c>
      <c r="J1516" s="2" t="s">
        <v>249</v>
      </c>
      <c r="K1516" s="2" t="s">
        <v>349</v>
      </c>
      <c r="L1516" s="2" t="s">
        <v>971</v>
      </c>
      <c r="M1516" t="s">
        <v>251</v>
      </c>
      <c r="N1516" t="s">
        <v>330</v>
      </c>
      <c r="O1516" t="s">
        <v>331</v>
      </c>
      <c r="P1516" t="s">
        <v>2608</v>
      </c>
      <c r="Q1516" t="s">
        <v>966</v>
      </c>
    </row>
    <row r="1517" spans="1:17">
      <c r="A1517" s="2" t="s">
        <v>869</v>
      </c>
      <c r="B1517" s="2" t="s">
        <v>746</v>
      </c>
      <c r="C1517" s="2" t="s">
        <v>753</v>
      </c>
      <c r="D1517" s="11">
        <v>45987.234722222223</v>
      </c>
      <c r="E1517" s="11">
        <v>45987.234722222223</v>
      </c>
      <c r="F1517" s="11">
        <v>45987.395833333336</v>
      </c>
      <c r="G1517" s="12">
        <v>0.16111111111240461</v>
      </c>
      <c r="H1517" s="2" t="s">
        <v>248</v>
      </c>
      <c r="J1517" s="2" t="s">
        <v>249</v>
      </c>
      <c r="K1517" s="2" t="s">
        <v>349</v>
      </c>
      <c r="L1517" s="2" t="s">
        <v>971</v>
      </c>
      <c r="M1517" t="s">
        <v>251</v>
      </c>
      <c r="N1517" t="s">
        <v>330</v>
      </c>
      <c r="O1517" t="s">
        <v>331</v>
      </c>
      <c r="P1517" t="s">
        <v>2609</v>
      </c>
      <c r="Q1517" t="s">
        <v>966</v>
      </c>
    </row>
    <row r="1518" spans="1:17">
      <c r="A1518" s="2" t="s">
        <v>869</v>
      </c>
      <c r="B1518" s="2" t="s">
        <v>746</v>
      </c>
      <c r="C1518" s="2" t="s">
        <v>754</v>
      </c>
      <c r="D1518" s="11">
        <v>45987.234722222223</v>
      </c>
      <c r="E1518" s="11">
        <v>45987.234722222223</v>
      </c>
      <c r="F1518" s="11">
        <v>45987.395833333336</v>
      </c>
      <c r="G1518" s="12">
        <v>0.16111111111240461</v>
      </c>
      <c r="H1518" s="2" t="s">
        <v>248</v>
      </c>
      <c r="J1518" s="2" t="s">
        <v>249</v>
      </c>
      <c r="K1518" s="2" t="s">
        <v>349</v>
      </c>
      <c r="L1518" s="2" t="s">
        <v>971</v>
      </c>
      <c r="M1518" t="s">
        <v>251</v>
      </c>
      <c r="N1518" t="s">
        <v>330</v>
      </c>
      <c r="O1518" t="s">
        <v>331</v>
      </c>
      <c r="P1518" t="s">
        <v>2610</v>
      </c>
      <c r="Q1518" t="s">
        <v>966</v>
      </c>
    </row>
    <row r="1519" spans="1:17">
      <c r="A1519" s="2" t="s">
        <v>869</v>
      </c>
      <c r="B1519" s="2" t="s">
        <v>746</v>
      </c>
      <c r="C1519" s="2" t="s">
        <v>755</v>
      </c>
      <c r="D1519" s="11">
        <v>45987.234722222223</v>
      </c>
      <c r="E1519" s="11">
        <v>45987.234722222223</v>
      </c>
      <c r="F1519" s="11">
        <v>45987.395833333336</v>
      </c>
      <c r="G1519" s="12">
        <v>0.16111111111240461</v>
      </c>
      <c r="H1519" s="2" t="s">
        <v>248</v>
      </c>
      <c r="J1519" s="2" t="s">
        <v>249</v>
      </c>
      <c r="K1519" s="2" t="s">
        <v>349</v>
      </c>
      <c r="L1519" s="2" t="s">
        <v>971</v>
      </c>
      <c r="M1519" t="s">
        <v>251</v>
      </c>
      <c r="N1519" t="s">
        <v>330</v>
      </c>
      <c r="O1519" t="s">
        <v>331</v>
      </c>
      <c r="P1519" t="s">
        <v>2611</v>
      </c>
      <c r="Q1519" t="s">
        <v>966</v>
      </c>
    </row>
    <row r="1520" spans="1:17">
      <c r="A1520" s="2" t="s">
        <v>869</v>
      </c>
      <c r="B1520" s="2" t="s">
        <v>746</v>
      </c>
      <c r="C1520" s="2" t="s">
        <v>756</v>
      </c>
      <c r="D1520" s="11">
        <v>45987.234722222223</v>
      </c>
      <c r="E1520" s="11">
        <v>45987.234722222223</v>
      </c>
      <c r="F1520" s="11">
        <v>45987.395833333336</v>
      </c>
      <c r="G1520" s="12">
        <v>0.16111111111240461</v>
      </c>
      <c r="H1520" s="2" t="s">
        <v>248</v>
      </c>
      <c r="J1520" s="2" t="s">
        <v>249</v>
      </c>
      <c r="K1520" s="2" t="s">
        <v>349</v>
      </c>
      <c r="L1520" s="2" t="s">
        <v>971</v>
      </c>
      <c r="M1520" t="s">
        <v>251</v>
      </c>
      <c r="N1520" t="s">
        <v>330</v>
      </c>
      <c r="O1520" t="s">
        <v>331</v>
      </c>
      <c r="P1520" t="s">
        <v>2612</v>
      </c>
      <c r="Q1520" t="s">
        <v>966</v>
      </c>
    </row>
    <row r="1521" spans="1:17">
      <c r="A1521" s="2" t="s">
        <v>869</v>
      </c>
      <c r="B1521" s="2" t="s">
        <v>746</v>
      </c>
      <c r="C1521" s="2" t="s">
        <v>757</v>
      </c>
      <c r="D1521" s="11">
        <v>45987.234722222223</v>
      </c>
      <c r="E1521" s="11">
        <v>45987.234722222223</v>
      </c>
      <c r="F1521" s="11">
        <v>45987.395833333336</v>
      </c>
      <c r="G1521" s="12">
        <v>0.16111111111240461</v>
      </c>
      <c r="H1521" s="2" t="s">
        <v>248</v>
      </c>
      <c r="J1521" s="2" t="s">
        <v>249</v>
      </c>
      <c r="K1521" s="2" t="s">
        <v>349</v>
      </c>
      <c r="L1521" s="2" t="s">
        <v>971</v>
      </c>
      <c r="M1521" t="s">
        <v>251</v>
      </c>
      <c r="N1521" t="s">
        <v>330</v>
      </c>
      <c r="O1521" t="s">
        <v>331</v>
      </c>
      <c r="P1521" t="s">
        <v>2613</v>
      </c>
      <c r="Q1521" t="s">
        <v>966</v>
      </c>
    </row>
    <row r="1522" spans="1:17">
      <c r="A1522" s="2" t="s">
        <v>869</v>
      </c>
      <c r="B1522" s="2" t="s">
        <v>746</v>
      </c>
      <c r="C1522" s="2" t="s">
        <v>758</v>
      </c>
      <c r="D1522" s="11">
        <v>45987.234722222223</v>
      </c>
      <c r="E1522" s="11">
        <v>45987.234722222223</v>
      </c>
      <c r="F1522" s="11">
        <v>45987.395833333336</v>
      </c>
      <c r="G1522" s="12">
        <v>0.16111111111240461</v>
      </c>
      <c r="H1522" s="2" t="s">
        <v>248</v>
      </c>
      <c r="J1522" s="2" t="s">
        <v>249</v>
      </c>
      <c r="K1522" s="2" t="s">
        <v>349</v>
      </c>
      <c r="L1522" s="2" t="s">
        <v>971</v>
      </c>
      <c r="M1522" t="s">
        <v>251</v>
      </c>
      <c r="N1522" t="s">
        <v>330</v>
      </c>
      <c r="O1522" t="s">
        <v>331</v>
      </c>
      <c r="P1522" t="s">
        <v>2614</v>
      </c>
      <c r="Q1522" t="s">
        <v>966</v>
      </c>
    </row>
    <row r="1523" spans="1:17">
      <c r="A1523" s="2" t="s">
        <v>869</v>
      </c>
      <c r="B1523" s="2" t="s">
        <v>746</v>
      </c>
      <c r="C1523" s="2" t="s">
        <v>759</v>
      </c>
      <c r="D1523" s="11">
        <v>45987.234722222223</v>
      </c>
      <c r="E1523" s="11">
        <v>45987.234722222223</v>
      </c>
      <c r="F1523" s="11">
        <v>45987.395833333336</v>
      </c>
      <c r="G1523" s="12">
        <v>0.16111111111240461</v>
      </c>
      <c r="H1523" s="2" t="s">
        <v>248</v>
      </c>
      <c r="J1523" s="2" t="s">
        <v>249</v>
      </c>
      <c r="K1523" s="2" t="s">
        <v>349</v>
      </c>
      <c r="L1523" s="2" t="s">
        <v>971</v>
      </c>
      <c r="M1523" t="s">
        <v>251</v>
      </c>
      <c r="N1523" t="s">
        <v>330</v>
      </c>
      <c r="O1523" t="s">
        <v>331</v>
      </c>
      <c r="P1523" t="s">
        <v>2615</v>
      </c>
      <c r="Q1523" t="s">
        <v>966</v>
      </c>
    </row>
    <row r="1524" spans="1:17">
      <c r="A1524" s="2" t="s">
        <v>869</v>
      </c>
      <c r="B1524" s="2" t="s">
        <v>746</v>
      </c>
      <c r="C1524" s="2" t="s">
        <v>760</v>
      </c>
      <c r="D1524" s="11">
        <v>45987.234722222223</v>
      </c>
      <c r="E1524" s="11">
        <v>45987.234722222223</v>
      </c>
      <c r="F1524" s="11">
        <v>45987.395833333336</v>
      </c>
      <c r="G1524" s="12">
        <v>0.16111111111240461</v>
      </c>
      <c r="H1524" s="2" t="s">
        <v>248</v>
      </c>
      <c r="J1524" s="2" t="s">
        <v>249</v>
      </c>
      <c r="K1524" s="2" t="s">
        <v>349</v>
      </c>
      <c r="L1524" s="2" t="s">
        <v>971</v>
      </c>
      <c r="M1524" t="s">
        <v>251</v>
      </c>
      <c r="N1524" t="s">
        <v>330</v>
      </c>
      <c r="O1524" t="s">
        <v>331</v>
      </c>
      <c r="P1524" t="s">
        <v>2616</v>
      </c>
      <c r="Q1524" t="s">
        <v>966</v>
      </c>
    </row>
    <row r="1525" spans="1:17">
      <c r="A1525" s="2" t="s">
        <v>869</v>
      </c>
      <c r="B1525" s="2" t="s">
        <v>746</v>
      </c>
      <c r="C1525" s="2" t="s">
        <v>761</v>
      </c>
      <c r="D1525" s="11">
        <v>45987.234722222223</v>
      </c>
      <c r="E1525" s="11">
        <v>45987.234722222223</v>
      </c>
      <c r="F1525" s="11">
        <v>45987.395833333336</v>
      </c>
      <c r="G1525" s="12">
        <v>0.16111111111240461</v>
      </c>
      <c r="H1525" s="2" t="s">
        <v>248</v>
      </c>
      <c r="J1525" s="2" t="s">
        <v>249</v>
      </c>
      <c r="K1525" s="2" t="s">
        <v>349</v>
      </c>
      <c r="L1525" s="2" t="s">
        <v>971</v>
      </c>
      <c r="M1525" t="s">
        <v>251</v>
      </c>
      <c r="N1525" t="s">
        <v>330</v>
      </c>
      <c r="O1525" t="s">
        <v>331</v>
      </c>
      <c r="P1525" t="s">
        <v>2617</v>
      </c>
      <c r="Q1525" t="s">
        <v>966</v>
      </c>
    </row>
    <row r="1526" spans="1:17">
      <c r="A1526" s="2" t="s">
        <v>869</v>
      </c>
      <c r="B1526" s="2" t="s">
        <v>746</v>
      </c>
      <c r="C1526" s="2" t="s">
        <v>762</v>
      </c>
      <c r="D1526" s="11">
        <v>45987.234722222223</v>
      </c>
      <c r="E1526" s="11">
        <v>45987.234722222223</v>
      </c>
      <c r="F1526" s="11">
        <v>45987.395833333336</v>
      </c>
      <c r="G1526" s="12">
        <v>0.16111111111240461</v>
      </c>
      <c r="H1526" s="2" t="s">
        <v>248</v>
      </c>
      <c r="J1526" s="2" t="s">
        <v>249</v>
      </c>
      <c r="K1526" s="2" t="s">
        <v>349</v>
      </c>
      <c r="L1526" s="2" t="s">
        <v>971</v>
      </c>
      <c r="M1526" t="s">
        <v>251</v>
      </c>
      <c r="N1526" t="s">
        <v>330</v>
      </c>
      <c r="O1526" t="s">
        <v>331</v>
      </c>
      <c r="P1526" t="s">
        <v>2618</v>
      </c>
      <c r="Q1526" t="s">
        <v>966</v>
      </c>
    </row>
    <row r="1527" spans="1:17">
      <c r="A1527" s="2" t="s">
        <v>869</v>
      </c>
      <c r="B1527" s="2" t="s">
        <v>746</v>
      </c>
      <c r="C1527" s="2" t="s">
        <v>763</v>
      </c>
      <c r="D1527" s="11">
        <v>45987.234722222223</v>
      </c>
      <c r="E1527" s="11">
        <v>45987.234722222223</v>
      </c>
      <c r="F1527" s="11">
        <v>45987.395833333336</v>
      </c>
      <c r="G1527" s="12">
        <v>0.16111111111240461</v>
      </c>
      <c r="H1527" s="2" t="s">
        <v>248</v>
      </c>
      <c r="J1527" s="2" t="s">
        <v>249</v>
      </c>
      <c r="K1527" s="2" t="s">
        <v>349</v>
      </c>
      <c r="L1527" s="2" t="s">
        <v>971</v>
      </c>
      <c r="M1527" t="s">
        <v>251</v>
      </c>
      <c r="N1527" t="s">
        <v>330</v>
      </c>
      <c r="O1527" t="s">
        <v>331</v>
      </c>
      <c r="P1527" t="s">
        <v>2619</v>
      </c>
      <c r="Q1527" t="s">
        <v>966</v>
      </c>
    </row>
    <row r="1528" spans="1:17">
      <c r="A1528" s="2" t="s">
        <v>246</v>
      </c>
      <c r="B1528" s="2" t="s">
        <v>246</v>
      </c>
      <c r="C1528" s="2" t="s">
        <v>254</v>
      </c>
      <c r="D1528" s="11">
        <v>45987.543055555558</v>
      </c>
      <c r="E1528" s="11">
        <v>45987.543055555558</v>
      </c>
      <c r="F1528" s="11">
        <v>45987.559027777781</v>
      </c>
      <c r="G1528" s="12">
        <v>1.5972222223354038E-2</v>
      </c>
      <c r="H1528" s="2" t="s">
        <v>343</v>
      </c>
      <c r="J1528" s="2" t="s">
        <v>230</v>
      </c>
      <c r="K1528" s="2" t="s">
        <v>230</v>
      </c>
      <c r="L1528" s="2" t="s">
        <v>1540</v>
      </c>
      <c r="M1528" t="s">
        <v>302</v>
      </c>
      <c r="N1528" t="s">
        <v>345</v>
      </c>
      <c r="O1528" t="s">
        <v>2620</v>
      </c>
      <c r="P1528" t="s">
        <v>2621</v>
      </c>
      <c r="Q1528" t="s">
        <v>1364</v>
      </c>
    </row>
    <row r="1529" spans="1:17">
      <c r="A1529" s="2" t="s">
        <v>246</v>
      </c>
      <c r="B1529" s="2" t="s">
        <v>246</v>
      </c>
      <c r="C1529" s="2" t="s">
        <v>255</v>
      </c>
      <c r="D1529" s="11">
        <v>45987.543055555558</v>
      </c>
      <c r="E1529" s="11">
        <v>45987.543055555558</v>
      </c>
      <c r="F1529" s="11">
        <v>45987.559027777781</v>
      </c>
      <c r="G1529" s="12">
        <v>1.5972222223354038E-2</v>
      </c>
      <c r="H1529" s="2" t="s">
        <v>343</v>
      </c>
      <c r="J1529" s="2" t="s">
        <v>230</v>
      </c>
      <c r="K1529" s="2" t="s">
        <v>230</v>
      </c>
      <c r="L1529" s="2" t="s">
        <v>1540</v>
      </c>
      <c r="M1529" t="s">
        <v>302</v>
      </c>
      <c r="N1529" t="s">
        <v>345</v>
      </c>
      <c r="O1529" t="s">
        <v>2620</v>
      </c>
      <c r="P1529" t="s">
        <v>2622</v>
      </c>
      <c r="Q1529" t="s">
        <v>1364</v>
      </c>
    </row>
    <row r="1530" spans="1:17">
      <c r="A1530" s="2" t="s">
        <v>246</v>
      </c>
      <c r="B1530" s="2" t="s">
        <v>246</v>
      </c>
      <c r="C1530" s="2" t="s">
        <v>256</v>
      </c>
      <c r="D1530" s="11">
        <v>45987.543055555558</v>
      </c>
      <c r="E1530" s="11">
        <v>45987.543055555558</v>
      </c>
      <c r="F1530" s="11">
        <v>45987.559027777781</v>
      </c>
      <c r="G1530" s="12">
        <v>1.5972222223354038E-2</v>
      </c>
      <c r="H1530" s="2" t="s">
        <v>343</v>
      </c>
      <c r="J1530" s="2" t="s">
        <v>230</v>
      </c>
      <c r="K1530" s="2" t="s">
        <v>230</v>
      </c>
      <c r="L1530" s="2" t="s">
        <v>1540</v>
      </c>
      <c r="M1530" t="s">
        <v>302</v>
      </c>
      <c r="N1530" t="s">
        <v>345</v>
      </c>
      <c r="O1530" t="s">
        <v>2620</v>
      </c>
      <c r="P1530" t="s">
        <v>2623</v>
      </c>
      <c r="Q1530" t="s">
        <v>1364</v>
      </c>
    </row>
    <row r="1531" spans="1:17">
      <c r="A1531" s="2" t="s">
        <v>246</v>
      </c>
      <c r="B1531" s="2" t="s">
        <v>246</v>
      </c>
      <c r="C1531" s="2" t="s">
        <v>247</v>
      </c>
      <c r="D1531" s="11">
        <v>45987.543055555558</v>
      </c>
      <c r="E1531" s="11">
        <v>45987.543055555558</v>
      </c>
      <c r="F1531" s="11">
        <v>45987.559027777781</v>
      </c>
      <c r="G1531" s="12">
        <v>1.5972222223354038E-2</v>
      </c>
      <c r="H1531" s="2" t="s">
        <v>343</v>
      </c>
      <c r="J1531" s="2" t="s">
        <v>230</v>
      </c>
      <c r="K1531" s="2" t="s">
        <v>230</v>
      </c>
      <c r="L1531" s="2" t="s">
        <v>1540</v>
      </c>
      <c r="M1531" t="s">
        <v>302</v>
      </c>
      <c r="N1531" t="s">
        <v>345</v>
      </c>
      <c r="O1531" t="s">
        <v>2620</v>
      </c>
      <c r="P1531" t="s">
        <v>2624</v>
      </c>
      <c r="Q1531" t="s">
        <v>1364</v>
      </c>
    </row>
    <row r="1532" spans="1:17">
      <c r="A1532" s="2" t="s">
        <v>246</v>
      </c>
      <c r="B1532" s="2" t="s">
        <v>246</v>
      </c>
      <c r="C1532" s="2" t="s">
        <v>257</v>
      </c>
      <c r="D1532" s="11">
        <v>45987.543055555558</v>
      </c>
      <c r="E1532" s="11">
        <v>45987.543055555558</v>
      </c>
      <c r="F1532" s="11">
        <v>45987.559027777781</v>
      </c>
      <c r="G1532" s="12">
        <v>1.5972222223354038E-2</v>
      </c>
      <c r="H1532" s="2" t="s">
        <v>343</v>
      </c>
      <c r="J1532" s="2" t="s">
        <v>230</v>
      </c>
      <c r="K1532" s="2" t="s">
        <v>230</v>
      </c>
      <c r="L1532" s="2" t="s">
        <v>1540</v>
      </c>
      <c r="M1532" t="s">
        <v>302</v>
      </c>
      <c r="N1532" t="s">
        <v>345</v>
      </c>
      <c r="O1532" t="s">
        <v>2620</v>
      </c>
      <c r="P1532" t="s">
        <v>2625</v>
      </c>
      <c r="Q1532" t="s">
        <v>1364</v>
      </c>
    </row>
    <row r="1533" spans="1:17">
      <c r="A1533" s="2" t="s">
        <v>481</v>
      </c>
      <c r="B1533" s="2" t="s">
        <v>481</v>
      </c>
      <c r="C1533" s="2" t="s">
        <v>354</v>
      </c>
      <c r="D1533" s="11">
        <v>45988.215277777781</v>
      </c>
      <c r="E1533" s="11">
        <v>45988.215277777781</v>
      </c>
      <c r="F1533" s="11">
        <v>45989.625</v>
      </c>
      <c r="G1533" s="12">
        <v>1.4097222222189885</v>
      </c>
      <c r="H1533" s="2" t="s">
        <v>248</v>
      </c>
      <c r="J1533" s="2" t="s">
        <v>337</v>
      </c>
      <c r="K1533" s="2" t="s">
        <v>338</v>
      </c>
      <c r="L1533" s="2" t="s">
        <v>2626</v>
      </c>
      <c r="M1533" t="s">
        <v>302</v>
      </c>
      <c r="N1533" t="s">
        <v>303</v>
      </c>
      <c r="O1533" t="s">
        <v>2627</v>
      </c>
      <c r="P1533" t="s">
        <v>2628</v>
      </c>
      <c r="Q1533" t="s">
        <v>2629</v>
      </c>
    </row>
    <row r="1534" spans="1:17">
      <c r="A1534" s="2" t="s">
        <v>481</v>
      </c>
      <c r="B1534" s="2" t="s">
        <v>481</v>
      </c>
      <c r="C1534" s="2" t="s">
        <v>357</v>
      </c>
      <c r="D1534" s="11">
        <v>45988.215277777781</v>
      </c>
      <c r="E1534" s="11">
        <v>45988.215277777781</v>
      </c>
      <c r="F1534" s="11">
        <v>45989.625</v>
      </c>
      <c r="G1534" s="12">
        <v>1.4097222222189885</v>
      </c>
      <c r="H1534" s="2" t="s">
        <v>248</v>
      </c>
      <c r="J1534" s="2" t="s">
        <v>337</v>
      </c>
      <c r="K1534" s="2" t="s">
        <v>338</v>
      </c>
      <c r="L1534" s="2" t="s">
        <v>2626</v>
      </c>
      <c r="M1534" t="s">
        <v>302</v>
      </c>
      <c r="N1534" t="s">
        <v>303</v>
      </c>
      <c r="O1534" t="s">
        <v>2627</v>
      </c>
      <c r="P1534" t="s">
        <v>2630</v>
      </c>
      <c r="Q1534" t="s">
        <v>2629</v>
      </c>
    </row>
    <row r="1535" spans="1:17">
      <c r="A1535" s="2" t="s">
        <v>481</v>
      </c>
      <c r="B1535" s="2" t="s">
        <v>481</v>
      </c>
      <c r="C1535" s="2" t="s">
        <v>358</v>
      </c>
      <c r="D1535" s="11">
        <v>45988.215277777781</v>
      </c>
      <c r="E1535" s="11">
        <v>45988.215277777781</v>
      </c>
      <c r="F1535" s="11">
        <v>45989.625</v>
      </c>
      <c r="G1535" s="12">
        <v>1.4097222222189885</v>
      </c>
      <c r="H1535" s="2" t="s">
        <v>248</v>
      </c>
      <c r="J1535" s="2" t="s">
        <v>337</v>
      </c>
      <c r="K1535" s="2" t="s">
        <v>338</v>
      </c>
      <c r="L1535" s="2" t="s">
        <v>2626</v>
      </c>
      <c r="M1535" t="s">
        <v>302</v>
      </c>
      <c r="N1535" t="s">
        <v>303</v>
      </c>
      <c r="O1535" t="s">
        <v>2627</v>
      </c>
      <c r="P1535" t="s">
        <v>2631</v>
      </c>
      <c r="Q1535" t="s">
        <v>2629</v>
      </c>
    </row>
    <row r="1536" spans="1:17">
      <c r="A1536" s="2" t="s">
        <v>481</v>
      </c>
      <c r="B1536" s="2" t="s">
        <v>481</v>
      </c>
      <c r="C1536" s="2" t="s">
        <v>359</v>
      </c>
      <c r="D1536" s="11">
        <v>45988.215277777781</v>
      </c>
      <c r="E1536" s="11">
        <v>45988.215277777781</v>
      </c>
      <c r="F1536" s="11">
        <v>45989.625</v>
      </c>
      <c r="G1536" s="12">
        <v>1.4097222222189885</v>
      </c>
      <c r="H1536" s="2" t="s">
        <v>248</v>
      </c>
      <c r="J1536" s="2" t="s">
        <v>337</v>
      </c>
      <c r="K1536" s="2" t="s">
        <v>338</v>
      </c>
      <c r="L1536" s="2" t="s">
        <v>2626</v>
      </c>
      <c r="M1536" t="s">
        <v>302</v>
      </c>
      <c r="N1536" t="s">
        <v>303</v>
      </c>
      <c r="O1536" t="s">
        <v>2627</v>
      </c>
      <c r="P1536" t="s">
        <v>2632</v>
      </c>
      <c r="Q1536" t="s">
        <v>2629</v>
      </c>
    </row>
    <row r="1537" spans="1:17">
      <c r="A1537" s="2" t="s">
        <v>482</v>
      </c>
      <c r="B1537" s="2" t="s">
        <v>482</v>
      </c>
      <c r="C1537" s="2" t="s">
        <v>354</v>
      </c>
      <c r="D1537" s="11">
        <v>45988.215277777781</v>
      </c>
      <c r="E1537" s="11">
        <v>45988.215277777781</v>
      </c>
      <c r="F1537" s="11">
        <v>45989.625</v>
      </c>
      <c r="G1537" s="12">
        <v>1.4097222222189885</v>
      </c>
      <c r="H1537" s="2" t="s">
        <v>260</v>
      </c>
      <c r="I1537" s="2" t="s">
        <v>261</v>
      </c>
      <c r="J1537" s="2" t="s">
        <v>262</v>
      </c>
      <c r="K1537" s="2" t="s">
        <v>263</v>
      </c>
      <c r="L1537" s="2" t="s">
        <v>2626</v>
      </c>
      <c r="M1537" t="s">
        <v>302</v>
      </c>
      <c r="N1537" t="s">
        <v>303</v>
      </c>
      <c r="O1537" t="s">
        <v>2627</v>
      </c>
      <c r="P1537" t="s">
        <v>2633</v>
      </c>
      <c r="Q1537" t="s">
        <v>1401</v>
      </c>
    </row>
    <row r="1538" spans="1:17">
      <c r="A1538" s="2" t="s">
        <v>482</v>
      </c>
      <c r="B1538" s="2" t="s">
        <v>482</v>
      </c>
      <c r="C1538" s="2" t="s">
        <v>357</v>
      </c>
      <c r="D1538" s="11">
        <v>45988.215277777781</v>
      </c>
      <c r="E1538" s="11">
        <v>45988.215277777781</v>
      </c>
      <c r="F1538" s="11">
        <v>45989.625</v>
      </c>
      <c r="G1538" s="12">
        <v>1.4097222222189885</v>
      </c>
      <c r="H1538" s="2" t="s">
        <v>260</v>
      </c>
      <c r="I1538" s="2" t="s">
        <v>261</v>
      </c>
      <c r="J1538" s="2" t="s">
        <v>262</v>
      </c>
      <c r="K1538" s="2" t="s">
        <v>263</v>
      </c>
      <c r="L1538" s="2" t="s">
        <v>2626</v>
      </c>
      <c r="M1538" t="s">
        <v>265</v>
      </c>
      <c r="N1538" t="s">
        <v>266</v>
      </c>
      <c r="O1538" t="s">
        <v>2627</v>
      </c>
      <c r="P1538" t="s">
        <v>2634</v>
      </c>
      <c r="Q1538" t="s">
        <v>1401</v>
      </c>
    </row>
    <row r="1539" spans="1:17">
      <c r="A1539" s="2" t="s">
        <v>482</v>
      </c>
      <c r="B1539" s="2" t="s">
        <v>482</v>
      </c>
      <c r="C1539" s="2" t="s">
        <v>358</v>
      </c>
      <c r="D1539" s="11">
        <v>45988.215277777781</v>
      </c>
      <c r="E1539" s="11">
        <v>45988.215277777781</v>
      </c>
      <c r="F1539" s="11">
        <v>45989.625</v>
      </c>
      <c r="G1539" s="12">
        <v>1.4097222222189885</v>
      </c>
      <c r="H1539" s="2" t="s">
        <v>260</v>
      </c>
      <c r="I1539" s="2" t="s">
        <v>261</v>
      </c>
      <c r="J1539" s="2" t="s">
        <v>262</v>
      </c>
      <c r="K1539" s="2" t="s">
        <v>263</v>
      </c>
      <c r="L1539" s="2" t="s">
        <v>2626</v>
      </c>
      <c r="M1539" t="s">
        <v>265</v>
      </c>
      <c r="N1539" t="s">
        <v>266</v>
      </c>
      <c r="O1539" t="s">
        <v>2627</v>
      </c>
      <c r="P1539" t="s">
        <v>2635</v>
      </c>
      <c r="Q1539" t="s">
        <v>1401</v>
      </c>
    </row>
    <row r="1540" spans="1:17">
      <c r="A1540" s="2" t="s">
        <v>482</v>
      </c>
      <c r="B1540" s="2" t="s">
        <v>482</v>
      </c>
      <c r="C1540" s="2" t="s">
        <v>359</v>
      </c>
      <c r="D1540" s="11">
        <v>45988.215277777781</v>
      </c>
      <c r="E1540" s="11">
        <v>45988.215277777781</v>
      </c>
      <c r="F1540" s="11">
        <v>45989.625</v>
      </c>
      <c r="G1540" s="12">
        <v>1.4097222222189885</v>
      </c>
      <c r="H1540" s="2" t="s">
        <v>260</v>
      </c>
      <c r="I1540" s="2" t="s">
        <v>261</v>
      </c>
      <c r="J1540" s="2" t="s">
        <v>262</v>
      </c>
      <c r="K1540" s="2" t="s">
        <v>263</v>
      </c>
      <c r="L1540" s="2" t="s">
        <v>2626</v>
      </c>
      <c r="M1540" t="s">
        <v>265</v>
      </c>
      <c r="N1540" t="s">
        <v>266</v>
      </c>
      <c r="O1540" t="s">
        <v>2627</v>
      </c>
      <c r="P1540" t="s">
        <v>2636</v>
      </c>
      <c r="Q1540" t="s">
        <v>1401</v>
      </c>
    </row>
    <row r="1541" spans="1:17">
      <c r="A1541" s="2" t="s">
        <v>483</v>
      </c>
      <c r="B1541" s="2" t="s">
        <v>483</v>
      </c>
      <c r="C1541" s="2" t="s">
        <v>328</v>
      </c>
      <c r="D1541" s="11">
        <v>45988.215277777781</v>
      </c>
      <c r="E1541" s="11">
        <v>45988.215277777781</v>
      </c>
      <c r="F1541" s="11">
        <v>45989.625</v>
      </c>
      <c r="G1541" s="12">
        <v>1.4097222222189885</v>
      </c>
      <c r="H1541" s="2" t="s">
        <v>260</v>
      </c>
      <c r="I1541" s="2" t="s">
        <v>261</v>
      </c>
      <c r="J1541" s="2" t="s">
        <v>262</v>
      </c>
      <c r="K1541" s="2" t="s">
        <v>263</v>
      </c>
      <c r="L1541" s="2" t="s">
        <v>2626</v>
      </c>
      <c r="M1541" t="s">
        <v>265</v>
      </c>
      <c r="N1541" t="s">
        <v>266</v>
      </c>
      <c r="O1541" t="s">
        <v>2627</v>
      </c>
      <c r="P1541" t="s">
        <v>2637</v>
      </c>
      <c r="Q1541" t="s">
        <v>1401</v>
      </c>
    </row>
    <row r="1542" spans="1:17">
      <c r="A1542" s="2" t="s">
        <v>483</v>
      </c>
      <c r="B1542" s="2" t="s">
        <v>483</v>
      </c>
      <c r="C1542" s="2" t="s">
        <v>357</v>
      </c>
      <c r="D1542" s="11">
        <v>45988.215277777781</v>
      </c>
      <c r="E1542" s="11">
        <v>45988.215277777781</v>
      </c>
      <c r="F1542" s="11">
        <v>45989.625</v>
      </c>
      <c r="G1542" s="12">
        <v>1.4097222222189885</v>
      </c>
      <c r="H1542" s="2" t="s">
        <v>260</v>
      </c>
      <c r="I1542" s="2" t="s">
        <v>261</v>
      </c>
      <c r="J1542" s="2" t="s">
        <v>262</v>
      </c>
      <c r="K1542" s="2" t="s">
        <v>263</v>
      </c>
      <c r="L1542" s="2" t="s">
        <v>2626</v>
      </c>
      <c r="M1542" t="s">
        <v>265</v>
      </c>
      <c r="N1542" t="s">
        <v>266</v>
      </c>
      <c r="O1542" t="s">
        <v>2627</v>
      </c>
      <c r="P1542" t="s">
        <v>2638</v>
      </c>
      <c r="Q1542" t="s">
        <v>1401</v>
      </c>
    </row>
    <row r="1543" spans="1:17">
      <c r="A1543" s="2" t="s">
        <v>483</v>
      </c>
      <c r="B1543" s="2" t="s">
        <v>483</v>
      </c>
      <c r="C1543" s="2" t="s">
        <v>358</v>
      </c>
      <c r="D1543" s="11">
        <v>45988.215277777781</v>
      </c>
      <c r="E1543" s="11">
        <v>45988.215277777781</v>
      </c>
      <c r="F1543" s="11">
        <v>45989.625</v>
      </c>
      <c r="G1543" s="12">
        <v>1.4097222222189885</v>
      </c>
      <c r="H1543" s="2" t="s">
        <v>260</v>
      </c>
      <c r="I1543" s="2" t="s">
        <v>261</v>
      </c>
      <c r="J1543" s="2" t="s">
        <v>262</v>
      </c>
      <c r="K1543" s="2" t="s">
        <v>263</v>
      </c>
      <c r="L1543" s="2" t="s">
        <v>2626</v>
      </c>
      <c r="M1543" t="s">
        <v>265</v>
      </c>
      <c r="N1543" t="s">
        <v>266</v>
      </c>
      <c r="O1543" t="s">
        <v>2627</v>
      </c>
      <c r="P1543" t="s">
        <v>2639</v>
      </c>
      <c r="Q1543" t="s">
        <v>1401</v>
      </c>
    </row>
    <row r="1544" spans="1:17">
      <c r="A1544" s="2" t="s">
        <v>483</v>
      </c>
      <c r="B1544" s="2" t="s">
        <v>483</v>
      </c>
      <c r="C1544" s="2" t="s">
        <v>359</v>
      </c>
      <c r="D1544" s="11">
        <v>45988.215277777781</v>
      </c>
      <c r="E1544" s="11">
        <v>45988.215277777781</v>
      </c>
      <c r="F1544" s="11">
        <v>45989.625</v>
      </c>
      <c r="G1544" s="12">
        <v>1.4097222222189885</v>
      </c>
      <c r="H1544" s="2" t="s">
        <v>260</v>
      </c>
      <c r="I1544" s="2" t="s">
        <v>261</v>
      </c>
      <c r="J1544" s="2" t="s">
        <v>262</v>
      </c>
      <c r="K1544" s="2" t="s">
        <v>263</v>
      </c>
      <c r="L1544" s="2" t="s">
        <v>2626</v>
      </c>
      <c r="M1544" t="s">
        <v>265</v>
      </c>
      <c r="N1544" t="s">
        <v>266</v>
      </c>
      <c r="O1544" t="s">
        <v>2627</v>
      </c>
      <c r="P1544" t="s">
        <v>2640</v>
      </c>
      <c r="Q1544" t="s">
        <v>1401</v>
      </c>
    </row>
    <row r="1545" spans="1:17">
      <c r="A1545" s="2" t="s">
        <v>484</v>
      </c>
      <c r="B1545" s="2" t="s">
        <v>484</v>
      </c>
      <c r="C1545" s="2" t="s">
        <v>354</v>
      </c>
      <c r="D1545" s="11">
        <v>45988.215277777781</v>
      </c>
      <c r="E1545" s="11">
        <v>45988.215277777781</v>
      </c>
      <c r="F1545" s="11">
        <v>45989.625</v>
      </c>
      <c r="G1545" s="12">
        <v>1.4097222222189885</v>
      </c>
      <c r="H1545" s="2" t="s">
        <v>260</v>
      </c>
      <c r="I1545" s="2" t="s">
        <v>261</v>
      </c>
      <c r="J1545" s="2" t="s">
        <v>262</v>
      </c>
      <c r="K1545" s="2" t="s">
        <v>263</v>
      </c>
      <c r="L1545" s="2" t="s">
        <v>2626</v>
      </c>
      <c r="M1545" t="s">
        <v>265</v>
      </c>
      <c r="N1545" t="s">
        <v>266</v>
      </c>
      <c r="O1545" t="s">
        <v>2627</v>
      </c>
      <c r="P1545" t="s">
        <v>2641</v>
      </c>
      <c r="Q1545" t="s">
        <v>1401</v>
      </c>
    </row>
    <row r="1546" spans="1:17">
      <c r="A1546" s="2" t="s">
        <v>484</v>
      </c>
      <c r="B1546" s="2" t="s">
        <v>484</v>
      </c>
      <c r="C1546" s="2" t="s">
        <v>357</v>
      </c>
      <c r="D1546" s="11">
        <v>45988.215277777781</v>
      </c>
      <c r="E1546" s="11">
        <v>45988.215277777781</v>
      </c>
      <c r="F1546" s="11">
        <v>45989.625</v>
      </c>
      <c r="G1546" s="12">
        <v>1.4097222222189885</v>
      </c>
      <c r="H1546" s="2" t="s">
        <v>260</v>
      </c>
      <c r="I1546" s="2" t="s">
        <v>261</v>
      </c>
      <c r="J1546" s="2" t="s">
        <v>262</v>
      </c>
      <c r="K1546" s="2" t="s">
        <v>263</v>
      </c>
      <c r="L1546" s="2" t="s">
        <v>2626</v>
      </c>
      <c r="M1546" t="s">
        <v>265</v>
      </c>
      <c r="N1546" t="s">
        <v>266</v>
      </c>
      <c r="O1546" t="s">
        <v>2627</v>
      </c>
      <c r="P1546" t="s">
        <v>2642</v>
      </c>
      <c r="Q1546" t="s">
        <v>1401</v>
      </c>
    </row>
    <row r="1547" spans="1:17">
      <c r="A1547" s="2" t="s">
        <v>484</v>
      </c>
      <c r="B1547" s="2" t="s">
        <v>484</v>
      </c>
      <c r="C1547" s="2" t="s">
        <v>358</v>
      </c>
      <c r="D1547" s="11">
        <v>45988.215277777781</v>
      </c>
      <c r="E1547" s="11">
        <v>45988.215277777781</v>
      </c>
      <c r="F1547" s="11">
        <v>45989.625</v>
      </c>
      <c r="G1547" s="12">
        <v>1.4097222222189885</v>
      </c>
      <c r="H1547" s="2" t="s">
        <v>260</v>
      </c>
      <c r="I1547" s="2" t="s">
        <v>261</v>
      </c>
      <c r="J1547" s="2" t="s">
        <v>262</v>
      </c>
      <c r="K1547" s="2" t="s">
        <v>263</v>
      </c>
      <c r="L1547" s="2" t="s">
        <v>2626</v>
      </c>
      <c r="M1547" t="s">
        <v>265</v>
      </c>
      <c r="N1547" t="s">
        <v>266</v>
      </c>
      <c r="O1547" t="s">
        <v>2627</v>
      </c>
      <c r="P1547" t="s">
        <v>2643</v>
      </c>
      <c r="Q1547" t="s">
        <v>1401</v>
      </c>
    </row>
    <row r="1548" spans="1:17">
      <c r="A1548" s="2" t="s">
        <v>484</v>
      </c>
      <c r="B1548" s="2" t="s">
        <v>484</v>
      </c>
      <c r="C1548" s="2" t="s">
        <v>359</v>
      </c>
      <c r="D1548" s="11">
        <v>45988.215277777781</v>
      </c>
      <c r="E1548" s="11">
        <v>45988.215277777781</v>
      </c>
      <c r="F1548" s="11">
        <v>45989.625</v>
      </c>
      <c r="G1548" s="12">
        <v>1.4097222222189885</v>
      </c>
      <c r="H1548" s="2" t="s">
        <v>260</v>
      </c>
      <c r="I1548" s="2" t="s">
        <v>261</v>
      </c>
      <c r="J1548" s="2" t="s">
        <v>262</v>
      </c>
      <c r="K1548" s="2" t="s">
        <v>263</v>
      </c>
      <c r="L1548" s="2" t="s">
        <v>2626</v>
      </c>
      <c r="M1548" t="s">
        <v>265</v>
      </c>
      <c r="N1548" t="s">
        <v>266</v>
      </c>
      <c r="O1548" t="s">
        <v>2627</v>
      </c>
      <c r="P1548" t="s">
        <v>2644</v>
      </c>
      <c r="Q1548" t="s">
        <v>1401</v>
      </c>
    </row>
    <row r="1549" spans="1:17">
      <c r="A1549" s="2" t="s">
        <v>485</v>
      </c>
      <c r="B1549" s="2" t="s">
        <v>485</v>
      </c>
      <c r="C1549" s="2" t="s">
        <v>354</v>
      </c>
      <c r="D1549" s="11">
        <v>45988.215277777781</v>
      </c>
      <c r="E1549" s="11">
        <v>45988.215277777781</v>
      </c>
      <c r="F1549" s="11">
        <v>45989.625</v>
      </c>
      <c r="G1549" s="12">
        <v>1.4097222222189885</v>
      </c>
      <c r="H1549" s="2" t="s">
        <v>260</v>
      </c>
      <c r="I1549" s="2" t="s">
        <v>261</v>
      </c>
      <c r="J1549" s="2" t="s">
        <v>262</v>
      </c>
      <c r="K1549" s="2" t="s">
        <v>263</v>
      </c>
      <c r="L1549" s="2" t="s">
        <v>2626</v>
      </c>
      <c r="M1549" t="s">
        <v>265</v>
      </c>
      <c r="N1549" t="s">
        <v>266</v>
      </c>
      <c r="O1549" t="s">
        <v>2627</v>
      </c>
      <c r="P1549" t="s">
        <v>2645</v>
      </c>
      <c r="Q1549" t="s">
        <v>1401</v>
      </c>
    </row>
    <row r="1550" spans="1:17">
      <c r="A1550" s="2" t="s">
        <v>485</v>
      </c>
      <c r="B1550" s="2" t="s">
        <v>485</v>
      </c>
      <c r="C1550" s="2" t="s">
        <v>357</v>
      </c>
      <c r="D1550" s="11">
        <v>45988.215277777781</v>
      </c>
      <c r="E1550" s="11">
        <v>45988.215277777781</v>
      </c>
      <c r="F1550" s="11">
        <v>45989.625</v>
      </c>
      <c r="G1550" s="12">
        <v>1.4097222222189885</v>
      </c>
      <c r="H1550" s="2" t="s">
        <v>260</v>
      </c>
      <c r="I1550" s="2" t="s">
        <v>261</v>
      </c>
      <c r="J1550" s="2" t="s">
        <v>262</v>
      </c>
      <c r="K1550" s="2" t="s">
        <v>263</v>
      </c>
      <c r="L1550" s="2" t="s">
        <v>2626</v>
      </c>
      <c r="M1550" t="s">
        <v>265</v>
      </c>
      <c r="N1550" t="s">
        <v>266</v>
      </c>
      <c r="O1550" t="s">
        <v>2627</v>
      </c>
      <c r="P1550" t="s">
        <v>2646</v>
      </c>
      <c r="Q1550" t="s">
        <v>1401</v>
      </c>
    </row>
    <row r="1551" spans="1:17">
      <c r="A1551" s="2" t="s">
        <v>485</v>
      </c>
      <c r="B1551" s="2" t="s">
        <v>485</v>
      </c>
      <c r="C1551" s="2" t="s">
        <v>358</v>
      </c>
      <c r="D1551" s="11">
        <v>45988.215277777781</v>
      </c>
      <c r="E1551" s="11">
        <v>45988.215277777781</v>
      </c>
      <c r="F1551" s="11">
        <v>45989.625</v>
      </c>
      <c r="G1551" s="12">
        <v>1.4097222222189885</v>
      </c>
      <c r="H1551" s="2" t="s">
        <v>260</v>
      </c>
      <c r="I1551" s="2" t="s">
        <v>261</v>
      </c>
      <c r="J1551" s="2" t="s">
        <v>262</v>
      </c>
      <c r="K1551" s="2" t="s">
        <v>263</v>
      </c>
      <c r="L1551" s="2" t="s">
        <v>2626</v>
      </c>
      <c r="M1551" t="s">
        <v>265</v>
      </c>
      <c r="N1551" t="s">
        <v>266</v>
      </c>
      <c r="O1551" t="s">
        <v>2627</v>
      </c>
      <c r="P1551" t="s">
        <v>2647</v>
      </c>
      <c r="Q1551" t="s">
        <v>1401</v>
      </c>
    </row>
    <row r="1552" spans="1:17">
      <c r="A1552" s="2" t="s">
        <v>485</v>
      </c>
      <c r="B1552" s="2" t="s">
        <v>485</v>
      </c>
      <c r="C1552" s="2" t="s">
        <v>328</v>
      </c>
      <c r="D1552" s="11">
        <v>45988.215277777781</v>
      </c>
      <c r="E1552" s="11">
        <v>45988.215277777781</v>
      </c>
      <c r="F1552" s="11">
        <v>45989.625</v>
      </c>
      <c r="G1552" s="12">
        <v>1.4097222222189885</v>
      </c>
      <c r="H1552" s="2" t="s">
        <v>260</v>
      </c>
      <c r="I1552" s="2" t="s">
        <v>261</v>
      </c>
      <c r="J1552" s="2" t="s">
        <v>262</v>
      </c>
      <c r="K1552" s="2" t="s">
        <v>263</v>
      </c>
      <c r="L1552" s="2" t="s">
        <v>2626</v>
      </c>
      <c r="M1552" t="s">
        <v>265</v>
      </c>
      <c r="N1552" t="s">
        <v>266</v>
      </c>
      <c r="O1552" t="s">
        <v>2627</v>
      </c>
      <c r="P1552" t="s">
        <v>2648</v>
      </c>
      <c r="Q1552" t="s">
        <v>1401</v>
      </c>
    </row>
    <row r="1553" spans="1:17">
      <c r="A1553" s="2" t="s">
        <v>702</v>
      </c>
      <c r="B1553" s="2" t="s">
        <v>702</v>
      </c>
      <c r="C1553" s="2" t="s">
        <v>354</v>
      </c>
      <c r="D1553" s="11">
        <v>45988.404166666667</v>
      </c>
      <c r="E1553" s="11">
        <v>45988.404166666667</v>
      </c>
      <c r="F1553" s="11">
        <v>45988.408333333333</v>
      </c>
      <c r="G1553" s="12">
        <v>4.166666665696539E-3</v>
      </c>
      <c r="H1553" s="2" t="s">
        <v>260</v>
      </c>
      <c r="I1553" s="2" t="s">
        <v>261</v>
      </c>
      <c r="J1553" s="2" t="s">
        <v>740</v>
      </c>
      <c r="K1553" s="2" t="s">
        <v>1376</v>
      </c>
      <c r="L1553" s="2" t="s">
        <v>390</v>
      </c>
      <c r="M1553" t="s">
        <v>391</v>
      </c>
      <c r="N1553" t="s">
        <v>266</v>
      </c>
      <c r="O1553" t="s">
        <v>741</v>
      </c>
      <c r="P1553" t="s">
        <v>2649</v>
      </c>
      <c r="Q1553" t="s">
        <v>1378</v>
      </c>
    </row>
    <row r="1554" spans="1:17">
      <c r="A1554" s="2" t="s">
        <v>702</v>
      </c>
      <c r="B1554" s="2" t="s">
        <v>702</v>
      </c>
      <c r="C1554" s="2" t="s">
        <v>357</v>
      </c>
      <c r="D1554" s="11">
        <v>45988.404166666667</v>
      </c>
      <c r="E1554" s="11">
        <v>45988.404166666667</v>
      </c>
      <c r="F1554" s="11">
        <v>45988.408333333333</v>
      </c>
      <c r="G1554" s="12">
        <v>4.166666665696539E-3</v>
      </c>
      <c r="H1554" s="2" t="s">
        <v>260</v>
      </c>
      <c r="I1554" s="2" t="s">
        <v>261</v>
      </c>
      <c r="J1554" s="2" t="s">
        <v>740</v>
      </c>
      <c r="K1554" s="2" t="s">
        <v>1376</v>
      </c>
      <c r="L1554" s="2" t="s">
        <v>390</v>
      </c>
      <c r="M1554" t="s">
        <v>391</v>
      </c>
      <c r="N1554" t="s">
        <v>266</v>
      </c>
      <c r="O1554" t="s">
        <v>741</v>
      </c>
      <c r="P1554" t="s">
        <v>2650</v>
      </c>
      <c r="Q1554" t="s">
        <v>1378</v>
      </c>
    </row>
    <row r="1555" spans="1:17">
      <c r="A1555" s="2" t="s">
        <v>702</v>
      </c>
      <c r="B1555" s="2" t="s">
        <v>702</v>
      </c>
      <c r="C1555" s="2" t="s">
        <v>705</v>
      </c>
      <c r="D1555" s="11">
        <v>45988.404166666667</v>
      </c>
      <c r="E1555" s="11">
        <v>45988.404166666667</v>
      </c>
      <c r="F1555" s="11">
        <v>45988.408333333333</v>
      </c>
      <c r="G1555" s="12">
        <v>4.166666665696539E-3</v>
      </c>
      <c r="H1555" s="2" t="s">
        <v>260</v>
      </c>
      <c r="I1555" s="2" t="s">
        <v>261</v>
      </c>
      <c r="J1555" s="2" t="s">
        <v>740</v>
      </c>
      <c r="K1555" s="2" t="s">
        <v>1376</v>
      </c>
      <c r="L1555" s="2" t="s">
        <v>390</v>
      </c>
      <c r="M1555" t="s">
        <v>391</v>
      </c>
      <c r="N1555" t="s">
        <v>266</v>
      </c>
      <c r="O1555" t="s">
        <v>741</v>
      </c>
      <c r="P1555" t="s">
        <v>2651</v>
      </c>
      <c r="Q1555" t="s">
        <v>1378</v>
      </c>
    </row>
    <row r="1556" spans="1:17">
      <c r="A1556" s="2" t="s">
        <v>702</v>
      </c>
      <c r="B1556" s="2" t="s">
        <v>702</v>
      </c>
      <c r="C1556" s="2" t="s">
        <v>706</v>
      </c>
      <c r="D1556" s="11">
        <v>45988.404166666667</v>
      </c>
      <c r="E1556" s="11">
        <v>45988.404166666667</v>
      </c>
      <c r="F1556" s="11">
        <v>45988.408333333333</v>
      </c>
      <c r="G1556" s="12">
        <v>4.166666665696539E-3</v>
      </c>
      <c r="H1556" s="2" t="s">
        <v>260</v>
      </c>
      <c r="I1556" s="2" t="s">
        <v>261</v>
      </c>
      <c r="J1556" s="2" t="s">
        <v>740</v>
      </c>
      <c r="K1556" s="2" t="s">
        <v>1376</v>
      </c>
      <c r="L1556" s="2" t="s">
        <v>390</v>
      </c>
      <c r="M1556" t="s">
        <v>391</v>
      </c>
      <c r="N1556" t="s">
        <v>266</v>
      </c>
      <c r="O1556" t="s">
        <v>741</v>
      </c>
      <c r="P1556" t="s">
        <v>2652</v>
      </c>
      <c r="Q1556" t="s">
        <v>1378</v>
      </c>
    </row>
    <row r="1557" spans="1:17">
      <c r="A1557" s="2" t="s">
        <v>702</v>
      </c>
      <c r="B1557" s="2" t="s">
        <v>702</v>
      </c>
      <c r="C1557" s="2" t="s">
        <v>386</v>
      </c>
      <c r="D1557" s="11">
        <v>45988.404166666667</v>
      </c>
      <c r="E1557" s="11">
        <v>45988.404166666667</v>
      </c>
      <c r="F1557" s="11">
        <v>45988.408333333333</v>
      </c>
      <c r="G1557" s="12">
        <v>4.166666665696539E-3</v>
      </c>
      <c r="H1557" s="2" t="s">
        <v>260</v>
      </c>
      <c r="I1557" s="2" t="s">
        <v>261</v>
      </c>
      <c r="J1557" s="2" t="s">
        <v>740</v>
      </c>
      <c r="K1557" s="2" t="s">
        <v>1376</v>
      </c>
      <c r="L1557" s="2" t="s">
        <v>390</v>
      </c>
      <c r="M1557" t="s">
        <v>391</v>
      </c>
      <c r="N1557" t="s">
        <v>266</v>
      </c>
      <c r="O1557" t="s">
        <v>741</v>
      </c>
      <c r="P1557" t="s">
        <v>2653</v>
      </c>
      <c r="Q1557" t="s">
        <v>1378</v>
      </c>
    </row>
    <row r="1558" spans="1:17">
      <c r="A1558" s="2" t="s">
        <v>707</v>
      </c>
      <c r="B1558" s="2" t="s">
        <v>707</v>
      </c>
      <c r="C1558" s="2" t="s">
        <v>708</v>
      </c>
      <c r="D1558" s="11">
        <v>45988.404166666667</v>
      </c>
      <c r="E1558" s="11">
        <v>45988.404166666667</v>
      </c>
      <c r="F1558" s="11">
        <v>45988.408333333333</v>
      </c>
      <c r="G1558" s="12">
        <v>4.166666665696539E-3</v>
      </c>
      <c r="H1558" s="2" t="s">
        <v>260</v>
      </c>
      <c r="I1558" s="2" t="s">
        <v>261</v>
      </c>
      <c r="J1558" s="2" t="s">
        <v>740</v>
      </c>
      <c r="K1558" s="2" t="s">
        <v>1376</v>
      </c>
      <c r="L1558" s="2" t="s">
        <v>390</v>
      </c>
      <c r="M1558" t="s">
        <v>391</v>
      </c>
      <c r="N1558" t="s">
        <v>266</v>
      </c>
      <c r="O1558" t="s">
        <v>741</v>
      </c>
      <c r="P1558" t="s">
        <v>2654</v>
      </c>
      <c r="Q1558" t="s">
        <v>1378</v>
      </c>
    </row>
    <row r="1559" spans="1:17">
      <c r="A1559" s="2" t="s">
        <v>707</v>
      </c>
      <c r="B1559" s="2" t="s">
        <v>707</v>
      </c>
      <c r="C1559" s="2" t="s">
        <v>709</v>
      </c>
      <c r="D1559" s="11">
        <v>45988.404166666667</v>
      </c>
      <c r="E1559" s="11">
        <v>45988.404166666667</v>
      </c>
      <c r="F1559" s="11">
        <v>45988.408333333333</v>
      </c>
      <c r="G1559" s="12">
        <v>4.166666665696539E-3</v>
      </c>
      <c r="H1559" s="2" t="s">
        <v>260</v>
      </c>
      <c r="I1559" s="2" t="s">
        <v>261</v>
      </c>
      <c r="J1559" s="2" t="s">
        <v>740</v>
      </c>
      <c r="K1559" s="2" t="s">
        <v>1376</v>
      </c>
      <c r="L1559" s="2" t="s">
        <v>390</v>
      </c>
      <c r="M1559" t="s">
        <v>391</v>
      </c>
      <c r="N1559" t="s">
        <v>266</v>
      </c>
      <c r="O1559" t="s">
        <v>741</v>
      </c>
      <c r="P1559" t="s">
        <v>2655</v>
      </c>
      <c r="Q1559" t="s">
        <v>1378</v>
      </c>
    </row>
    <row r="1560" spans="1:17">
      <c r="A1560" s="2" t="s">
        <v>707</v>
      </c>
      <c r="B1560" s="2" t="s">
        <v>707</v>
      </c>
      <c r="C1560" s="2" t="s">
        <v>710</v>
      </c>
      <c r="D1560" s="11">
        <v>45988.404166666667</v>
      </c>
      <c r="E1560" s="11">
        <v>45988.404166666667</v>
      </c>
      <c r="F1560" s="11">
        <v>45988.408333333333</v>
      </c>
      <c r="G1560" s="12">
        <v>4.166666665696539E-3</v>
      </c>
      <c r="H1560" s="2" t="s">
        <v>260</v>
      </c>
      <c r="I1560" s="2" t="s">
        <v>261</v>
      </c>
      <c r="J1560" s="2" t="s">
        <v>740</v>
      </c>
      <c r="K1560" s="2" t="s">
        <v>1376</v>
      </c>
      <c r="L1560" s="2" t="s">
        <v>390</v>
      </c>
      <c r="M1560" t="s">
        <v>391</v>
      </c>
      <c r="N1560" t="s">
        <v>266</v>
      </c>
      <c r="O1560" t="s">
        <v>741</v>
      </c>
      <c r="P1560" t="s">
        <v>2656</v>
      </c>
      <c r="Q1560" t="s">
        <v>1378</v>
      </c>
    </row>
    <row r="1561" spans="1:17">
      <c r="A1561" s="2" t="s">
        <v>459</v>
      </c>
      <c r="B1561" s="2" t="s">
        <v>459</v>
      </c>
      <c r="C1561" s="2" t="s">
        <v>460</v>
      </c>
      <c r="D1561" s="11">
        <v>45988.495138888888</v>
      </c>
      <c r="E1561" s="11">
        <v>45988.495138888888</v>
      </c>
      <c r="F1561" s="11">
        <v>45988.517361111109</v>
      </c>
      <c r="G1561" s="12">
        <v>2.2222222221898846E-2</v>
      </c>
      <c r="H1561" s="2" t="s">
        <v>248</v>
      </c>
      <c r="J1561" s="2" t="s">
        <v>249</v>
      </c>
      <c r="K1561" s="2" t="s">
        <v>349</v>
      </c>
      <c r="L1561" s="2" t="s">
        <v>2657</v>
      </c>
      <c r="M1561" t="s">
        <v>251</v>
      </c>
      <c r="N1561" t="s">
        <v>330</v>
      </c>
      <c r="O1561" t="s">
        <v>331</v>
      </c>
      <c r="P1561" t="s">
        <v>2658</v>
      </c>
      <c r="Q1561" t="s">
        <v>966</v>
      </c>
    </row>
    <row r="1562" spans="1:17">
      <c r="A1562" s="2" t="s">
        <v>459</v>
      </c>
      <c r="B1562" s="2" t="s">
        <v>459</v>
      </c>
      <c r="C1562" s="2" t="s">
        <v>463</v>
      </c>
      <c r="D1562" s="11">
        <v>45988.495138888888</v>
      </c>
      <c r="E1562" s="11">
        <v>45988.495138888888</v>
      </c>
      <c r="F1562" s="11">
        <v>45988.517361111109</v>
      </c>
      <c r="G1562" s="12">
        <v>2.2222222221898846E-2</v>
      </c>
      <c r="H1562" s="2" t="s">
        <v>248</v>
      </c>
      <c r="J1562" s="2" t="s">
        <v>249</v>
      </c>
      <c r="K1562" s="2" t="s">
        <v>349</v>
      </c>
      <c r="L1562" s="2" t="s">
        <v>2657</v>
      </c>
      <c r="M1562" t="s">
        <v>251</v>
      </c>
      <c r="N1562" t="s">
        <v>330</v>
      </c>
      <c r="O1562" t="s">
        <v>331</v>
      </c>
      <c r="P1562" t="s">
        <v>2659</v>
      </c>
      <c r="Q1562" t="s">
        <v>966</v>
      </c>
    </row>
    <row r="1563" spans="1:17">
      <c r="A1563" s="2" t="s">
        <v>459</v>
      </c>
      <c r="B1563" s="2" t="s">
        <v>459</v>
      </c>
      <c r="C1563" s="2" t="s">
        <v>464</v>
      </c>
      <c r="D1563" s="11">
        <v>45988.495138888888</v>
      </c>
      <c r="E1563" s="11">
        <v>45988.495138888888</v>
      </c>
      <c r="F1563" s="11">
        <v>45988.517361111109</v>
      </c>
      <c r="G1563" s="12">
        <v>2.2222222221898846E-2</v>
      </c>
      <c r="H1563" s="2" t="s">
        <v>248</v>
      </c>
      <c r="J1563" s="2" t="s">
        <v>249</v>
      </c>
      <c r="K1563" s="2" t="s">
        <v>349</v>
      </c>
      <c r="L1563" s="2" t="s">
        <v>2657</v>
      </c>
      <c r="M1563" t="s">
        <v>251</v>
      </c>
      <c r="N1563" t="s">
        <v>330</v>
      </c>
      <c r="O1563" t="s">
        <v>331</v>
      </c>
      <c r="P1563" t="s">
        <v>2660</v>
      </c>
      <c r="Q1563" t="s">
        <v>966</v>
      </c>
    </row>
    <row r="1564" spans="1:17">
      <c r="A1564" s="2" t="s">
        <v>459</v>
      </c>
      <c r="B1564" s="2" t="s">
        <v>459</v>
      </c>
      <c r="C1564" s="2" t="s">
        <v>465</v>
      </c>
      <c r="D1564" s="11">
        <v>45988.495138888888</v>
      </c>
      <c r="E1564" s="11">
        <v>45988.495138888888</v>
      </c>
      <c r="F1564" s="11">
        <v>45988.517361111109</v>
      </c>
      <c r="G1564" s="12">
        <v>2.2222222221898846E-2</v>
      </c>
      <c r="H1564" s="2" t="s">
        <v>248</v>
      </c>
      <c r="J1564" s="2" t="s">
        <v>249</v>
      </c>
      <c r="K1564" s="2" t="s">
        <v>349</v>
      </c>
      <c r="L1564" s="2" t="s">
        <v>2657</v>
      </c>
      <c r="M1564" t="s">
        <v>251</v>
      </c>
      <c r="N1564" t="s">
        <v>330</v>
      </c>
      <c r="O1564" t="s">
        <v>331</v>
      </c>
      <c r="P1564" t="s">
        <v>2661</v>
      </c>
      <c r="Q1564" t="s">
        <v>966</v>
      </c>
    </row>
    <row r="1565" spans="1:17">
      <c r="A1565" s="2" t="s">
        <v>459</v>
      </c>
      <c r="B1565" s="2" t="s">
        <v>459</v>
      </c>
      <c r="C1565" s="2" t="s">
        <v>466</v>
      </c>
      <c r="D1565" s="11">
        <v>45988.495138888888</v>
      </c>
      <c r="E1565" s="11">
        <v>45988.495138888888</v>
      </c>
      <c r="F1565" s="11">
        <v>45988.517361111109</v>
      </c>
      <c r="G1565" s="12">
        <v>2.2222222221898846E-2</v>
      </c>
      <c r="H1565" s="2" t="s">
        <v>248</v>
      </c>
      <c r="J1565" s="2" t="s">
        <v>249</v>
      </c>
      <c r="K1565" s="2" t="s">
        <v>349</v>
      </c>
      <c r="L1565" s="2" t="s">
        <v>2657</v>
      </c>
      <c r="M1565" t="s">
        <v>251</v>
      </c>
      <c r="N1565" t="s">
        <v>330</v>
      </c>
      <c r="O1565" t="s">
        <v>331</v>
      </c>
      <c r="P1565" t="s">
        <v>2662</v>
      </c>
      <c r="Q1565" t="s">
        <v>966</v>
      </c>
    </row>
    <row r="1566" spans="1:17">
      <c r="A1566" s="2" t="s">
        <v>353</v>
      </c>
      <c r="B1566" s="2" t="s">
        <v>353</v>
      </c>
      <c r="C1566" s="2" t="s">
        <v>354</v>
      </c>
      <c r="D1566" s="11">
        <v>45988.652777777781</v>
      </c>
      <c r="E1566" s="11">
        <v>45988.652777777781</v>
      </c>
      <c r="F1566" s="11">
        <v>45988.682638888888</v>
      </c>
      <c r="G1566" s="12">
        <v>2.9861111106583849E-2</v>
      </c>
      <c r="H1566" s="2" t="s">
        <v>248</v>
      </c>
      <c r="J1566" s="2" t="s">
        <v>249</v>
      </c>
      <c r="K1566" s="2" t="s">
        <v>349</v>
      </c>
      <c r="L1566" s="2" t="s">
        <v>2657</v>
      </c>
      <c r="M1566" t="s">
        <v>736</v>
      </c>
      <c r="N1566" t="s">
        <v>330</v>
      </c>
      <c r="O1566" t="s">
        <v>331</v>
      </c>
      <c r="P1566" t="s">
        <v>2663</v>
      </c>
      <c r="Q1566" t="s">
        <v>966</v>
      </c>
    </row>
    <row r="1567" spans="1:17">
      <c r="A1567" s="2" t="s">
        <v>353</v>
      </c>
      <c r="B1567" s="2" t="s">
        <v>353</v>
      </c>
      <c r="C1567" s="2" t="s">
        <v>357</v>
      </c>
      <c r="D1567" s="11">
        <v>45988.652777777781</v>
      </c>
      <c r="E1567" s="11">
        <v>45988.652777777781</v>
      </c>
      <c r="F1567" s="11">
        <v>45988.682638888888</v>
      </c>
      <c r="G1567" s="12">
        <v>2.9861111106583849E-2</v>
      </c>
      <c r="H1567" s="2" t="s">
        <v>248</v>
      </c>
      <c r="J1567" s="2" t="s">
        <v>249</v>
      </c>
      <c r="K1567" s="2" t="s">
        <v>349</v>
      </c>
      <c r="L1567" s="2" t="s">
        <v>2657</v>
      </c>
      <c r="M1567" t="s">
        <v>736</v>
      </c>
      <c r="N1567" t="s">
        <v>330</v>
      </c>
      <c r="O1567" t="s">
        <v>331</v>
      </c>
      <c r="P1567" t="s">
        <v>2664</v>
      </c>
      <c r="Q1567" t="s">
        <v>966</v>
      </c>
    </row>
    <row r="1568" spans="1:17">
      <c r="A1568" s="2" t="s">
        <v>353</v>
      </c>
      <c r="B1568" s="2" t="s">
        <v>353</v>
      </c>
      <c r="C1568" s="2" t="s">
        <v>358</v>
      </c>
      <c r="D1568" s="11">
        <v>45988.652777777781</v>
      </c>
      <c r="E1568" s="11">
        <v>45988.652777777781</v>
      </c>
      <c r="F1568" s="11">
        <v>45988.682638888888</v>
      </c>
      <c r="G1568" s="12">
        <v>2.9861111106583849E-2</v>
      </c>
      <c r="H1568" s="2" t="s">
        <v>248</v>
      </c>
      <c r="J1568" s="2" t="s">
        <v>249</v>
      </c>
      <c r="K1568" s="2" t="s">
        <v>349</v>
      </c>
      <c r="L1568" s="2" t="s">
        <v>2657</v>
      </c>
      <c r="M1568" t="s">
        <v>736</v>
      </c>
      <c r="N1568" t="s">
        <v>330</v>
      </c>
      <c r="O1568" t="s">
        <v>331</v>
      </c>
      <c r="P1568" t="s">
        <v>2665</v>
      </c>
      <c r="Q1568" t="s">
        <v>966</v>
      </c>
    </row>
    <row r="1569" spans="1:17">
      <c r="A1569" s="2" t="s">
        <v>353</v>
      </c>
      <c r="B1569" s="2" t="s">
        <v>353</v>
      </c>
      <c r="C1569" s="2" t="s">
        <v>359</v>
      </c>
      <c r="D1569" s="11">
        <v>45988.652777777781</v>
      </c>
      <c r="E1569" s="11">
        <v>45988.652777777781</v>
      </c>
      <c r="F1569" s="11">
        <v>45988.682638888888</v>
      </c>
      <c r="G1569" s="12">
        <v>2.9861111106583849E-2</v>
      </c>
      <c r="H1569" s="2" t="s">
        <v>248</v>
      </c>
      <c r="J1569" s="2" t="s">
        <v>249</v>
      </c>
      <c r="K1569" s="2" t="s">
        <v>349</v>
      </c>
      <c r="L1569" s="2" t="s">
        <v>2657</v>
      </c>
      <c r="M1569" t="s">
        <v>736</v>
      </c>
      <c r="N1569" t="s">
        <v>330</v>
      </c>
      <c r="O1569" t="s">
        <v>331</v>
      </c>
      <c r="P1569" t="s">
        <v>2666</v>
      </c>
      <c r="Q1569" t="s">
        <v>966</v>
      </c>
    </row>
    <row r="1570" spans="1:17">
      <c r="A1570" s="2" t="s">
        <v>360</v>
      </c>
      <c r="B1570" s="2" t="s">
        <v>360</v>
      </c>
      <c r="C1570" s="2" t="s">
        <v>354</v>
      </c>
      <c r="D1570" s="11">
        <v>45988.652777777781</v>
      </c>
      <c r="E1570" s="11">
        <v>45988.652777777781</v>
      </c>
      <c r="F1570" s="11">
        <v>45988.682638888888</v>
      </c>
      <c r="G1570" s="12">
        <v>2.9861111106583849E-2</v>
      </c>
      <c r="H1570" s="2" t="s">
        <v>248</v>
      </c>
      <c r="J1570" s="2" t="s">
        <v>249</v>
      </c>
      <c r="K1570" s="2" t="s">
        <v>349</v>
      </c>
      <c r="L1570" s="2" t="s">
        <v>2657</v>
      </c>
      <c r="M1570" t="s">
        <v>736</v>
      </c>
      <c r="N1570" t="s">
        <v>330</v>
      </c>
      <c r="O1570" t="s">
        <v>331</v>
      </c>
      <c r="P1570" t="s">
        <v>2667</v>
      </c>
      <c r="Q1570" t="s">
        <v>966</v>
      </c>
    </row>
    <row r="1571" spans="1:17">
      <c r="A1571" s="2" t="s">
        <v>360</v>
      </c>
      <c r="B1571" s="2" t="s">
        <v>360</v>
      </c>
      <c r="C1571" s="2" t="s">
        <v>357</v>
      </c>
      <c r="D1571" s="11">
        <v>45988.652777777781</v>
      </c>
      <c r="E1571" s="11">
        <v>45988.652777777781</v>
      </c>
      <c r="F1571" s="11">
        <v>45988.682638888888</v>
      </c>
      <c r="G1571" s="12">
        <v>2.9861111106583849E-2</v>
      </c>
      <c r="H1571" s="2" t="s">
        <v>248</v>
      </c>
      <c r="J1571" s="2" t="s">
        <v>249</v>
      </c>
      <c r="K1571" s="2" t="s">
        <v>349</v>
      </c>
      <c r="L1571" s="2" t="s">
        <v>2657</v>
      </c>
      <c r="M1571" t="s">
        <v>736</v>
      </c>
      <c r="N1571" t="s">
        <v>330</v>
      </c>
      <c r="O1571" t="s">
        <v>331</v>
      </c>
      <c r="P1571" t="s">
        <v>2668</v>
      </c>
      <c r="Q1571" t="s">
        <v>966</v>
      </c>
    </row>
    <row r="1572" spans="1:17">
      <c r="A1572" s="2" t="s">
        <v>360</v>
      </c>
      <c r="B1572" s="2" t="s">
        <v>360</v>
      </c>
      <c r="C1572" s="2" t="s">
        <v>358</v>
      </c>
      <c r="D1572" s="11">
        <v>45988.652777777781</v>
      </c>
      <c r="E1572" s="11">
        <v>45988.652777777781</v>
      </c>
      <c r="F1572" s="11">
        <v>45988.682638888888</v>
      </c>
      <c r="G1572" s="12">
        <v>2.9861111106583849E-2</v>
      </c>
      <c r="H1572" s="2" t="s">
        <v>248</v>
      </c>
      <c r="J1572" s="2" t="s">
        <v>249</v>
      </c>
      <c r="K1572" s="2" t="s">
        <v>349</v>
      </c>
      <c r="L1572" s="2" t="s">
        <v>2657</v>
      </c>
      <c r="M1572" t="s">
        <v>736</v>
      </c>
      <c r="N1572" t="s">
        <v>330</v>
      </c>
      <c r="O1572" t="s">
        <v>331</v>
      </c>
      <c r="P1572" t="s">
        <v>2669</v>
      </c>
      <c r="Q1572" t="s">
        <v>966</v>
      </c>
    </row>
    <row r="1573" spans="1:17">
      <c r="A1573" s="2" t="s">
        <v>360</v>
      </c>
      <c r="B1573" s="2" t="s">
        <v>360</v>
      </c>
      <c r="C1573" s="2" t="s">
        <v>359</v>
      </c>
      <c r="D1573" s="11">
        <v>45988.652777777781</v>
      </c>
      <c r="E1573" s="11">
        <v>45988.652777777781</v>
      </c>
      <c r="F1573" s="11">
        <v>45988.682638888888</v>
      </c>
      <c r="G1573" s="12">
        <v>2.9861111106583849E-2</v>
      </c>
      <c r="H1573" s="2" t="s">
        <v>248</v>
      </c>
      <c r="J1573" s="2" t="s">
        <v>249</v>
      </c>
      <c r="K1573" s="2" t="s">
        <v>349</v>
      </c>
      <c r="L1573" s="2" t="s">
        <v>2657</v>
      </c>
      <c r="M1573" t="s">
        <v>736</v>
      </c>
      <c r="N1573" t="s">
        <v>330</v>
      </c>
      <c r="O1573" t="s">
        <v>331</v>
      </c>
      <c r="P1573" t="s">
        <v>2670</v>
      </c>
      <c r="Q1573" t="s">
        <v>966</v>
      </c>
    </row>
    <row r="1574" spans="1:17">
      <c r="A1574" s="2" t="s">
        <v>361</v>
      </c>
      <c r="B1574" s="2" t="s">
        <v>361</v>
      </c>
      <c r="C1574" s="2" t="s">
        <v>362</v>
      </c>
      <c r="D1574" s="11">
        <v>45988.652777777781</v>
      </c>
      <c r="E1574" s="11">
        <v>45988.652777777781</v>
      </c>
      <c r="F1574" s="11">
        <v>45988.682638888888</v>
      </c>
      <c r="G1574" s="12">
        <v>2.9861111106583849E-2</v>
      </c>
      <c r="H1574" s="2" t="s">
        <v>248</v>
      </c>
      <c r="J1574" s="2" t="s">
        <v>249</v>
      </c>
      <c r="K1574" s="2" t="s">
        <v>349</v>
      </c>
      <c r="L1574" s="2" t="s">
        <v>2657</v>
      </c>
      <c r="M1574" t="s">
        <v>736</v>
      </c>
      <c r="N1574" t="s">
        <v>330</v>
      </c>
      <c r="O1574" t="s">
        <v>331</v>
      </c>
      <c r="P1574" t="s">
        <v>2671</v>
      </c>
      <c r="Q1574" t="s">
        <v>966</v>
      </c>
    </row>
    <row r="1575" spans="1:17">
      <c r="A1575" s="2" t="s">
        <v>361</v>
      </c>
      <c r="B1575" s="2" t="s">
        <v>361</v>
      </c>
      <c r="C1575" s="2" t="s">
        <v>328</v>
      </c>
      <c r="D1575" s="11">
        <v>45988.652777777781</v>
      </c>
      <c r="E1575" s="11">
        <v>45988.652777777781</v>
      </c>
      <c r="F1575" s="11">
        <v>45988.682638888888</v>
      </c>
      <c r="G1575" s="12">
        <v>2.9861111106583849E-2</v>
      </c>
      <c r="H1575" s="2" t="s">
        <v>248</v>
      </c>
      <c r="J1575" s="2" t="s">
        <v>249</v>
      </c>
      <c r="K1575" s="2" t="s">
        <v>349</v>
      </c>
      <c r="L1575" s="2" t="s">
        <v>2657</v>
      </c>
      <c r="M1575" t="s">
        <v>736</v>
      </c>
      <c r="N1575" t="s">
        <v>330</v>
      </c>
      <c r="O1575" t="s">
        <v>331</v>
      </c>
      <c r="P1575" t="s">
        <v>2672</v>
      </c>
      <c r="Q1575" t="s">
        <v>966</v>
      </c>
    </row>
    <row r="1576" spans="1:17">
      <c r="A1576" s="2" t="s">
        <v>363</v>
      </c>
      <c r="B1576" s="2" t="s">
        <v>363</v>
      </c>
      <c r="C1576" s="2" t="s">
        <v>357</v>
      </c>
      <c r="D1576" s="11">
        <v>45988.652777777781</v>
      </c>
      <c r="E1576" s="11">
        <v>45988.652777777781</v>
      </c>
      <c r="F1576" s="11">
        <v>45988.682638888888</v>
      </c>
      <c r="G1576" s="12">
        <v>2.9861111106583849E-2</v>
      </c>
      <c r="H1576" s="2" t="s">
        <v>248</v>
      </c>
      <c r="J1576" s="2" t="s">
        <v>249</v>
      </c>
      <c r="K1576" s="2" t="s">
        <v>349</v>
      </c>
      <c r="L1576" s="2" t="s">
        <v>2657</v>
      </c>
      <c r="M1576" t="s">
        <v>736</v>
      </c>
      <c r="N1576" t="s">
        <v>330</v>
      </c>
      <c r="O1576" t="s">
        <v>331</v>
      </c>
      <c r="P1576" t="s">
        <v>2673</v>
      </c>
      <c r="Q1576" t="s">
        <v>966</v>
      </c>
    </row>
    <row r="1577" spans="1:17">
      <c r="A1577" s="2" t="s">
        <v>363</v>
      </c>
      <c r="B1577" s="2" t="s">
        <v>363</v>
      </c>
      <c r="C1577" s="2" t="s">
        <v>354</v>
      </c>
      <c r="D1577" s="11">
        <v>45988.652777777781</v>
      </c>
      <c r="E1577" s="11">
        <v>45988.652777777781</v>
      </c>
      <c r="F1577" s="11">
        <v>45988.682638888888</v>
      </c>
      <c r="G1577" s="12">
        <v>2.9861111106583849E-2</v>
      </c>
      <c r="H1577" s="2" t="s">
        <v>248</v>
      </c>
      <c r="J1577" s="2" t="s">
        <v>249</v>
      </c>
      <c r="K1577" s="2" t="s">
        <v>349</v>
      </c>
      <c r="L1577" s="2" t="s">
        <v>2657</v>
      </c>
      <c r="M1577" t="s">
        <v>736</v>
      </c>
      <c r="N1577" t="s">
        <v>330</v>
      </c>
      <c r="O1577" t="s">
        <v>331</v>
      </c>
      <c r="P1577" t="s">
        <v>2674</v>
      </c>
      <c r="Q1577" t="s">
        <v>966</v>
      </c>
    </row>
    <row r="1578" spans="1:17">
      <c r="A1578" s="2" t="s">
        <v>363</v>
      </c>
      <c r="B1578" s="2" t="s">
        <v>363</v>
      </c>
      <c r="C1578" s="2" t="s">
        <v>359</v>
      </c>
      <c r="D1578" s="11">
        <v>45988.652777777781</v>
      </c>
      <c r="E1578" s="11">
        <v>45988.652777777781</v>
      </c>
      <c r="F1578" s="11">
        <v>45988.682638888888</v>
      </c>
      <c r="G1578" s="12">
        <v>2.9861111106583849E-2</v>
      </c>
      <c r="H1578" s="2" t="s">
        <v>248</v>
      </c>
      <c r="J1578" s="2" t="s">
        <v>249</v>
      </c>
      <c r="K1578" s="2" t="s">
        <v>349</v>
      </c>
      <c r="L1578" s="2" t="s">
        <v>2657</v>
      </c>
      <c r="M1578" t="s">
        <v>736</v>
      </c>
      <c r="N1578" t="s">
        <v>330</v>
      </c>
      <c r="O1578" t="s">
        <v>331</v>
      </c>
      <c r="P1578" t="s">
        <v>2675</v>
      </c>
      <c r="Q1578" t="s">
        <v>966</v>
      </c>
    </row>
    <row r="1579" spans="1:17">
      <c r="A1579" s="2" t="s">
        <v>363</v>
      </c>
      <c r="B1579" s="2" t="s">
        <v>363</v>
      </c>
      <c r="C1579" s="2" t="s">
        <v>358</v>
      </c>
      <c r="D1579" s="11">
        <v>45988.652777777781</v>
      </c>
      <c r="E1579" s="11">
        <v>45988.652777777781</v>
      </c>
      <c r="F1579" s="11">
        <v>45988.682638888888</v>
      </c>
      <c r="G1579" s="12">
        <v>2.9861111106583849E-2</v>
      </c>
      <c r="H1579" s="2" t="s">
        <v>248</v>
      </c>
      <c r="J1579" s="2" t="s">
        <v>249</v>
      </c>
      <c r="K1579" s="2" t="s">
        <v>349</v>
      </c>
      <c r="L1579" s="2" t="s">
        <v>2657</v>
      </c>
      <c r="M1579" t="s">
        <v>736</v>
      </c>
      <c r="N1579" t="s">
        <v>330</v>
      </c>
      <c r="O1579" t="s">
        <v>331</v>
      </c>
      <c r="P1579" t="s">
        <v>2676</v>
      </c>
      <c r="Q1579" t="s">
        <v>966</v>
      </c>
    </row>
    <row r="1580" spans="1:17">
      <c r="A1580" s="2" t="s">
        <v>369</v>
      </c>
      <c r="B1580" s="2" t="s">
        <v>369</v>
      </c>
      <c r="C1580" s="2" t="s">
        <v>359</v>
      </c>
      <c r="D1580" s="11">
        <v>45988.652777777781</v>
      </c>
      <c r="E1580" s="11">
        <v>45988.652777777781</v>
      </c>
      <c r="F1580" s="11">
        <v>45988.682638888888</v>
      </c>
      <c r="G1580" s="12">
        <v>2.9861111106583849E-2</v>
      </c>
      <c r="H1580" s="2" t="s">
        <v>248</v>
      </c>
      <c r="J1580" s="2" t="s">
        <v>249</v>
      </c>
      <c r="K1580" s="2" t="s">
        <v>349</v>
      </c>
      <c r="L1580" s="2" t="s">
        <v>2657</v>
      </c>
      <c r="M1580" t="s">
        <v>736</v>
      </c>
      <c r="N1580" t="s">
        <v>330</v>
      </c>
      <c r="O1580" t="s">
        <v>331</v>
      </c>
      <c r="P1580" t="s">
        <v>2677</v>
      </c>
      <c r="Q1580" t="s">
        <v>966</v>
      </c>
    </row>
    <row r="1581" spans="1:17">
      <c r="A1581" s="2" t="s">
        <v>369</v>
      </c>
      <c r="B1581" s="2" t="s">
        <v>369</v>
      </c>
      <c r="C1581" s="2" t="s">
        <v>357</v>
      </c>
      <c r="D1581" s="11">
        <v>45988.652777777781</v>
      </c>
      <c r="E1581" s="11">
        <v>45988.652777777781</v>
      </c>
      <c r="F1581" s="11">
        <v>45988.682638888888</v>
      </c>
      <c r="G1581" s="12">
        <v>2.9861111106583849E-2</v>
      </c>
      <c r="H1581" s="2" t="s">
        <v>248</v>
      </c>
      <c r="J1581" s="2" t="s">
        <v>249</v>
      </c>
      <c r="K1581" s="2" t="s">
        <v>349</v>
      </c>
      <c r="L1581" s="2" t="s">
        <v>2657</v>
      </c>
      <c r="M1581" t="s">
        <v>736</v>
      </c>
      <c r="N1581" t="s">
        <v>330</v>
      </c>
      <c r="O1581" t="s">
        <v>331</v>
      </c>
      <c r="P1581" t="s">
        <v>2678</v>
      </c>
      <c r="Q1581" t="s">
        <v>966</v>
      </c>
    </row>
    <row r="1582" spans="1:17">
      <c r="A1582" s="2" t="s">
        <v>369</v>
      </c>
      <c r="B1582" s="2" t="s">
        <v>369</v>
      </c>
      <c r="C1582" s="2" t="s">
        <v>358</v>
      </c>
      <c r="D1582" s="11">
        <v>45988.652777777781</v>
      </c>
      <c r="E1582" s="11">
        <v>45988.652777777781</v>
      </c>
      <c r="F1582" s="11">
        <v>45988.682638888888</v>
      </c>
      <c r="G1582" s="12">
        <v>2.9861111106583849E-2</v>
      </c>
      <c r="H1582" s="2" t="s">
        <v>248</v>
      </c>
      <c r="J1582" s="2" t="s">
        <v>249</v>
      </c>
      <c r="K1582" s="2" t="s">
        <v>349</v>
      </c>
      <c r="L1582" s="2" t="s">
        <v>2657</v>
      </c>
      <c r="M1582" t="s">
        <v>736</v>
      </c>
      <c r="N1582" t="s">
        <v>330</v>
      </c>
      <c r="O1582" t="s">
        <v>331</v>
      </c>
      <c r="P1582" t="s">
        <v>2679</v>
      </c>
      <c r="Q1582" t="s">
        <v>966</v>
      </c>
    </row>
    <row r="1583" spans="1:17">
      <c r="A1583" s="2" t="s">
        <v>369</v>
      </c>
      <c r="B1583" s="2" t="s">
        <v>369</v>
      </c>
      <c r="C1583" s="2" t="s">
        <v>354</v>
      </c>
      <c r="D1583" s="11">
        <v>45988.652777777781</v>
      </c>
      <c r="E1583" s="11">
        <v>45988.652777777781</v>
      </c>
      <c r="F1583" s="11">
        <v>45988.682638888888</v>
      </c>
      <c r="G1583" s="12">
        <v>2.9861111106583849E-2</v>
      </c>
      <c r="H1583" s="2" t="s">
        <v>248</v>
      </c>
      <c r="J1583" s="2" t="s">
        <v>249</v>
      </c>
      <c r="K1583" s="2" t="s">
        <v>349</v>
      </c>
      <c r="L1583" s="2" t="s">
        <v>2657</v>
      </c>
      <c r="M1583" t="s">
        <v>736</v>
      </c>
      <c r="N1583" t="s">
        <v>330</v>
      </c>
      <c r="O1583" t="s">
        <v>331</v>
      </c>
      <c r="P1583" t="s">
        <v>2680</v>
      </c>
      <c r="Q1583" t="s">
        <v>966</v>
      </c>
    </row>
    <row r="1584" spans="1:17">
      <c r="A1584" s="2" t="s">
        <v>370</v>
      </c>
      <c r="B1584" s="2" t="s">
        <v>370</v>
      </c>
      <c r="C1584" s="2" t="s">
        <v>354</v>
      </c>
      <c r="D1584" s="11">
        <v>45988.652777777781</v>
      </c>
      <c r="E1584" s="11">
        <v>45988.652777777781</v>
      </c>
      <c r="F1584" s="11">
        <v>45988.682638888888</v>
      </c>
      <c r="G1584" s="12">
        <v>2.9861111106583849E-2</v>
      </c>
      <c r="H1584" s="2" t="s">
        <v>248</v>
      </c>
      <c r="J1584" s="2" t="s">
        <v>249</v>
      </c>
      <c r="K1584" s="2" t="s">
        <v>349</v>
      </c>
      <c r="L1584" s="2" t="s">
        <v>2657</v>
      </c>
      <c r="M1584" t="s">
        <v>736</v>
      </c>
      <c r="N1584" t="s">
        <v>330</v>
      </c>
      <c r="O1584" t="s">
        <v>331</v>
      </c>
      <c r="P1584" t="s">
        <v>2681</v>
      </c>
      <c r="Q1584" t="s">
        <v>966</v>
      </c>
    </row>
    <row r="1585" spans="1:17">
      <c r="A1585" s="2" t="s">
        <v>370</v>
      </c>
      <c r="B1585" s="2" t="s">
        <v>370</v>
      </c>
      <c r="C1585" s="2" t="s">
        <v>357</v>
      </c>
      <c r="D1585" s="11">
        <v>45988.652777777781</v>
      </c>
      <c r="E1585" s="11">
        <v>45988.652777777781</v>
      </c>
      <c r="F1585" s="11">
        <v>45988.682638888888</v>
      </c>
      <c r="G1585" s="12">
        <v>2.9861111106583849E-2</v>
      </c>
      <c r="H1585" s="2" t="s">
        <v>248</v>
      </c>
      <c r="J1585" s="2" t="s">
        <v>249</v>
      </c>
      <c r="K1585" s="2" t="s">
        <v>349</v>
      </c>
      <c r="L1585" s="2" t="s">
        <v>2657</v>
      </c>
      <c r="M1585" t="s">
        <v>736</v>
      </c>
      <c r="N1585" t="s">
        <v>330</v>
      </c>
      <c r="O1585" t="s">
        <v>331</v>
      </c>
      <c r="P1585" t="s">
        <v>2682</v>
      </c>
      <c r="Q1585" t="s">
        <v>966</v>
      </c>
    </row>
    <row r="1586" spans="1:17">
      <c r="A1586" s="2" t="s">
        <v>353</v>
      </c>
      <c r="B1586" s="2" t="s">
        <v>353</v>
      </c>
      <c r="C1586" s="2" t="s">
        <v>354</v>
      </c>
      <c r="D1586" s="11">
        <v>45989.649305555555</v>
      </c>
      <c r="E1586" s="11">
        <v>45989.649305555555</v>
      </c>
      <c r="F1586" s="11">
        <v>45989.679166666669</v>
      </c>
      <c r="G1586" s="12">
        <v>2.9861111113859806E-2</v>
      </c>
      <c r="H1586" s="2" t="s">
        <v>248</v>
      </c>
      <c r="J1586" s="2" t="s">
        <v>249</v>
      </c>
      <c r="K1586" s="2" t="s">
        <v>349</v>
      </c>
      <c r="L1586" s="2" t="s">
        <v>2683</v>
      </c>
      <c r="M1586" t="s">
        <v>736</v>
      </c>
      <c r="N1586" t="s">
        <v>330</v>
      </c>
      <c r="O1586" t="s">
        <v>331</v>
      </c>
      <c r="P1586" t="s">
        <v>2684</v>
      </c>
      <c r="Q1586" t="s">
        <v>966</v>
      </c>
    </row>
    <row r="1587" spans="1:17">
      <c r="A1587" s="2" t="s">
        <v>353</v>
      </c>
      <c r="B1587" s="2" t="s">
        <v>353</v>
      </c>
      <c r="C1587" s="2" t="s">
        <v>357</v>
      </c>
      <c r="D1587" s="11">
        <v>45989.649305555555</v>
      </c>
      <c r="E1587" s="11">
        <v>45989.649305555555</v>
      </c>
      <c r="F1587" s="11">
        <v>45989.679166666669</v>
      </c>
      <c r="G1587" s="12">
        <v>2.9861111113859806E-2</v>
      </c>
      <c r="H1587" s="2" t="s">
        <v>248</v>
      </c>
      <c r="J1587" s="2" t="s">
        <v>249</v>
      </c>
      <c r="K1587" s="2" t="s">
        <v>349</v>
      </c>
      <c r="L1587" s="2" t="s">
        <v>2683</v>
      </c>
      <c r="M1587" t="s">
        <v>736</v>
      </c>
      <c r="N1587" t="s">
        <v>330</v>
      </c>
      <c r="O1587" t="s">
        <v>331</v>
      </c>
      <c r="P1587" t="s">
        <v>2685</v>
      </c>
      <c r="Q1587" t="s">
        <v>966</v>
      </c>
    </row>
    <row r="1588" spans="1:17">
      <c r="A1588" s="2" t="s">
        <v>353</v>
      </c>
      <c r="B1588" s="2" t="s">
        <v>353</v>
      </c>
      <c r="C1588" s="2" t="s">
        <v>358</v>
      </c>
      <c r="D1588" s="11">
        <v>45989.649305555555</v>
      </c>
      <c r="E1588" s="11">
        <v>45989.649305555555</v>
      </c>
      <c r="F1588" s="11">
        <v>45989.679166666669</v>
      </c>
      <c r="G1588" s="12">
        <v>2.9861111113859806E-2</v>
      </c>
      <c r="H1588" s="2" t="s">
        <v>248</v>
      </c>
      <c r="J1588" s="2" t="s">
        <v>249</v>
      </c>
      <c r="K1588" s="2" t="s">
        <v>349</v>
      </c>
      <c r="L1588" s="2" t="s">
        <v>2683</v>
      </c>
      <c r="M1588" t="s">
        <v>736</v>
      </c>
      <c r="N1588" t="s">
        <v>330</v>
      </c>
      <c r="O1588" t="s">
        <v>331</v>
      </c>
      <c r="P1588" t="s">
        <v>2686</v>
      </c>
      <c r="Q1588" t="s">
        <v>966</v>
      </c>
    </row>
    <row r="1589" spans="1:17">
      <c r="A1589" s="2" t="s">
        <v>353</v>
      </c>
      <c r="B1589" s="2" t="s">
        <v>353</v>
      </c>
      <c r="C1589" s="2" t="s">
        <v>359</v>
      </c>
      <c r="D1589" s="11">
        <v>45989.649305555555</v>
      </c>
      <c r="E1589" s="11">
        <v>45989.649305555555</v>
      </c>
      <c r="F1589" s="11">
        <v>45989.679166666669</v>
      </c>
      <c r="G1589" s="12">
        <v>2.9861111113859806E-2</v>
      </c>
      <c r="H1589" s="2" t="s">
        <v>248</v>
      </c>
      <c r="J1589" s="2" t="s">
        <v>249</v>
      </c>
      <c r="K1589" s="2" t="s">
        <v>349</v>
      </c>
      <c r="L1589" s="2" t="s">
        <v>2683</v>
      </c>
      <c r="M1589" t="s">
        <v>736</v>
      </c>
      <c r="N1589" t="s">
        <v>330</v>
      </c>
      <c r="O1589" t="s">
        <v>331</v>
      </c>
      <c r="P1589" t="s">
        <v>2687</v>
      </c>
      <c r="Q1589" t="s">
        <v>966</v>
      </c>
    </row>
    <row r="1590" spans="1:17">
      <c r="A1590" s="2" t="s">
        <v>360</v>
      </c>
      <c r="B1590" s="2" t="s">
        <v>360</v>
      </c>
      <c r="C1590" s="2" t="s">
        <v>354</v>
      </c>
      <c r="D1590" s="11">
        <v>45989.649305555555</v>
      </c>
      <c r="E1590" s="11">
        <v>45989.649305555555</v>
      </c>
      <c r="F1590" s="11">
        <v>45989.679166666669</v>
      </c>
      <c r="G1590" s="12">
        <v>2.9861111113859806E-2</v>
      </c>
      <c r="H1590" s="2" t="s">
        <v>248</v>
      </c>
      <c r="J1590" s="2" t="s">
        <v>249</v>
      </c>
      <c r="K1590" s="2" t="s">
        <v>349</v>
      </c>
      <c r="L1590" s="2" t="s">
        <v>2683</v>
      </c>
      <c r="M1590" t="s">
        <v>736</v>
      </c>
      <c r="N1590" t="s">
        <v>330</v>
      </c>
      <c r="O1590" t="s">
        <v>331</v>
      </c>
      <c r="P1590" t="s">
        <v>2688</v>
      </c>
      <c r="Q1590" t="s">
        <v>966</v>
      </c>
    </row>
    <row r="1591" spans="1:17">
      <c r="A1591" s="2" t="s">
        <v>360</v>
      </c>
      <c r="B1591" s="2" t="s">
        <v>360</v>
      </c>
      <c r="C1591" s="2" t="s">
        <v>357</v>
      </c>
      <c r="D1591" s="11">
        <v>45989.649305555555</v>
      </c>
      <c r="E1591" s="11">
        <v>45989.649305555555</v>
      </c>
      <c r="F1591" s="11">
        <v>45989.679166666669</v>
      </c>
      <c r="G1591" s="12">
        <v>2.9861111113859806E-2</v>
      </c>
      <c r="H1591" s="2" t="s">
        <v>248</v>
      </c>
      <c r="J1591" s="2" t="s">
        <v>249</v>
      </c>
      <c r="K1591" s="2" t="s">
        <v>349</v>
      </c>
      <c r="L1591" s="2" t="s">
        <v>2683</v>
      </c>
      <c r="M1591" t="s">
        <v>736</v>
      </c>
      <c r="N1591" t="s">
        <v>330</v>
      </c>
      <c r="O1591" t="s">
        <v>331</v>
      </c>
      <c r="P1591" t="s">
        <v>2689</v>
      </c>
      <c r="Q1591" t="s">
        <v>966</v>
      </c>
    </row>
    <row r="1592" spans="1:17">
      <c r="A1592" s="2" t="s">
        <v>360</v>
      </c>
      <c r="B1592" s="2" t="s">
        <v>360</v>
      </c>
      <c r="C1592" s="2" t="s">
        <v>358</v>
      </c>
      <c r="D1592" s="11">
        <v>45989.649305555555</v>
      </c>
      <c r="E1592" s="11">
        <v>45989.649305555555</v>
      </c>
      <c r="F1592" s="11">
        <v>45989.679166666669</v>
      </c>
      <c r="G1592" s="12">
        <v>2.9861111113859806E-2</v>
      </c>
      <c r="H1592" s="2" t="s">
        <v>248</v>
      </c>
      <c r="J1592" s="2" t="s">
        <v>249</v>
      </c>
      <c r="K1592" s="2" t="s">
        <v>349</v>
      </c>
      <c r="L1592" s="2" t="s">
        <v>2683</v>
      </c>
      <c r="M1592" t="s">
        <v>736</v>
      </c>
      <c r="N1592" t="s">
        <v>330</v>
      </c>
      <c r="O1592" t="s">
        <v>331</v>
      </c>
      <c r="P1592" t="s">
        <v>2690</v>
      </c>
      <c r="Q1592" t="s">
        <v>966</v>
      </c>
    </row>
    <row r="1593" spans="1:17">
      <c r="A1593" s="2" t="s">
        <v>360</v>
      </c>
      <c r="B1593" s="2" t="s">
        <v>360</v>
      </c>
      <c r="C1593" s="2" t="s">
        <v>359</v>
      </c>
      <c r="D1593" s="11">
        <v>45989.649305555555</v>
      </c>
      <c r="E1593" s="11">
        <v>45989.649305555555</v>
      </c>
      <c r="F1593" s="11">
        <v>45989.679166666669</v>
      </c>
      <c r="G1593" s="12">
        <v>2.9861111113859806E-2</v>
      </c>
      <c r="H1593" s="2" t="s">
        <v>248</v>
      </c>
      <c r="J1593" s="2" t="s">
        <v>249</v>
      </c>
      <c r="K1593" s="2" t="s">
        <v>349</v>
      </c>
      <c r="L1593" s="2" t="s">
        <v>2683</v>
      </c>
      <c r="M1593" t="s">
        <v>736</v>
      </c>
      <c r="N1593" t="s">
        <v>330</v>
      </c>
      <c r="O1593" t="s">
        <v>331</v>
      </c>
      <c r="P1593" t="s">
        <v>2691</v>
      </c>
      <c r="Q1593" t="s">
        <v>966</v>
      </c>
    </row>
    <row r="1594" spans="1:17">
      <c r="A1594" s="2" t="s">
        <v>361</v>
      </c>
      <c r="B1594" s="2" t="s">
        <v>361</v>
      </c>
      <c r="C1594" s="2" t="s">
        <v>362</v>
      </c>
      <c r="D1594" s="11">
        <v>45989.649305555555</v>
      </c>
      <c r="E1594" s="11">
        <v>45989.649305555555</v>
      </c>
      <c r="F1594" s="11">
        <v>45989.679166666669</v>
      </c>
      <c r="G1594" s="12">
        <v>2.9861111113859806E-2</v>
      </c>
      <c r="H1594" s="2" t="s">
        <v>248</v>
      </c>
      <c r="J1594" s="2" t="s">
        <v>249</v>
      </c>
      <c r="K1594" s="2" t="s">
        <v>349</v>
      </c>
      <c r="L1594" s="2" t="s">
        <v>2683</v>
      </c>
      <c r="M1594" t="s">
        <v>736</v>
      </c>
      <c r="N1594" t="s">
        <v>330</v>
      </c>
      <c r="O1594" t="s">
        <v>331</v>
      </c>
      <c r="P1594" t="s">
        <v>2692</v>
      </c>
      <c r="Q1594" t="s">
        <v>966</v>
      </c>
    </row>
    <row r="1595" spans="1:17">
      <c r="A1595" s="2" t="s">
        <v>361</v>
      </c>
      <c r="B1595" s="2" t="s">
        <v>361</v>
      </c>
      <c r="C1595" s="2" t="s">
        <v>328</v>
      </c>
      <c r="D1595" s="11">
        <v>45989.649305555555</v>
      </c>
      <c r="E1595" s="11">
        <v>45989.649305555555</v>
      </c>
      <c r="F1595" s="11">
        <v>45989.679166666669</v>
      </c>
      <c r="G1595" s="12">
        <v>2.9861111113859806E-2</v>
      </c>
      <c r="H1595" s="2" t="s">
        <v>248</v>
      </c>
      <c r="J1595" s="2" t="s">
        <v>249</v>
      </c>
      <c r="K1595" s="2" t="s">
        <v>349</v>
      </c>
      <c r="L1595" s="2" t="s">
        <v>2683</v>
      </c>
      <c r="M1595" t="s">
        <v>736</v>
      </c>
      <c r="N1595" t="s">
        <v>330</v>
      </c>
      <c r="O1595" t="s">
        <v>331</v>
      </c>
      <c r="P1595" t="s">
        <v>2693</v>
      </c>
      <c r="Q1595" t="s">
        <v>966</v>
      </c>
    </row>
    <row r="1596" spans="1:17">
      <c r="A1596" s="2" t="s">
        <v>363</v>
      </c>
      <c r="B1596" s="2" t="s">
        <v>363</v>
      </c>
      <c r="C1596" s="2" t="s">
        <v>357</v>
      </c>
      <c r="D1596" s="11">
        <v>45989.649305555555</v>
      </c>
      <c r="E1596" s="11">
        <v>45989.649305555555</v>
      </c>
      <c r="F1596" s="11">
        <v>45989.679166666669</v>
      </c>
      <c r="G1596" s="12">
        <v>2.9861111113859806E-2</v>
      </c>
      <c r="H1596" s="2" t="s">
        <v>248</v>
      </c>
      <c r="J1596" s="2" t="s">
        <v>249</v>
      </c>
      <c r="K1596" s="2" t="s">
        <v>349</v>
      </c>
      <c r="L1596" s="2" t="s">
        <v>2683</v>
      </c>
      <c r="M1596" t="s">
        <v>736</v>
      </c>
      <c r="N1596" t="s">
        <v>330</v>
      </c>
      <c r="O1596" t="s">
        <v>331</v>
      </c>
      <c r="P1596" t="s">
        <v>2694</v>
      </c>
      <c r="Q1596" t="s">
        <v>966</v>
      </c>
    </row>
    <row r="1597" spans="1:17">
      <c r="A1597" s="2" t="s">
        <v>363</v>
      </c>
      <c r="B1597" s="2" t="s">
        <v>363</v>
      </c>
      <c r="C1597" s="2" t="s">
        <v>354</v>
      </c>
      <c r="D1597" s="11">
        <v>45989.649305555555</v>
      </c>
      <c r="E1597" s="11">
        <v>45989.649305555555</v>
      </c>
      <c r="F1597" s="11">
        <v>45989.679166666669</v>
      </c>
      <c r="G1597" s="12">
        <v>2.9861111113859806E-2</v>
      </c>
      <c r="H1597" s="2" t="s">
        <v>248</v>
      </c>
      <c r="J1597" s="2" t="s">
        <v>249</v>
      </c>
      <c r="K1597" s="2" t="s">
        <v>349</v>
      </c>
      <c r="L1597" s="2" t="s">
        <v>2683</v>
      </c>
      <c r="M1597" t="s">
        <v>736</v>
      </c>
      <c r="N1597" t="s">
        <v>330</v>
      </c>
      <c r="O1597" t="s">
        <v>331</v>
      </c>
      <c r="P1597" t="s">
        <v>2695</v>
      </c>
      <c r="Q1597" t="s">
        <v>966</v>
      </c>
    </row>
    <row r="1598" spans="1:17">
      <c r="A1598" s="2" t="s">
        <v>363</v>
      </c>
      <c r="B1598" s="2" t="s">
        <v>363</v>
      </c>
      <c r="C1598" s="2" t="s">
        <v>359</v>
      </c>
      <c r="D1598" s="11">
        <v>45989.649305555555</v>
      </c>
      <c r="E1598" s="11">
        <v>45989.649305555555</v>
      </c>
      <c r="F1598" s="11">
        <v>45989.679166666669</v>
      </c>
      <c r="G1598" s="12">
        <v>2.9861111113859806E-2</v>
      </c>
      <c r="H1598" s="2" t="s">
        <v>248</v>
      </c>
      <c r="J1598" s="2" t="s">
        <v>249</v>
      </c>
      <c r="K1598" s="2" t="s">
        <v>349</v>
      </c>
      <c r="L1598" s="2" t="s">
        <v>2683</v>
      </c>
      <c r="M1598" t="s">
        <v>736</v>
      </c>
      <c r="N1598" t="s">
        <v>330</v>
      </c>
      <c r="O1598" t="s">
        <v>331</v>
      </c>
      <c r="P1598" t="s">
        <v>2696</v>
      </c>
      <c r="Q1598" t="s">
        <v>966</v>
      </c>
    </row>
    <row r="1599" spans="1:17">
      <c r="A1599" s="2" t="s">
        <v>363</v>
      </c>
      <c r="B1599" s="2" t="s">
        <v>363</v>
      </c>
      <c r="C1599" s="2" t="s">
        <v>358</v>
      </c>
      <c r="D1599" s="11">
        <v>45989.649305555555</v>
      </c>
      <c r="E1599" s="11">
        <v>45989.649305555555</v>
      </c>
      <c r="F1599" s="11">
        <v>45989.679166666669</v>
      </c>
      <c r="G1599" s="12">
        <v>2.9861111113859806E-2</v>
      </c>
      <c r="H1599" s="2" t="s">
        <v>248</v>
      </c>
      <c r="J1599" s="2" t="s">
        <v>249</v>
      </c>
      <c r="K1599" s="2" t="s">
        <v>349</v>
      </c>
      <c r="L1599" s="2" t="s">
        <v>2683</v>
      </c>
      <c r="M1599" t="s">
        <v>736</v>
      </c>
      <c r="N1599" t="s">
        <v>330</v>
      </c>
      <c r="O1599" t="s">
        <v>331</v>
      </c>
      <c r="P1599" t="s">
        <v>2697</v>
      </c>
      <c r="Q1599" t="s">
        <v>966</v>
      </c>
    </row>
    <row r="1600" spans="1:17">
      <c r="A1600" s="2" t="s">
        <v>369</v>
      </c>
      <c r="B1600" s="2" t="s">
        <v>369</v>
      </c>
      <c r="C1600" s="2" t="s">
        <v>359</v>
      </c>
      <c r="D1600" s="11">
        <v>45989.649305555555</v>
      </c>
      <c r="E1600" s="11">
        <v>45989.649305555555</v>
      </c>
      <c r="F1600" s="11">
        <v>45989.679166666669</v>
      </c>
      <c r="G1600" s="12">
        <v>2.9861111113859806E-2</v>
      </c>
      <c r="H1600" s="2" t="s">
        <v>248</v>
      </c>
      <c r="J1600" s="2" t="s">
        <v>249</v>
      </c>
      <c r="K1600" s="2" t="s">
        <v>349</v>
      </c>
      <c r="L1600" s="2" t="s">
        <v>2683</v>
      </c>
      <c r="M1600" t="s">
        <v>736</v>
      </c>
      <c r="N1600" t="s">
        <v>330</v>
      </c>
      <c r="O1600" t="s">
        <v>331</v>
      </c>
      <c r="P1600" t="s">
        <v>2698</v>
      </c>
      <c r="Q1600" t="s">
        <v>966</v>
      </c>
    </row>
    <row r="1601" spans="1:17">
      <c r="A1601" s="2" t="s">
        <v>369</v>
      </c>
      <c r="B1601" s="2" t="s">
        <v>369</v>
      </c>
      <c r="C1601" s="2" t="s">
        <v>357</v>
      </c>
      <c r="D1601" s="11">
        <v>45989.649305555555</v>
      </c>
      <c r="E1601" s="11">
        <v>45989.649305555555</v>
      </c>
      <c r="F1601" s="11">
        <v>45989.679166666669</v>
      </c>
      <c r="G1601" s="12">
        <v>2.9861111113859806E-2</v>
      </c>
      <c r="H1601" s="2" t="s">
        <v>248</v>
      </c>
      <c r="J1601" s="2" t="s">
        <v>249</v>
      </c>
      <c r="K1601" s="2" t="s">
        <v>349</v>
      </c>
      <c r="L1601" s="2" t="s">
        <v>2683</v>
      </c>
      <c r="M1601" t="s">
        <v>736</v>
      </c>
      <c r="N1601" t="s">
        <v>330</v>
      </c>
      <c r="O1601" t="s">
        <v>331</v>
      </c>
      <c r="P1601" t="s">
        <v>2699</v>
      </c>
      <c r="Q1601" t="s">
        <v>966</v>
      </c>
    </row>
    <row r="1602" spans="1:17">
      <c r="A1602" s="2" t="s">
        <v>369</v>
      </c>
      <c r="B1602" s="2" t="s">
        <v>369</v>
      </c>
      <c r="C1602" s="2" t="s">
        <v>358</v>
      </c>
      <c r="D1602" s="11">
        <v>45989.649305555555</v>
      </c>
      <c r="E1602" s="11">
        <v>45989.649305555555</v>
      </c>
      <c r="F1602" s="11">
        <v>45989.679166666669</v>
      </c>
      <c r="G1602" s="12">
        <v>2.9861111113859806E-2</v>
      </c>
      <c r="H1602" s="2" t="s">
        <v>248</v>
      </c>
      <c r="J1602" s="2" t="s">
        <v>249</v>
      </c>
      <c r="K1602" s="2" t="s">
        <v>349</v>
      </c>
      <c r="L1602" s="2" t="s">
        <v>2683</v>
      </c>
      <c r="M1602" t="s">
        <v>736</v>
      </c>
      <c r="N1602" t="s">
        <v>330</v>
      </c>
      <c r="O1602" t="s">
        <v>331</v>
      </c>
      <c r="P1602" t="s">
        <v>2700</v>
      </c>
      <c r="Q1602" t="s">
        <v>966</v>
      </c>
    </row>
    <row r="1603" spans="1:17">
      <c r="A1603" s="2" t="s">
        <v>369</v>
      </c>
      <c r="B1603" s="2" t="s">
        <v>369</v>
      </c>
      <c r="C1603" s="2" t="s">
        <v>354</v>
      </c>
      <c r="D1603" s="11">
        <v>45989.649305555555</v>
      </c>
      <c r="E1603" s="11">
        <v>45989.649305555555</v>
      </c>
      <c r="F1603" s="11">
        <v>45989.679166666669</v>
      </c>
      <c r="G1603" s="12">
        <v>2.9861111113859806E-2</v>
      </c>
      <c r="H1603" s="2" t="s">
        <v>248</v>
      </c>
      <c r="J1603" s="2" t="s">
        <v>249</v>
      </c>
      <c r="K1603" s="2" t="s">
        <v>349</v>
      </c>
      <c r="L1603" s="2" t="s">
        <v>2683</v>
      </c>
      <c r="M1603" t="s">
        <v>736</v>
      </c>
      <c r="N1603" t="s">
        <v>330</v>
      </c>
      <c r="O1603" t="s">
        <v>331</v>
      </c>
      <c r="P1603" t="s">
        <v>2701</v>
      </c>
      <c r="Q1603" t="s">
        <v>966</v>
      </c>
    </row>
    <row r="1604" spans="1:17">
      <c r="A1604" s="2" t="s">
        <v>370</v>
      </c>
      <c r="B1604" s="2" t="s">
        <v>370</v>
      </c>
      <c r="C1604" s="2" t="s">
        <v>354</v>
      </c>
      <c r="D1604" s="11">
        <v>45989.649305555555</v>
      </c>
      <c r="E1604" s="11">
        <v>45989.649305555555</v>
      </c>
      <c r="F1604" s="11">
        <v>45989.679166666669</v>
      </c>
      <c r="G1604" s="12">
        <v>2.9861111113859806E-2</v>
      </c>
      <c r="H1604" s="2" t="s">
        <v>248</v>
      </c>
      <c r="J1604" s="2" t="s">
        <v>249</v>
      </c>
      <c r="K1604" s="2" t="s">
        <v>349</v>
      </c>
      <c r="L1604" s="2" t="s">
        <v>2683</v>
      </c>
      <c r="M1604" t="s">
        <v>736</v>
      </c>
      <c r="N1604" t="s">
        <v>330</v>
      </c>
      <c r="O1604" t="s">
        <v>331</v>
      </c>
      <c r="P1604" t="s">
        <v>2702</v>
      </c>
      <c r="Q1604" t="s">
        <v>966</v>
      </c>
    </row>
    <row r="1605" spans="1:17">
      <c r="A1605" s="2" t="s">
        <v>370</v>
      </c>
      <c r="B1605" s="2" t="s">
        <v>370</v>
      </c>
      <c r="C1605" s="2" t="s">
        <v>357</v>
      </c>
      <c r="D1605" s="11">
        <v>45989.649305555555</v>
      </c>
      <c r="E1605" s="11">
        <v>45989.649305555555</v>
      </c>
      <c r="F1605" s="11">
        <v>45989.679166666669</v>
      </c>
      <c r="G1605" s="12">
        <v>2.9861111113859806E-2</v>
      </c>
      <c r="H1605" s="2" t="s">
        <v>248</v>
      </c>
      <c r="J1605" s="2" t="s">
        <v>249</v>
      </c>
      <c r="K1605" s="2" t="s">
        <v>349</v>
      </c>
      <c r="L1605" s="2" t="s">
        <v>2683</v>
      </c>
      <c r="M1605" t="s">
        <v>736</v>
      </c>
      <c r="N1605" t="s">
        <v>330</v>
      </c>
      <c r="O1605" t="s">
        <v>331</v>
      </c>
      <c r="P1605" t="s">
        <v>2703</v>
      </c>
      <c r="Q1605" t="s">
        <v>966</v>
      </c>
    </row>
    <row r="1606" spans="1:17">
      <c r="A1606" s="2" t="s">
        <v>481</v>
      </c>
      <c r="B1606" s="2" t="s">
        <v>481</v>
      </c>
      <c r="C1606" s="2" t="s">
        <v>358</v>
      </c>
      <c r="D1606" s="11">
        <v>45989.695833275466</v>
      </c>
      <c r="E1606" s="11">
        <v>45989.695833275466</v>
      </c>
      <c r="F1606" s="11">
        <v>45989.708333333336</v>
      </c>
      <c r="G1606" s="12">
        <v>1.250005787005648E-2</v>
      </c>
      <c r="H1606" s="2" t="s">
        <v>248</v>
      </c>
      <c r="J1606" s="2" t="s">
        <v>249</v>
      </c>
      <c r="K1606" s="2" t="s">
        <v>349</v>
      </c>
      <c r="L1606" s="2" t="s">
        <v>2704</v>
      </c>
      <c r="M1606" t="s">
        <v>736</v>
      </c>
      <c r="N1606" t="s">
        <v>330</v>
      </c>
      <c r="O1606" t="s">
        <v>2705</v>
      </c>
      <c r="P1606" t="s">
        <v>2706</v>
      </c>
      <c r="Q1606" t="s">
        <v>966</v>
      </c>
    </row>
    <row r="1607" spans="1:17">
      <c r="A1607" s="2" t="s">
        <v>481</v>
      </c>
      <c r="B1607" s="2" t="s">
        <v>481</v>
      </c>
      <c r="C1607" s="2" t="s">
        <v>359</v>
      </c>
      <c r="D1607" s="11">
        <v>45989.695833275466</v>
      </c>
      <c r="E1607" s="11">
        <v>45989.695833275466</v>
      </c>
      <c r="F1607" s="11">
        <v>45989.708333333336</v>
      </c>
      <c r="G1607" s="12">
        <v>1.250005787005648E-2</v>
      </c>
      <c r="H1607" s="2" t="s">
        <v>248</v>
      </c>
      <c r="J1607" s="2" t="s">
        <v>249</v>
      </c>
      <c r="K1607" s="2" t="s">
        <v>349</v>
      </c>
      <c r="L1607" s="2" t="s">
        <v>2704</v>
      </c>
      <c r="M1607" t="s">
        <v>736</v>
      </c>
      <c r="N1607" t="s">
        <v>330</v>
      </c>
      <c r="O1607" t="s">
        <v>2705</v>
      </c>
      <c r="P1607" t="s">
        <v>2707</v>
      </c>
      <c r="Q1607" t="s">
        <v>966</v>
      </c>
    </row>
    <row r="1608" spans="1:17">
      <c r="A1608" s="2" t="s">
        <v>482</v>
      </c>
      <c r="B1608" s="2" t="s">
        <v>482</v>
      </c>
      <c r="C1608" s="2" t="s">
        <v>354</v>
      </c>
      <c r="D1608" s="11">
        <v>45989.695833275466</v>
      </c>
      <c r="E1608" s="11">
        <v>45989.695833275466</v>
      </c>
      <c r="F1608" s="11">
        <v>45989.708333333336</v>
      </c>
      <c r="G1608" s="12">
        <v>1.250005787005648E-2</v>
      </c>
      <c r="H1608" s="2" t="s">
        <v>248</v>
      </c>
      <c r="J1608" s="2" t="s">
        <v>249</v>
      </c>
      <c r="K1608" s="2" t="s">
        <v>349</v>
      </c>
      <c r="L1608" s="2" t="s">
        <v>2704</v>
      </c>
      <c r="M1608" t="s">
        <v>736</v>
      </c>
      <c r="N1608" t="s">
        <v>330</v>
      </c>
      <c r="O1608" t="s">
        <v>2705</v>
      </c>
      <c r="P1608" t="s">
        <v>2708</v>
      </c>
      <c r="Q1608" t="s">
        <v>966</v>
      </c>
    </row>
    <row r="1609" spans="1:17">
      <c r="A1609" s="2" t="s">
        <v>482</v>
      </c>
      <c r="B1609" s="2" t="s">
        <v>482</v>
      </c>
      <c r="C1609" s="2" t="s">
        <v>357</v>
      </c>
      <c r="D1609" s="11">
        <v>45989.695833275466</v>
      </c>
      <c r="E1609" s="11">
        <v>45989.695833275466</v>
      </c>
      <c r="F1609" s="11">
        <v>45989.708333333336</v>
      </c>
      <c r="G1609" s="12">
        <v>1.250005787005648E-2</v>
      </c>
      <c r="H1609" s="2" t="s">
        <v>248</v>
      </c>
      <c r="J1609" s="2" t="s">
        <v>249</v>
      </c>
      <c r="K1609" s="2" t="s">
        <v>349</v>
      </c>
      <c r="L1609" s="2" t="s">
        <v>2704</v>
      </c>
      <c r="M1609" t="s">
        <v>736</v>
      </c>
      <c r="N1609" t="s">
        <v>330</v>
      </c>
      <c r="O1609" t="s">
        <v>2705</v>
      </c>
      <c r="P1609" t="s">
        <v>2709</v>
      </c>
      <c r="Q1609" t="s">
        <v>966</v>
      </c>
    </row>
    <row r="1610" spans="1:17">
      <c r="A1610" s="2" t="s">
        <v>482</v>
      </c>
      <c r="B1610" s="2" t="s">
        <v>482</v>
      </c>
      <c r="C1610" s="2" t="s">
        <v>358</v>
      </c>
      <c r="D1610" s="11">
        <v>45989.695833275466</v>
      </c>
      <c r="E1610" s="11">
        <v>45989.695833275466</v>
      </c>
      <c r="F1610" s="11">
        <v>45989.708333333336</v>
      </c>
      <c r="G1610" s="12">
        <v>1.250005787005648E-2</v>
      </c>
      <c r="H1610" s="2" t="s">
        <v>248</v>
      </c>
      <c r="J1610" s="2" t="s">
        <v>249</v>
      </c>
      <c r="K1610" s="2" t="s">
        <v>349</v>
      </c>
      <c r="L1610" s="2" t="s">
        <v>2704</v>
      </c>
      <c r="M1610" t="s">
        <v>736</v>
      </c>
      <c r="N1610" t="s">
        <v>330</v>
      </c>
      <c r="O1610" t="s">
        <v>2705</v>
      </c>
      <c r="P1610" t="s">
        <v>2710</v>
      </c>
      <c r="Q1610" t="s">
        <v>966</v>
      </c>
    </row>
    <row r="1611" spans="1:17">
      <c r="A1611" s="2" t="s">
        <v>482</v>
      </c>
      <c r="B1611" s="2" t="s">
        <v>482</v>
      </c>
      <c r="C1611" s="2" t="s">
        <v>359</v>
      </c>
      <c r="D1611" s="11">
        <v>45989.695833275466</v>
      </c>
      <c r="E1611" s="11">
        <v>45989.695833275466</v>
      </c>
      <c r="F1611" s="11">
        <v>45989.708333333336</v>
      </c>
      <c r="G1611" s="12">
        <v>1.250005787005648E-2</v>
      </c>
      <c r="H1611" s="2" t="s">
        <v>248</v>
      </c>
      <c r="J1611" s="2" t="s">
        <v>249</v>
      </c>
      <c r="K1611" s="2" t="s">
        <v>349</v>
      </c>
      <c r="L1611" s="2" t="s">
        <v>2704</v>
      </c>
      <c r="M1611" t="s">
        <v>736</v>
      </c>
      <c r="N1611" t="s">
        <v>330</v>
      </c>
      <c r="O1611" t="s">
        <v>2705</v>
      </c>
      <c r="P1611" t="s">
        <v>2711</v>
      </c>
      <c r="Q1611" t="s">
        <v>966</v>
      </c>
    </row>
    <row r="1612" spans="1:17">
      <c r="A1612" s="2" t="s">
        <v>483</v>
      </c>
      <c r="B1612" s="2" t="s">
        <v>483</v>
      </c>
      <c r="C1612" s="2" t="s">
        <v>328</v>
      </c>
      <c r="D1612" s="11">
        <v>45989.695833275466</v>
      </c>
      <c r="E1612" s="11">
        <v>45989.695833275466</v>
      </c>
      <c r="F1612" s="11">
        <v>45989.708333333336</v>
      </c>
      <c r="G1612" s="12">
        <v>1.250005787005648E-2</v>
      </c>
      <c r="H1612" s="2" t="s">
        <v>248</v>
      </c>
      <c r="J1612" s="2" t="s">
        <v>249</v>
      </c>
      <c r="K1612" s="2" t="s">
        <v>349</v>
      </c>
      <c r="L1612" s="2" t="s">
        <v>2704</v>
      </c>
      <c r="M1612" t="s">
        <v>736</v>
      </c>
      <c r="N1612" t="s">
        <v>330</v>
      </c>
      <c r="O1612" t="s">
        <v>2705</v>
      </c>
      <c r="P1612" t="s">
        <v>2712</v>
      </c>
      <c r="Q1612" t="s">
        <v>966</v>
      </c>
    </row>
    <row r="1613" spans="1:17">
      <c r="A1613" s="2" t="s">
        <v>483</v>
      </c>
      <c r="B1613" s="2" t="s">
        <v>483</v>
      </c>
      <c r="C1613" s="2" t="s">
        <v>357</v>
      </c>
      <c r="D1613" s="11">
        <v>45989.695833275466</v>
      </c>
      <c r="E1613" s="11">
        <v>45989.695833275466</v>
      </c>
      <c r="F1613" s="11">
        <v>45989.708333333336</v>
      </c>
      <c r="G1613" s="12">
        <v>1.250005787005648E-2</v>
      </c>
      <c r="H1613" s="2" t="s">
        <v>248</v>
      </c>
      <c r="J1613" s="2" t="s">
        <v>249</v>
      </c>
      <c r="K1613" s="2" t="s">
        <v>349</v>
      </c>
      <c r="L1613" s="2" t="s">
        <v>2704</v>
      </c>
      <c r="M1613" t="s">
        <v>736</v>
      </c>
      <c r="N1613" t="s">
        <v>330</v>
      </c>
      <c r="O1613" t="s">
        <v>2705</v>
      </c>
      <c r="P1613" t="s">
        <v>2713</v>
      </c>
      <c r="Q1613" t="s">
        <v>966</v>
      </c>
    </row>
    <row r="1614" spans="1:17">
      <c r="A1614" s="2" t="s">
        <v>483</v>
      </c>
      <c r="B1614" s="2" t="s">
        <v>483</v>
      </c>
      <c r="C1614" s="2" t="s">
        <v>358</v>
      </c>
      <c r="D1614" s="11">
        <v>45989.695833275466</v>
      </c>
      <c r="E1614" s="11">
        <v>45989.695833275466</v>
      </c>
      <c r="F1614" s="11">
        <v>45989.708333333336</v>
      </c>
      <c r="G1614" s="12">
        <v>1.250005787005648E-2</v>
      </c>
      <c r="H1614" s="2" t="s">
        <v>248</v>
      </c>
      <c r="J1614" s="2" t="s">
        <v>249</v>
      </c>
      <c r="K1614" s="2" t="s">
        <v>349</v>
      </c>
      <c r="L1614" s="2" t="s">
        <v>2704</v>
      </c>
      <c r="M1614" t="s">
        <v>736</v>
      </c>
      <c r="N1614" t="s">
        <v>330</v>
      </c>
      <c r="O1614" t="s">
        <v>2705</v>
      </c>
      <c r="P1614" t="s">
        <v>2714</v>
      </c>
      <c r="Q1614" t="s">
        <v>966</v>
      </c>
    </row>
    <row r="1615" spans="1:17">
      <c r="A1615" s="2" t="s">
        <v>483</v>
      </c>
      <c r="B1615" s="2" t="s">
        <v>483</v>
      </c>
      <c r="C1615" s="2" t="s">
        <v>359</v>
      </c>
      <c r="D1615" s="11">
        <v>45989.695833275466</v>
      </c>
      <c r="E1615" s="11">
        <v>45989.695833275466</v>
      </c>
      <c r="F1615" s="11">
        <v>45989.708333333336</v>
      </c>
      <c r="G1615" s="12">
        <v>1.250005787005648E-2</v>
      </c>
      <c r="H1615" s="2" t="s">
        <v>248</v>
      </c>
      <c r="J1615" s="2" t="s">
        <v>249</v>
      </c>
      <c r="K1615" s="2" t="s">
        <v>349</v>
      </c>
      <c r="L1615" s="2" t="s">
        <v>2704</v>
      </c>
      <c r="M1615" t="s">
        <v>736</v>
      </c>
      <c r="N1615" t="s">
        <v>330</v>
      </c>
      <c r="O1615" t="s">
        <v>2705</v>
      </c>
      <c r="P1615" t="s">
        <v>2715</v>
      </c>
      <c r="Q1615" t="s">
        <v>966</v>
      </c>
    </row>
    <row r="1616" spans="1:17">
      <c r="A1616" s="2" t="s">
        <v>484</v>
      </c>
      <c r="B1616" s="2" t="s">
        <v>484</v>
      </c>
      <c r="C1616" s="2" t="s">
        <v>354</v>
      </c>
      <c r="D1616" s="11">
        <v>45989.695833275466</v>
      </c>
      <c r="E1616" s="11">
        <v>45989.695833275466</v>
      </c>
      <c r="F1616" s="11">
        <v>45989.708333333336</v>
      </c>
      <c r="G1616" s="12">
        <v>1.250005787005648E-2</v>
      </c>
      <c r="H1616" s="2" t="s">
        <v>248</v>
      </c>
      <c r="J1616" s="2" t="s">
        <v>249</v>
      </c>
      <c r="K1616" s="2" t="s">
        <v>349</v>
      </c>
      <c r="L1616" s="2" t="s">
        <v>2704</v>
      </c>
      <c r="M1616" t="s">
        <v>736</v>
      </c>
      <c r="N1616" t="s">
        <v>330</v>
      </c>
      <c r="O1616" t="s">
        <v>2705</v>
      </c>
      <c r="P1616" t="s">
        <v>2716</v>
      </c>
      <c r="Q1616" t="s">
        <v>966</v>
      </c>
    </row>
    <row r="1617" spans="1:17">
      <c r="A1617" s="2" t="s">
        <v>484</v>
      </c>
      <c r="B1617" s="2" t="s">
        <v>484</v>
      </c>
      <c r="C1617" s="2" t="s">
        <v>357</v>
      </c>
      <c r="D1617" s="11">
        <v>45989.695833275466</v>
      </c>
      <c r="E1617" s="11">
        <v>45989.695833275466</v>
      </c>
      <c r="F1617" s="11">
        <v>45989.708333333336</v>
      </c>
      <c r="G1617" s="12">
        <v>1.250005787005648E-2</v>
      </c>
      <c r="H1617" s="2" t="s">
        <v>248</v>
      </c>
      <c r="J1617" s="2" t="s">
        <v>249</v>
      </c>
      <c r="K1617" s="2" t="s">
        <v>349</v>
      </c>
      <c r="L1617" s="2" t="s">
        <v>2704</v>
      </c>
      <c r="M1617" t="s">
        <v>736</v>
      </c>
      <c r="N1617" t="s">
        <v>330</v>
      </c>
      <c r="O1617" t="s">
        <v>2705</v>
      </c>
      <c r="P1617" t="s">
        <v>2717</v>
      </c>
      <c r="Q1617" t="s">
        <v>966</v>
      </c>
    </row>
    <row r="1618" spans="1:17">
      <c r="A1618" s="2" t="s">
        <v>484</v>
      </c>
      <c r="B1618" s="2" t="s">
        <v>484</v>
      </c>
      <c r="C1618" s="2" t="s">
        <v>358</v>
      </c>
      <c r="D1618" s="11">
        <v>45989.695833275466</v>
      </c>
      <c r="E1618" s="11">
        <v>45989.695833275466</v>
      </c>
      <c r="F1618" s="11">
        <v>45989.708333333336</v>
      </c>
      <c r="G1618" s="12">
        <v>1.250005787005648E-2</v>
      </c>
      <c r="H1618" s="2" t="s">
        <v>248</v>
      </c>
      <c r="J1618" s="2" t="s">
        <v>249</v>
      </c>
      <c r="K1618" s="2" t="s">
        <v>349</v>
      </c>
      <c r="L1618" s="2" t="s">
        <v>2704</v>
      </c>
      <c r="M1618" t="s">
        <v>736</v>
      </c>
      <c r="N1618" t="s">
        <v>330</v>
      </c>
      <c r="O1618" t="s">
        <v>2705</v>
      </c>
      <c r="P1618" t="s">
        <v>2718</v>
      </c>
      <c r="Q1618" t="s">
        <v>966</v>
      </c>
    </row>
    <row r="1619" spans="1:17">
      <c r="A1619" s="2" t="s">
        <v>484</v>
      </c>
      <c r="B1619" s="2" t="s">
        <v>484</v>
      </c>
      <c r="C1619" s="2" t="s">
        <v>359</v>
      </c>
      <c r="D1619" s="11">
        <v>45989.695833275466</v>
      </c>
      <c r="E1619" s="11">
        <v>45989.695833275466</v>
      </c>
      <c r="F1619" s="11">
        <v>45989.708333333336</v>
      </c>
      <c r="G1619" s="12">
        <v>1.250005787005648E-2</v>
      </c>
      <c r="H1619" s="2" t="s">
        <v>248</v>
      </c>
      <c r="J1619" s="2" t="s">
        <v>249</v>
      </c>
      <c r="K1619" s="2" t="s">
        <v>349</v>
      </c>
      <c r="L1619" s="2" t="s">
        <v>2704</v>
      </c>
      <c r="M1619" t="s">
        <v>736</v>
      </c>
      <c r="N1619" t="s">
        <v>330</v>
      </c>
      <c r="O1619" t="s">
        <v>2705</v>
      </c>
      <c r="P1619" t="s">
        <v>2719</v>
      </c>
      <c r="Q1619" t="s">
        <v>966</v>
      </c>
    </row>
    <row r="1620" spans="1:17">
      <c r="A1620" s="2" t="s">
        <v>485</v>
      </c>
      <c r="B1620" s="2" t="s">
        <v>485</v>
      </c>
      <c r="C1620" s="2" t="s">
        <v>354</v>
      </c>
      <c r="D1620" s="11">
        <v>45989.695833275466</v>
      </c>
      <c r="E1620" s="11">
        <v>45989.695833275466</v>
      </c>
      <c r="F1620" s="11">
        <v>45989.708333333336</v>
      </c>
      <c r="G1620" s="12">
        <v>1.250005787005648E-2</v>
      </c>
      <c r="H1620" s="2" t="s">
        <v>248</v>
      </c>
      <c r="J1620" s="2" t="s">
        <v>249</v>
      </c>
      <c r="K1620" s="2" t="s">
        <v>349</v>
      </c>
      <c r="L1620" s="2" t="s">
        <v>2704</v>
      </c>
      <c r="M1620" t="s">
        <v>736</v>
      </c>
      <c r="N1620" t="s">
        <v>330</v>
      </c>
      <c r="O1620" t="s">
        <v>2705</v>
      </c>
      <c r="P1620" t="s">
        <v>2720</v>
      </c>
      <c r="Q1620" t="s">
        <v>966</v>
      </c>
    </row>
    <row r="1621" spans="1:17">
      <c r="A1621" s="2" t="s">
        <v>485</v>
      </c>
      <c r="B1621" s="2" t="s">
        <v>485</v>
      </c>
      <c r="C1621" s="2" t="s">
        <v>357</v>
      </c>
      <c r="D1621" s="11">
        <v>45989.695833275466</v>
      </c>
      <c r="E1621" s="11">
        <v>45989.695833275466</v>
      </c>
      <c r="F1621" s="11">
        <v>45989.708333333336</v>
      </c>
      <c r="G1621" s="12">
        <v>1.250005787005648E-2</v>
      </c>
      <c r="H1621" s="2" t="s">
        <v>248</v>
      </c>
      <c r="J1621" s="2" t="s">
        <v>249</v>
      </c>
      <c r="K1621" s="2" t="s">
        <v>349</v>
      </c>
      <c r="L1621" s="2" t="s">
        <v>2704</v>
      </c>
      <c r="M1621" t="s">
        <v>736</v>
      </c>
      <c r="N1621" t="s">
        <v>330</v>
      </c>
      <c r="O1621" t="s">
        <v>2705</v>
      </c>
      <c r="P1621" t="s">
        <v>2721</v>
      </c>
      <c r="Q1621" t="s">
        <v>966</v>
      </c>
    </row>
    <row r="1622" spans="1:17">
      <c r="A1622" s="2" t="s">
        <v>485</v>
      </c>
      <c r="B1622" s="2" t="s">
        <v>485</v>
      </c>
      <c r="C1622" s="2" t="s">
        <v>358</v>
      </c>
      <c r="D1622" s="11">
        <v>45989.695833275466</v>
      </c>
      <c r="E1622" s="11">
        <v>45989.695833275466</v>
      </c>
      <c r="F1622" s="11">
        <v>45989.708333333336</v>
      </c>
      <c r="G1622" s="12">
        <v>1.250005787005648E-2</v>
      </c>
      <c r="H1622" s="2" t="s">
        <v>248</v>
      </c>
      <c r="J1622" s="2" t="s">
        <v>249</v>
      </c>
      <c r="K1622" s="2" t="s">
        <v>349</v>
      </c>
      <c r="L1622" s="2" t="s">
        <v>2704</v>
      </c>
      <c r="M1622" t="s">
        <v>736</v>
      </c>
      <c r="N1622" t="s">
        <v>330</v>
      </c>
      <c r="O1622" t="s">
        <v>2705</v>
      </c>
      <c r="P1622" t="s">
        <v>2722</v>
      </c>
      <c r="Q1622" t="s">
        <v>966</v>
      </c>
    </row>
    <row r="1623" spans="1:17">
      <c r="A1623" s="2" t="s">
        <v>485</v>
      </c>
      <c r="B1623" s="2" t="s">
        <v>485</v>
      </c>
      <c r="C1623" s="2" t="s">
        <v>328</v>
      </c>
      <c r="D1623" s="11">
        <v>45989.695833275466</v>
      </c>
      <c r="E1623" s="11">
        <v>45989.695833275466</v>
      </c>
      <c r="F1623" s="11">
        <v>45989.708333333336</v>
      </c>
      <c r="G1623" s="12">
        <v>1.250005787005648E-2</v>
      </c>
      <c r="H1623" s="2" t="s">
        <v>248</v>
      </c>
      <c r="J1623" s="2" t="s">
        <v>249</v>
      </c>
      <c r="K1623" s="2" t="s">
        <v>349</v>
      </c>
      <c r="L1623" s="2" t="s">
        <v>2704</v>
      </c>
      <c r="M1623" t="s">
        <v>736</v>
      </c>
      <c r="N1623" t="s">
        <v>330</v>
      </c>
      <c r="O1623" t="s">
        <v>2705</v>
      </c>
      <c r="P1623" t="s">
        <v>2723</v>
      </c>
      <c r="Q1623" t="s">
        <v>966</v>
      </c>
    </row>
    <row r="1624" spans="1:17">
      <c r="A1624" s="2" t="s">
        <v>481</v>
      </c>
      <c r="B1624" s="2" t="s">
        <v>481</v>
      </c>
      <c r="C1624" s="2" t="s">
        <v>354</v>
      </c>
      <c r="D1624" s="11">
        <v>45989.695833333331</v>
      </c>
      <c r="E1624" s="11">
        <v>45989.695833333331</v>
      </c>
      <c r="F1624" s="11">
        <v>45989.708333333336</v>
      </c>
      <c r="G1624" s="12">
        <v>1.2500000004365575E-2</v>
      </c>
      <c r="H1624" s="2" t="s">
        <v>248</v>
      </c>
      <c r="J1624" s="2" t="s">
        <v>249</v>
      </c>
      <c r="K1624" s="2" t="s">
        <v>349</v>
      </c>
      <c r="L1624" s="2" t="s">
        <v>2704</v>
      </c>
      <c r="M1624" t="s">
        <v>736</v>
      </c>
      <c r="N1624" t="s">
        <v>330</v>
      </c>
      <c r="O1624" t="s">
        <v>2705</v>
      </c>
      <c r="P1624" t="s">
        <v>2724</v>
      </c>
      <c r="Q1624" t="s">
        <v>966</v>
      </c>
    </row>
    <row r="1625" spans="1:17">
      <c r="A1625" s="2" t="s">
        <v>481</v>
      </c>
      <c r="B1625" s="2" t="s">
        <v>481</v>
      </c>
      <c r="C1625" s="2" t="s">
        <v>357</v>
      </c>
      <c r="D1625" s="11">
        <v>45989.695833333331</v>
      </c>
      <c r="E1625" s="11">
        <v>45989.695833333331</v>
      </c>
      <c r="F1625" s="11">
        <v>45989.708333333336</v>
      </c>
      <c r="G1625" s="12">
        <v>1.2500000004365575E-2</v>
      </c>
      <c r="H1625" s="2" t="s">
        <v>248</v>
      </c>
      <c r="J1625" s="2" t="s">
        <v>249</v>
      </c>
      <c r="K1625" s="2" t="s">
        <v>349</v>
      </c>
      <c r="L1625" s="2" t="s">
        <v>2704</v>
      </c>
      <c r="M1625" t="s">
        <v>736</v>
      </c>
      <c r="N1625" t="s">
        <v>330</v>
      </c>
      <c r="O1625" t="s">
        <v>2705</v>
      </c>
      <c r="P1625" t="s">
        <v>2725</v>
      </c>
      <c r="Q1625" t="s">
        <v>966</v>
      </c>
    </row>
    <row r="1626" spans="1:17">
      <c r="A1626" s="2" t="s">
        <v>353</v>
      </c>
      <c r="B1626" s="2" t="s">
        <v>353</v>
      </c>
      <c r="C1626" s="2" t="s">
        <v>354</v>
      </c>
      <c r="D1626" s="11">
        <v>45989.833333333336</v>
      </c>
      <c r="E1626" s="11">
        <v>45989.833333333336</v>
      </c>
      <c r="F1626" s="11">
        <v>45990.285416666666</v>
      </c>
      <c r="G1626" s="12">
        <v>0.45208333332993789</v>
      </c>
      <c r="H1626" s="2" t="s">
        <v>248</v>
      </c>
      <c r="J1626" s="2" t="s">
        <v>249</v>
      </c>
      <c r="K1626" s="2" t="s">
        <v>349</v>
      </c>
      <c r="L1626" s="2" t="s">
        <v>2683</v>
      </c>
      <c r="M1626" t="s">
        <v>736</v>
      </c>
      <c r="N1626" t="s">
        <v>330</v>
      </c>
      <c r="O1626" t="s">
        <v>331</v>
      </c>
      <c r="P1626" t="s">
        <v>2726</v>
      </c>
      <c r="Q1626" t="s">
        <v>966</v>
      </c>
    </row>
    <row r="1627" spans="1:17">
      <c r="A1627" s="2" t="s">
        <v>353</v>
      </c>
      <c r="B1627" s="2" t="s">
        <v>353</v>
      </c>
      <c r="C1627" s="2" t="s">
        <v>357</v>
      </c>
      <c r="D1627" s="11">
        <v>45989.833333333336</v>
      </c>
      <c r="E1627" s="11">
        <v>45989.833333333336</v>
      </c>
      <c r="F1627" s="11">
        <v>45990.285416666666</v>
      </c>
      <c r="G1627" s="12">
        <v>0.45208333332993789</v>
      </c>
      <c r="H1627" s="2" t="s">
        <v>248</v>
      </c>
      <c r="J1627" s="2" t="s">
        <v>249</v>
      </c>
      <c r="K1627" s="2" t="s">
        <v>349</v>
      </c>
      <c r="L1627" s="2" t="s">
        <v>2683</v>
      </c>
      <c r="M1627" t="s">
        <v>736</v>
      </c>
      <c r="N1627" t="s">
        <v>330</v>
      </c>
      <c r="O1627" t="s">
        <v>331</v>
      </c>
      <c r="P1627" t="s">
        <v>2727</v>
      </c>
      <c r="Q1627" t="s">
        <v>966</v>
      </c>
    </row>
    <row r="1628" spans="1:17">
      <c r="A1628" s="2" t="s">
        <v>353</v>
      </c>
      <c r="B1628" s="2" t="s">
        <v>353</v>
      </c>
      <c r="C1628" s="2" t="s">
        <v>358</v>
      </c>
      <c r="D1628" s="11">
        <v>45989.833333333336</v>
      </c>
      <c r="E1628" s="11">
        <v>45989.833333333336</v>
      </c>
      <c r="F1628" s="11">
        <v>45990.285416666666</v>
      </c>
      <c r="G1628" s="12">
        <v>0.45208333332993789</v>
      </c>
      <c r="H1628" s="2" t="s">
        <v>248</v>
      </c>
      <c r="J1628" s="2" t="s">
        <v>249</v>
      </c>
      <c r="K1628" s="2" t="s">
        <v>349</v>
      </c>
      <c r="L1628" s="2" t="s">
        <v>2683</v>
      </c>
      <c r="M1628" t="s">
        <v>736</v>
      </c>
      <c r="N1628" t="s">
        <v>330</v>
      </c>
      <c r="O1628" t="s">
        <v>331</v>
      </c>
      <c r="P1628" t="s">
        <v>2728</v>
      </c>
      <c r="Q1628" t="s">
        <v>966</v>
      </c>
    </row>
    <row r="1629" spans="1:17">
      <c r="A1629" s="2" t="s">
        <v>353</v>
      </c>
      <c r="B1629" s="2" t="s">
        <v>353</v>
      </c>
      <c r="C1629" s="2" t="s">
        <v>359</v>
      </c>
      <c r="D1629" s="11">
        <v>45989.833333333336</v>
      </c>
      <c r="E1629" s="11">
        <v>45989.833333333336</v>
      </c>
      <c r="F1629" s="11">
        <v>45990.285416666666</v>
      </c>
      <c r="G1629" s="12">
        <v>0.45208333332993789</v>
      </c>
      <c r="H1629" s="2" t="s">
        <v>248</v>
      </c>
      <c r="J1629" s="2" t="s">
        <v>249</v>
      </c>
      <c r="K1629" s="2" t="s">
        <v>349</v>
      </c>
      <c r="L1629" s="2" t="s">
        <v>2683</v>
      </c>
      <c r="M1629" t="s">
        <v>736</v>
      </c>
      <c r="N1629" t="s">
        <v>330</v>
      </c>
      <c r="O1629" t="s">
        <v>331</v>
      </c>
      <c r="P1629" t="s">
        <v>2729</v>
      </c>
      <c r="Q1629" t="s">
        <v>966</v>
      </c>
    </row>
    <row r="1630" spans="1:17">
      <c r="A1630" s="2" t="s">
        <v>360</v>
      </c>
      <c r="B1630" s="2" t="s">
        <v>360</v>
      </c>
      <c r="C1630" s="2" t="s">
        <v>354</v>
      </c>
      <c r="D1630" s="11">
        <v>45989.833333333336</v>
      </c>
      <c r="E1630" s="11">
        <v>45989.833333333336</v>
      </c>
      <c r="F1630" s="11">
        <v>45990.285416666666</v>
      </c>
      <c r="G1630" s="12">
        <v>0.45208333332993789</v>
      </c>
      <c r="H1630" s="2" t="s">
        <v>248</v>
      </c>
      <c r="J1630" s="2" t="s">
        <v>249</v>
      </c>
      <c r="K1630" s="2" t="s">
        <v>349</v>
      </c>
      <c r="L1630" s="2" t="s">
        <v>2683</v>
      </c>
      <c r="M1630" t="s">
        <v>736</v>
      </c>
      <c r="N1630" t="s">
        <v>330</v>
      </c>
      <c r="O1630" t="s">
        <v>331</v>
      </c>
      <c r="P1630" t="s">
        <v>2730</v>
      </c>
      <c r="Q1630" t="s">
        <v>966</v>
      </c>
    </row>
    <row r="1631" spans="1:17">
      <c r="A1631" s="2" t="s">
        <v>360</v>
      </c>
      <c r="B1631" s="2" t="s">
        <v>360</v>
      </c>
      <c r="C1631" s="2" t="s">
        <v>357</v>
      </c>
      <c r="D1631" s="11">
        <v>45989.833333333336</v>
      </c>
      <c r="E1631" s="11">
        <v>45989.833333333336</v>
      </c>
      <c r="F1631" s="11">
        <v>45990.285416666666</v>
      </c>
      <c r="G1631" s="12">
        <v>0.45208333332993789</v>
      </c>
      <c r="H1631" s="2" t="s">
        <v>248</v>
      </c>
      <c r="J1631" s="2" t="s">
        <v>249</v>
      </c>
      <c r="K1631" s="2" t="s">
        <v>349</v>
      </c>
      <c r="L1631" s="2" t="s">
        <v>2683</v>
      </c>
      <c r="M1631" t="s">
        <v>736</v>
      </c>
      <c r="N1631" t="s">
        <v>330</v>
      </c>
      <c r="O1631" t="s">
        <v>331</v>
      </c>
      <c r="P1631" t="s">
        <v>2731</v>
      </c>
      <c r="Q1631" t="s">
        <v>966</v>
      </c>
    </row>
    <row r="1632" spans="1:17">
      <c r="A1632" s="2" t="s">
        <v>360</v>
      </c>
      <c r="B1632" s="2" t="s">
        <v>360</v>
      </c>
      <c r="C1632" s="2" t="s">
        <v>358</v>
      </c>
      <c r="D1632" s="11">
        <v>45989.833333333336</v>
      </c>
      <c r="E1632" s="11">
        <v>45989.833333333336</v>
      </c>
      <c r="F1632" s="11">
        <v>45990.285416666666</v>
      </c>
      <c r="G1632" s="12">
        <v>0.45208333332993789</v>
      </c>
      <c r="H1632" s="2" t="s">
        <v>248</v>
      </c>
      <c r="J1632" s="2" t="s">
        <v>249</v>
      </c>
      <c r="K1632" s="2" t="s">
        <v>349</v>
      </c>
      <c r="L1632" s="2" t="s">
        <v>2683</v>
      </c>
      <c r="M1632" t="s">
        <v>736</v>
      </c>
      <c r="N1632" t="s">
        <v>330</v>
      </c>
      <c r="O1632" t="s">
        <v>331</v>
      </c>
      <c r="P1632" t="s">
        <v>2732</v>
      </c>
      <c r="Q1632" t="s">
        <v>966</v>
      </c>
    </row>
    <row r="1633" spans="1:17">
      <c r="A1633" s="2" t="s">
        <v>360</v>
      </c>
      <c r="B1633" s="2" t="s">
        <v>360</v>
      </c>
      <c r="C1633" s="2" t="s">
        <v>359</v>
      </c>
      <c r="D1633" s="11">
        <v>45989.833333333336</v>
      </c>
      <c r="E1633" s="11">
        <v>45989.833333333336</v>
      </c>
      <c r="F1633" s="11">
        <v>45990.285416666666</v>
      </c>
      <c r="G1633" s="12">
        <v>0.45208333332993789</v>
      </c>
      <c r="H1633" s="2" t="s">
        <v>248</v>
      </c>
      <c r="J1633" s="2" t="s">
        <v>249</v>
      </c>
      <c r="K1633" s="2" t="s">
        <v>349</v>
      </c>
      <c r="L1633" s="2" t="s">
        <v>2683</v>
      </c>
      <c r="M1633" t="s">
        <v>736</v>
      </c>
      <c r="N1633" t="s">
        <v>330</v>
      </c>
      <c r="O1633" t="s">
        <v>331</v>
      </c>
      <c r="P1633" t="s">
        <v>2733</v>
      </c>
      <c r="Q1633" t="s">
        <v>966</v>
      </c>
    </row>
    <row r="1634" spans="1:17">
      <c r="A1634" s="2" t="s">
        <v>361</v>
      </c>
      <c r="B1634" s="2" t="s">
        <v>361</v>
      </c>
      <c r="C1634" s="2" t="s">
        <v>362</v>
      </c>
      <c r="D1634" s="11">
        <v>45989.833333333336</v>
      </c>
      <c r="E1634" s="11">
        <v>45989.833333333336</v>
      </c>
      <c r="F1634" s="11">
        <v>45990.285416666666</v>
      </c>
      <c r="G1634" s="12">
        <v>0.45208333332993789</v>
      </c>
      <c r="H1634" s="2" t="s">
        <v>248</v>
      </c>
      <c r="J1634" s="2" t="s">
        <v>249</v>
      </c>
      <c r="K1634" s="2" t="s">
        <v>349</v>
      </c>
      <c r="L1634" s="2" t="s">
        <v>2683</v>
      </c>
      <c r="M1634" t="s">
        <v>736</v>
      </c>
      <c r="N1634" t="s">
        <v>330</v>
      </c>
      <c r="O1634" t="s">
        <v>331</v>
      </c>
      <c r="P1634" t="s">
        <v>2734</v>
      </c>
      <c r="Q1634" t="s">
        <v>966</v>
      </c>
    </row>
    <row r="1635" spans="1:17">
      <c r="A1635" s="2" t="s">
        <v>361</v>
      </c>
      <c r="B1635" s="2" t="s">
        <v>361</v>
      </c>
      <c r="C1635" s="2" t="s">
        <v>328</v>
      </c>
      <c r="D1635" s="11">
        <v>45989.833333333336</v>
      </c>
      <c r="E1635" s="11">
        <v>45989.833333333336</v>
      </c>
      <c r="F1635" s="11">
        <v>45990.285416666666</v>
      </c>
      <c r="G1635" s="12">
        <v>0.45208333332993789</v>
      </c>
      <c r="H1635" s="2" t="s">
        <v>248</v>
      </c>
      <c r="J1635" s="2" t="s">
        <v>249</v>
      </c>
      <c r="K1635" s="2" t="s">
        <v>349</v>
      </c>
      <c r="L1635" s="2" t="s">
        <v>2683</v>
      </c>
      <c r="M1635" t="s">
        <v>736</v>
      </c>
      <c r="N1635" t="s">
        <v>330</v>
      </c>
      <c r="O1635" t="s">
        <v>331</v>
      </c>
      <c r="P1635" t="s">
        <v>2735</v>
      </c>
      <c r="Q1635" t="s">
        <v>966</v>
      </c>
    </row>
    <row r="1636" spans="1:17">
      <c r="A1636" s="2" t="s">
        <v>421</v>
      </c>
      <c r="B1636" s="2" t="s">
        <v>421</v>
      </c>
      <c r="C1636" s="2" t="s">
        <v>357</v>
      </c>
      <c r="D1636" s="11">
        <v>45990.477777777778</v>
      </c>
      <c r="E1636" s="11">
        <v>45990.477777777778</v>
      </c>
      <c r="F1636" s="11">
        <v>45990.5</v>
      </c>
      <c r="G1636" s="12">
        <v>2.2222222221898846E-2</v>
      </c>
      <c r="H1636" s="2" t="s">
        <v>248</v>
      </c>
      <c r="J1636" s="2" t="s">
        <v>249</v>
      </c>
      <c r="K1636" s="2" t="s">
        <v>349</v>
      </c>
      <c r="L1636" s="2" t="s">
        <v>2736</v>
      </c>
      <c r="M1636" t="s">
        <v>251</v>
      </c>
      <c r="N1636" t="s">
        <v>266</v>
      </c>
      <c r="O1636" t="s">
        <v>676</v>
      </c>
      <c r="P1636" t="s">
        <v>2737</v>
      </c>
      <c r="Q1636" t="s">
        <v>966</v>
      </c>
    </row>
    <row r="1637" spans="1:17">
      <c r="A1637" s="2" t="s">
        <v>421</v>
      </c>
      <c r="B1637" s="2" t="s">
        <v>421</v>
      </c>
      <c r="C1637" s="2" t="s">
        <v>354</v>
      </c>
      <c r="D1637" s="11">
        <v>45990.477777777778</v>
      </c>
      <c r="E1637" s="11">
        <v>45990.477777777778</v>
      </c>
      <c r="F1637" s="11">
        <v>45990.5</v>
      </c>
      <c r="G1637" s="12">
        <v>2.2222222221898846E-2</v>
      </c>
      <c r="H1637" s="2" t="s">
        <v>248</v>
      </c>
      <c r="J1637" s="2" t="s">
        <v>249</v>
      </c>
      <c r="K1637" s="2" t="s">
        <v>349</v>
      </c>
      <c r="L1637" s="2" t="s">
        <v>2736</v>
      </c>
      <c r="M1637" t="s">
        <v>251</v>
      </c>
      <c r="N1637" t="s">
        <v>266</v>
      </c>
      <c r="O1637" t="s">
        <v>676</v>
      </c>
      <c r="P1637" t="s">
        <v>2738</v>
      </c>
      <c r="Q1637" t="s">
        <v>966</v>
      </c>
    </row>
    <row r="1638" spans="1:17">
      <c r="A1638" s="2" t="s">
        <v>421</v>
      </c>
      <c r="B1638" s="2" t="s">
        <v>421</v>
      </c>
      <c r="C1638" s="2" t="s">
        <v>359</v>
      </c>
      <c r="D1638" s="11">
        <v>45990.477777777778</v>
      </c>
      <c r="E1638" s="11">
        <v>45990.477777777778</v>
      </c>
      <c r="F1638" s="11">
        <v>45990.5</v>
      </c>
      <c r="G1638" s="12">
        <v>2.2222222221898846E-2</v>
      </c>
      <c r="H1638" s="2" t="s">
        <v>248</v>
      </c>
      <c r="J1638" s="2" t="s">
        <v>249</v>
      </c>
      <c r="K1638" s="2" t="s">
        <v>349</v>
      </c>
      <c r="L1638" s="2" t="s">
        <v>2736</v>
      </c>
      <c r="M1638" t="s">
        <v>251</v>
      </c>
      <c r="N1638" t="s">
        <v>266</v>
      </c>
      <c r="O1638" t="s">
        <v>676</v>
      </c>
      <c r="P1638" t="s">
        <v>2739</v>
      </c>
      <c r="Q1638" t="s">
        <v>966</v>
      </c>
    </row>
    <row r="1639" spans="1:17">
      <c r="A1639" s="2" t="s">
        <v>421</v>
      </c>
      <c r="B1639" s="2" t="s">
        <v>421</v>
      </c>
      <c r="C1639" s="2" t="s">
        <v>358</v>
      </c>
      <c r="D1639" s="11">
        <v>45990.477777777778</v>
      </c>
      <c r="E1639" s="11">
        <v>45990.477777777778</v>
      </c>
      <c r="F1639" s="11">
        <v>45990.5</v>
      </c>
      <c r="G1639" s="12">
        <v>2.2222222221898846E-2</v>
      </c>
      <c r="H1639" s="2" t="s">
        <v>248</v>
      </c>
      <c r="J1639" s="2" t="s">
        <v>249</v>
      </c>
      <c r="K1639" s="2" t="s">
        <v>349</v>
      </c>
      <c r="L1639" s="2" t="s">
        <v>2736</v>
      </c>
      <c r="M1639" t="s">
        <v>251</v>
      </c>
      <c r="N1639" t="s">
        <v>266</v>
      </c>
      <c r="O1639" t="s">
        <v>676</v>
      </c>
      <c r="P1639" t="s">
        <v>2740</v>
      </c>
      <c r="Q1639" t="s">
        <v>966</v>
      </c>
    </row>
    <row r="1640" spans="1:17">
      <c r="A1640" s="2" t="s">
        <v>424</v>
      </c>
      <c r="B1640" s="2" t="s">
        <v>424</v>
      </c>
      <c r="C1640" s="2" t="s">
        <v>358</v>
      </c>
      <c r="D1640" s="11">
        <v>45991.25277777778</v>
      </c>
      <c r="E1640" s="11">
        <v>45991.25277777778</v>
      </c>
      <c r="F1640" s="11">
        <v>45991.388888888891</v>
      </c>
      <c r="G1640" s="12">
        <v>0.13611111111094942</v>
      </c>
      <c r="H1640" s="2" t="s">
        <v>248</v>
      </c>
      <c r="J1640" s="2" t="s">
        <v>249</v>
      </c>
      <c r="K1640" s="2" t="s">
        <v>349</v>
      </c>
      <c r="L1640" s="2" t="s">
        <v>2741</v>
      </c>
      <c r="M1640" t="s">
        <v>251</v>
      </c>
      <c r="N1640" t="s">
        <v>266</v>
      </c>
      <c r="O1640" t="s">
        <v>676</v>
      </c>
      <c r="P1640" t="s">
        <v>2742</v>
      </c>
      <c r="Q1640" t="s">
        <v>966</v>
      </c>
    </row>
    <row r="1641" spans="1:17">
      <c r="A1641" s="2" t="s">
        <v>424</v>
      </c>
      <c r="B1641" s="2" t="s">
        <v>424</v>
      </c>
      <c r="C1641" s="2" t="s">
        <v>357</v>
      </c>
      <c r="D1641" s="11">
        <v>45991.25277777778</v>
      </c>
      <c r="E1641" s="11">
        <v>45991.25277777778</v>
      </c>
      <c r="F1641" s="11">
        <v>45991.388888888891</v>
      </c>
      <c r="G1641" s="12">
        <v>0.13611111111094942</v>
      </c>
      <c r="H1641" s="2" t="s">
        <v>248</v>
      </c>
      <c r="J1641" s="2" t="s">
        <v>249</v>
      </c>
      <c r="K1641" s="2" t="s">
        <v>349</v>
      </c>
      <c r="L1641" s="2" t="s">
        <v>2741</v>
      </c>
      <c r="M1641" t="s">
        <v>251</v>
      </c>
      <c r="N1641" t="s">
        <v>266</v>
      </c>
      <c r="O1641" t="s">
        <v>676</v>
      </c>
      <c r="P1641" t="s">
        <v>2743</v>
      </c>
      <c r="Q1641" t="s">
        <v>966</v>
      </c>
    </row>
    <row r="1642" spans="1:17">
      <c r="A1642" s="2" t="s">
        <v>424</v>
      </c>
      <c r="B1642" s="2" t="s">
        <v>424</v>
      </c>
      <c r="C1642" s="2" t="s">
        <v>354</v>
      </c>
      <c r="D1642" s="11">
        <v>45991.25277777778</v>
      </c>
      <c r="E1642" s="11">
        <v>45991.25277777778</v>
      </c>
      <c r="F1642" s="11">
        <v>45991.388888888891</v>
      </c>
      <c r="G1642" s="12">
        <v>0.13611111111094942</v>
      </c>
      <c r="H1642" s="2" t="s">
        <v>248</v>
      </c>
      <c r="J1642" s="2" t="s">
        <v>249</v>
      </c>
      <c r="K1642" s="2" t="s">
        <v>349</v>
      </c>
      <c r="L1642" s="2" t="s">
        <v>2741</v>
      </c>
      <c r="M1642" t="s">
        <v>251</v>
      </c>
      <c r="N1642" t="s">
        <v>266</v>
      </c>
      <c r="O1642" t="s">
        <v>676</v>
      </c>
      <c r="P1642" t="s">
        <v>2744</v>
      </c>
      <c r="Q1642" t="s">
        <v>966</v>
      </c>
    </row>
    <row r="1643" spans="1:17">
      <c r="A1643" s="2" t="s">
        <v>424</v>
      </c>
      <c r="B1643" s="2" t="s">
        <v>424</v>
      </c>
      <c r="C1643" s="2" t="s">
        <v>328</v>
      </c>
      <c r="D1643" s="11">
        <v>45991.25277777778</v>
      </c>
      <c r="E1643" s="11">
        <v>45991.25277777778</v>
      </c>
      <c r="F1643" s="11">
        <v>45991.388888888891</v>
      </c>
      <c r="G1643" s="12">
        <v>0.13611111111094942</v>
      </c>
      <c r="H1643" s="2" t="s">
        <v>248</v>
      </c>
      <c r="J1643" s="2" t="s">
        <v>249</v>
      </c>
      <c r="K1643" s="2" t="s">
        <v>349</v>
      </c>
      <c r="L1643" s="2" t="s">
        <v>2741</v>
      </c>
      <c r="M1643" t="s">
        <v>251</v>
      </c>
      <c r="N1643" t="s">
        <v>266</v>
      </c>
      <c r="O1643" t="s">
        <v>676</v>
      </c>
      <c r="P1643" t="s">
        <v>2745</v>
      </c>
      <c r="Q1643" t="s">
        <v>966</v>
      </c>
    </row>
    <row r="1644" spans="1:17">
      <c r="A1644" s="2" t="s">
        <v>353</v>
      </c>
      <c r="B1644" s="2" t="s">
        <v>353</v>
      </c>
      <c r="C1644" s="2" t="s">
        <v>354</v>
      </c>
      <c r="D1644" s="11">
        <v>45991.435416666667</v>
      </c>
      <c r="E1644" s="11">
        <v>45991.435416666667</v>
      </c>
      <c r="F1644" s="11">
        <v>45991.465277777781</v>
      </c>
      <c r="G1644" s="12">
        <v>2.9861111113859806E-2</v>
      </c>
      <c r="H1644" s="2" t="s">
        <v>260</v>
      </c>
      <c r="I1644" s="2" t="s">
        <v>261</v>
      </c>
      <c r="J1644" s="2" t="s">
        <v>262</v>
      </c>
      <c r="K1644" s="2" t="s">
        <v>263</v>
      </c>
      <c r="L1644" s="2" t="s">
        <v>2746</v>
      </c>
      <c r="M1644" t="s">
        <v>265</v>
      </c>
      <c r="N1644" t="s">
        <v>266</v>
      </c>
      <c r="O1644" t="s">
        <v>2747</v>
      </c>
      <c r="P1644" t="s">
        <v>2748</v>
      </c>
      <c r="Q1644" t="s">
        <v>1401</v>
      </c>
    </row>
    <row r="1645" spans="1:17">
      <c r="A1645" s="2" t="s">
        <v>353</v>
      </c>
      <c r="B1645" s="2" t="s">
        <v>353</v>
      </c>
      <c r="C1645" s="2" t="s">
        <v>357</v>
      </c>
      <c r="D1645" s="11">
        <v>45991.435416666667</v>
      </c>
      <c r="E1645" s="11">
        <v>45991.435416666667</v>
      </c>
      <c r="F1645" s="11">
        <v>45991.465277777781</v>
      </c>
      <c r="G1645" s="12">
        <v>2.9861111113859806E-2</v>
      </c>
      <c r="H1645" s="2" t="s">
        <v>260</v>
      </c>
      <c r="I1645" s="2" t="s">
        <v>261</v>
      </c>
      <c r="J1645" s="2" t="s">
        <v>262</v>
      </c>
      <c r="K1645" s="2" t="s">
        <v>263</v>
      </c>
      <c r="L1645" s="2" t="s">
        <v>2746</v>
      </c>
      <c r="M1645" t="s">
        <v>265</v>
      </c>
      <c r="N1645" t="s">
        <v>266</v>
      </c>
      <c r="O1645" t="s">
        <v>2747</v>
      </c>
      <c r="P1645" t="s">
        <v>2749</v>
      </c>
      <c r="Q1645" t="s">
        <v>1401</v>
      </c>
    </row>
    <row r="1646" spans="1:17">
      <c r="A1646" s="2" t="s">
        <v>353</v>
      </c>
      <c r="B1646" s="2" t="s">
        <v>353</v>
      </c>
      <c r="C1646" s="2" t="s">
        <v>358</v>
      </c>
      <c r="D1646" s="11">
        <v>45991.435416666667</v>
      </c>
      <c r="E1646" s="11">
        <v>45991.435416666667</v>
      </c>
      <c r="F1646" s="11">
        <v>45991.465277777781</v>
      </c>
      <c r="G1646" s="12">
        <v>2.9861111113859806E-2</v>
      </c>
      <c r="H1646" s="2" t="s">
        <v>260</v>
      </c>
      <c r="I1646" s="2" t="s">
        <v>261</v>
      </c>
      <c r="J1646" s="2" t="s">
        <v>262</v>
      </c>
      <c r="K1646" s="2" t="s">
        <v>263</v>
      </c>
      <c r="L1646" s="2" t="s">
        <v>2746</v>
      </c>
      <c r="M1646" t="s">
        <v>265</v>
      </c>
      <c r="N1646" t="s">
        <v>266</v>
      </c>
      <c r="O1646" t="s">
        <v>2747</v>
      </c>
      <c r="P1646" t="s">
        <v>2750</v>
      </c>
      <c r="Q1646" t="s">
        <v>1401</v>
      </c>
    </row>
    <row r="1647" spans="1:17">
      <c r="A1647" s="2" t="s">
        <v>353</v>
      </c>
      <c r="B1647" s="2" t="s">
        <v>353</v>
      </c>
      <c r="C1647" s="2" t="s">
        <v>359</v>
      </c>
      <c r="D1647" s="11">
        <v>45991.435416666667</v>
      </c>
      <c r="E1647" s="11">
        <v>45991.435416666667</v>
      </c>
      <c r="F1647" s="11">
        <v>45991.465277777781</v>
      </c>
      <c r="G1647" s="12">
        <v>2.9861111113859806E-2</v>
      </c>
      <c r="H1647" s="2" t="s">
        <v>260</v>
      </c>
      <c r="I1647" s="2" t="s">
        <v>261</v>
      </c>
      <c r="J1647" s="2" t="s">
        <v>262</v>
      </c>
      <c r="K1647" s="2" t="s">
        <v>263</v>
      </c>
      <c r="L1647" s="2" t="s">
        <v>2746</v>
      </c>
      <c r="M1647" t="s">
        <v>265</v>
      </c>
      <c r="N1647" t="s">
        <v>266</v>
      </c>
      <c r="O1647" t="s">
        <v>2747</v>
      </c>
      <c r="P1647" t="s">
        <v>2751</v>
      </c>
      <c r="Q1647" t="s">
        <v>1401</v>
      </c>
    </row>
    <row r="1648" spans="1:17">
      <c r="A1648" s="2" t="s">
        <v>360</v>
      </c>
      <c r="B1648" s="2" t="s">
        <v>360</v>
      </c>
      <c r="C1648" s="2" t="s">
        <v>354</v>
      </c>
      <c r="D1648" s="11">
        <v>45991.435416666667</v>
      </c>
      <c r="E1648" s="11">
        <v>45991.435416666667</v>
      </c>
      <c r="F1648" s="11">
        <v>45991.465277777781</v>
      </c>
      <c r="G1648" s="12">
        <v>2.9861111113859806E-2</v>
      </c>
      <c r="H1648" s="2" t="s">
        <v>260</v>
      </c>
      <c r="I1648" s="2" t="s">
        <v>261</v>
      </c>
      <c r="J1648" s="2" t="s">
        <v>262</v>
      </c>
      <c r="K1648" s="2" t="s">
        <v>263</v>
      </c>
      <c r="L1648" s="2" t="s">
        <v>2746</v>
      </c>
      <c r="M1648" t="s">
        <v>265</v>
      </c>
      <c r="N1648" t="s">
        <v>266</v>
      </c>
      <c r="O1648" t="s">
        <v>2747</v>
      </c>
      <c r="P1648" t="s">
        <v>2752</v>
      </c>
      <c r="Q1648" t="s">
        <v>1401</v>
      </c>
    </row>
    <row r="1649" spans="1:17">
      <c r="A1649" s="2" t="s">
        <v>360</v>
      </c>
      <c r="B1649" s="2" t="s">
        <v>360</v>
      </c>
      <c r="C1649" s="2" t="s">
        <v>357</v>
      </c>
      <c r="D1649" s="11">
        <v>45991.435416666667</v>
      </c>
      <c r="E1649" s="11">
        <v>45991.435416666667</v>
      </c>
      <c r="F1649" s="11">
        <v>45991.465277777781</v>
      </c>
      <c r="G1649" s="12">
        <v>2.9861111113859806E-2</v>
      </c>
      <c r="H1649" s="2" t="s">
        <v>260</v>
      </c>
      <c r="I1649" s="2" t="s">
        <v>261</v>
      </c>
      <c r="J1649" s="2" t="s">
        <v>262</v>
      </c>
      <c r="K1649" s="2" t="s">
        <v>263</v>
      </c>
      <c r="L1649" s="2" t="s">
        <v>2746</v>
      </c>
      <c r="M1649" t="s">
        <v>265</v>
      </c>
      <c r="N1649" t="s">
        <v>266</v>
      </c>
      <c r="O1649" t="s">
        <v>2747</v>
      </c>
      <c r="P1649" t="s">
        <v>2753</v>
      </c>
      <c r="Q1649" t="s">
        <v>1401</v>
      </c>
    </row>
    <row r="1650" spans="1:17">
      <c r="A1650" s="2" t="s">
        <v>360</v>
      </c>
      <c r="B1650" s="2" t="s">
        <v>360</v>
      </c>
      <c r="C1650" s="2" t="s">
        <v>358</v>
      </c>
      <c r="D1650" s="11">
        <v>45991.435416666667</v>
      </c>
      <c r="E1650" s="11">
        <v>45991.435416666667</v>
      </c>
      <c r="F1650" s="11">
        <v>45991.465277777781</v>
      </c>
      <c r="G1650" s="12">
        <v>2.9861111113859806E-2</v>
      </c>
      <c r="H1650" s="2" t="s">
        <v>260</v>
      </c>
      <c r="I1650" s="2" t="s">
        <v>261</v>
      </c>
      <c r="J1650" s="2" t="s">
        <v>262</v>
      </c>
      <c r="K1650" s="2" t="s">
        <v>263</v>
      </c>
      <c r="L1650" s="2" t="s">
        <v>2746</v>
      </c>
      <c r="M1650" t="s">
        <v>265</v>
      </c>
      <c r="N1650" t="s">
        <v>266</v>
      </c>
      <c r="O1650" t="s">
        <v>2747</v>
      </c>
      <c r="P1650" t="s">
        <v>2754</v>
      </c>
      <c r="Q1650" t="s">
        <v>1401</v>
      </c>
    </row>
    <row r="1651" spans="1:17">
      <c r="A1651" s="2" t="s">
        <v>360</v>
      </c>
      <c r="B1651" s="2" t="s">
        <v>360</v>
      </c>
      <c r="C1651" s="2" t="s">
        <v>359</v>
      </c>
      <c r="D1651" s="11">
        <v>45991.435416666667</v>
      </c>
      <c r="E1651" s="11">
        <v>45991.435416666667</v>
      </c>
      <c r="F1651" s="11">
        <v>45991.465277777781</v>
      </c>
      <c r="G1651" s="12">
        <v>2.9861111113859806E-2</v>
      </c>
      <c r="H1651" s="2" t="s">
        <v>260</v>
      </c>
      <c r="I1651" s="2" t="s">
        <v>261</v>
      </c>
      <c r="J1651" s="2" t="s">
        <v>262</v>
      </c>
      <c r="K1651" s="2" t="s">
        <v>263</v>
      </c>
      <c r="L1651" s="2" t="s">
        <v>2746</v>
      </c>
      <c r="M1651" t="s">
        <v>265</v>
      </c>
      <c r="N1651" t="s">
        <v>266</v>
      </c>
      <c r="O1651" t="s">
        <v>2747</v>
      </c>
      <c r="P1651" t="s">
        <v>2755</v>
      </c>
      <c r="Q1651" t="s">
        <v>1401</v>
      </c>
    </row>
    <row r="1652" spans="1:17">
      <c r="A1652" s="2" t="s">
        <v>361</v>
      </c>
      <c r="B1652" s="2" t="s">
        <v>361</v>
      </c>
      <c r="C1652" s="2" t="s">
        <v>362</v>
      </c>
      <c r="D1652" s="11">
        <v>45991.435416666667</v>
      </c>
      <c r="E1652" s="11">
        <v>45991.435416666667</v>
      </c>
      <c r="F1652" s="11">
        <v>45991.465277777781</v>
      </c>
      <c r="G1652" s="12">
        <v>2.9861111113859806E-2</v>
      </c>
      <c r="H1652" s="2" t="s">
        <v>260</v>
      </c>
      <c r="I1652" s="2" t="s">
        <v>261</v>
      </c>
      <c r="J1652" s="2" t="s">
        <v>262</v>
      </c>
      <c r="K1652" s="2" t="s">
        <v>263</v>
      </c>
      <c r="L1652" s="2" t="s">
        <v>2746</v>
      </c>
      <c r="M1652" t="s">
        <v>265</v>
      </c>
      <c r="N1652" t="s">
        <v>266</v>
      </c>
      <c r="O1652" t="s">
        <v>2747</v>
      </c>
      <c r="P1652" t="s">
        <v>2756</v>
      </c>
      <c r="Q1652" t="s">
        <v>1401</v>
      </c>
    </row>
    <row r="1653" spans="1:17">
      <c r="A1653" s="2" t="s">
        <v>361</v>
      </c>
      <c r="B1653" s="2" t="s">
        <v>361</v>
      </c>
      <c r="C1653" s="2" t="s">
        <v>328</v>
      </c>
      <c r="D1653" s="11">
        <v>45991.435416666667</v>
      </c>
      <c r="E1653" s="11">
        <v>45991.435416666667</v>
      </c>
      <c r="F1653" s="11">
        <v>45991.465277777781</v>
      </c>
      <c r="G1653" s="12">
        <v>2.9861111113859806E-2</v>
      </c>
      <c r="H1653" s="2" t="s">
        <v>260</v>
      </c>
      <c r="I1653" s="2" t="s">
        <v>261</v>
      </c>
      <c r="J1653" s="2" t="s">
        <v>262</v>
      </c>
      <c r="K1653" s="2" t="s">
        <v>263</v>
      </c>
      <c r="L1653" s="2" t="s">
        <v>2746</v>
      </c>
      <c r="M1653" t="s">
        <v>265</v>
      </c>
      <c r="N1653" t="s">
        <v>266</v>
      </c>
      <c r="O1653" t="s">
        <v>2747</v>
      </c>
      <c r="P1653" t="s">
        <v>2757</v>
      </c>
      <c r="Q1653" t="s">
        <v>1401</v>
      </c>
    </row>
    <row r="1654" spans="1:17">
      <c r="A1654" s="2" t="s">
        <v>363</v>
      </c>
      <c r="B1654" s="2" t="s">
        <v>363</v>
      </c>
      <c r="C1654" s="2" t="s">
        <v>357</v>
      </c>
      <c r="D1654" s="11">
        <v>45991.435416666667</v>
      </c>
      <c r="E1654" s="11">
        <v>45991.435416666667</v>
      </c>
      <c r="F1654" s="11">
        <v>45991.465277777781</v>
      </c>
      <c r="G1654" s="12">
        <v>2.9861111113859806E-2</v>
      </c>
      <c r="H1654" s="2" t="s">
        <v>260</v>
      </c>
      <c r="I1654" s="2" t="s">
        <v>261</v>
      </c>
      <c r="J1654" s="2" t="s">
        <v>262</v>
      </c>
      <c r="K1654" s="2" t="s">
        <v>263</v>
      </c>
      <c r="L1654" s="2" t="s">
        <v>2746</v>
      </c>
      <c r="M1654" t="s">
        <v>265</v>
      </c>
      <c r="N1654" t="s">
        <v>266</v>
      </c>
      <c r="O1654" t="s">
        <v>2747</v>
      </c>
      <c r="P1654" t="s">
        <v>2758</v>
      </c>
      <c r="Q1654" t="s">
        <v>1401</v>
      </c>
    </row>
    <row r="1655" spans="1:17">
      <c r="A1655" s="2" t="s">
        <v>363</v>
      </c>
      <c r="B1655" s="2" t="s">
        <v>363</v>
      </c>
      <c r="C1655" s="2" t="s">
        <v>354</v>
      </c>
      <c r="D1655" s="11">
        <v>45991.435416666667</v>
      </c>
      <c r="E1655" s="11">
        <v>45991.435416666667</v>
      </c>
      <c r="F1655" s="11">
        <v>45991.465277777781</v>
      </c>
      <c r="G1655" s="12">
        <v>2.9861111113859806E-2</v>
      </c>
      <c r="H1655" s="2" t="s">
        <v>260</v>
      </c>
      <c r="I1655" s="2" t="s">
        <v>261</v>
      </c>
      <c r="J1655" s="2" t="s">
        <v>262</v>
      </c>
      <c r="K1655" s="2" t="s">
        <v>263</v>
      </c>
      <c r="L1655" s="2" t="s">
        <v>2746</v>
      </c>
      <c r="M1655" t="s">
        <v>265</v>
      </c>
      <c r="N1655" t="s">
        <v>266</v>
      </c>
      <c r="O1655" t="s">
        <v>2747</v>
      </c>
      <c r="P1655" t="s">
        <v>2759</v>
      </c>
      <c r="Q1655" t="s">
        <v>1401</v>
      </c>
    </row>
    <row r="1656" spans="1:17">
      <c r="A1656" s="2" t="s">
        <v>363</v>
      </c>
      <c r="B1656" s="2" t="s">
        <v>363</v>
      </c>
      <c r="C1656" s="2" t="s">
        <v>359</v>
      </c>
      <c r="D1656" s="11">
        <v>45991.435416666667</v>
      </c>
      <c r="E1656" s="11">
        <v>45991.435416666667</v>
      </c>
      <c r="F1656" s="11">
        <v>45991.465277777781</v>
      </c>
      <c r="G1656" s="12">
        <v>2.9861111113859806E-2</v>
      </c>
      <c r="H1656" s="2" t="s">
        <v>260</v>
      </c>
      <c r="I1656" s="2" t="s">
        <v>261</v>
      </c>
      <c r="J1656" s="2" t="s">
        <v>262</v>
      </c>
      <c r="K1656" s="2" t="s">
        <v>263</v>
      </c>
      <c r="L1656" s="2" t="s">
        <v>2746</v>
      </c>
      <c r="M1656" t="s">
        <v>265</v>
      </c>
      <c r="N1656" t="s">
        <v>266</v>
      </c>
      <c r="O1656" t="s">
        <v>2747</v>
      </c>
      <c r="P1656" t="s">
        <v>2760</v>
      </c>
      <c r="Q1656" t="s">
        <v>1401</v>
      </c>
    </row>
    <row r="1657" spans="1:17">
      <c r="A1657" s="2" t="s">
        <v>363</v>
      </c>
      <c r="B1657" s="2" t="s">
        <v>363</v>
      </c>
      <c r="C1657" s="2" t="s">
        <v>358</v>
      </c>
      <c r="D1657" s="11">
        <v>45991.435416666667</v>
      </c>
      <c r="E1657" s="11">
        <v>45991.435416666667</v>
      </c>
      <c r="F1657" s="11">
        <v>45991.465277777781</v>
      </c>
      <c r="G1657" s="12">
        <v>2.9861111113859806E-2</v>
      </c>
      <c r="H1657" s="2" t="s">
        <v>260</v>
      </c>
      <c r="I1657" s="2" t="s">
        <v>261</v>
      </c>
      <c r="J1657" s="2" t="s">
        <v>262</v>
      </c>
      <c r="K1657" s="2" t="s">
        <v>263</v>
      </c>
      <c r="L1657" s="2" t="s">
        <v>2746</v>
      </c>
      <c r="M1657" t="s">
        <v>265</v>
      </c>
      <c r="N1657" t="s">
        <v>266</v>
      </c>
      <c r="O1657" t="s">
        <v>2747</v>
      </c>
      <c r="P1657" t="s">
        <v>2761</v>
      </c>
      <c r="Q1657" t="s">
        <v>1401</v>
      </c>
    </row>
    <row r="1658" spans="1:17">
      <c r="A1658" s="2" t="s">
        <v>369</v>
      </c>
      <c r="B1658" s="2" t="s">
        <v>369</v>
      </c>
      <c r="C1658" s="2" t="s">
        <v>359</v>
      </c>
      <c r="D1658" s="11">
        <v>45991.435416666667</v>
      </c>
      <c r="E1658" s="11">
        <v>45991.435416666667</v>
      </c>
      <c r="F1658" s="11">
        <v>45991.465277777781</v>
      </c>
      <c r="G1658" s="12">
        <v>2.9861111113859806E-2</v>
      </c>
      <c r="H1658" s="2" t="s">
        <v>260</v>
      </c>
      <c r="I1658" s="2" t="s">
        <v>261</v>
      </c>
      <c r="J1658" s="2" t="s">
        <v>262</v>
      </c>
      <c r="K1658" s="2" t="s">
        <v>263</v>
      </c>
      <c r="L1658" s="2" t="s">
        <v>2746</v>
      </c>
      <c r="M1658" t="s">
        <v>265</v>
      </c>
      <c r="N1658" t="s">
        <v>266</v>
      </c>
      <c r="O1658" t="s">
        <v>2747</v>
      </c>
      <c r="P1658" t="s">
        <v>2762</v>
      </c>
      <c r="Q1658" t="s">
        <v>1401</v>
      </c>
    </row>
    <row r="1659" spans="1:17">
      <c r="A1659" s="2" t="s">
        <v>369</v>
      </c>
      <c r="B1659" s="2" t="s">
        <v>369</v>
      </c>
      <c r="C1659" s="2" t="s">
        <v>357</v>
      </c>
      <c r="D1659" s="11">
        <v>45991.435416666667</v>
      </c>
      <c r="E1659" s="11">
        <v>45991.435416666667</v>
      </c>
      <c r="F1659" s="11">
        <v>45991.465277777781</v>
      </c>
      <c r="G1659" s="12">
        <v>2.9861111113859806E-2</v>
      </c>
      <c r="H1659" s="2" t="s">
        <v>260</v>
      </c>
      <c r="I1659" s="2" t="s">
        <v>261</v>
      </c>
      <c r="J1659" s="2" t="s">
        <v>262</v>
      </c>
      <c r="K1659" s="2" t="s">
        <v>263</v>
      </c>
      <c r="L1659" s="2" t="s">
        <v>2746</v>
      </c>
      <c r="M1659" t="s">
        <v>265</v>
      </c>
      <c r="N1659" t="s">
        <v>266</v>
      </c>
      <c r="O1659" t="s">
        <v>2747</v>
      </c>
      <c r="P1659" t="s">
        <v>2763</v>
      </c>
      <c r="Q1659" t="s">
        <v>1401</v>
      </c>
    </row>
    <row r="1660" spans="1:17">
      <c r="A1660" s="2" t="s">
        <v>369</v>
      </c>
      <c r="B1660" s="2" t="s">
        <v>369</v>
      </c>
      <c r="C1660" s="2" t="s">
        <v>358</v>
      </c>
      <c r="D1660" s="11">
        <v>45991.435416666667</v>
      </c>
      <c r="E1660" s="11">
        <v>45991.435416666667</v>
      </c>
      <c r="F1660" s="11">
        <v>45991.465277777781</v>
      </c>
      <c r="G1660" s="12">
        <v>2.9861111113859806E-2</v>
      </c>
      <c r="H1660" s="2" t="s">
        <v>260</v>
      </c>
      <c r="I1660" s="2" t="s">
        <v>261</v>
      </c>
      <c r="J1660" s="2" t="s">
        <v>262</v>
      </c>
      <c r="K1660" s="2" t="s">
        <v>263</v>
      </c>
      <c r="L1660" s="2" t="s">
        <v>2746</v>
      </c>
      <c r="M1660" t="s">
        <v>265</v>
      </c>
      <c r="N1660" t="s">
        <v>266</v>
      </c>
      <c r="O1660" t="s">
        <v>2747</v>
      </c>
      <c r="P1660" t="s">
        <v>2764</v>
      </c>
      <c r="Q1660" t="s">
        <v>1401</v>
      </c>
    </row>
    <row r="1661" spans="1:17">
      <c r="A1661" s="2" t="s">
        <v>369</v>
      </c>
      <c r="B1661" s="2" t="s">
        <v>369</v>
      </c>
      <c r="C1661" s="2" t="s">
        <v>354</v>
      </c>
      <c r="D1661" s="11">
        <v>45991.435416666667</v>
      </c>
      <c r="E1661" s="11">
        <v>45991.435416666667</v>
      </c>
      <c r="F1661" s="11">
        <v>45991.465277777781</v>
      </c>
      <c r="G1661" s="12">
        <v>2.9861111113859806E-2</v>
      </c>
      <c r="H1661" s="2" t="s">
        <v>260</v>
      </c>
      <c r="I1661" s="2" t="s">
        <v>261</v>
      </c>
      <c r="J1661" s="2" t="s">
        <v>262</v>
      </c>
      <c r="K1661" s="2" t="s">
        <v>263</v>
      </c>
      <c r="L1661" s="2" t="s">
        <v>2746</v>
      </c>
      <c r="M1661" t="s">
        <v>265</v>
      </c>
      <c r="N1661" t="s">
        <v>266</v>
      </c>
      <c r="O1661" t="s">
        <v>2747</v>
      </c>
      <c r="P1661" t="s">
        <v>2765</v>
      </c>
      <c r="Q1661" t="s">
        <v>1401</v>
      </c>
    </row>
    <row r="1662" spans="1:17">
      <c r="A1662" s="2" t="s">
        <v>370</v>
      </c>
      <c r="B1662" s="2" t="s">
        <v>370</v>
      </c>
      <c r="C1662" s="2" t="s">
        <v>354</v>
      </c>
      <c r="D1662" s="11">
        <v>45991.435416666667</v>
      </c>
      <c r="E1662" s="11">
        <v>45991.435416666667</v>
      </c>
      <c r="F1662" s="11">
        <v>45991.465277777781</v>
      </c>
      <c r="G1662" s="12">
        <v>2.9861111113859806E-2</v>
      </c>
      <c r="H1662" s="2" t="s">
        <v>260</v>
      </c>
      <c r="I1662" s="2" t="s">
        <v>261</v>
      </c>
      <c r="J1662" s="2" t="s">
        <v>262</v>
      </c>
      <c r="K1662" s="2" t="s">
        <v>263</v>
      </c>
      <c r="L1662" s="2" t="s">
        <v>2746</v>
      </c>
      <c r="M1662" t="s">
        <v>265</v>
      </c>
      <c r="N1662" t="s">
        <v>266</v>
      </c>
      <c r="O1662" t="s">
        <v>2747</v>
      </c>
      <c r="P1662" t="s">
        <v>2766</v>
      </c>
      <c r="Q1662" t="s">
        <v>1401</v>
      </c>
    </row>
    <row r="1663" spans="1:17">
      <c r="A1663" s="2" t="s">
        <v>370</v>
      </c>
      <c r="B1663" s="2" t="s">
        <v>370</v>
      </c>
      <c r="C1663" s="2" t="s">
        <v>357</v>
      </c>
      <c r="D1663" s="11">
        <v>45991.435416666667</v>
      </c>
      <c r="E1663" s="11">
        <v>45991.435416666667</v>
      </c>
      <c r="F1663" s="11">
        <v>45991.465277777781</v>
      </c>
      <c r="G1663" s="12">
        <v>2.9861111113859806E-2</v>
      </c>
      <c r="H1663" s="2" t="s">
        <v>260</v>
      </c>
      <c r="I1663" s="2" t="s">
        <v>261</v>
      </c>
      <c r="J1663" s="2" t="s">
        <v>262</v>
      </c>
      <c r="K1663" s="2" t="s">
        <v>263</v>
      </c>
      <c r="L1663" s="2" t="s">
        <v>2746</v>
      </c>
      <c r="M1663" t="s">
        <v>265</v>
      </c>
      <c r="N1663" t="s">
        <v>266</v>
      </c>
      <c r="O1663" t="s">
        <v>2747</v>
      </c>
      <c r="P1663" t="s">
        <v>2767</v>
      </c>
      <c r="Q1663" t="s">
        <v>1401</v>
      </c>
    </row>
    <row r="1664" spans="1:17">
      <c r="A1664" s="2" t="s">
        <v>459</v>
      </c>
      <c r="B1664" s="2" t="s">
        <v>459</v>
      </c>
      <c r="C1664" s="2" t="s">
        <v>460</v>
      </c>
      <c r="D1664" s="11">
        <v>45991.660416666666</v>
      </c>
      <c r="E1664" s="11">
        <v>45991.660416666666</v>
      </c>
      <c r="F1664" s="11">
        <v>45991.663194444445</v>
      </c>
      <c r="G1664" s="12">
        <v>2.7777777795563452E-3</v>
      </c>
      <c r="H1664" s="2" t="s">
        <v>248</v>
      </c>
      <c r="J1664" s="2" t="s">
        <v>300</v>
      </c>
      <c r="K1664" s="2" t="s">
        <v>350</v>
      </c>
      <c r="L1664" s="2" t="s">
        <v>657</v>
      </c>
      <c r="M1664" t="s">
        <v>375</v>
      </c>
      <c r="N1664" t="s">
        <v>828</v>
      </c>
      <c r="O1664" t="s">
        <v>828</v>
      </c>
      <c r="P1664" t="s">
        <v>2768</v>
      </c>
      <c r="Q1664" t="s">
        <v>1224</v>
      </c>
    </row>
    <row r="1665" spans="1:17">
      <c r="A1665" s="2" t="s">
        <v>742</v>
      </c>
      <c r="B1665" s="2" t="s">
        <v>298</v>
      </c>
      <c r="C1665" s="2" t="s">
        <v>317</v>
      </c>
      <c r="D1665" s="11" t="s">
        <v>2769</v>
      </c>
      <c r="E1665" s="11" t="s">
        <v>2769</v>
      </c>
      <c r="F1665" s="11" t="s">
        <v>2770</v>
      </c>
      <c r="G1665" s="12">
        <v>2.0717592633445747E-3</v>
      </c>
      <c r="H1665" s="2" t="s">
        <v>248</v>
      </c>
      <c r="J1665" s="2" t="s">
        <v>300</v>
      </c>
      <c r="K1665" s="2" t="s">
        <v>350</v>
      </c>
      <c r="L1665" s="2" t="s">
        <v>2771</v>
      </c>
      <c r="M1665" t="s">
        <v>375</v>
      </c>
      <c r="N1665" t="s">
        <v>828</v>
      </c>
      <c r="O1665" t="s">
        <v>828</v>
      </c>
      <c r="P1665" t="s">
        <v>2772</v>
      </c>
      <c r="Q1665" t="s">
        <v>1224</v>
      </c>
    </row>
    <row r="1666" spans="1:17">
      <c r="A1666" s="2" t="s">
        <v>742</v>
      </c>
      <c r="B1666" s="2" t="s">
        <v>298</v>
      </c>
      <c r="C1666" s="2" t="s">
        <v>317</v>
      </c>
      <c r="D1666" s="11" t="s">
        <v>2773</v>
      </c>
      <c r="E1666" s="11" t="s">
        <v>2773</v>
      </c>
      <c r="F1666" s="11" t="s">
        <v>2774</v>
      </c>
      <c r="G1666" s="12">
        <v>3.0439814800047316E-3</v>
      </c>
      <c r="H1666" s="2" t="s">
        <v>248</v>
      </c>
      <c r="J1666" s="2" t="s">
        <v>300</v>
      </c>
      <c r="K1666" s="2" t="s">
        <v>350</v>
      </c>
      <c r="L1666" s="2" t="s">
        <v>2771</v>
      </c>
      <c r="M1666" t="s">
        <v>375</v>
      </c>
      <c r="N1666" t="s">
        <v>828</v>
      </c>
      <c r="O1666" t="s">
        <v>828</v>
      </c>
      <c r="P1666" t="s">
        <v>2775</v>
      </c>
      <c r="Q1666" t="s">
        <v>1224</v>
      </c>
    </row>
    <row r="1667" spans="1:17">
      <c r="A1667" s="2" t="s">
        <v>847</v>
      </c>
      <c r="B1667" s="2" t="s">
        <v>298</v>
      </c>
      <c r="C1667" s="2" t="s">
        <v>311</v>
      </c>
      <c r="D1667" s="11" t="s">
        <v>2776</v>
      </c>
      <c r="E1667" s="11" t="s">
        <v>2776</v>
      </c>
      <c r="F1667" s="11" t="s">
        <v>2777</v>
      </c>
      <c r="G1667" s="12">
        <v>2.0370370402815752E-3</v>
      </c>
      <c r="H1667" s="2" t="s">
        <v>248</v>
      </c>
      <c r="J1667" s="2" t="s">
        <v>300</v>
      </c>
      <c r="K1667" s="2" t="s">
        <v>350</v>
      </c>
      <c r="L1667" s="2" t="s">
        <v>2778</v>
      </c>
      <c r="M1667" t="s">
        <v>375</v>
      </c>
      <c r="N1667" t="s">
        <v>828</v>
      </c>
      <c r="O1667" t="s">
        <v>828</v>
      </c>
      <c r="P1667" t="s">
        <v>2779</v>
      </c>
      <c r="Q1667" t="s">
        <v>1224</v>
      </c>
    </row>
    <row r="1668" spans="1:17">
      <c r="A1668" s="2" t="s">
        <v>847</v>
      </c>
      <c r="B1668" s="2" t="s">
        <v>298</v>
      </c>
      <c r="C1668" s="2" t="s">
        <v>311</v>
      </c>
      <c r="D1668" s="11" t="s">
        <v>2780</v>
      </c>
      <c r="E1668" s="11" t="s">
        <v>2780</v>
      </c>
      <c r="F1668" s="11" t="s">
        <v>2781</v>
      </c>
      <c r="G1668" s="12">
        <v>2.0717592560686171E-3</v>
      </c>
      <c r="H1668" s="2" t="s">
        <v>248</v>
      </c>
      <c r="J1668" s="2" t="s">
        <v>300</v>
      </c>
      <c r="K1668" s="2" t="s">
        <v>350</v>
      </c>
      <c r="L1668" s="2" t="s">
        <v>2778</v>
      </c>
      <c r="M1668" t="s">
        <v>375</v>
      </c>
      <c r="N1668" t="s">
        <v>828</v>
      </c>
      <c r="O1668" t="s">
        <v>828</v>
      </c>
      <c r="P1668" t="s">
        <v>2782</v>
      </c>
      <c r="Q1668" t="s">
        <v>1224</v>
      </c>
    </row>
    <row r="1669" spans="1:17">
      <c r="A1669" s="2" t="s">
        <v>847</v>
      </c>
      <c r="B1669" s="2" t="s">
        <v>298</v>
      </c>
      <c r="C1669" s="2" t="s">
        <v>311</v>
      </c>
      <c r="D1669" s="11" t="s">
        <v>2783</v>
      </c>
      <c r="E1669" s="11" t="s">
        <v>2783</v>
      </c>
      <c r="F1669" s="11" t="s">
        <v>2784</v>
      </c>
      <c r="G1669" s="12">
        <v>2.0949074096279219E-3</v>
      </c>
      <c r="H1669" s="2" t="s">
        <v>248</v>
      </c>
      <c r="J1669" s="2" t="s">
        <v>300</v>
      </c>
      <c r="K1669" s="2" t="s">
        <v>350</v>
      </c>
      <c r="L1669" s="2" t="s">
        <v>2778</v>
      </c>
      <c r="M1669" t="s">
        <v>375</v>
      </c>
      <c r="N1669" t="s">
        <v>828</v>
      </c>
      <c r="O1669" t="s">
        <v>828</v>
      </c>
      <c r="P1669" t="s">
        <v>2785</v>
      </c>
      <c r="Q1669" t="s">
        <v>1224</v>
      </c>
    </row>
    <row r="1670" spans="1:17">
      <c r="A1670" s="2" t="s">
        <v>847</v>
      </c>
      <c r="B1670" s="2" t="s">
        <v>298</v>
      </c>
      <c r="C1670" s="2" t="s">
        <v>311</v>
      </c>
      <c r="D1670" s="11" t="s">
        <v>2786</v>
      </c>
      <c r="E1670" s="11" t="s">
        <v>2786</v>
      </c>
      <c r="F1670" s="11" t="s">
        <v>2787</v>
      </c>
      <c r="G1670" s="12">
        <v>2.0486111097852699E-3</v>
      </c>
      <c r="H1670" s="2" t="s">
        <v>248</v>
      </c>
      <c r="J1670" s="2" t="s">
        <v>300</v>
      </c>
      <c r="K1670" s="2" t="s">
        <v>350</v>
      </c>
      <c r="L1670" s="2" t="s">
        <v>2778</v>
      </c>
      <c r="M1670" t="s">
        <v>375</v>
      </c>
      <c r="N1670" t="s">
        <v>828</v>
      </c>
      <c r="O1670" t="s">
        <v>828</v>
      </c>
      <c r="P1670" t="s">
        <v>2788</v>
      </c>
      <c r="Q1670" t="s">
        <v>1224</v>
      </c>
    </row>
    <row r="1671" spans="1:17">
      <c r="A1671" s="2" t="s">
        <v>742</v>
      </c>
      <c r="B1671" s="2" t="s">
        <v>298</v>
      </c>
      <c r="C1671" s="2" t="s">
        <v>317</v>
      </c>
      <c r="D1671" s="11" t="s">
        <v>2789</v>
      </c>
      <c r="E1671" s="11" t="s">
        <v>2789</v>
      </c>
      <c r="F1671" s="11" t="s">
        <v>2790</v>
      </c>
      <c r="G1671" s="12">
        <v>5.6828703745850362E-3</v>
      </c>
      <c r="H1671" s="2" t="s">
        <v>248</v>
      </c>
      <c r="J1671" s="2" t="s">
        <v>300</v>
      </c>
      <c r="K1671" s="2" t="s">
        <v>350</v>
      </c>
      <c r="L1671" s="2" t="s">
        <v>2771</v>
      </c>
      <c r="M1671" t="s">
        <v>375</v>
      </c>
      <c r="N1671" t="s">
        <v>828</v>
      </c>
      <c r="O1671" t="s">
        <v>828</v>
      </c>
      <c r="P1671" t="s">
        <v>2791</v>
      </c>
      <c r="Q1671" t="s">
        <v>1224</v>
      </c>
    </row>
    <row r="1672" spans="1:17">
      <c r="A1672" s="2" t="s">
        <v>847</v>
      </c>
      <c r="B1672" s="2" t="s">
        <v>298</v>
      </c>
      <c r="C1672" s="2" t="s">
        <v>311</v>
      </c>
      <c r="D1672" s="11" t="s">
        <v>2792</v>
      </c>
      <c r="E1672" s="11" t="s">
        <v>2792</v>
      </c>
      <c r="F1672" s="11" t="s">
        <v>2793</v>
      </c>
      <c r="G1672" s="12">
        <v>2.0601851792889647E-3</v>
      </c>
      <c r="H1672" s="2" t="s">
        <v>248</v>
      </c>
      <c r="J1672" s="2" t="s">
        <v>300</v>
      </c>
      <c r="K1672" s="2" t="s">
        <v>350</v>
      </c>
      <c r="L1672" s="2" t="s">
        <v>2778</v>
      </c>
      <c r="M1672" t="s">
        <v>375</v>
      </c>
      <c r="N1672" t="s">
        <v>828</v>
      </c>
      <c r="O1672" t="s">
        <v>828</v>
      </c>
      <c r="P1672" t="s">
        <v>2794</v>
      </c>
      <c r="Q1672" t="s">
        <v>1224</v>
      </c>
    </row>
    <row r="1673" spans="1:17">
      <c r="A1673" s="2" t="s">
        <v>847</v>
      </c>
      <c r="B1673" s="2" t="s">
        <v>298</v>
      </c>
      <c r="C1673" s="2" t="s">
        <v>311</v>
      </c>
      <c r="D1673" s="11" t="s">
        <v>2795</v>
      </c>
      <c r="E1673" s="11" t="s">
        <v>2795</v>
      </c>
      <c r="F1673" s="11" t="s">
        <v>2796</v>
      </c>
      <c r="G1673" s="12">
        <v>9.5520833332557231E-2</v>
      </c>
      <c r="H1673" s="2" t="s">
        <v>248</v>
      </c>
      <c r="J1673" s="2" t="s">
        <v>300</v>
      </c>
      <c r="K1673" s="2" t="s">
        <v>350</v>
      </c>
      <c r="L1673" s="2" t="s">
        <v>2797</v>
      </c>
      <c r="M1673" t="s">
        <v>375</v>
      </c>
      <c r="N1673" t="s">
        <v>266</v>
      </c>
      <c r="O1673" t="s">
        <v>2798</v>
      </c>
      <c r="P1673" t="s">
        <v>2799</v>
      </c>
      <c r="Q1673" t="s">
        <v>1224</v>
      </c>
    </row>
    <row r="1674" spans="1:17">
      <c r="A1674" s="2" t="s">
        <v>847</v>
      </c>
      <c r="B1674" s="2" t="s">
        <v>298</v>
      </c>
      <c r="C1674" s="2" t="s">
        <v>312</v>
      </c>
      <c r="D1674" s="11" t="s">
        <v>2800</v>
      </c>
      <c r="E1674" s="11" t="s">
        <v>2800</v>
      </c>
      <c r="F1674" s="11" t="s">
        <v>2801</v>
      </c>
      <c r="G1674" s="12">
        <v>9.5613425924966577E-2</v>
      </c>
      <c r="H1674" s="2" t="s">
        <v>248</v>
      </c>
      <c r="J1674" s="2" t="s">
        <v>300</v>
      </c>
      <c r="K1674" s="2" t="s">
        <v>350</v>
      </c>
      <c r="L1674" s="2" t="s">
        <v>2797</v>
      </c>
      <c r="M1674" t="s">
        <v>375</v>
      </c>
      <c r="N1674" t="s">
        <v>266</v>
      </c>
      <c r="O1674" t="s">
        <v>2798</v>
      </c>
      <c r="P1674" t="s">
        <v>2802</v>
      </c>
      <c r="Q1674" t="s">
        <v>1224</v>
      </c>
    </row>
    <row r="1675" spans="1:17">
      <c r="A1675" s="2" t="s">
        <v>742</v>
      </c>
      <c r="B1675" s="2" t="s">
        <v>298</v>
      </c>
      <c r="C1675" s="2" t="s">
        <v>317</v>
      </c>
      <c r="D1675" s="11" t="s">
        <v>2803</v>
      </c>
      <c r="E1675" s="11" t="s">
        <v>2803</v>
      </c>
      <c r="F1675" s="11" t="s">
        <v>2804</v>
      </c>
      <c r="G1675" s="12">
        <v>4.4675925892079249E-3</v>
      </c>
      <c r="H1675" s="2" t="s">
        <v>248</v>
      </c>
      <c r="J1675" s="2" t="s">
        <v>300</v>
      </c>
      <c r="K1675" s="2" t="s">
        <v>350</v>
      </c>
      <c r="L1675" s="2" t="s">
        <v>2771</v>
      </c>
      <c r="M1675" t="s">
        <v>375</v>
      </c>
      <c r="N1675" t="s">
        <v>828</v>
      </c>
      <c r="O1675" t="s">
        <v>828</v>
      </c>
      <c r="P1675" t="s">
        <v>2805</v>
      </c>
      <c r="Q1675" t="s">
        <v>1224</v>
      </c>
    </row>
    <row r="1676" spans="1:17">
      <c r="A1676" s="2" t="s">
        <v>742</v>
      </c>
      <c r="B1676" s="2" t="s">
        <v>298</v>
      </c>
      <c r="C1676" s="2" t="s">
        <v>317</v>
      </c>
      <c r="D1676" s="11" t="s">
        <v>2806</v>
      </c>
      <c r="E1676" s="11" t="s">
        <v>2806</v>
      </c>
      <c r="F1676" s="11" t="s">
        <v>2807</v>
      </c>
      <c r="G1676" s="12">
        <v>9.4097222172422335E-3</v>
      </c>
      <c r="H1676" s="2" t="s">
        <v>248</v>
      </c>
      <c r="J1676" s="2" t="s">
        <v>300</v>
      </c>
      <c r="K1676" s="2" t="s">
        <v>350</v>
      </c>
      <c r="L1676" s="2" t="s">
        <v>2771</v>
      </c>
      <c r="M1676" t="s">
        <v>375</v>
      </c>
      <c r="N1676" t="s">
        <v>828</v>
      </c>
      <c r="O1676" t="s">
        <v>828</v>
      </c>
      <c r="P1676" t="s">
        <v>2808</v>
      </c>
      <c r="Q1676" t="s">
        <v>1224</v>
      </c>
    </row>
    <row r="1677" spans="1:17">
      <c r="A1677" s="2" t="s">
        <v>742</v>
      </c>
      <c r="B1677" s="2" t="s">
        <v>298</v>
      </c>
      <c r="C1677" s="2" t="s">
        <v>317</v>
      </c>
      <c r="D1677" s="11" t="s">
        <v>2809</v>
      </c>
      <c r="E1677" s="11" t="s">
        <v>2809</v>
      </c>
      <c r="F1677" s="11" t="s">
        <v>2810</v>
      </c>
      <c r="G1677" s="12">
        <v>5.9918981474766042E-2</v>
      </c>
      <c r="H1677" s="2" t="s">
        <v>248</v>
      </c>
      <c r="J1677" s="2" t="s">
        <v>300</v>
      </c>
      <c r="K1677" s="2" t="s">
        <v>350</v>
      </c>
      <c r="L1677" s="2" t="s">
        <v>2771</v>
      </c>
      <c r="M1677" t="s">
        <v>375</v>
      </c>
      <c r="N1677" t="s">
        <v>828</v>
      </c>
      <c r="O1677" t="s">
        <v>828</v>
      </c>
      <c r="P1677" t="s">
        <v>2811</v>
      </c>
      <c r="Q1677" t="s">
        <v>1224</v>
      </c>
    </row>
    <row r="1678" spans="1:17">
      <c r="A1678" s="2" t="s">
        <v>742</v>
      </c>
      <c r="B1678" s="2" t="s">
        <v>298</v>
      </c>
      <c r="C1678" s="2" t="s">
        <v>317</v>
      </c>
      <c r="D1678" s="11" t="s">
        <v>2812</v>
      </c>
      <c r="E1678" s="11" t="s">
        <v>2812</v>
      </c>
      <c r="F1678" s="11" t="s">
        <v>2813</v>
      </c>
      <c r="G1678" s="12">
        <v>5.7349537040863652E-2</v>
      </c>
      <c r="H1678" s="2" t="s">
        <v>248</v>
      </c>
      <c r="J1678" s="2" t="s">
        <v>300</v>
      </c>
      <c r="K1678" s="2" t="s">
        <v>350</v>
      </c>
      <c r="L1678" s="2" t="s">
        <v>2771</v>
      </c>
      <c r="M1678" t="s">
        <v>375</v>
      </c>
      <c r="N1678" t="s">
        <v>828</v>
      </c>
      <c r="O1678" t="s">
        <v>828</v>
      </c>
      <c r="P1678" t="s">
        <v>2814</v>
      </c>
      <c r="Q1678" t="s">
        <v>1224</v>
      </c>
    </row>
    <row r="1679" spans="1:17">
      <c r="A1679" s="2" t="s">
        <v>742</v>
      </c>
      <c r="B1679" s="2" t="s">
        <v>298</v>
      </c>
      <c r="C1679" s="2" t="s">
        <v>317</v>
      </c>
      <c r="D1679" s="11" t="s">
        <v>2815</v>
      </c>
      <c r="E1679" s="11" t="s">
        <v>2815</v>
      </c>
      <c r="F1679" s="11" t="s">
        <v>2816</v>
      </c>
      <c r="G1679" s="12">
        <v>6.3425925909541547E-3</v>
      </c>
      <c r="H1679" s="2" t="s">
        <v>248</v>
      </c>
      <c r="J1679" s="2" t="s">
        <v>300</v>
      </c>
      <c r="K1679" s="2" t="s">
        <v>350</v>
      </c>
      <c r="L1679" s="2" t="s">
        <v>2771</v>
      </c>
      <c r="M1679" t="s">
        <v>375</v>
      </c>
      <c r="N1679" t="s">
        <v>828</v>
      </c>
      <c r="O1679" t="s">
        <v>828</v>
      </c>
      <c r="P1679" t="s">
        <v>2817</v>
      </c>
      <c r="Q1679" t="s">
        <v>1224</v>
      </c>
    </row>
    <row r="1680" spans="1:17">
      <c r="A1680" s="2" t="s">
        <v>847</v>
      </c>
      <c r="B1680" s="2" t="s">
        <v>298</v>
      </c>
      <c r="C1680" s="2" t="s">
        <v>311</v>
      </c>
      <c r="D1680" s="11" t="s">
        <v>2818</v>
      </c>
      <c r="E1680" s="11" t="s">
        <v>2818</v>
      </c>
      <c r="F1680" s="11" t="s">
        <v>2819</v>
      </c>
      <c r="G1680" s="12">
        <v>2.1064814791316167E-3</v>
      </c>
      <c r="H1680" s="2" t="s">
        <v>248</v>
      </c>
      <c r="J1680" s="2" t="s">
        <v>300</v>
      </c>
      <c r="K1680" s="2" t="s">
        <v>350</v>
      </c>
      <c r="L1680" s="2" t="s">
        <v>2778</v>
      </c>
      <c r="M1680" t="s">
        <v>375</v>
      </c>
      <c r="N1680" t="s">
        <v>828</v>
      </c>
      <c r="O1680" t="s">
        <v>828</v>
      </c>
      <c r="P1680" t="s">
        <v>2820</v>
      </c>
      <c r="Q1680" t="s">
        <v>1224</v>
      </c>
    </row>
    <row r="1681" spans="1:17">
      <c r="A1681" s="2" t="s">
        <v>742</v>
      </c>
      <c r="B1681" s="2" t="s">
        <v>298</v>
      </c>
      <c r="C1681" s="2" t="s">
        <v>317</v>
      </c>
      <c r="D1681" s="11" t="s">
        <v>2821</v>
      </c>
      <c r="E1681" s="11" t="s">
        <v>2821</v>
      </c>
      <c r="F1681" s="11" t="s">
        <v>2822</v>
      </c>
      <c r="G1681" s="12">
        <v>1.0567129633272998E-2</v>
      </c>
      <c r="H1681" s="2" t="s">
        <v>248</v>
      </c>
      <c r="J1681" s="2" t="s">
        <v>300</v>
      </c>
      <c r="K1681" s="2" t="s">
        <v>350</v>
      </c>
      <c r="L1681" s="2" t="s">
        <v>2771</v>
      </c>
      <c r="M1681" t="s">
        <v>375</v>
      </c>
      <c r="N1681" t="s">
        <v>828</v>
      </c>
      <c r="O1681" t="s">
        <v>828</v>
      </c>
      <c r="P1681" t="s">
        <v>2823</v>
      </c>
      <c r="Q1681" t="s">
        <v>1224</v>
      </c>
    </row>
    <row r="1682" spans="1:17">
      <c r="A1682" s="2" t="s">
        <v>742</v>
      </c>
      <c r="B1682" s="2" t="s">
        <v>298</v>
      </c>
      <c r="C1682" s="2" t="s">
        <v>317</v>
      </c>
      <c r="D1682" s="11" t="s">
        <v>2824</v>
      </c>
      <c r="E1682" s="11" t="s">
        <v>2824</v>
      </c>
      <c r="F1682" s="11" t="s">
        <v>2825</v>
      </c>
      <c r="G1682" s="12">
        <v>5.3240740817273036E-4</v>
      </c>
      <c r="H1682" s="2" t="s">
        <v>248</v>
      </c>
      <c r="J1682" s="2" t="s">
        <v>300</v>
      </c>
      <c r="K1682" s="2" t="s">
        <v>350</v>
      </c>
      <c r="L1682" s="2" t="s">
        <v>2771</v>
      </c>
      <c r="M1682" t="s">
        <v>375</v>
      </c>
      <c r="N1682" t="s">
        <v>828</v>
      </c>
      <c r="O1682" t="s">
        <v>828</v>
      </c>
      <c r="P1682" t="s">
        <v>2826</v>
      </c>
      <c r="Q1682" t="s">
        <v>1224</v>
      </c>
    </row>
    <row r="1683" spans="1:17">
      <c r="A1683" s="2" t="s">
        <v>847</v>
      </c>
      <c r="B1683" s="2" t="s">
        <v>298</v>
      </c>
      <c r="C1683" s="2" t="s">
        <v>311</v>
      </c>
      <c r="D1683" s="11" t="s">
        <v>2827</v>
      </c>
      <c r="E1683" s="11" t="s">
        <v>2827</v>
      </c>
      <c r="F1683" s="11" t="s">
        <v>2828</v>
      </c>
      <c r="G1683" s="12">
        <v>2.0138888867222704E-3</v>
      </c>
      <c r="H1683" s="2" t="s">
        <v>248</v>
      </c>
      <c r="J1683" s="2" t="s">
        <v>300</v>
      </c>
      <c r="K1683" s="2" t="s">
        <v>350</v>
      </c>
      <c r="L1683" s="2" t="s">
        <v>2778</v>
      </c>
      <c r="M1683" t="s">
        <v>375</v>
      </c>
      <c r="N1683" t="s">
        <v>828</v>
      </c>
      <c r="O1683" t="s">
        <v>828</v>
      </c>
      <c r="P1683" t="s">
        <v>2829</v>
      </c>
      <c r="Q1683" t="s">
        <v>1224</v>
      </c>
    </row>
    <row r="1685" spans="1:17">
      <c r="G1685" s="13"/>
    </row>
  </sheetData>
  <autoFilter ref="A1:Q1683" xr:uid="{79DC4CCA-9A61-4806-8E56-EE96087CE65F}">
    <sortState xmlns:xlrd2="http://schemas.microsoft.com/office/spreadsheetml/2017/richdata2" ref="A2:Q1683">
      <sortCondition ref="D1"/>
    </sortState>
  </autoFilter>
  <conditionalFormatting sqref="P1">
    <cfRule type="duplicateValues" dxfId="2" priority="2"/>
    <cfRule type="duplicateValues" dxfId="1" priority="3"/>
  </conditionalFormatting>
  <conditionalFormatting sqref="P1:P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962F-720E-4BCB-BF2C-8FF221510918}">
  <dimension ref="A1:L141"/>
  <sheetViews>
    <sheetView topLeftCell="A134" workbookViewId="0">
      <selection activeCell="A135" sqref="A135"/>
    </sheetView>
  </sheetViews>
  <sheetFormatPr defaultRowHeight="15"/>
  <cols>
    <col min="2" max="2" width="14.7109375" customWidth="1"/>
    <col min="9" max="9" width="44.85546875" customWidth="1"/>
    <col min="10" max="10" width="30.42578125" customWidth="1"/>
    <col min="12" max="12" width="18.28515625" customWidth="1"/>
  </cols>
  <sheetData>
    <row r="1" spans="1:12" ht="45.75">
      <c r="A1" s="14" t="s">
        <v>2830</v>
      </c>
      <c r="B1" s="14" t="s">
        <v>2831</v>
      </c>
      <c r="C1" s="14" t="s">
        <v>2832</v>
      </c>
      <c r="D1" s="14" t="s">
        <v>2833</v>
      </c>
      <c r="E1" s="14" t="s">
        <v>2834</v>
      </c>
      <c r="F1" s="14" t="s">
        <v>2835</v>
      </c>
      <c r="G1" s="14" t="s">
        <v>2836</v>
      </c>
      <c r="H1" s="14" t="s">
        <v>2837</v>
      </c>
      <c r="I1" s="14" t="s">
        <v>2838</v>
      </c>
      <c r="J1" s="14" t="s">
        <v>2839</v>
      </c>
      <c r="K1" s="14" t="s">
        <v>2840</v>
      </c>
      <c r="L1" s="14" t="s">
        <v>2841</v>
      </c>
    </row>
    <row r="2" spans="1:12" ht="152.25">
      <c r="A2" s="14" t="s">
        <v>2842</v>
      </c>
      <c r="B2" s="16">
        <v>45992</v>
      </c>
      <c r="C2" s="17">
        <v>0.125</v>
      </c>
      <c r="D2" s="17">
        <v>0.125</v>
      </c>
      <c r="E2" s="15" t="s">
        <v>2843</v>
      </c>
      <c r="F2" s="15" t="s">
        <v>2844</v>
      </c>
      <c r="G2" s="15" t="s">
        <v>2845</v>
      </c>
      <c r="H2" s="15">
        <v>2025121</v>
      </c>
      <c r="I2" s="15" t="s">
        <v>2846</v>
      </c>
      <c r="J2" s="15" t="s">
        <v>2847</v>
      </c>
      <c r="K2" s="17">
        <v>0.30208333333333331</v>
      </c>
      <c r="L2" s="16">
        <v>45992</v>
      </c>
    </row>
    <row r="3" spans="1:12" ht="351">
      <c r="A3" s="18" t="s">
        <v>2848</v>
      </c>
      <c r="B3" s="20">
        <v>45992</v>
      </c>
      <c r="C3" s="21">
        <v>0.28472222222222221</v>
      </c>
      <c r="D3" s="21">
        <v>0.28472222222222221</v>
      </c>
      <c r="E3" s="19" t="s">
        <v>230</v>
      </c>
      <c r="F3" s="19" t="s">
        <v>2849</v>
      </c>
      <c r="G3" s="19" t="s">
        <v>2850</v>
      </c>
      <c r="H3" s="19">
        <v>2025122</v>
      </c>
      <c r="I3" s="19" t="s">
        <v>2851</v>
      </c>
      <c r="J3" s="19" t="s">
        <v>2852</v>
      </c>
      <c r="K3" s="19" t="s">
        <v>942</v>
      </c>
      <c r="L3" s="19" t="s">
        <v>942</v>
      </c>
    </row>
    <row r="4" spans="1:12" ht="121.5">
      <c r="A4" s="14" t="s">
        <v>2853</v>
      </c>
      <c r="B4" s="16">
        <v>45992</v>
      </c>
      <c r="C4" s="17">
        <v>0.39583333333333331</v>
      </c>
      <c r="D4" s="17">
        <v>0.39583333333333331</v>
      </c>
      <c r="E4" s="15" t="s">
        <v>2854</v>
      </c>
      <c r="F4" s="15" t="s">
        <v>2855</v>
      </c>
      <c r="G4" s="15" t="s">
        <v>2850</v>
      </c>
      <c r="H4" s="15">
        <v>2025123</v>
      </c>
      <c r="I4" s="15" t="s">
        <v>2856</v>
      </c>
      <c r="J4" s="15" t="s">
        <v>2857</v>
      </c>
      <c r="K4" s="15"/>
      <c r="L4" s="15"/>
    </row>
    <row r="5" spans="1:12" ht="259.5">
      <c r="A5" s="14" t="s">
        <v>2858</v>
      </c>
      <c r="B5" s="16">
        <v>45992</v>
      </c>
      <c r="C5" s="15" t="s">
        <v>2859</v>
      </c>
      <c r="D5" s="15" t="s">
        <v>2859</v>
      </c>
      <c r="E5" s="15" t="s">
        <v>2860</v>
      </c>
      <c r="F5" s="15" t="s">
        <v>2861</v>
      </c>
      <c r="G5" s="15" t="s">
        <v>2850</v>
      </c>
      <c r="H5" s="15">
        <v>8307396</v>
      </c>
      <c r="I5" s="15" t="s">
        <v>2862</v>
      </c>
      <c r="J5" s="15" t="s">
        <v>2863</v>
      </c>
      <c r="K5" s="15" t="s">
        <v>2864</v>
      </c>
      <c r="L5" s="16">
        <v>45992</v>
      </c>
    </row>
    <row r="6" spans="1:12" ht="229.5">
      <c r="A6" s="22" t="s">
        <v>39</v>
      </c>
      <c r="B6" s="24">
        <v>45992</v>
      </c>
      <c r="C6" s="25">
        <v>0.72916666666666663</v>
      </c>
      <c r="D6" s="25">
        <v>0.72916666666666663</v>
      </c>
      <c r="E6" s="23" t="s">
        <v>2865</v>
      </c>
      <c r="F6" s="23" t="s">
        <v>2855</v>
      </c>
      <c r="G6" s="23" t="s">
        <v>2866</v>
      </c>
      <c r="H6" s="23">
        <v>2025124</v>
      </c>
      <c r="I6" s="23" t="s">
        <v>660</v>
      </c>
      <c r="J6" s="23" t="s">
        <v>392</v>
      </c>
      <c r="K6" s="25">
        <v>0.83333333333333337</v>
      </c>
      <c r="L6" s="24">
        <v>45992</v>
      </c>
    </row>
    <row r="7" spans="1:12" ht="167.25">
      <c r="A7" s="22" t="s">
        <v>2867</v>
      </c>
      <c r="B7" s="24">
        <v>45992</v>
      </c>
      <c r="C7" s="25">
        <v>0.75</v>
      </c>
      <c r="D7" s="25">
        <v>0.75</v>
      </c>
      <c r="E7" s="23" t="s">
        <v>230</v>
      </c>
      <c r="F7" s="23" t="s">
        <v>2868</v>
      </c>
      <c r="G7" s="23" t="s">
        <v>2866</v>
      </c>
      <c r="H7" s="23">
        <v>2025125</v>
      </c>
      <c r="I7" s="23" t="s">
        <v>2869</v>
      </c>
      <c r="J7" s="23" t="s">
        <v>2870</v>
      </c>
      <c r="K7" s="25">
        <v>0.8125</v>
      </c>
      <c r="L7" s="24">
        <v>46012</v>
      </c>
    </row>
    <row r="8" spans="1:12" ht="290.25">
      <c r="A8" s="14" t="s">
        <v>2871</v>
      </c>
      <c r="B8" s="16">
        <v>45992</v>
      </c>
      <c r="C8" s="17">
        <v>0.76041666666666663</v>
      </c>
      <c r="D8" s="17">
        <v>0.76041666666666663</v>
      </c>
      <c r="E8" s="15" t="s">
        <v>2854</v>
      </c>
      <c r="F8" s="15" t="s">
        <v>2855</v>
      </c>
      <c r="G8" s="15" t="s">
        <v>2845</v>
      </c>
      <c r="H8" s="15">
        <v>2025126</v>
      </c>
      <c r="I8" s="15" t="s">
        <v>2872</v>
      </c>
      <c r="J8" s="15" t="s">
        <v>2873</v>
      </c>
      <c r="K8" s="17">
        <v>0.76736111111111116</v>
      </c>
      <c r="L8" s="16">
        <v>45992</v>
      </c>
    </row>
    <row r="9" spans="1:12" ht="91.5">
      <c r="A9" s="22" t="s">
        <v>2874</v>
      </c>
      <c r="B9" s="24">
        <v>45262</v>
      </c>
      <c r="C9" s="25">
        <v>0.24722222222222223</v>
      </c>
      <c r="D9" s="25">
        <v>0.24722222222222223</v>
      </c>
      <c r="E9" s="23" t="s">
        <v>230</v>
      </c>
      <c r="F9" s="23" t="s">
        <v>2875</v>
      </c>
      <c r="G9" s="23" t="s">
        <v>2845</v>
      </c>
      <c r="H9" s="23">
        <v>8371356</v>
      </c>
      <c r="I9" s="23" t="s">
        <v>2876</v>
      </c>
      <c r="J9" s="23" t="s">
        <v>2877</v>
      </c>
      <c r="K9" s="25">
        <v>0.30833333333333335</v>
      </c>
      <c r="L9" s="24">
        <v>45993</v>
      </c>
    </row>
    <row r="10" spans="1:12" ht="198">
      <c r="A10" s="14" t="s">
        <v>2878</v>
      </c>
      <c r="B10" s="16">
        <v>45993</v>
      </c>
      <c r="C10" s="17">
        <v>0.28402777777777777</v>
      </c>
      <c r="D10" s="17">
        <v>0.28402777777777777</v>
      </c>
      <c r="E10" s="15" t="s">
        <v>2865</v>
      </c>
      <c r="F10" s="15" t="s">
        <v>2879</v>
      </c>
      <c r="G10" s="15" t="s">
        <v>2845</v>
      </c>
      <c r="H10" s="15">
        <v>2025128</v>
      </c>
      <c r="I10" s="15" t="s">
        <v>2880</v>
      </c>
      <c r="J10" s="15" t="s">
        <v>2881</v>
      </c>
      <c r="K10" s="17">
        <v>0.33541666666666664</v>
      </c>
      <c r="L10" s="16">
        <v>45993</v>
      </c>
    </row>
    <row r="11" spans="1:12" ht="259.5">
      <c r="A11" s="14" t="s">
        <v>2882</v>
      </c>
      <c r="B11" s="16">
        <v>45993</v>
      </c>
      <c r="C11" s="17">
        <v>0.3125</v>
      </c>
      <c r="D11" s="17">
        <v>0.3125</v>
      </c>
      <c r="E11" s="15" t="s">
        <v>2865</v>
      </c>
      <c r="F11" s="15" t="s">
        <v>2883</v>
      </c>
      <c r="G11" s="15" t="s">
        <v>2866</v>
      </c>
      <c r="H11" s="15">
        <v>8371490</v>
      </c>
      <c r="I11" s="15" t="s">
        <v>2884</v>
      </c>
      <c r="J11" s="15" t="s">
        <v>2885</v>
      </c>
      <c r="K11" s="17">
        <v>0.75694444444444442</v>
      </c>
      <c r="L11" s="16">
        <v>45993</v>
      </c>
    </row>
    <row r="12" spans="1:12" ht="76.5">
      <c r="A12" s="14" t="s">
        <v>2886</v>
      </c>
      <c r="B12" s="16">
        <v>45993</v>
      </c>
      <c r="C12" s="17">
        <v>0.46666666666666667</v>
      </c>
      <c r="D12" s="17">
        <v>0.46666666666666667</v>
      </c>
      <c r="E12" s="15" t="s">
        <v>230</v>
      </c>
      <c r="F12" s="15" t="s">
        <v>2875</v>
      </c>
      <c r="G12" s="15" t="s">
        <v>2845</v>
      </c>
      <c r="H12" s="15">
        <v>2025129</v>
      </c>
      <c r="I12" s="15" t="s">
        <v>2887</v>
      </c>
      <c r="J12" s="15" t="s">
        <v>2888</v>
      </c>
      <c r="K12" s="17">
        <v>0.47222222222222221</v>
      </c>
      <c r="L12" s="16">
        <v>45993</v>
      </c>
    </row>
    <row r="13" spans="1:12" ht="167.25">
      <c r="A13" s="14" t="s">
        <v>2889</v>
      </c>
      <c r="B13" s="16">
        <v>45993</v>
      </c>
      <c r="C13" s="17">
        <v>0.59027777777777779</v>
      </c>
      <c r="D13" s="17">
        <v>0.59027777777777779</v>
      </c>
      <c r="E13" s="15" t="s">
        <v>2890</v>
      </c>
      <c r="F13" s="15" t="s">
        <v>2891</v>
      </c>
      <c r="G13" s="15" t="s">
        <v>2866</v>
      </c>
      <c r="H13" s="15">
        <v>8350930</v>
      </c>
      <c r="I13" s="15" t="s">
        <v>697</v>
      </c>
      <c r="J13" s="15" t="s">
        <v>2892</v>
      </c>
      <c r="K13" s="17">
        <v>0.70902777777777781</v>
      </c>
      <c r="L13" s="16">
        <v>45993</v>
      </c>
    </row>
    <row r="14" spans="1:12" ht="198">
      <c r="A14" s="14" t="s">
        <v>2853</v>
      </c>
      <c r="B14" s="16">
        <v>45993</v>
      </c>
      <c r="C14" s="17">
        <v>0.60416666666666663</v>
      </c>
      <c r="D14" s="17">
        <v>0.60416666666666663</v>
      </c>
      <c r="E14" s="15" t="s">
        <v>230</v>
      </c>
      <c r="F14" s="15" t="s">
        <v>374</v>
      </c>
      <c r="G14" s="15" t="s">
        <v>2845</v>
      </c>
      <c r="H14" s="15"/>
      <c r="I14" s="15" t="s">
        <v>703</v>
      </c>
      <c r="J14" s="15" t="s">
        <v>2893</v>
      </c>
      <c r="K14" s="17">
        <v>0.69444444444444442</v>
      </c>
      <c r="L14" s="16">
        <v>45993</v>
      </c>
    </row>
    <row r="15" spans="1:12" ht="45.75">
      <c r="A15" s="14" t="s">
        <v>2894</v>
      </c>
      <c r="B15" s="16">
        <v>45993</v>
      </c>
      <c r="C15" s="17">
        <v>0.97569444444444442</v>
      </c>
      <c r="D15" s="17">
        <v>0.97569444444444442</v>
      </c>
      <c r="E15" s="15" t="s">
        <v>2843</v>
      </c>
      <c r="F15" s="15" t="s">
        <v>2895</v>
      </c>
      <c r="G15" s="15" t="s">
        <v>2845</v>
      </c>
      <c r="H15" s="15">
        <v>20251210</v>
      </c>
      <c r="I15" s="15" t="s">
        <v>2896</v>
      </c>
      <c r="J15" s="15" t="s">
        <v>2897</v>
      </c>
      <c r="K15" s="17">
        <v>0.29166666666666669</v>
      </c>
      <c r="L15" s="16">
        <v>45994</v>
      </c>
    </row>
    <row r="16" spans="1:12" ht="106.5">
      <c r="A16" s="14" t="s">
        <v>2898</v>
      </c>
      <c r="B16" s="16">
        <v>45994</v>
      </c>
      <c r="C16" s="17">
        <v>0.27083333333333331</v>
      </c>
      <c r="D16" s="17">
        <v>0.27083333333333331</v>
      </c>
      <c r="E16" s="15" t="s">
        <v>230</v>
      </c>
      <c r="F16" s="15" t="s">
        <v>2899</v>
      </c>
      <c r="G16" s="15" t="s">
        <v>2866</v>
      </c>
      <c r="H16" s="15">
        <v>20251211</v>
      </c>
      <c r="I16" s="15" t="s">
        <v>2900</v>
      </c>
      <c r="J16" s="15" t="s">
        <v>2901</v>
      </c>
      <c r="K16" s="17">
        <v>0.27777777777777779</v>
      </c>
      <c r="L16" s="16">
        <v>45994</v>
      </c>
    </row>
    <row r="17" spans="1:12" ht="167.25">
      <c r="A17" s="14" t="s">
        <v>2858</v>
      </c>
      <c r="B17" s="16">
        <v>45994</v>
      </c>
      <c r="C17" s="15" t="s">
        <v>2902</v>
      </c>
      <c r="D17" s="15" t="s">
        <v>2902</v>
      </c>
      <c r="E17" s="15" t="s">
        <v>230</v>
      </c>
      <c r="F17" s="15" t="s">
        <v>2899</v>
      </c>
      <c r="G17" s="15" t="s">
        <v>2850</v>
      </c>
      <c r="H17" s="15">
        <v>8378189</v>
      </c>
      <c r="I17" s="15" t="s">
        <v>2903</v>
      </c>
      <c r="J17" s="15" t="s">
        <v>2904</v>
      </c>
      <c r="K17" s="15" t="s">
        <v>2905</v>
      </c>
      <c r="L17" s="16">
        <v>45994</v>
      </c>
    </row>
    <row r="18" spans="1:12" ht="198">
      <c r="A18" s="14" t="s">
        <v>2906</v>
      </c>
      <c r="B18" s="16">
        <v>45994</v>
      </c>
      <c r="C18" s="17">
        <v>0.30208333333333331</v>
      </c>
      <c r="D18" s="17">
        <v>0.30208333333333331</v>
      </c>
      <c r="E18" s="15" t="s">
        <v>2865</v>
      </c>
      <c r="F18" s="15" t="s">
        <v>2907</v>
      </c>
      <c r="G18" s="15" t="s">
        <v>2850</v>
      </c>
      <c r="H18" s="15">
        <v>8371490</v>
      </c>
      <c r="I18" s="15" t="s">
        <v>2884</v>
      </c>
      <c r="J18" s="15" t="s">
        <v>2908</v>
      </c>
      <c r="K18" s="15"/>
      <c r="L18" s="15"/>
    </row>
    <row r="19" spans="1:12" ht="167.25">
      <c r="A19" s="14" t="s">
        <v>2909</v>
      </c>
      <c r="B19" s="16">
        <v>45994</v>
      </c>
      <c r="C19" s="17">
        <v>0.33333333333333331</v>
      </c>
      <c r="D19" s="17">
        <v>0.33333333333333331</v>
      </c>
      <c r="E19" s="15" t="s">
        <v>2890</v>
      </c>
      <c r="F19" s="15" t="s">
        <v>2907</v>
      </c>
      <c r="G19" s="15" t="s">
        <v>2850</v>
      </c>
      <c r="H19" s="15"/>
      <c r="I19" s="15" t="s">
        <v>697</v>
      </c>
      <c r="J19" s="15" t="s">
        <v>2910</v>
      </c>
      <c r="K19" s="15"/>
      <c r="L19" s="15"/>
    </row>
    <row r="20" spans="1:12" ht="183">
      <c r="A20" s="14" t="s">
        <v>2911</v>
      </c>
      <c r="B20" s="16">
        <v>45994</v>
      </c>
      <c r="C20" s="17">
        <v>0.39583333333333331</v>
      </c>
      <c r="D20" s="17">
        <v>0.39583333333333331</v>
      </c>
      <c r="E20" s="15" t="s">
        <v>2843</v>
      </c>
      <c r="F20" s="15" t="s">
        <v>2912</v>
      </c>
      <c r="G20" s="15" t="s">
        <v>2845</v>
      </c>
      <c r="H20" s="15">
        <v>20251212</v>
      </c>
      <c r="I20" s="15" t="s">
        <v>2913</v>
      </c>
      <c r="J20" s="15" t="s">
        <v>2914</v>
      </c>
      <c r="K20" s="17">
        <v>0.41666666666666669</v>
      </c>
      <c r="L20" s="16">
        <v>45994</v>
      </c>
    </row>
    <row r="21" spans="1:12" ht="259.5">
      <c r="A21" s="14" t="s">
        <v>2889</v>
      </c>
      <c r="B21" s="16">
        <v>45994</v>
      </c>
      <c r="C21" s="15" t="s">
        <v>2915</v>
      </c>
      <c r="D21" s="17">
        <v>0.54861111111111116</v>
      </c>
      <c r="E21" s="15" t="s">
        <v>230</v>
      </c>
      <c r="F21" s="15" t="s">
        <v>2916</v>
      </c>
      <c r="G21" s="15" t="s">
        <v>2866</v>
      </c>
      <c r="H21" s="15">
        <v>8350930</v>
      </c>
      <c r="I21" s="15" t="s">
        <v>2884</v>
      </c>
      <c r="J21" s="15" t="s">
        <v>2885</v>
      </c>
      <c r="K21" s="17">
        <v>0.68055555555555558</v>
      </c>
      <c r="L21" s="16">
        <v>45994</v>
      </c>
    </row>
    <row r="22" spans="1:12" ht="76.5">
      <c r="A22" s="14" t="s">
        <v>2917</v>
      </c>
      <c r="B22" s="16">
        <v>45994</v>
      </c>
      <c r="C22" s="17">
        <v>0.6875</v>
      </c>
      <c r="D22" s="17">
        <v>0.6875</v>
      </c>
      <c r="E22" s="15" t="s">
        <v>230</v>
      </c>
      <c r="F22" s="15" t="s">
        <v>2918</v>
      </c>
      <c r="G22" s="15" t="s">
        <v>2845</v>
      </c>
      <c r="H22" s="15">
        <v>8371491</v>
      </c>
      <c r="I22" s="15" t="s">
        <v>2919</v>
      </c>
      <c r="J22" s="15" t="s">
        <v>2920</v>
      </c>
      <c r="K22" s="17">
        <v>0.33333333333333331</v>
      </c>
      <c r="L22" s="16">
        <v>45995</v>
      </c>
    </row>
    <row r="23" spans="1:12" ht="229.5">
      <c r="A23" s="14" t="s">
        <v>2921</v>
      </c>
      <c r="B23" s="16">
        <v>45995</v>
      </c>
      <c r="C23" s="17">
        <v>0.29166666666666669</v>
      </c>
      <c r="D23" s="17">
        <v>0.29166666666666669</v>
      </c>
      <c r="E23" s="15" t="s">
        <v>230</v>
      </c>
      <c r="F23" s="15" t="s">
        <v>2922</v>
      </c>
      <c r="G23" s="15" t="s">
        <v>2866</v>
      </c>
      <c r="H23" s="15">
        <v>20251215</v>
      </c>
      <c r="I23" s="15" t="s">
        <v>672</v>
      </c>
      <c r="J23" s="15" t="s">
        <v>2923</v>
      </c>
      <c r="K23" s="17">
        <v>0.30208333333333331</v>
      </c>
      <c r="L23" s="16">
        <v>45995</v>
      </c>
    </row>
    <row r="24" spans="1:12" ht="137.25">
      <c r="A24" s="14" t="s">
        <v>2924</v>
      </c>
      <c r="B24" s="16">
        <v>45995</v>
      </c>
      <c r="C24" s="17">
        <v>0.39374999999999999</v>
      </c>
      <c r="D24" s="17">
        <v>0.39374999999999999</v>
      </c>
      <c r="E24" s="15" t="s">
        <v>230</v>
      </c>
      <c r="F24" s="15" t="s">
        <v>2875</v>
      </c>
      <c r="G24" s="15" t="s">
        <v>2845</v>
      </c>
      <c r="H24" s="15">
        <v>20251216</v>
      </c>
      <c r="I24" s="15" t="s">
        <v>2925</v>
      </c>
      <c r="J24" s="15" t="s">
        <v>2926</v>
      </c>
      <c r="K24" s="17">
        <v>0.41319444444444442</v>
      </c>
      <c r="L24" s="16">
        <v>45995</v>
      </c>
    </row>
    <row r="25" spans="1:12" ht="167.25">
      <c r="A25" s="14" t="s">
        <v>2927</v>
      </c>
      <c r="B25" s="16">
        <v>45995</v>
      </c>
      <c r="C25" s="17">
        <v>0.40625</v>
      </c>
      <c r="D25" s="17">
        <v>0.40625</v>
      </c>
      <c r="E25" s="15" t="s">
        <v>2928</v>
      </c>
      <c r="F25" s="15" t="s">
        <v>2929</v>
      </c>
      <c r="G25" s="15" t="s">
        <v>2866</v>
      </c>
      <c r="H25" s="15">
        <v>8350901</v>
      </c>
      <c r="I25" s="15" t="s">
        <v>2930</v>
      </c>
      <c r="J25" s="15" t="s">
        <v>2931</v>
      </c>
      <c r="K25" s="17">
        <v>0.4861111111111111</v>
      </c>
      <c r="L25" s="16">
        <v>45995</v>
      </c>
    </row>
    <row r="26" spans="1:12" ht="229.5">
      <c r="A26" s="14" t="s">
        <v>2932</v>
      </c>
      <c r="B26" s="16">
        <v>45995</v>
      </c>
      <c r="C26" s="17">
        <v>0.40972222222222221</v>
      </c>
      <c r="D26" s="17">
        <v>0.40972222222222221</v>
      </c>
      <c r="E26" s="15" t="s">
        <v>230</v>
      </c>
      <c r="F26" s="15" t="s">
        <v>336</v>
      </c>
      <c r="G26" s="15" t="s">
        <v>2933</v>
      </c>
      <c r="H26" s="15">
        <v>8384935</v>
      </c>
      <c r="I26" s="15" t="s">
        <v>725</v>
      </c>
      <c r="J26" s="15" t="s">
        <v>726</v>
      </c>
      <c r="K26" s="17">
        <v>0.625</v>
      </c>
      <c r="L26" s="16">
        <v>45996</v>
      </c>
    </row>
    <row r="27" spans="1:12" ht="213">
      <c r="A27" s="14" t="s">
        <v>2909</v>
      </c>
      <c r="B27" s="16">
        <v>45995</v>
      </c>
      <c r="C27" s="15" t="s">
        <v>2934</v>
      </c>
      <c r="D27" s="15" t="s">
        <v>2934</v>
      </c>
      <c r="E27" s="15" t="s">
        <v>2928</v>
      </c>
      <c r="F27" s="15" t="s">
        <v>2868</v>
      </c>
      <c r="G27" s="15" t="s">
        <v>2866</v>
      </c>
      <c r="H27" s="15">
        <v>8350930</v>
      </c>
      <c r="I27" s="15" t="s">
        <v>2935</v>
      </c>
      <c r="J27" s="15" t="s">
        <v>2936</v>
      </c>
      <c r="K27" s="15" t="s">
        <v>2937</v>
      </c>
      <c r="L27" s="16">
        <v>45995</v>
      </c>
    </row>
    <row r="28" spans="1:12" ht="167.25">
      <c r="A28" s="14" t="s">
        <v>2938</v>
      </c>
      <c r="B28" s="16">
        <v>45995</v>
      </c>
      <c r="C28" s="17">
        <v>0.54513888888888884</v>
      </c>
      <c r="D28" s="17">
        <v>0.54513888888888884</v>
      </c>
      <c r="E28" s="15" t="s">
        <v>2928</v>
      </c>
      <c r="F28" s="15" t="s">
        <v>2929</v>
      </c>
      <c r="G28" s="15" t="s">
        <v>2845</v>
      </c>
      <c r="H28" s="15">
        <v>8350901</v>
      </c>
      <c r="I28" s="15" t="s">
        <v>2930</v>
      </c>
      <c r="J28" s="15" t="s">
        <v>2931</v>
      </c>
      <c r="K28" s="17">
        <v>0.60416666666666663</v>
      </c>
      <c r="L28" s="16">
        <v>45995</v>
      </c>
    </row>
    <row r="29" spans="1:12" ht="167.25">
      <c r="A29" s="14" t="s">
        <v>2939</v>
      </c>
      <c r="B29" s="16">
        <v>45995</v>
      </c>
      <c r="C29" s="17">
        <v>0.60555555555555551</v>
      </c>
      <c r="D29" s="17">
        <v>0.60555555555555551</v>
      </c>
      <c r="E29" s="15" t="s">
        <v>2928</v>
      </c>
      <c r="F29" s="15" t="s">
        <v>2929</v>
      </c>
      <c r="G29" s="15" t="s">
        <v>2866</v>
      </c>
      <c r="H29" s="15">
        <v>8350901</v>
      </c>
      <c r="I29" s="15" t="s">
        <v>2930</v>
      </c>
      <c r="J29" s="15" t="s">
        <v>2931</v>
      </c>
      <c r="K29" s="17">
        <v>0.65625</v>
      </c>
      <c r="L29" s="16">
        <v>45995</v>
      </c>
    </row>
    <row r="30" spans="1:12" ht="198">
      <c r="A30" s="14" t="s">
        <v>2940</v>
      </c>
      <c r="B30" s="16">
        <v>45995</v>
      </c>
      <c r="C30" s="17">
        <v>0.7006944444444444</v>
      </c>
      <c r="D30" s="17">
        <v>0.7006944444444444</v>
      </c>
      <c r="E30" s="15" t="s">
        <v>2928</v>
      </c>
      <c r="F30" s="15" t="s">
        <v>2941</v>
      </c>
      <c r="G30" s="15" t="s">
        <v>2866</v>
      </c>
      <c r="H30" s="15">
        <v>8386000</v>
      </c>
      <c r="I30" s="15" t="s">
        <v>2942</v>
      </c>
      <c r="J30" s="15" t="s">
        <v>2943</v>
      </c>
      <c r="K30" s="15"/>
      <c r="L30" s="15"/>
    </row>
    <row r="31" spans="1:12" ht="152.25">
      <c r="A31" s="14" t="s">
        <v>2944</v>
      </c>
      <c r="B31" s="16">
        <v>45995</v>
      </c>
      <c r="C31" s="17">
        <v>0.92361111111111116</v>
      </c>
      <c r="D31" s="17">
        <v>0.92361111111111116</v>
      </c>
      <c r="E31" s="15" t="s">
        <v>230</v>
      </c>
      <c r="F31" s="15" t="s">
        <v>2945</v>
      </c>
      <c r="G31" s="15" t="s">
        <v>2850</v>
      </c>
      <c r="H31" s="15">
        <v>20251217</v>
      </c>
      <c r="I31" s="15" t="s">
        <v>2899</v>
      </c>
      <c r="J31" s="15" t="s">
        <v>2946</v>
      </c>
      <c r="K31" s="17">
        <v>0.30208333333333331</v>
      </c>
      <c r="L31" s="16">
        <v>45996</v>
      </c>
    </row>
    <row r="32" spans="1:12" ht="290.25">
      <c r="A32" s="14" t="s">
        <v>2947</v>
      </c>
      <c r="B32" s="16">
        <v>45996</v>
      </c>
      <c r="C32" s="17">
        <v>0.2673611111111111</v>
      </c>
      <c r="D32" s="17">
        <v>0.2673611111111111</v>
      </c>
      <c r="E32" s="15" t="s">
        <v>230</v>
      </c>
      <c r="F32" s="15" t="s">
        <v>2916</v>
      </c>
      <c r="G32" s="15" t="s">
        <v>2866</v>
      </c>
      <c r="H32" s="15">
        <v>20251219</v>
      </c>
      <c r="I32" s="15" t="s">
        <v>2948</v>
      </c>
      <c r="J32" s="15" t="s">
        <v>405</v>
      </c>
      <c r="K32" s="15" t="s">
        <v>2949</v>
      </c>
      <c r="L32" s="16">
        <v>45996</v>
      </c>
    </row>
    <row r="33" spans="1:12" ht="137.25">
      <c r="A33" s="14" t="s">
        <v>2898</v>
      </c>
      <c r="B33" s="16">
        <v>45996</v>
      </c>
      <c r="C33" s="17">
        <v>0.25694444444444442</v>
      </c>
      <c r="D33" s="17">
        <v>0.25694444444444442</v>
      </c>
      <c r="E33" s="15" t="s">
        <v>230</v>
      </c>
      <c r="F33" s="15" t="s">
        <v>2945</v>
      </c>
      <c r="G33" s="15" t="s">
        <v>2845</v>
      </c>
      <c r="H33" s="15">
        <v>20251218</v>
      </c>
      <c r="I33" s="15" t="s">
        <v>2950</v>
      </c>
      <c r="J33" s="15" t="s">
        <v>2951</v>
      </c>
      <c r="K33" s="17">
        <v>0.38333333333333336</v>
      </c>
      <c r="L33" s="16">
        <v>45996</v>
      </c>
    </row>
    <row r="34" spans="1:12" ht="167.25">
      <c r="A34" s="14" t="s">
        <v>2952</v>
      </c>
      <c r="B34" s="16">
        <v>45996</v>
      </c>
      <c r="C34" s="17">
        <v>0.31388888888888888</v>
      </c>
      <c r="D34" s="17">
        <v>0.31388888888888888</v>
      </c>
      <c r="E34" s="15" t="s">
        <v>2928</v>
      </c>
      <c r="F34" s="15" t="s">
        <v>2929</v>
      </c>
      <c r="G34" s="15" t="s">
        <v>2845</v>
      </c>
      <c r="H34" s="15">
        <v>8350915</v>
      </c>
      <c r="I34" s="15" t="s">
        <v>2930</v>
      </c>
      <c r="J34" s="15" t="s">
        <v>2931</v>
      </c>
      <c r="K34" s="17">
        <v>0.36458333333333331</v>
      </c>
      <c r="L34" s="16">
        <v>45996</v>
      </c>
    </row>
    <row r="35" spans="1:12" ht="167.25">
      <c r="A35" s="14" t="s">
        <v>2953</v>
      </c>
      <c r="B35" s="16">
        <v>45996</v>
      </c>
      <c r="C35" s="17">
        <v>0.36527777777777776</v>
      </c>
      <c r="D35" s="17">
        <v>0.36527777777777776</v>
      </c>
      <c r="E35" s="15" t="s">
        <v>2928</v>
      </c>
      <c r="F35" s="15" t="s">
        <v>2929</v>
      </c>
      <c r="G35" s="15" t="s">
        <v>2866</v>
      </c>
      <c r="H35" s="15">
        <v>8350915</v>
      </c>
      <c r="I35" s="15" t="s">
        <v>2930</v>
      </c>
      <c r="J35" s="15" t="s">
        <v>2931</v>
      </c>
      <c r="K35" s="17">
        <v>0.40694444444444444</v>
      </c>
      <c r="L35" s="16">
        <v>45996</v>
      </c>
    </row>
    <row r="36" spans="1:12" ht="121.5">
      <c r="A36" s="14" t="s">
        <v>2954</v>
      </c>
      <c r="B36" s="16">
        <v>45996</v>
      </c>
      <c r="C36" s="17">
        <v>0.36805555555555558</v>
      </c>
      <c r="D36" s="17">
        <v>0.36805555555555558</v>
      </c>
      <c r="E36" s="15" t="s">
        <v>230</v>
      </c>
      <c r="F36" s="15" t="s">
        <v>2945</v>
      </c>
      <c r="G36" s="15" t="s">
        <v>2850</v>
      </c>
      <c r="H36" s="15">
        <v>20251220</v>
      </c>
      <c r="I36" s="15" t="s">
        <v>2899</v>
      </c>
      <c r="J36" s="15" t="s">
        <v>2955</v>
      </c>
      <c r="K36" s="15"/>
      <c r="L36" s="15"/>
    </row>
    <row r="37" spans="1:12" ht="167.25">
      <c r="A37" s="14" t="s">
        <v>2956</v>
      </c>
      <c r="B37" s="16">
        <v>45996</v>
      </c>
      <c r="C37" s="17">
        <v>0.40972222222222221</v>
      </c>
      <c r="D37" s="17">
        <v>0.40972222222222221</v>
      </c>
      <c r="E37" s="15" t="s">
        <v>2928</v>
      </c>
      <c r="F37" s="15" t="s">
        <v>2929</v>
      </c>
      <c r="G37" s="15" t="s">
        <v>2866</v>
      </c>
      <c r="H37" s="15">
        <v>8350915</v>
      </c>
      <c r="I37" s="15" t="s">
        <v>2930</v>
      </c>
      <c r="J37" s="15" t="s">
        <v>2931</v>
      </c>
      <c r="K37" s="17">
        <v>0.45833333333333331</v>
      </c>
      <c r="L37" s="16">
        <v>45996</v>
      </c>
    </row>
    <row r="38" spans="1:12" ht="121.5">
      <c r="A38" s="14" t="s">
        <v>2898</v>
      </c>
      <c r="B38" s="16">
        <v>45996</v>
      </c>
      <c r="C38" s="17">
        <v>0.47152777777777777</v>
      </c>
      <c r="D38" s="17">
        <v>0.47152777777777777</v>
      </c>
      <c r="E38" s="15" t="s">
        <v>230</v>
      </c>
      <c r="F38" s="15" t="s">
        <v>2945</v>
      </c>
      <c r="G38" s="15" t="s">
        <v>2845</v>
      </c>
      <c r="H38" s="15">
        <v>8392759</v>
      </c>
      <c r="I38" s="15" t="s">
        <v>2957</v>
      </c>
      <c r="J38" s="15" t="s">
        <v>2958</v>
      </c>
      <c r="K38" s="17">
        <v>0.54097222222222219</v>
      </c>
      <c r="L38" s="16">
        <v>45996</v>
      </c>
    </row>
    <row r="39" spans="1:12" ht="121.5">
      <c r="A39" s="14" t="s">
        <v>2954</v>
      </c>
      <c r="B39" s="16">
        <v>45997</v>
      </c>
      <c r="C39" s="17">
        <v>0.35833333333333334</v>
      </c>
      <c r="D39" s="17">
        <v>0.35833333333333334</v>
      </c>
      <c r="E39" s="15" t="s">
        <v>230</v>
      </c>
      <c r="F39" s="15" t="s">
        <v>2945</v>
      </c>
      <c r="G39" s="15" t="s">
        <v>2850</v>
      </c>
      <c r="H39" s="15">
        <v>20251222</v>
      </c>
      <c r="I39" s="15" t="s">
        <v>2899</v>
      </c>
      <c r="J39" s="15" t="s">
        <v>2955</v>
      </c>
      <c r="K39" s="15"/>
      <c r="L39" s="15"/>
    </row>
    <row r="40" spans="1:12" ht="275.25">
      <c r="A40" s="14" t="s">
        <v>2947</v>
      </c>
      <c r="B40" s="16">
        <v>45997</v>
      </c>
      <c r="C40" s="17">
        <v>0.36180555555555555</v>
      </c>
      <c r="D40" s="17">
        <v>0.36180555555555555</v>
      </c>
      <c r="E40" s="15" t="s">
        <v>230</v>
      </c>
      <c r="F40" s="15" t="s">
        <v>2916</v>
      </c>
      <c r="G40" s="15" t="s">
        <v>2866</v>
      </c>
      <c r="H40" s="15">
        <v>20251223</v>
      </c>
      <c r="I40" s="15" t="s">
        <v>2959</v>
      </c>
      <c r="J40" s="15" t="s">
        <v>1684</v>
      </c>
      <c r="K40" s="17">
        <v>0.41666666666666669</v>
      </c>
      <c r="L40" s="16">
        <v>45997</v>
      </c>
    </row>
    <row r="41" spans="1:12" ht="137.25">
      <c r="A41" s="14" t="s">
        <v>2960</v>
      </c>
      <c r="B41" s="16">
        <v>45997</v>
      </c>
      <c r="C41" s="17">
        <v>0.40277777777777779</v>
      </c>
      <c r="D41" s="17">
        <v>0.40277777777777779</v>
      </c>
      <c r="E41" s="15" t="s">
        <v>230</v>
      </c>
      <c r="F41" s="15" t="s">
        <v>2945</v>
      </c>
      <c r="G41" s="15" t="s">
        <v>2961</v>
      </c>
      <c r="H41" s="15">
        <v>20251224</v>
      </c>
      <c r="I41" s="15" t="s">
        <v>2962</v>
      </c>
      <c r="J41" s="15" t="s">
        <v>2963</v>
      </c>
      <c r="K41" s="17">
        <v>0.69444444444444442</v>
      </c>
      <c r="L41" s="16">
        <v>45997</v>
      </c>
    </row>
    <row r="42" spans="1:12" ht="121.5">
      <c r="A42" s="14" t="s">
        <v>2964</v>
      </c>
      <c r="B42" s="16">
        <v>45997</v>
      </c>
      <c r="C42" s="17">
        <v>0.42708333333333331</v>
      </c>
      <c r="D42" s="17">
        <v>0.42708333333333331</v>
      </c>
      <c r="E42" s="15" t="s">
        <v>2965</v>
      </c>
      <c r="F42" s="15" t="s">
        <v>2966</v>
      </c>
      <c r="G42" s="15" t="s">
        <v>2845</v>
      </c>
      <c r="H42" s="15">
        <v>20251225</v>
      </c>
      <c r="I42" s="15" t="s">
        <v>2967</v>
      </c>
      <c r="J42" s="15" t="s">
        <v>2968</v>
      </c>
      <c r="K42" s="17">
        <v>0.53819444444444442</v>
      </c>
      <c r="L42" s="16">
        <v>45997</v>
      </c>
    </row>
    <row r="43" spans="1:12" ht="76.5">
      <c r="A43" s="14" t="s">
        <v>2969</v>
      </c>
      <c r="B43" s="16">
        <v>45997</v>
      </c>
      <c r="C43" s="17">
        <v>0.46111111111111114</v>
      </c>
      <c r="D43" s="17">
        <v>0.46111111111111114</v>
      </c>
      <c r="E43" s="15" t="s">
        <v>2843</v>
      </c>
      <c r="F43" s="15" t="s">
        <v>2970</v>
      </c>
      <c r="G43" s="15" t="s">
        <v>2845</v>
      </c>
      <c r="H43" s="15">
        <v>20251226</v>
      </c>
      <c r="I43" s="15" t="s">
        <v>2971</v>
      </c>
      <c r="J43" s="15" t="s">
        <v>2972</v>
      </c>
      <c r="K43" s="17">
        <v>0.51736111111111116</v>
      </c>
      <c r="L43" s="16">
        <v>45997</v>
      </c>
    </row>
    <row r="44" spans="1:12" ht="213">
      <c r="A44" s="14" t="s">
        <v>2973</v>
      </c>
      <c r="B44" s="16">
        <v>45997</v>
      </c>
      <c r="C44" s="17">
        <v>0.53194444444444444</v>
      </c>
      <c r="D44" s="17">
        <v>0.53194444444444444</v>
      </c>
      <c r="E44" s="15" t="s">
        <v>2854</v>
      </c>
      <c r="F44" s="15" t="s">
        <v>2970</v>
      </c>
      <c r="G44" s="15" t="s">
        <v>2866</v>
      </c>
      <c r="H44" s="15">
        <v>20251227</v>
      </c>
      <c r="I44" s="15" t="s">
        <v>2974</v>
      </c>
      <c r="J44" s="15" t="s">
        <v>2975</v>
      </c>
      <c r="K44" s="17">
        <v>0.57986111111111116</v>
      </c>
      <c r="L44" s="16">
        <v>45997</v>
      </c>
    </row>
    <row r="45" spans="1:12" ht="91.5">
      <c r="A45" s="14" t="s">
        <v>2976</v>
      </c>
      <c r="B45" s="16">
        <v>45997</v>
      </c>
      <c r="C45" s="17">
        <v>0.93402777777777779</v>
      </c>
      <c r="D45" s="17">
        <v>0.93402777777777779</v>
      </c>
      <c r="E45" s="15" t="s">
        <v>2843</v>
      </c>
      <c r="F45" s="15" t="s">
        <v>2977</v>
      </c>
      <c r="G45" s="15" t="s">
        <v>2850</v>
      </c>
      <c r="H45" s="15">
        <v>20251228</v>
      </c>
      <c r="I45" s="15" t="s">
        <v>2856</v>
      </c>
      <c r="J45" s="15" t="s">
        <v>2978</v>
      </c>
      <c r="K45" s="15"/>
      <c r="L45" s="15"/>
    </row>
    <row r="46" spans="1:12" ht="121.5">
      <c r="A46" s="14" t="s">
        <v>2947</v>
      </c>
      <c r="B46" s="16">
        <v>45998</v>
      </c>
      <c r="C46" s="17">
        <v>0.25347222222222221</v>
      </c>
      <c r="D46" s="17">
        <v>0.25347222222222221</v>
      </c>
      <c r="E46" s="15" t="s">
        <v>230</v>
      </c>
      <c r="F46" s="15" t="s">
        <v>2979</v>
      </c>
      <c r="G46" s="15" t="s">
        <v>2850</v>
      </c>
      <c r="H46" s="15">
        <v>20251229</v>
      </c>
      <c r="I46" s="15" t="s">
        <v>2856</v>
      </c>
      <c r="J46" s="15" t="s">
        <v>2980</v>
      </c>
      <c r="K46" s="15"/>
      <c r="L46" s="15"/>
    </row>
    <row r="47" spans="1:12" ht="106.5">
      <c r="A47" s="14" t="s">
        <v>2898</v>
      </c>
      <c r="B47" s="16">
        <v>45998</v>
      </c>
      <c r="C47" s="17">
        <v>0.27777777777777779</v>
      </c>
      <c r="D47" s="17">
        <v>0.27777777777777779</v>
      </c>
      <c r="E47" s="15" t="s">
        <v>230</v>
      </c>
      <c r="F47" s="15" t="s">
        <v>2981</v>
      </c>
      <c r="G47" s="15" t="s">
        <v>2866</v>
      </c>
      <c r="H47" s="15">
        <v>20251230</v>
      </c>
      <c r="I47" s="15" t="s">
        <v>2982</v>
      </c>
      <c r="J47" s="15" t="s">
        <v>2983</v>
      </c>
      <c r="K47" s="17">
        <v>0.2902777777777778</v>
      </c>
      <c r="L47" s="16">
        <v>45998</v>
      </c>
    </row>
    <row r="48" spans="1:12" ht="259.5">
      <c r="A48" s="14" t="s">
        <v>2984</v>
      </c>
      <c r="B48" s="16">
        <v>45998</v>
      </c>
      <c r="C48" s="17">
        <v>0.28472222222222221</v>
      </c>
      <c r="D48" s="17">
        <v>0.28472222222222221</v>
      </c>
      <c r="E48" s="15" t="s">
        <v>230</v>
      </c>
      <c r="F48" s="15" t="s">
        <v>2985</v>
      </c>
      <c r="G48" s="15" t="s">
        <v>2845</v>
      </c>
      <c r="H48" s="15">
        <v>20251231</v>
      </c>
      <c r="I48" s="15" t="s">
        <v>2986</v>
      </c>
      <c r="J48" s="15" t="s">
        <v>2987</v>
      </c>
      <c r="K48" s="17">
        <v>0.39583333333333331</v>
      </c>
      <c r="L48" s="16">
        <v>45815</v>
      </c>
    </row>
    <row r="49" spans="1:12" ht="91.5">
      <c r="A49" s="14" t="s">
        <v>2988</v>
      </c>
      <c r="B49" s="16">
        <v>45998</v>
      </c>
      <c r="C49" s="17">
        <v>0.2951388888888889</v>
      </c>
      <c r="D49" s="17">
        <v>0.2951388888888889</v>
      </c>
      <c r="E49" s="15" t="s">
        <v>230</v>
      </c>
      <c r="F49" s="15" t="s">
        <v>2981</v>
      </c>
      <c r="G49" s="15" t="s">
        <v>2866</v>
      </c>
      <c r="H49" s="15">
        <v>20251232</v>
      </c>
      <c r="I49" s="15" t="s">
        <v>2989</v>
      </c>
      <c r="J49" s="15" t="s">
        <v>2990</v>
      </c>
      <c r="K49" s="17">
        <v>0.35138888888888886</v>
      </c>
      <c r="L49" s="16">
        <v>45998</v>
      </c>
    </row>
    <row r="50" spans="1:12" ht="152.25">
      <c r="A50" s="14" t="s">
        <v>2991</v>
      </c>
      <c r="B50" s="16">
        <v>45998</v>
      </c>
      <c r="C50" s="17">
        <v>0.37847222222222221</v>
      </c>
      <c r="D50" s="17">
        <v>0.37847222222222221</v>
      </c>
      <c r="E50" s="15" t="s">
        <v>2843</v>
      </c>
      <c r="F50" s="15" t="s">
        <v>2977</v>
      </c>
      <c r="G50" s="15" t="s">
        <v>2845</v>
      </c>
      <c r="H50" s="15">
        <v>20251229</v>
      </c>
      <c r="I50" s="15" t="s">
        <v>2992</v>
      </c>
      <c r="J50" s="15" t="s">
        <v>2847</v>
      </c>
      <c r="K50" s="17">
        <v>0.69374999999999998</v>
      </c>
      <c r="L50" s="16">
        <v>45968</v>
      </c>
    </row>
    <row r="51" spans="1:12" ht="121.5">
      <c r="A51" s="14" t="s">
        <v>2894</v>
      </c>
      <c r="B51" s="16">
        <v>45998</v>
      </c>
      <c r="C51" s="17">
        <v>0.56597222222222221</v>
      </c>
      <c r="D51" s="17">
        <v>0.56597222222222221</v>
      </c>
      <c r="E51" s="15" t="s">
        <v>2843</v>
      </c>
      <c r="F51" s="15" t="s">
        <v>2977</v>
      </c>
      <c r="G51" s="15" t="s">
        <v>2993</v>
      </c>
      <c r="H51" s="15">
        <v>20251230</v>
      </c>
      <c r="I51" s="15" t="s">
        <v>2994</v>
      </c>
      <c r="J51" s="15" t="s">
        <v>2995</v>
      </c>
      <c r="K51" s="17">
        <v>0.625</v>
      </c>
      <c r="L51" s="16">
        <v>45998</v>
      </c>
    </row>
    <row r="52" spans="1:12" ht="213">
      <c r="A52" s="14" t="s">
        <v>39</v>
      </c>
      <c r="B52" s="16">
        <v>45998</v>
      </c>
      <c r="C52" s="17">
        <v>0.625</v>
      </c>
      <c r="D52" s="17">
        <v>0.625</v>
      </c>
      <c r="E52" s="15" t="s">
        <v>230</v>
      </c>
      <c r="F52" s="15" t="s">
        <v>2868</v>
      </c>
      <c r="G52" s="15" t="s">
        <v>2866</v>
      </c>
      <c r="H52" s="15">
        <v>20251233</v>
      </c>
      <c r="I52" s="15" t="s">
        <v>948</v>
      </c>
      <c r="J52" s="15" t="s">
        <v>2996</v>
      </c>
      <c r="K52" s="17">
        <v>0.48958333333333331</v>
      </c>
      <c r="L52" s="16">
        <v>45999</v>
      </c>
    </row>
    <row r="53" spans="1:12" ht="121.5">
      <c r="A53" s="14" t="s">
        <v>2997</v>
      </c>
      <c r="B53" s="16">
        <v>45998</v>
      </c>
      <c r="C53" s="17">
        <v>0.6875</v>
      </c>
      <c r="D53" s="17">
        <v>0.6875</v>
      </c>
      <c r="E53" s="15" t="s">
        <v>230</v>
      </c>
      <c r="F53" s="15" t="s">
        <v>2899</v>
      </c>
      <c r="G53" s="15" t="s">
        <v>2850</v>
      </c>
      <c r="H53" s="15">
        <v>20251234</v>
      </c>
      <c r="I53" s="15" t="s">
        <v>2998</v>
      </c>
      <c r="J53" s="15" t="s">
        <v>2980</v>
      </c>
      <c r="K53" s="15"/>
      <c r="L53" s="15"/>
    </row>
    <row r="54" spans="1:12" ht="106.5">
      <c r="A54" s="14" t="s">
        <v>2999</v>
      </c>
      <c r="B54" s="16">
        <v>45998</v>
      </c>
      <c r="C54" s="17">
        <v>0.96736111111111112</v>
      </c>
      <c r="D54" s="17">
        <v>0.96736111111111112</v>
      </c>
      <c r="E54" s="15" t="s">
        <v>2843</v>
      </c>
      <c r="F54" s="15" t="s">
        <v>3000</v>
      </c>
      <c r="G54" s="15" t="s">
        <v>3001</v>
      </c>
      <c r="H54" s="15">
        <v>202511</v>
      </c>
      <c r="I54" s="15" t="s">
        <v>3002</v>
      </c>
      <c r="J54" s="15" t="s">
        <v>3003</v>
      </c>
      <c r="K54" s="15"/>
      <c r="L54" s="15"/>
    </row>
    <row r="55" spans="1:12" ht="106.5">
      <c r="A55" s="14" t="s">
        <v>3004</v>
      </c>
      <c r="B55" s="16">
        <v>45999</v>
      </c>
      <c r="C55" s="17">
        <v>0.22083333333333333</v>
      </c>
      <c r="D55" s="17">
        <v>0.22083333333333333</v>
      </c>
      <c r="E55" s="15" t="s">
        <v>2843</v>
      </c>
      <c r="F55" s="15" t="s">
        <v>3005</v>
      </c>
      <c r="G55" s="15" t="s">
        <v>3001</v>
      </c>
      <c r="H55" s="15">
        <v>20251137</v>
      </c>
      <c r="I55" s="15" t="s">
        <v>3002</v>
      </c>
      <c r="J55" s="15" t="s">
        <v>3003</v>
      </c>
      <c r="K55" s="15"/>
      <c r="L55" s="15"/>
    </row>
    <row r="56" spans="1:12" ht="183">
      <c r="A56" s="14" t="s">
        <v>3006</v>
      </c>
      <c r="B56" s="16">
        <v>45999</v>
      </c>
      <c r="C56" s="17">
        <v>0.24097222222222223</v>
      </c>
      <c r="D56" s="17">
        <v>0.24097222222222223</v>
      </c>
      <c r="E56" s="15" t="s">
        <v>230</v>
      </c>
      <c r="F56" s="15" t="s">
        <v>2875</v>
      </c>
      <c r="G56" s="15" t="s">
        <v>2933</v>
      </c>
      <c r="H56" s="15">
        <v>20251138</v>
      </c>
      <c r="I56" s="15" t="s">
        <v>2982</v>
      </c>
      <c r="J56" s="15" t="s">
        <v>3007</v>
      </c>
      <c r="K56" s="17">
        <v>0.24652777777777779</v>
      </c>
      <c r="L56" s="26">
        <v>45999</v>
      </c>
    </row>
    <row r="57" spans="1:12" ht="60.75">
      <c r="A57" s="14" t="s">
        <v>3008</v>
      </c>
      <c r="B57" s="16">
        <v>45999</v>
      </c>
      <c r="C57" s="17">
        <v>0.2722222222222222</v>
      </c>
      <c r="D57" s="17">
        <v>0.2722222222222222</v>
      </c>
      <c r="E57" s="15" t="s">
        <v>230</v>
      </c>
      <c r="F57" s="15" t="s">
        <v>2875</v>
      </c>
      <c r="G57" s="15" t="s">
        <v>2933</v>
      </c>
      <c r="H57" s="15">
        <v>20251239</v>
      </c>
      <c r="I57" s="15" t="s">
        <v>3009</v>
      </c>
      <c r="J57" s="15" t="s">
        <v>3010</v>
      </c>
      <c r="K57" s="17">
        <v>0.3215277777777778</v>
      </c>
      <c r="L57" s="16">
        <v>45999</v>
      </c>
    </row>
    <row r="58" spans="1:12" ht="121.5">
      <c r="A58" s="14" t="s">
        <v>3011</v>
      </c>
      <c r="B58" s="16">
        <v>45999</v>
      </c>
      <c r="C58" s="17">
        <v>0.2986111111111111</v>
      </c>
      <c r="D58" s="17">
        <v>0.2986111111111111</v>
      </c>
      <c r="E58" s="15" t="s">
        <v>230</v>
      </c>
      <c r="F58" s="15" t="s">
        <v>2875</v>
      </c>
      <c r="G58" s="15" t="s">
        <v>2845</v>
      </c>
      <c r="H58" s="15">
        <v>8405182</v>
      </c>
      <c r="I58" s="15" t="s">
        <v>3012</v>
      </c>
      <c r="J58" s="15" t="s">
        <v>3013</v>
      </c>
      <c r="K58" s="17">
        <v>0.57916666666666672</v>
      </c>
      <c r="L58" s="16">
        <v>45999</v>
      </c>
    </row>
    <row r="59" spans="1:12" ht="183">
      <c r="A59" s="14" t="s">
        <v>2909</v>
      </c>
      <c r="B59" s="16">
        <v>45999</v>
      </c>
      <c r="C59" s="15" t="s">
        <v>3014</v>
      </c>
      <c r="D59" s="15" t="s">
        <v>3014</v>
      </c>
      <c r="E59" s="15" t="s">
        <v>230</v>
      </c>
      <c r="F59" s="15" t="s">
        <v>374</v>
      </c>
      <c r="G59" s="15" t="s">
        <v>3015</v>
      </c>
      <c r="H59" s="15">
        <v>8405459</v>
      </c>
      <c r="I59" s="15" t="s">
        <v>3016</v>
      </c>
      <c r="J59" s="15" t="s">
        <v>3017</v>
      </c>
      <c r="K59" s="15"/>
      <c r="L59" s="15"/>
    </row>
    <row r="60" spans="1:12" ht="152.25">
      <c r="A60" s="14" t="s">
        <v>3018</v>
      </c>
      <c r="B60" s="16">
        <v>45999</v>
      </c>
      <c r="C60" s="17">
        <v>0.47083333333333333</v>
      </c>
      <c r="D60" s="17">
        <v>0.47083333333333333</v>
      </c>
      <c r="E60" s="15" t="s">
        <v>2965</v>
      </c>
      <c r="F60" s="15" t="s">
        <v>3019</v>
      </c>
      <c r="G60" s="15" t="s">
        <v>2845</v>
      </c>
      <c r="H60" s="15">
        <v>20251240</v>
      </c>
      <c r="I60" s="15" t="s">
        <v>2967</v>
      </c>
      <c r="J60" s="15" t="s">
        <v>2847</v>
      </c>
      <c r="K60" s="17">
        <v>0.47638888888888886</v>
      </c>
      <c r="L60" s="16">
        <v>45999</v>
      </c>
    </row>
    <row r="61" spans="1:12" ht="60.75">
      <c r="A61" s="14" t="s">
        <v>3020</v>
      </c>
      <c r="B61" s="16">
        <v>45999</v>
      </c>
      <c r="C61" s="17">
        <v>0.55833333333333335</v>
      </c>
      <c r="D61" s="17">
        <v>0.55833333333333335</v>
      </c>
      <c r="E61" s="15" t="s">
        <v>2843</v>
      </c>
      <c r="F61" s="15" t="s">
        <v>3019</v>
      </c>
      <c r="G61" s="15" t="s">
        <v>2845</v>
      </c>
      <c r="H61" s="15">
        <v>20251241</v>
      </c>
      <c r="I61" s="15" t="s">
        <v>3021</v>
      </c>
      <c r="J61" s="15" t="s">
        <v>3022</v>
      </c>
      <c r="K61" s="17">
        <v>0.58333333333333337</v>
      </c>
      <c r="L61" s="16">
        <v>45999</v>
      </c>
    </row>
    <row r="62" spans="1:12" ht="167.25">
      <c r="A62" s="14" t="s">
        <v>2976</v>
      </c>
      <c r="B62" s="16">
        <v>45999</v>
      </c>
      <c r="C62" s="17">
        <v>0.98958333333333337</v>
      </c>
      <c r="D62" s="17">
        <v>0.98958333333333337</v>
      </c>
      <c r="E62" s="15" t="s">
        <v>2843</v>
      </c>
      <c r="F62" s="15" t="s">
        <v>3023</v>
      </c>
      <c r="G62" s="15" t="s">
        <v>2845</v>
      </c>
      <c r="H62" s="15">
        <v>20251242</v>
      </c>
      <c r="I62" s="15" t="s">
        <v>3024</v>
      </c>
      <c r="J62" s="15" t="s">
        <v>3025</v>
      </c>
      <c r="K62" s="17">
        <v>0.25</v>
      </c>
      <c r="L62" s="16">
        <v>46000</v>
      </c>
    </row>
    <row r="63" spans="1:12" ht="121.5">
      <c r="A63" s="14" t="s">
        <v>3026</v>
      </c>
      <c r="B63" s="16">
        <v>46000</v>
      </c>
      <c r="C63" s="17">
        <v>0.2673611111111111</v>
      </c>
      <c r="D63" s="17">
        <v>0.2673611111111111</v>
      </c>
      <c r="E63" s="15" t="s">
        <v>230</v>
      </c>
      <c r="F63" s="15" t="s">
        <v>2899</v>
      </c>
      <c r="G63" s="15" t="s">
        <v>2845</v>
      </c>
      <c r="H63" s="15">
        <v>20251243</v>
      </c>
      <c r="I63" s="15" t="s">
        <v>3027</v>
      </c>
      <c r="J63" s="15" t="s">
        <v>3028</v>
      </c>
      <c r="K63" s="17">
        <v>0.36458333333333331</v>
      </c>
      <c r="L63" s="16">
        <v>46000</v>
      </c>
    </row>
    <row r="64" spans="1:12" ht="121.5">
      <c r="A64" s="14" t="s">
        <v>3029</v>
      </c>
      <c r="B64" s="16">
        <v>46000</v>
      </c>
      <c r="C64" s="17">
        <v>0.33333333333333331</v>
      </c>
      <c r="D64" s="17">
        <v>0.33333333333333331</v>
      </c>
      <c r="E64" s="15" t="s">
        <v>2928</v>
      </c>
      <c r="F64" s="15" t="s">
        <v>2941</v>
      </c>
      <c r="G64" s="15" t="s">
        <v>2850</v>
      </c>
      <c r="H64" s="15">
        <v>8350915</v>
      </c>
      <c r="I64" s="15" t="s">
        <v>3030</v>
      </c>
      <c r="J64" s="15" t="s">
        <v>3031</v>
      </c>
      <c r="K64" s="15"/>
      <c r="L64" s="15"/>
    </row>
    <row r="65" spans="1:12" ht="137.25">
      <c r="A65" s="14" t="s">
        <v>3032</v>
      </c>
      <c r="B65" s="16">
        <v>46000</v>
      </c>
      <c r="C65" s="17">
        <v>0.33333333333333331</v>
      </c>
      <c r="D65" s="17">
        <v>0.33333333333333331</v>
      </c>
      <c r="E65" s="15" t="s">
        <v>2928</v>
      </c>
      <c r="F65" s="15" t="s">
        <v>2941</v>
      </c>
      <c r="G65" s="15" t="s">
        <v>2866</v>
      </c>
      <c r="H65" s="15">
        <v>8350915</v>
      </c>
      <c r="I65" s="15" t="s">
        <v>3030</v>
      </c>
      <c r="J65" s="15" t="s">
        <v>831</v>
      </c>
      <c r="K65" s="17">
        <v>0.43055555555555558</v>
      </c>
      <c r="L65" s="16">
        <v>46000</v>
      </c>
    </row>
    <row r="66" spans="1:12" ht="106.5">
      <c r="A66" s="14" t="s">
        <v>3033</v>
      </c>
      <c r="B66" s="16">
        <v>45970</v>
      </c>
      <c r="C66" s="17">
        <v>0.34513888888888888</v>
      </c>
      <c r="D66" s="17">
        <v>0.34513888888888888</v>
      </c>
      <c r="E66" s="15" t="s">
        <v>230</v>
      </c>
      <c r="F66" s="15" t="s">
        <v>3034</v>
      </c>
      <c r="G66" s="15" t="s">
        <v>2850</v>
      </c>
      <c r="H66" s="15">
        <v>20251244</v>
      </c>
      <c r="I66" s="15" t="s">
        <v>3035</v>
      </c>
      <c r="J66" s="15" t="s">
        <v>3036</v>
      </c>
      <c r="K66" s="15"/>
      <c r="L66" s="15"/>
    </row>
    <row r="67" spans="1:12" ht="137.25">
      <c r="A67" s="14" t="s">
        <v>3037</v>
      </c>
      <c r="B67" s="16">
        <v>46000</v>
      </c>
      <c r="C67" s="17">
        <v>0.43402777777777779</v>
      </c>
      <c r="D67" s="17">
        <v>0.43402777777777779</v>
      </c>
      <c r="E67" s="15" t="s">
        <v>2928</v>
      </c>
      <c r="F67" s="15" t="s">
        <v>2941</v>
      </c>
      <c r="G67" s="15" t="s">
        <v>2866</v>
      </c>
      <c r="H67" s="15">
        <v>8350915</v>
      </c>
      <c r="I67" s="15" t="s">
        <v>3030</v>
      </c>
      <c r="J67" s="15" t="s">
        <v>831</v>
      </c>
      <c r="K67" s="17">
        <v>0.49305555555555558</v>
      </c>
      <c r="L67" s="16">
        <v>46000</v>
      </c>
    </row>
    <row r="68" spans="1:12" ht="106.5">
      <c r="A68" s="14" t="s">
        <v>3038</v>
      </c>
      <c r="B68" s="16">
        <v>45970</v>
      </c>
      <c r="C68" s="17">
        <v>0.4375</v>
      </c>
      <c r="D68" s="17">
        <v>0.4375</v>
      </c>
      <c r="E68" s="15" t="s">
        <v>2854</v>
      </c>
      <c r="F68" s="15" t="s">
        <v>3039</v>
      </c>
      <c r="G68" s="15" t="s">
        <v>2845</v>
      </c>
      <c r="H68" s="15">
        <v>20251245</v>
      </c>
      <c r="I68" s="15" t="s">
        <v>950</v>
      </c>
      <c r="J68" s="15" t="s">
        <v>3036</v>
      </c>
      <c r="K68" s="17">
        <v>0.44444444444444442</v>
      </c>
      <c r="L68" s="16">
        <v>46000</v>
      </c>
    </row>
    <row r="69" spans="1:12" ht="137.25">
      <c r="A69" s="14" t="s">
        <v>3026</v>
      </c>
      <c r="B69" s="16">
        <v>46000</v>
      </c>
      <c r="C69" s="17">
        <v>0.50902777777777775</v>
      </c>
      <c r="D69" s="17">
        <v>0.50902777777777775</v>
      </c>
      <c r="E69" s="15" t="s">
        <v>230</v>
      </c>
      <c r="F69" s="15" t="s">
        <v>2899</v>
      </c>
      <c r="G69" s="15" t="s">
        <v>2845</v>
      </c>
      <c r="H69" s="15">
        <v>20251246</v>
      </c>
      <c r="I69" s="15" t="s">
        <v>3027</v>
      </c>
      <c r="J69" s="15" t="s">
        <v>3040</v>
      </c>
      <c r="K69" s="17">
        <v>0.62708333333333333</v>
      </c>
      <c r="L69" s="16">
        <v>46000</v>
      </c>
    </row>
    <row r="70" spans="1:12" ht="137.25">
      <c r="A70" s="14" t="s">
        <v>2871</v>
      </c>
      <c r="B70" s="16">
        <v>46000</v>
      </c>
      <c r="C70" s="17">
        <v>0.54861111111111116</v>
      </c>
      <c r="D70" s="17">
        <v>0.54861111111111116</v>
      </c>
      <c r="E70" s="15" t="s">
        <v>230</v>
      </c>
      <c r="F70" s="15" t="s">
        <v>2899</v>
      </c>
      <c r="G70" s="15" t="s">
        <v>2850</v>
      </c>
      <c r="H70" s="15">
        <v>20251247</v>
      </c>
      <c r="I70" s="15" t="s">
        <v>3041</v>
      </c>
      <c r="J70" s="15" t="s">
        <v>3042</v>
      </c>
      <c r="K70" s="15"/>
      <c r="L70" s="15"/>
    </row>
    <row r="71" spans="1:12" ht="137.25">
      <c r="A71" s="14" t="s">
        <v>3043</v>
      </c>
      <c r="B71" s="16">
        <v>46000</v>
      </c>
      <c r="C71" s="17">
        <v>0.55902777777777779</v>
      </c>
      <c r="D71" s="17">
        <v>0.55902777777777779</v>
      </c>
      <c r="E71" s="15" t="s">
        <v>2928</v>
      </c>
      <c r="F71" s="15" t="s">
        <v>2941</v>
      </c>
      <c r="G71" s="15" t="s">
        <v>2866</v>
      </c>
      <c r="H71" s="15">
        <v>8350915</v>
      </c>
      <c r="I71" s="15" t="s">
        <v>3030</v>
      </c>
      <c r="J71" s="15" t="s">
        <v>831</v>
      </c>
      <c r="K71" s="17">
        <v>0.63888888888888884</v>
      </c>
      <c r="L71" s="16">
        <v>46000</v>
      </c>
    </row>
    <row r="72" spans="1:12" ht="229.5">
      <c r="A72" s="14" t="s">
        <v>3044</v>
      </c>
      <c r="B72" s="16">
        <v>46001</v>
      </c>
      <c r="C72" s="17">
        <v>0.25416666666666665</v>
      </c>
      <c r="D72" s="17">
        <v>0.25416666666666665</v>
      </c>
      <c r="E72" s="15" t="s">
        <v>2865</v>
      </c>
      <c r="F72" s="15" t="s">
        <v>3045</v>
      </c>
      <c r="G72" s="15" t="s">
        <v>2866</v>
      </c>
      <c r="H72" s="15">
        <v>20251248</v>
      </c>
      <c r="I72" s="15" t="s">
        <v>672</v>
      </c>
      <c r="J72" s="15" t="s">
        <v>3046</v>
      </c>
      <c r="K72" s="17">
        <v>0.30416666666666664</v>
      </c>
      <c r="L72" s="16">
        <v>46001</v>
      </c>
    </row>
    <row r="73" spans="1:12" ht="137.25">
      <c r="A73" s="14" t="s">
        <v>3047</v>
      </c>
      <c r="B73" s="16">
        <v>46001</v>
      </c>
      <c r="C73" s="17">
        <v>0.34166666666666667</v>
      </c>
      <c r="D73" s="17">
        <v>0.34166666666666667</v>
      </c>
      <c r="E73" s="15" t="s">
        <v>2928</v>
      </c>
      <c r="F73" s="15" t="s">
        <v>2941</v>
      </c>
      <c r="G73" s="15" t="s">
        <v>2866</v>
      </c>
      <c r="H73" s="15">
        <v>8350901</v>
      </c>
      <c r="I73" s="15" t="s">
        <v>3030</v>
      </c>
      <c r="J73" s="15" t="s">
        <v>831</v>
      </c>
      <c r="K73" s="17">
        <v>0.41319444444444442</v>
      </c>
      <c r="L73" s="16">
        <v>46001</v>
      </c>
    </row>
    <row r="74" spans="1:12" ht="137.25">
      <c r="A74" s="14" t="s">
        <v>3029</v>
      </c>
      <c r="B74" s="16">
        <v>46001</v>
      </c>
      <c r="C74" s="17">
        <v>0.41458333333333336</v>
      </c>
      <c r="D74" s="17">
        <v>0.41458333333333336</v>
      </c>
      <c r="E74" s="15" t="s">
        <v>2928</v>
      </c>
      <c r="F74" s="15" t="s">
        <v>2941</v>
      </c>
      <c r="G74" s="15" t="s">
        <v>2866</v>
      </c>
      <c r="H74" s="15">
        <v>8350901</v>
      </c>
      <c r="I74" s="15" t="s">
        <v>3030</v>
      </c>
      <c r="J74" s="15" t="s">
        <v>831</v>
      </c>
      <c r="K74" s="17">
        <v>0.49166666666666664</v>
      </c>
      <c r="L74" s="16">
        <v>46001</v>
      </c>
    </row>
    <row r="75" spans="1:12" ht="76.5">
      <c r="A75" s="14" t="s">
        <v>3026</v>
      </c>
      <c r="B75" s="16">
        <v>46001</v>
      </c>
      <c r="C75" s="17">
        <v>0.50694444444444442</v>
      </c>
      <c r="D75" s="17">
        <v>0.50694444444444442</v>
      </c>
      <c r="E75" s="15" t="s">
        <v>230</v>
      </c>
      <c r="F75" s="15" t="s">
        <v>2899</v>
      </c>
      <c r="G75" s="15" t="s">
        <v>3048</v>
      </c>
      <c r="H75" s="15">
        <v>8417202</v>
      </c>
      <c r="I75" s="15" t="s">
        <v>3049</v>
      </c>
      <c r="J75" s="15" t="s">
        <v>3050</v>
      </c>
      <c r="K75" s="15"/>
      <c r="L75" s="15"/>
    </row>
    <row r="76" spans="1:12" ht="137.25">
      <c r="A76" s="14" t="s">
        <v>3051</v>
      </c>
      <c r="B76" s="16">
        <v>46001</v>
      </c>
      <c r="C76" s="17">
        <v>0.56944444444444442</v>
      </c>
      <c r="D76" s="17">
        <v>0.56944444444444442</v>
      </c>
      <c r="E76" s="15" t="s">
        <v>2928</v>
      </c>
      <c r="F76" s="15" t="s">
        <v>2941</v>
      </c>
      <c r="G76" s="15" t="s">
        <v>2866</v>
      </c>
      <c r="H76" s="15">
        <v>8350901</v>
      </c>
      <c r="I76" s="15" t="s">
        <v>3030</v>
      </c>
      <c r="J76" s="15" t="s">
        <v>831</v>
      </c>
      <c r="K76" s="17">
        <v>0.64583333333333337</v>
      </c>
      <c r="L76" s="16">
        <v>46001</v>
      </c>
    </row>
    <row r="77" spans="1:12" ht="213">
      <c r="A77" s="14" t="s">
        <v>444</v>
      </c>
      <c r="B77" s="16">
        <v>46001</v>
      </c>
      <c r="C77" s="17">
        <v>0.58333333333333337</v>
      </c>
      <c r="D77" s="17">
        <v>0.58333333333333337</v>
      </c>
      <c r="E77" s="15" t="s">
        <v>230</v>
      </c>
      <c r="F77" s="15" t="s">
        <v>3052</v>
      </c>
      <c r="G77" s="15" t="s">
        <v>2866</v>
      </c>
      <c r="H77" s="15"/>
      <c r="I77" s="15" t="s">
        <v>3053</v>
      </c>
      <c r="J77" s="15" t="s">
        <v>3054</v>
      </c>
      <c r="K77" s="17">
        <v>0.75</v>
      </c>
      <c r="L77" s="16">
        <v>46001</v>
      </c>
    </row>
    <row r="78" spans="1:12" ht="167.25">
      <c r="A78" s="14" t="s">
        <v>3055</v>
      </c>
      <c r="B78" s="16">
        <v>46001</v>
      </c>
      <c r="C78" s="17">
        <v>0.59722222222222221</v>
      </c>
      <c r="D78" s="17">
        <v>0.59722222222222221</v>
      </c>
      <c r="E78" s="15" t="s">
        <v>2928</v>
      </c>
      <c r="F78" s="15" t="s">
        <v>2941</v>
      </c>
      <c r="G78" s="15" t="s">
        <v>2845</v>
      </c>
      <c r="H78" s="15">
        <v>8417247</v>
      </c>
      <c r="I78" s="15" t="s">
        <v>3056</v>
      </c>
      <c r="J78" s="15" t="s">
        <v>3057</v>
      </c>
      <c r="K78" s="17">
        <v>0.71875</v>
      </c>
      <c r="L78" s="16">
        <v>46001</v>
      </c>
    </row>
    <row r="79" spans="1:12" ht="106.5">
      <c r="A79" s="14" t="s">
        <v>3058</v>
      </c>
      <c r="B79" s="16">
        <v>46001</v>
      </c>
      <c r="C79" s="17">
        <v>0.70486111111111116</v>
      </c>
      <c r="D79" s="17">
        <v>0.70486111111111116</v>
      </c>
      <c r="E79" s="15" t="s">
        <v>2843</v>
      </c>
      <c r="F79" s="15" t="s">
        <v>2844</v>
      </c>
      <c r="G79" s="15" t="s">
        <v>3001</v>
      </c>
      <c r="H79" s="15">
        <v>20251249</v>
      </c>
      <c r="I79" s="15" t="s">
        <v>3002</v>
      </c>
      <c r="J79" s="15" t="s">
        <v>3003</v>
      </c>
      <c r="K79" s="15"/>
      <c r="L79" s="15"/>
    </row>
    <row r="80" spans="1:12" ht="137.25">
      <c r="A80" s="14" t="s">
        <v>3059</v>
      </c>
      <c r="B80" s="16">
        <v>46001</v>
      </c>
      <c r="C80" s="17">
        <v>0.75069444444444444</v>
      </c>
      <c r="D80" s="17">
        <v>0.75069444444444444</v>
      </c>
      <c r="E80" s="15" t="s">
        <v>2865</v>
      </c>
      <c r="F80" s="15" t="s">
        <v>2844</v>
      </c>
      <c r="G80" s="15" t="s">
        <v>2866</v>
      </c>
      <c r="H80" s="15">
        <v>20251250</v>
      </c>
      <c r="I80" s="15" t="s">
        <v>3060</v>
      </c>
      <c r="J80" s="15" t="s">
        <v>3061</v>
      </c>
      <c r="K80" s="17">
        <v>0.5</v>
      </c>
      <c r="L80" s="16">
        <v>45941</v>
      </c>
    </row>
    <row r="81" spans="1:12" ht="152.25">
      <c r="A81" s="14" t="s">
        <v>3062</v>
      </c>
      <c r="B81" s="16">
        <v>46002</v>
      </c>
      <c r="C81" s="17">
        <v>6.9444444444444447E-4</v>
      </c>
      <c r="D81" s="17">
        <v>6.9444444444444447E-4</v>
      </c>
      <c r="E81" s="15" t="s">
        <v>2865</v>
      </c>
      <c r="F81" s="15" t="s">
        <v>2844</v>
      </c>
      <c r="G81" s="15" t="s">
        <v>2845</v>
      </c>
      <c r="H81" s="15">
        <v>20251251</v>
      </c>
      <c r="I81" s="15" t="s">
        <v>3063</v>
      </c>
      <c r="J81" s="15" t="s">
        <v>3064</v>
      </c>
      <c r="K81" s="17">
        <v>0.3125</v>
      </c>
      <c r="L81" s="16">
        <v>46002</v>
      </c>
    </row>
    <row r="82" spans="1:12" ht="91.5">
      <c r="A82" s="14" t="s">
        <v>3065</v>
      </c>
      <c r="B82" s="16">
        <v>46002</v>
      </c>
      <c r="C82" s="17">
        <v>0.25694444444444442</v>
      </c>
      <c r="D82" s="17">
        <v>0.25694444444444442</v>
      </c>
      <c r="E82" s="15" t="s">
        <v>230</v>
      </c>
      <c r="F82" s="15" t="s">
        <v>2844</v>
      </c>
      <c r="G82" s="15" t="s">
        <v>2845</v>
      </c>
      <c r="H82" s="15">
        <v>20251252</v>
      </c>
      <c r="I82" s="15" t="s">
        <v>3012</v>
      </c>
      <c r="J82" s="15" t="s">
        <v>3066</v>
      </c>
      <c r="K82" s="17">
        <v>0.51041666666666663</v>
      </c>
      <c r="L82" s="16">
        <v>46002</v>
      </c>
    </row>
    <row r="83" spans="1:12" ht="152.25">
      <c r="A83" s="14" t="s">
        <v>3067</v>
      </c>
      <c r="B83" s="16">
        <v>46002</v>
      </c>
      <c r="C83" s="17">
        <v>0.2638888888888889</v>
      </c>
      <c r="D83" s="17">
        <v>0.2638888888888889</v>
      </c>
      <c r="E83" s="15" t="s">
        <v>230</v>
      </c>
      <c r="F83" s="15" t="s">
        <v>2844</v>
      </c>
      <c r="G83" s="15" t="s">
        <v>2845</v>
      </c>
      <c r="H83" s="15">
        <v>20251253</v>
      </c>
      <c r="I83" s="15" t="s">
        <v>3068</v>
      </c>
      <c r="J83" s="15" t="s">
        <v>3069</v>
      </c>
      <c r="K83" s="17">
        <v>0.39583333333333331</v>
      </c>
      <c r="L83" s="16">
        <v>46002</v>
      </c>
    </row>
    <row r="84" spans="1:12" ht="167.25">
      <c r="A84" s="14" t="s">
        <v>3070</v>
      </c>
      <c r="B84" s="16">
        <v>46002</v>
      </c>
      <c r="C84" s="17">
        <v>0.34027777777777779</v>
      </c>
      <c r="D84" s="17">
        <v>0.34027777777777779</v>
      </c>
      <c r="E84" s="15" t="s">
        <v>2928</v>
      </c>
      <c r="F84" s="15" t="s">
        <v>2941</v>
      </c>
      <c r="G84" s="15" t="s">
        <v>2845</v>
      </c>
      <c r="H84" s="15">
        <v>8417247</v>
      </c>
      <c r="I84" s="15" t="s">
        <v>3056</v>
      </c>
      <c r="J84" s="15" t="s">
        <v>3057</v>
      </c>
      <c r="K84" s="17">
        <v>0.46527777777777779</v>
      </c>
      <c r="L84" s="16">
        <v>46002</v>
      </c>
    </row>
    <row r="85" spans="1:12" ht="106.5">
      <c r="A85" s="14" t="s">
        <v>3071</v>
      </c>
      <c r="B85" s="16">
        <v>46002</v>
      </c>
      <c r="C85" s="17">
        <v>0.46527777777777779</v>
      </c>
      <c r="D85" s="17">
        <v>0.46527777777777779</v>
      </c>
      <c r="E85" s="15" t="s">
        <v>2843</v>
      </c>
      <c r="F85" s="15" t="s">
        <v>2844</v>
      </c>
      <c r="G85" s="15" t="s">
        <v>3001</v>
      </c>
      <c r="H85" s="15">
        <v>20251252</v>
      </c>
      <c r="I85" s="15" t="s">
        <v>3002</v>
      </c>
      <c r="J85" s="15" t="s">
        <v>3003</v>
      </c>
      <c r="K85" s="15"/>
      <c r="L85" s="15"/>
    </row>
    <row r="86" spans="1:12" ht="167.25">
      <c r="A86" s="14" t="s">
        <v>3072</v>
      </c>
      <c r="B86" s="16">
        <v>46002</v>
      </c>
      <c r="C86" s="17">
        <v>0.56180555555555556</v>
      </c>
      <c r="D86" s="17">
        <v>0.56180555555555556</v>
      </c>
      <c r="E86" s="15" t="s">
        <v>2928</v>
      </c>
      <c r="F86" s="15" t="s">
        <v>2941</v>
      </c>
      <c r="G86" s="15" t="s">
        <v>2845</v>
      </c>
      <c r="H86" s="15">
        <v>18376</v>
      </c>
      <c r="I86" s="15" t="s">
        <v>3056</v>
      </c>
      <c r="J86" s="15" t="s">
        <v>3057</v>
      </c>
      <c r="K86" s="17">
        <v>0.78472222222222221</v>
      </c>
      <c r="L86" s="16">
        <v>46002</v>
      </c>
    </row>
    <row r="87" spans="1:12" ht="152.25">
      <c r="A87" s="14" t="s">
        <v>3073</v>
      </c>
      <c r="B87" s="16">
        <v>46002</v>
      </c>
      <c r="C87" s="17">
        <v>0.76388888888888884</v>
      </c>
      <c r="D87" s="17">
        <v>0.76388888888888884</v>
      </c>
      <c r="E87" s="15" t="s">
        <v>2865</v>
      </c>
      <c r="F87" s="15" t="s">
        <v>2844</v>
      </c>
      <c r="G87" s="15" t="s">
        <v>2866</v>
      </c>
      <c r="H87" s="15">
        <v>20251254</v>
      </c>
      <c r="I87" s="15" t="s">
        <v>3074</v>
      </c>
      <c r="J87" s="15" t="s">
        <v>3075</v>
      </c>
      <c r="K87" s="17">
        <v>0.36805555555555558</v>
      </c>
      <c r="L87" s="16">
        <v>46003</v>
      </c>
    </row>
    <row r="88" spans="1:12" ht="152.25">
      <c r="A88" s="14" t="s">
        <v>3076</v>
      </c>
      <c r="B88" s="16">
        <v>46002</v>
      </c>
      <c r="C88" s="17">
        <v>0.90763888888888888</v>
      </c>
      <c r="D88" s="17">
        <v>0.90763888888888888</v>
      </c>
      <c r="E88" s="15" t="s">
        <v>2865</v>
      </c>
      <c r="F88" s="15" t="s">
        <v>3077</v>
      </c>
      <c r="G88" s="15" t="s">
        <v>2866</v>
      </c>
      <c r="H88" s="15">
        <v>20251255</v>
      </c>
      <c r="I88" s="15" t="s">
        <v>3078</v>
      </c>
      <c r="J88" s="15" t="s">
        <v>3079</v>
      </c>
      <c r="K88" s="17">
        <v>0.94166666666666665</v>
      </c>
      <c r="L88" s="16">
        <v>46002</v>
      </c>
    </row>
    <row r="89" spans="1:12" ht="167.25">
      <c r="A89" s="14" t="s">
        <v>3080</v>
      </c>
      <c r="B89" s="16">
        <v>46003</v>
      </c>
      <c r="C89" s="17">
        <v>0.17083333333333334</v>
      </c>
      <c r="D89" s="17">
        <v>0.17083333333333334</v>
      </c>
      <c r="E89" s="15" t="s">
        <v>230</v>
      </c>
      <c r="F89" s="15" t="s">
        <v>2875</v>
      </c>
      <c r="G89" s="15" t="s">
        <v>2866</v>
      </c>
      <c r="H89" s="15">
        <v>20251256</v>
      </c>
      <c r="I89" s="15" t="s">
        <v>3081</v>
      </c>
      <c r="J89" s="15" t="s">
        <v>3082</v>
      </c>
      <c r="K89" s="17">
        <v>0.30972222222222223</v>
      </c>
      <c r="L89" s="16">
        <v>46003</v>
      </c>
    </row>
    <row r="90" spans="1:12" ht="183">
      <c r="A90" s="14" t="s">
        <v>3083</v>
      </c>
      <c r="B90" s="16">
        <v>46003</v>
      </c>
      <c r="C90" s="17">
        <v>0.22222222222222221</v>
      </c>
      <c r="D90" s="17">
        <v>0.22222222222222221</v>
      </c>
      <c r="E90" s="15" t="s">
        <v>2865</v>
      </c>
      <c r="F90" s="15" t="s">
        <v>3084</v>
      </c>
      <c r="G90" s="15" t="s">
        <v>2866</v>
      </c>
      <c r="H90" s="15">
        <v>20251257</v>
      </c>
      <c r="I90" s="15" t="s">
        <v>3085</v>
      </c>
      <c r="J90" s="15" t="s">
        <v>3086</v>
      </c>
      <c r="K90" s="17">
        <v>0.34652777777777777</v>
      </c>
      <c r="L90" s="16">
        <v>46003</v>
      </c>
    </row>
    <row r="91" spans="1:12" ht="167.25">
      <c r="A91" s="14" t="s">
        <v>3087</v>
      </c>
      <c r="B91" s="16">
        <v>46003</v>
      </c>
      <c r="C91" s="17">
        <v>0.35069444444444442</v>
      </c>
      <c r="D91" s="17">
        <v>0.35069444444444442</v>
      </c>
      <c r="E91" s="15" t="s">
        <v>2865</v>
      </c>
      <c r="F91" s="15" t="s">
        <v>3019</v>
      </c>
      <c r="G91" s="15" t="s">
        <v>2933</v>
      </c>
      <c r="H91" s="15">
        <v>20251258</v>
      </c>
      <c r="I91" s="15" t="s">
        <v>2021</v>
      </c>
      <c r="J91" s="15" t="s">
        <v>3088</v>
      </c>
      <c r="K91" s="17">
        <v>0.39930555555555558</v>
      </c>
      <c r="L91" s="16">
        <v>46003</v>
      </c>
    </row>
    <row r="92" spans="1:12" ht="167.25">
      <c r="A92" s="14" t="s">
        <v>3089</v>
      </c>
      <c r="B92" s="16">
        <v>46003</v>
      </c>
      <c r="C92" s="17">
        <v>0.50694444444444442</v>
      </c>
      <c r="D92" s="17">
        <v>0.50694444444444442</v>
      </c>
      <c r="E92" s="15" t="s">
        <v>2865</v>
      </c>
      <c r="F92" s="15" t="s">
        <v>3019</v>
      </c>
      <c r="G92" s="15" t="s">
        <v>2845</v>
      </c>
      <c r="H92" s="15">
        <v>8428320</v>
      </c>
      <c r="I92" s="15" t="s">
        <v>3090</v>
      </c>
      <c r="J92" s="15" t="s">
        <v>3091</v>
      </c>
      <c r="K92" s="17">
        <v>0.55902777777777779</v>
      </c>
      <c r="L92" s="16">
        <v>46003</v>
      </c>
    </row>
    <row r="93" spans="1:12" ht="121.5">
      <c r="A93" s="14" t="s">
        <v>3070</v>
      </c>
      <c r="B93" s="16">
        <v>46003</v>
      </c>
      <c r="C93" s="17">
        <v>0.50694444444444442</v>
      </c>
      <c r="D93" s="17">
        <v>0.50694444444444442</v>
      </c>
      <c r="E93" s="15" t="s">
        <v>230</v>
      </c>
      <c r="F93" s="15" t="s">
        <v>3019</v>
      </c>
      <c r="G93" s="15" t="s">
        <v>2845</v>
      </c>
      <c r="H93" s="15">
        <v>8428321</v>
      </c>
      <c r="I93" s="15" t="s">
        <v>3012</v>
      </c>
      <c r="J93" s="15" t="s">
        <v>3092</v>
      </c>
      <c r="K93" s="17">
        <v>0.60416666666666663</v>
      </c>
      <c r="L93" s="16">
        <v>46003</v>
      </c>
    </row>
    <row r="94" spans="1:12" ht="152.25">
      <c r="A94" s="14" t="s">
        <v>3093</v>
      </c>
      <c r="B94" s="16">
        <v>46003</v>
      </c>
      <c r="C94" s="17">
        <v>0.53680555555555554</v>
      </c>
      <c r="D94" s="17">
        <v>0.53680555555555554</v>
      </c>
      <c r="E94" s="15" t="s">
        <v>2965</v>
      </c>
      <c r="F94" s="15" t="s">
        <v>3019</v>
      </c>
      <c r="G94" s="15" t="s">
        <v>2845</v>
      </c>
      <c r="H94" s="15">
        <v>20251259</v>
      </c>
      <c r="I94" s="15" t="s">
        <v>3094</v>
      </c>
      <c r="J94" s="15" t="s">
        <v>2847</v>
      </c>
      <c r="K94" s="17">
        <v>0.55486111111111114</v>
      </c>
      <c r="L94" s="16">
        <v>46003</v>
      </c>
    </row>
    <row r="95" spans="1:12" ht="91.5">
      <c r="A95" s="14" t="s">
        <v>3083</v>
      </c>
      <c r="B95" s="16">
        <v>46003</v>
      </c>
      <c r="C95" s="17">
        <v>0.56319444444444444</v>
      </c>
      <c r="D95" s="17">
        <v>0.56319444444444444</v>
      </c>
      <c r="E95" s="15" t="s">
        <v>2865</v>
      </c>
      <c r="F95" s="15" t="s">
        <v>3084</v>
      </c>
      <c r="G95" s="15" t="s">
        <v>2866</v>
      </c>
      <c r="H95" s="15">
        <v>8428521</v>
      </c>
      <c r="I95" s="15" t="s">
        <v>3095</v>
      </c>
      <c r="J95" s="15" t="s">
        <v>2990</v>
      </c>
      <c r="K95" s="17">
        <v>0.60763888888888884</v>
      </c>
      <c r="L95" s="16">
        <v>46003</v>
      </c>
    </row>
    <row r="96" spans="1:12" ht="152.25">
      <c r="A96" s="14" t="s">
        <v>3096</v>
      </c>
      <c r="B96" s="16">
        <v>46003</v>
      </c>
      <c r="C96" s="17">
        <v>0.60486111111111107</v>
      </c>
      <c r="D96" s="17">
        <v>0.60486111111111107</v>
      </c>
      <c r="E96" s="15" t="s">
        <v>230</v>
      </c>
      <c r="F96" s="15" t="s">
        <v>343</v>
      </c>
      <c r="G96" s="15" t="s">
        <v>3001</v>
      </c>
      <c r="H96" s="15"/>
      <c r="I96" s="15" t="s">
        <v>3097</v>
      </c>
      <c r="J96" s="15" t="s">
        <v>3097</v>
      </c>
      <c r="K96" s="15"/>
      <c r="L96" s="15"/>
    </row>
    <row r="97" spans="1:12" ht="121.5">
      <c r="A97" s="14" t="s">
        <v>3098</v>
      </c>
      <c r="B97" s="16">
        <v>46003</v>
      </c>
      <c r="C97" s="17">
        <v>0.6166666666666667</v>
      </c>
      <c r="D97" s="17">
        <v>0.6166666666666667</v>
      </c>
      <c r="E97" s="15" t="s">
        <v>230</v>
      </c>
      <c r="F97" s="15" t="s">
        <v>3019</v>
      </c>
      <c r="G97" s="15" t="s">
        <v>2866</v>
      </c>
      <c r="H97" s="15">
        <v>20251260</v>
      </c>
      <c r="I97" s="15" t="s">
        <v>3099</v>
      </c>
      <c r="J97" s="15" t="s">
        <v>3100</v>
      </c>
      <c r="K97" s="17">
        <v>0.63194444444444442</v>
      </c>
      <c r="L97" s="16">
        <v>46003</v>
      </c>
    </row>
    <row r="98" spans="1:12" ht="121.5">
      <c r="A98" s="14" t="s">
        <v>3101</v>
      </c>
      <c r="B98" s="16">
        <v>46003</v>
      </c>
      <c r="C98" s="17">
        <v>0.75</v>
      </c>
      <c r="D98" s="17">
        <v>0.75</v>
      </c>
      <c r="E98" s="15" t="s">
        <v>230</v>
      </c>
      <c r="F98" s="15" t="s">
        <v>3019</v>
      </c>
      <c r="G98" s="15" t="s">
        <v>2866</v>
      </c>
      <c r="H98" s="15">
        <v>20251261</v>
      </c>
      <c r="I98" s="15" t="s">
        <v>3102</v>
      </c>
      <c r="J98" s="15" t="s">
        <v>3103</v>
      </c>
      <c r="K98" s="17">
        <v>0.88888888888888884</v>
      </c>
      <c r="L98" s="16">
        <v>46003</v>
      </c>
    </row>
    <row r="99" spans="1:12" ht="76.5">
      <c r="A99" s="14" t="s">
        <v>3104</v>
      </c>
      <c r="B99" s="16">
        <v>46003</v>
      </c>
      <c r="C99" s="17">
        <v>0.94444444444444442</v>
      </c>
      <c r="D99" s="17">
        <v>0.94444444444444442</v>
      </c>
      <c r="E99" s="15" t="s">
        <v>2843</v>
      </c>
      <c r="F99" s="15" t="s">
        <v>2844</v>
      </c>
      <c r="G99" s="15" t="s">
        <v>2866</v>
      </c>
      <c r="H99" s="15">
        <v>20251262</v>
      </c>
      <c r="I99" s="15" t="s">
        <v>2746</v>
      </c>
      <c r="J99" s="15" t="s">
        <v>3105</v>
      </c>
      <c r="K99" s="17">
        <v>0.9770833333333333</v>
      </c>
      <c r="L99" s="16">
        <v>45638</v>
      </c>
    </row>
    <row r="100" spans="1:12" ht="91.5">
      <c r="A100" s="14" t="s">
        <v>3104</v>
      </c>
      <c r="B100" s="16">
        <v>46003</v>
      </c>
      <c r="C100" s="17">
        <v>0.98263888888888884</v>
      </c>
      <c r="D100" s="17">
        <v>0.98263888888888884</v>
      </c>
      <c r="E100" s="15" t="s">
        <v>230</v>
      </c>
      <c r="F100" s="15" t="s">
        <v>3106</v>
      </c>
      <c r="G100" s="15" t="s">
        <v>2866</v>
      </c>
      <c r="H100" s="15">
        <v>8429385</v>
      </c>
      <c r="I100" s="15" t="s">
        <v>3107</v>
      </c>
      <c r="J100" s="15" t="s">
        <v>3108</v>
      </c>
      <c r="K100" s="17">
        <v>3.472222222222222E-3</v>
      </c>
      <c r="L100" s="16">
        <v>46004</v>
      </c>
    </row>
    <row r="101" spans="1:12" ht="106.5">
      <c r="A101" s="14" t="s">
        <v>3104</v>
      </c>
      <c r="B101" s="16">
        <v>46004</v>
      </c>
      <c r="C101" s="17">
        <v>0.11805555555555555</v>
      </c>
      <c r="D101" s="17">
        <v>0.11805555555555555</v>
      </c>
      <c r="E101" s="15" t="s">
        <v>2843</v>
      </c>
      <c r="F101" s="15" t="s">
        <v>2844</v>
      </c>
      <c r="G101" s="15" t="s">
        <v>2850</v>
      </c>
      <c r="H101" s="15">
        <v>20251263</v>
      </c>
      <c r="I101" s="15" t="s">
        <v>2746</v>
      </c>
      <c r="J101" s="15" t="s">
        <v>3109</v>
      </c>
      <c r="K101" s="15"/>
      <c r="L101" s="15"/>
    </row>
    <row r="102" spans="1:12" ht="152.25">
      <c r="A102" s="14" t="s">
        <v>3110</v>
      </c>
      <c r="B102" s="16">
        <v>46004</v>
      </c>
      <c r="C102" s="17">
        <v>0.2673611111111111</v>
      </c>
      <c r="D102" s="17">
        <v>0.2673611111111111</v>
      </c>
      <c r="E102" s="15" t="s">
        <v>230</v>
      </c>
      <c r="F102" s="15" t="s">
        <v>2844</v>
      </c>
      <c r="G102" s="15" t="s">
        <v>2845</v>
      </c>
      <c r="H102" s="15">
        <v>20251264</v>
      </c>
      <c r="I102" s="15" t="s">
        <v>3027</v>
      </c>
      <c r="J102" s="15" t="s">
        <v>3111</v>
      </c>
      <c r="K102" s="17">
        <v>0.33055555555555555</v>
      </c>
      <c r="L102" s="16">
        <v>46004</v>
      </c>
    </row>
    <row r="103" spans="1:12" ht="351">
      <c r="A103" s="14" t="s">
        <v>3112</v>
      </c>
      <c r="B103" s="16">
        <v>46004</v>
      </c>
      <c r="C103" s="17">
        <v>0.2986111111111111</v>
      </c>
      <c r="D103" s="17">
        <v>0.2986111111111111</v>
      </c>
      <c r="E103" s="15" t="s">
        <v>2865</v>
      </c>
      <c r="F103" s="15" t="s">
        <v>2844</v>
      </c>
      <c r="G103" s="15" t="s">
        <v>2866</v>
      </c>
      <c r="H103" s="15">
        <v>20251265</v>
      </c>
      <c r="I103" s="15" t="s">
        <v>3113</v>
      </c>
      <c r="J103" s="15" t="s">
        <v>3114</v>
      </c>
      <c r="K103" s="17">
        <v>0.71180555555555558</v>
      </c>
      <c r="L103" s="16">
        <v>46006</v>
      </c>
    </row>
    <row r="104" spans="1:12" ht="91.5">
      <c r="A104" s="14" t="s">
        <v>3115</v>
      </c>
      <c r="B104" s="16">
        <v>46004</v>
      </c>
      <c r="C104" s="17">
        <v>0.34791666666666665</v>
      </c>
      <c r="D104" s="17">
        <v>0.34791666666666665</v>
      </c>
      <c r="E104" s="15" t="s">
        <v>230</v>
      </c>
      <c r="F104" s="15" t="s">
        <v>3116</v>
      </c>
      <c r="G104" s="15" t="s">
        <v>2866</v>
      </c>
      <c r="H104" s="15">
        <v>20251266</v>
      </c>
      <c r="I104" s="15" t="s">
        <v>3117</v>
      </c>
      <c r="J104" s="15" t="s">
        <v>3118</v>
      </c>
      <c r="K104" s="17">
        <v>0.66736111111111107</v>
      </c>
      <c r="L104" s="16">
        <v>46006</v>
      </c>
    </row>
    <row r="105" spans="1:12" ht="91.5">
      <c r="A105" s="14" t="s">
        <v>3110</v>
      </c>
      <c r="B105" s="16">
        <v>46004</v>
      </c>
      <c r="C105" s="17">
        <v>0.67986111111111114</v>
      </c>
      <c r="D105" s="17">
        <v>0.67986111111111114</v>
      </c>
      <c r="E105" s="15" t="s">
        <v>230</v>
      </c>
      <c r="F105" s="15" t="s">
        <v>2844</v>
      </c>
      <c r="G105" s="15" t="s">
        <v>2845</v>
      </c>
      <c r="H105" s="15">
        <v>20251267</v>
      </c>
      <c r="I105" s="15" t="s">
        <v>3012</v>
      </c>
      <c r="J105" s="15" t="s">
        <v>3119</v>
      </c>
      <c r="K105" s="17">
        <v>0.44444444444444442</v>
      </c>
      <c r="L105" s="16">
        <v>46005</v>
      </c>
    </row>
    <row r="106" spans="1:12" ht="106.5">
      <c r="A106" s="14" t="s">
        <v>3120</v>
      </c>
      <c r="B106" s="16">
        <v>46005</v>
      </c>
      <c r="C106" s="17">
        <v>0.23541666666666666</v>
      </c>
      <c r="D106" s="17">
        <v>0.23541666666666666</v>
      </c>
      <c r="E106" s="15" t="s">
        <v>230</v>
      </c>
      <c r="F106" s="15" t="s">
        <v>2875</v>
      </c>
      <c r="G106" s="15" t="s">
        <v>2866</v>
      </c>
      <c r="H106" s="15">
        <v>20251268</v>
      </c>
      <c r="I106" s="15" t="s">
        <v>3081</v>
      </c>
      <c r="J106" s="15" t="s">
        <v>3121</v>
      </c>
      <c r="K106" s="17">
        <v>0.43055555555555558</v>
      </c>
      <c r="L106" s="16">
        <v>46005</v>
      </c>
    </row>
    <row r="107" spans="1:12" ht="152.25">
      <c r="A107" s="14" t="s">
        <v>2964</v>
      </c>
      <c r="B107" s="16">
        <v>46005</v>
      </c>
      <c r="C107" s="17">
        <v>0.45347222222222222</v>
      </c>
      <c r="D107" s="17">
        <v>0.45347222222222222</v>
      </c>
      <c r="E107" s="15" t="s">
        <v>2965</v>
      </c>
      <c r="F107" s="15" t="s">
        <v>3019</v>
      </c>
      <c r="G107" s="15" t="s">
        <v>2845</v>
      </c>
      <c r="H107" s="15">
        <v>20251269</v>
      </c>
      <c r="I107" s="15" t="s">
        <v>3094</v>
      </c>
      <c r="J107" s="15" t="s">
        <v>2847</v>
      </c>
      <c r="K107" s="17">
        <v>0.61250000000000004</v>
      </c>
      <c r="L107" s="16">
        <v>46005</v>
      </c>
    </row>
    <row r="108" spans="1:12" ht="76.5">
      <c r="A108" s="14" t="s">
        <v>3122</v>
      </c>
      <c r="B108" s="16">
        <v>46005</v>
      </c>
      <c r="C108" s="17">
        <v>0.55902777777777779</v>
      </c>
      <c r="D108" s="17">
        <v>0.55902777777777779</v>
      </c>
      <c r="E108" s="15" t="s">
        <v>2854</v>
      </c>
      <c r="F108" s="15" t="s">
        <v>3019</v>
      </c>
      <c r="G108" s="15" t="s">
        <v>2961</v>
      </c>
      <c r="H108" s="15">
        <v>20251270</v>
      </c>
      <c r="I108" s="15" t="s">
        <v>450</v>
      </c>
      <c r="J108" s="15" t="s">
        <v>3123</v>
      </c>
      <c r="K108" s="17">
        <v>0.60416666666666663</v>
      </c>
      <c r="L108" s="16">
        <v>46005</v>
      </c>
    </row>
    <row r="109" spans="1:12" ht="198">
      <c r="A109" s="14" t="s">
        <v>3124</v>
      </c>
      <c r="B109" s="16">
        <v>46005</v>
      </c>
      <c r="C109" s="17">
        <v>0.62638888888888888</v>
      </c>
      <c r="D109" s="17">
        <v>0.62638888888888888</v>
      </c>
      <c r="E109" s="15" t="s">
        <v>2854</v>
      </c>
      <c r="F109" s="15" t="s">
        <v>3019</v>
      </c>
      <c r="G109" s="15" t="s">
        <v>2845</v>
      </c>
      <c r="H109" s="15">
        <v>8434306</v>
      </c>
      <c r="I109" s="15" t="s">
        <v>3125</v>
      </c>
      <c r="J109" s="15" t="s">
        <v>3126</v>
      </c>
      <c r="K109" s="17">
        <v>0.625</v>
      </c>
      <c r="L109" s="16">
        <v>46007</v>
      </c>
    </row>
    <row r="110" spans="1:12" ht="106.5">
      <c r="A110" s="14" t="s">
        <v>3072</v>
      </c>
      <c r="B110" s="16">
        <v>46005</v>
      </c>
      <c r="C110" s="17">
        <v>0.95833333333333337</v>
      </c>
      <c r="D110" s="17">
        <v>0.91666666666666663</v>
      </c>
      <c r="E110" s="15" t="s">
        <v>2843</v>
      </c>
      <c r="F110" s="15" t="s">
        <v>2844</v>
      </c>
      <c r="G110" s="15" t="s">
        <v>3015</v>
      </c>
      <c r="H110" s="15">
        <v>20251272</v>
      </c>
      <c r="I110" s="15" t="s">
        <v>2856</v>
      </c>
      <c r="J110" s="15" t="s">
        <v>3127</v>
      </c>
      <c r="K110" s="15"/>
      <c r="L110" s="15"/>
    </row>
    <row r="111" spans="1:12" ht="183">
      <c r="A111" s="14" t="s">
        <v>3128</v>
      </c>
      <c r="B111" s="16">
        <v>46006</v>
      </c>
      <c r="C111" s="17">
        <v>0.125</v>
      </c>
      <c r="D111" s="17">
        <v>0.125</v>
      </c>
      <c r="E111" s="15" t="s">
        <v>230</v>
      </c>
      <c r="F111" s="15" t="s">
        <v>2844</v>
      </c>
      <c r="G111" s="15" t="s">
        <v>2866</v>
      </c>
      <c r="H111" s="15">
        <v>20251273</v>
      </c>
      <c r="I111" s="15" t="s">
        <v>3129</v>
      </c>
      <c r="J111" s="15" t="s">
        <v>3130</v>
      </c>
      <c r="K111" s="17">
        <v>0.32291666666666669</v>
      </c>
      <c r="L111" s="16">
        <v>46006</v>
      </c>
    </row>
    <row r="112" spans="1:12" ht="137.25">
      <c r="A112" s="14" t="s">
        <v>3131</v>
      </c>
      <c r="B112" s="16">
        <v>46006</v>
      </c>
      <c r="C112" s="17">
        <v>0.35416666666666669</v>
      </c>
      <c r="D112" s="17">
        <v>0.35416666666666669</v>
      </c>
      <c r="E112" s="15" t="s">
        <v>230</v>
      </c>
      <c r="F112" s="15" t="s">
        <v>2844</v>
      </c>
      <c r="G112" s="15" t="s">
        <v>2866</v>
      </c>
      <c r="H112" s="15">
        <v>20251274</v>
      </c>
      <c r="I112" s="15" t="s">
        <v>3132</v>
      </c>
      <c r="J112" s="15" t="s">
        <v>3133</v>
      </c>
      <c r="K112" s="17">
        <v>0.35972222222222222</v>
      </c>
      <c r="L112" s="16">
        <v>46006</v>
      </c>
    </row>
    <row r="113" spans="1:12" ht="167.25">
      <c r="A113" s="14" t="s">
        <v>3134</v>
      </c>
      <c r="B113" s="16">
        <v>46007</v>
      </c>
      <c r="C113" s="17">
        <v>0.24652777777777779</v>
      </c>
      <c r="D113" s="17">
        <v>0.24652777777777779</v>
      </c>
      <c r="E113" s="15" t="s">
        <v>3135</v>
      </c>
      <c r="F113" s="15" t="s">
        <v>3136</v>
      </c>
      <c r="G113" s="15" t="s">
        <v>2845</v>
      </c>
      <c r="H113" s="15">
        <v>20251275</v>
      </c>
      <c r="I113" s="15" t="s">
        <v>3137</v>
      </c>
      <c r="J113" s="15" t="s">
        <v>2972</v>
      </c>
      <c r="K113" s="17">
        <v>0.58333333333333337</v>
      </c>
      <c r="L113" s="16">
        <v>46007</v>
      </c>
    </row>
    <row r="114" spans="1:12" ht="106.5">
      <c r="A114" s="14" t="s">
        <v>3138</v>
      </c>
      <c r="B114" s="16">
        <v>46007</v>
      </c>
      <c r="C114" s="17">
        <v>0.32847222222222222</v>
      </c>
      <c r="D114" s="17">
        <v>0.32847222222222222</v>
      </c>
      <c r="E114" s="15" t="s">
        <v>230</v>
      </c>
      <c r="F114" s="15" t="s">
        <v>2875</v>
      </c>
      <c r="G114" s="15" t="s">
        <v>3001</v>
      </c>
      <c r="H114" s="15">
        <v>20251276</v>
      </c>
      <c r="I114" s="15" t="s">
        <v>3002</v>
      </c>
      <c r="J114" s="15" t="s">
        <v>3003</v>
      </c>
      <c r="K114" s="15"/>
      <c r="L114" s="15"/>
    </row>
    <row r="115" spans="1:12" ht="91.5">
      <c r="A115" s="14" t="s">
        <v>3139</v>
      </c>
      <c r="B115" s="16">
        <v>46007</v>
      </c>
      <c r="C115" s="17">
        <v>0.6875</v>
      </c>
      <c r="D115" s="17">
        <v>0.6875</v>
      </c>
      <c r="E115" s="15" t="s">
        <v>230</v>
      </c>
      <c r="F115" s="15" t="s">
        <v>3116</v>
      </c>
      <c r="G115" s="15" t="s">
        <v>2866</v>
      </c>
      <c r="H115" s="15">
        <v>8446891</v>
      </c>
      <c r="I115" s="15" t="s">
        <v>3140</v>
      </c>
      <c r="J115" s="15" t="s">
        <v>3141</v>
      </c>
      <c r="K115" s="17">
        <v>0.71875</v>
      </c>
      <c r="L115" s="16">
        <v>46007</v>
      </c>
    </row>
    <row r="116" spans="1:12" ht="137.25">
      <c r="A116" s="14" t="s">
        <v>3142</v>
      </c>
      <c r="B116" s="16">
        <v>46008</v>
      </c>
      <c r="C116" s="17">
        <v>0.28888888888888886</v>
      </c>
      <c r="D116" s="17">
        <v>0.28888888888888886</v>
      </c>
      <c r="E116" s="15" t="s">
        <v>230</v>
      </c>
      <c r="F116" s="15" t="s">
        <v>2868</v>
      </c>
      <c r="G116" s="15" t="s">
        <v>2866</v>
      </c>
      <c r="H116" s="15">
        <v>20251277</v>
      </c>
      <c r="I116" s="15" t="s">
        <v>250</v>
      </c>
      <c r="J116" s="15" t="s">
        <v>3143</v>
      </c>
      <c r="K116" s="17">
        <v>0.30902777777777779</v>
      </c>
      <c r="L116" s="16">
        <v>46008</v>
      </c>
    </row>
    <row r="117" spans="1:12" ht="121.5">
      <c r="A117" s="14" t="s">
        <v>3144</v>
      </c>
      <c r="B117" s="16">
        <v>46007</v>
      </c>
      <c r="C117" s="17">
        <v>0.83333333333333337</v>
      </c>
      <c r="D117" s="17">
        <v>0.83333333333333337</v>
      </c>
      <c r="E117" s="15" t="s">
        <v>230</v>
      </c>
      <c r="F117" s="15" t="s">
        <v>3116</v>
      </c>
      <c r="G117" s="15" t="s">
        <v>2866</v>
      </c>
      <c r="H117" s="15">
        <v>8451617</v>
      </c>
      <c r="I117" s="15" t="s">
        <v>3145</v>
      </c>
      <c r="J117" s="15" t="s">
        <v>3146</v>
      </c>
      <c r="K117" s="17">
        <v>0.32569444444444445</v>
      </c>
      <c r="L117" s="16">
        <v>46008</v>
      </c>
    </row>
    <row r="118" spans="1:12" ht="152.25">
      <c r="A118" s="14" t="s">
        <v>3147</v>
      </c>
      <c r="B118" s="16">
        <v>46008</v>
      </c>
      <c r="C118" s="17">
        <v>0.4861111111111111</v>
      </c>
      <c r="D118" s="17">
        <v>0.4861111111111111</v>
      </c>
      <c r="E118" s="15" t="s">
        <v>2843</v>
      </c>
      <c r="F118" s="15" t="s">
        <v>3023</v>
      </c>
      <c r="G118" s="15" t="s">
        <v>2845</v>
      </c>
      <c r="H118" s="15">
        <v>20251278</v>
      </c>
      <c r="I118" s="15" t="s">
        <v>3094</v>
      </c>
      <c r="J118" s="15" t="s">
        <v>2847</v>
      </c>
      <c r="K118" s="17">
        <v>0.50347222222222221</v>
      </c>
      <c r="L118" s="16">
        <v>46008</v>
      </c>
    </row>
    <row r="119" spans="1:12" ht="91.5">
      <c r="A119" s="14" t="s">
        <v>3148</v>
      </c>
      <c r="B119" s="16">
        <v>46008</v>
      </c>
      <c r="C119" s="17">
        <v>0.58750000000000002</v>
      </c>
      <c r="D119" s="17">
        <v>0.58750000000000002</v>
      </c>
      <c r="E119" s="15" t="s">
        <v>230</v>
      </c>
      <c r="F119" s="15" t="s">
        <v>3149</v>
      </c>
      <c r="G119" s="15" t="s">
        <v>2866</v>
      </c>
      <c r="H119" s="15" t="s">
        <v>3150</v>
      </c>
      <c r="I119" s="15" t="s">
        <v>3151</v>
      </c>
      <c r="J119" s="15" t="s">
        <v>3152</v>
      </c>
      <c r="K119" s="17">
        <v>0.66666666666666663</v>
      </c>
      <c r="L119" s="16">
        <v>46008</v>
      </c>
    </row>
    <row r="120" spans="1:12" ht="183">
      <c r="A120" s="14" t="s">
        <v>3147</v>
      </c>
      <c r="B120" s="16">
        <v>46008</v>
      </c>
      <c r="C120" s="17">
        <v>0.73611111111111116</v>
      </c>
      <c r="D120" s="17">
        <v>0.73611111111111116</v>
      </c>
      <c r="E120" s="15" t="s">
        <v>2843</v>
      </c>
      <c r="F120" s="15" t="s">
        <v>3023</v>
      </c>
      <c r="G120" s="15" t="s">
        <v>2845</v>
      </c>
      <c r="H120" s="15">
        <v>20251279</v>
      </c>
      <c r="I120" s="15" t="s">
        <v>3153</v>
      </c>
      <c r="J120" s="15" t="s">
        <v>3154</v>
      </c>
      <c r="K120" s="17">
        <v>0.76388888888888884</v>
      </c>
      <c r="L120" s="16">
        <v>46008</v>
      </c>
    </row>
    <row r="121" spans="1:12" ht="183">
      <c r="A121" s="14" t="s">
        <v>298</v>
      </c>
      <c r="B121" s="16">
        <v>46008</v>
      </c>
      <c r="C121" s="17">
        <v>0.72916666666666663</v>
      </c>
      <c r="D121" s="17">
        <v>0.72916666666666663</v>
      </c>
      <c r="E121" s="15" t="s">
        <v>230</v>
      </c>
      <c r="F121" s="15" t="s">
        <v>2868</v>
      </c>
      <c r="G121" s="15" t="s">
        <v>2845</v>
      </c>
      <c r="H121" s="15"/>
      <c r="I121" s="15" t="s">
        <v>3153</v>
      </c>
      <c r="J121" s="15" t="s">
        <v>3155</v>
      </c>
      <c r="K121" s="17">
        <v>0.76388888888888884</v>
      </c>
      <c r="L121" s="16">
        <v>46008</v>
      </c>
    </row>
    <row r="122" spans="1:12" ht="167.25">
      <c r="A122" s="14" t="s">
        <v>3156</v>
      </c>
      <c r="B122" s="16">
        <v>46008</v>
      </c>
      <c r="C122" s="17">
        <v>0.74652777777777779</v>
      </c>
      <c r="D122" s="17">
        <v>0.74652777777777779</v>
      </c>
      <c r="E122" s="15" t="s">
        <v>2843</v>
      </c>
      <c r="F122" s="15" t="s">
        <v>3023</v>
      </c>
      <c r="G122" s="15" t="s">
        <v>2845</v>
      </c>
      <c r="H122" s="15">
        <v>20251280</v>
      </c>
      <c r="I122" s="15" t="s">
        <v>3153</v>
      </c>
      <c r="J122" s="15" t="s">
        <v>3157</v>
      </c>
      <c r="K122" s="17">
        <v>0.76388888888888884</v>
      </c>
      <c r="L122" s="16">
        <v>46008</v>
      </c>
    </row>
    <row r="123" spans="1:12" ht="229.5">
      <c r="A123" s="14" t="s">
        <v>3158</v>
      </c>
      <c r="B123" s="16">
        <v>46009</v>
      </c>
      <c r="C123" s="17">
        <v>2.4305555555555556E-2</v>
      </c>
      <c r="D123" s="17">
        <v>2.4305555555555556E-2</v>
      </c>
      <c r="E123" s="15" t="s">
        <v>230</v>
      </c>
      <c r="F123" s="15" t="s">
        <v>2868</v>
      </c>
      <c r="G123" s="15" t="s">
        <v>2866</v>
      </c>
      <c r="H123" s="15">
        <v>20251281</v>
      </c>
      <c r="I123" s="15" t="s">
        <v>3159</v>
      </c>
      <c r="J123" s="15" t="s">
        <v>3160</v>
      </c>
      <c r="K123" s="17">
        <v>0.45833333333333331</v>
      </c>
      <c r="L123" s="16">
        <v>46009</v>
      </c>
    </row>
    <row r="124" spans="1:12" ht="121.5">
      <c r="A124" s="14" t="s">
        <v>3161</v>
      </c>
      <c r="B124" s="16">
        <v>46009</v>
      </c>
      <c r="C124" s="17">
        <v>0.36458333333333331</v>
      </c>
      <c r="D124" s="17">
        <v>0.36458333333333331</v>
      </c>
      <c r="E124" s="15" t="s">
        <v>230</v>
      </c>
      <c r="F124" s="15" t="s">
        <v>2875</v>
      </c>
      <c r="G124" s="15" t="s">
        <v>2933</v>
      </c>
      <c r="H124" s="15">
        <v>20251282</v>
      </c>
      <c r="I124" s="15" t="s">
        <v>865</v>
      </c>
      <c r="J124" s="15" t="s">
        <v>3162</v>
      </c>
      <c r="K124" s="17">
        <v>0.38958333333333334</v>
      </c>
      <c r="L124" s="16">
        <v>46009</v>
      </c>
    </row>
    <row r="125" spans="1:12" ht="259.5">
      <c r="A125" s="14" t="s">
        <v>3163</v>
      </c>
      <c r="B125" s="16">
        <v>46009</v>
      </c>
      <c r="C125" s="17">
        <v>0.86111111111111116</v>
      </c>
      <c r="D125" s="17">
        <v>0.86111111111111116</v>
      </c>
      <c r="E125" s="15" t="s">
        <v>230</v>
      </c>
      <c r="F125" s="15" t="s">
        <v>2868</v>
      </c>
      <c r="G125" s="15" t="s">
        <v>2866</v>
      </c>
      <c r="H125" s="15">
        <v>20251283</v>
      </c>
      <c r="I125" s="15" t="s">
        <v>3164</v>
      </c>
      <c r="J125" s="15" t="s">
        <v>3165</v>
      </c>
      <c r="K125" s="17">
        <v>0.56944444444444442</v>
      </c>
      <c r="L125" s="16">
        <v>46010</v>
      </c>
    </row>
    <row r="126" spans="1:12" ht="106.5">
      <c r="A126" s="14" t="s">
        <v>3166</v>
      </c>
      <c r="B126" s="16">
        <v>46009</v>
      </c>
      <c r="C126" s="17">
        <v>0.875</v>
      </c>
      <c r="D126" s="17">
        <v>0.875</v>
      </c>
      <c r="E126" s="15" t="s">
        <v>230</v>
      </c>
      <c r="F126" s="15" t="s">
        <v>2899</v>
      </c>
      <c r="G126" s="15" t="s">
        <v>2866</v>
      </c>
      <c r="H126" s="15">
        <v>20251284</v>
      </c>
      <c r="I126" s="15" t="s">
        <v>3167</v>
      </c>
      <c r="J126" s="15" t="s">
        <v>3168</v>
      </c>
      <c r="K126" s="17">
        <v>0.30555555555555558</v>
      </c>
      <c r="L126" s="16">
        <v>46010</v>
      </c>
    </row>
    <row r="127" spans="1:12" ht="137.25">
      <c r="A127" s="14" t="s">
        <v>3169</v>
      </c>
      <c r="B127" s="16">
        <v>46010</v>
      </c>
      <c r="C127" s="17">
        <v>0.41666666666666669</v>
      </c>
      <c r="D127" s="17">
        <v>0.41666666666666669</v>
      </c>
      <c r="E127" s="15" t="s">
        <v>230</v>
      </c>
      <c r="F127" s="15" t="s">
        <v>3170</v>
      </c>
      <c r="G127" s="15" t="s">
        <v>2933</v>
      </c>
      <c r="H127" s="15" t="s">
        <v>3150</v>
      </c>
      <c r="I127" s="15" t="s">
        <v>3171</v>
      </c>
      <c r="J127" s="15" t="s">
        <v>3172</v>
      </c>
      <c r="K127" s="17">
        <v>0.44097222222222221</v>
      </c>
      <c r="L127" s="16">
        <v>46010</v>
      </c>
    </row>
    <row r="128" spans="1:12" ht="137.25">
      <c r="A128" s="14" t="s">
        <v>3148</v>
      </c>
      <c r="B128" s="16">
        <v>46010</v>
      </c>
      <c r="C128" s="17">
        <v>0.45</v>
      </c>
      <c r="D128" s="17">
        <v>0.45</v>
      </c>
      <c r="E128" s="15" t="s">
        <v>230</v>
      </c>
      <c r="F128" s="15" t="s">
        <v>3170</v>
      </c>
      <c r="G128" s="15" t="s">
        <v>2933</v>
      </c>
      <c r="H128" s="15" t="s">
        <v>3150</v>
      </c>
      <c r="I128" s="15" t="s">
        <v>3171</v>
      </c>
      <c r="J128" s="15" t="s">
        <v>3172</v>
      </c>
      <c r="K128" s="17">
        <v>0.47361111111111109</v>
      </c>
      <c r="L128" s="16">
        <v>46010</v>
      </c>
    </row>
    <row r="129" spans="1:12" ht="106.5">
      <c r="A129" s="14" t="s">
        <v>3115</v>
      </c>
      <c r="B129" s="16">
        <v>46010</v>
      </c>
      <c r="C129" s="17">
        <v>0.46527777777777779</v>
      </c>
      <c r="D129" s="17">
        <v>0.46527777777777779</v>
      </c>
      <c r="E129" s="15" t="s">
        <v>230</v>
      </c>
      <c r="F129" s="15" t="s">
        <v>3116</v>
      </c>
      <c r="G129" s="15" t="s">
        <v>2866</v>
      </c>
      <c r="H129" s="15">
        <v>8462940</v>
      </c>
      <c r="I129" s="15" t="s">
        <v>3173</v>
      </c>
      <c r="J129" s="15" t="s">
        <v>3174</v>
      </c>
      <c r="K129" s="17">
        <v>0.47569444444444442</v>
      </c>
      <c r="L129" s="16">
        <v>46010</v>
      </c>
    </row>
    <row r="130" spans="1:12" ht="137.25">
      <c r="A130" s="14" t="s">
        <v>3175</v>
      </c>
      <c r="B130" s="16">
        <v>46010</v>
      </c>
      <c r="C130" s="17">
        <v>0.47499999999999998</v>
      </c>
      <c r="D130" s="17">
        <v>0.47499999999999998</v>
      </c>
      <c r="E130" s="15" t="s">
        <v>230</v>
      </c>
      <c r="F130" s="15" t="s">
        <v>3170</v>
      </c>
      <c r="G130" s="15" t="s">
        <v>2933</v>
      </c>
      <c r="H130" s="15" t="s">
        <v>3150</v>
      </c>
      <c r="I130" s="15" t="s">
        <v>3171</v>
      </c>
      <c r="J130" s="15" t="s">
        <v>3172</v>
      </c>
      <c r="K130" s="17">
        <v>0.49930555555555556</v>
      </c>
      <c r="L130" s="16">
        <v>46010</v>
      </c>
    </row>
    <row r="131" spans="1:12" ht="244.5">
      <c r="A131" s="14" t="s">
        <v>3176</v>
      </c>
      <c r="B131" s="16">
        <v>46010</v>
      </c>
      <c r="C131" s="17">
        <v>0.56319444444444444</v>
      </c>
      <c r="D131" s="17">
        <v>0.56319444444444444</v>
      </c>
      <c r="E131" s="15" t="s">
        <v>230</v>
      </c>
      <c r="F131" s="15" t="s">
        <v>3177</v>
      </c>
      <c r="G131" s="15" t="s">
        <v>2845</v>
      </c>
      <c r="H131" s="15">
        <v>8434306</v>
      </c>
      <c r="I131" s="15" t="s">
        <v>3178</v>
      </c>
      <c r="J131" s="15" t="s">
        <v>3179</v>
      </c>
      <c r="K131" s="17">
        <v>0.64583333333333337</v>
      </c>
      <c r="L131" s="16">
        <v>46010</v>
      </c>
    </row>
    <row r="132" spans="1:12" ht="91.5">
      <c r="A132" s="14" t="s">
        <v>3180</v>
      </c>
      <c r="B132" s="16">
        <v>46010</v>
      </c>
      <c r="C132" s="17">
        <v>0.65555555555555556</v>
      </c>
      <c r="D132" s="17">
        <v>0.65555555555555556</v>
      </c>
      <c r="E132" s="15" t="s">
        <v>230</v>
      </c>
      <c r="F132" s="15" t="s">
        <v>3116</v>
      </c>
      <c r="G132" s="15" t="s">
        <v>2866</v>
      </c>
      <c r="H132" s="15">
        <v>20251287</v>
      </c>
      <c r="I132" s="15" t="s">
        <v>3181</v>
      </c>
      <c r="J132" s="15" t="s">
        <v>3182</v>
      </c>
      <c r="K132" s="17">
        <v>0.68680555555555556</v>
      </c>
      <c r="L132" s="16">
        <v>46010</v>
      </c>
    </row>
    <row r="133" spans="1:12" ht="106.5">
      <c r="A133" s="14" t="s">
        <v>3183</v>
      </c>
      <c r="B133" s="16">
        <v>46010</v>
      </c>
      <c r="C133" s="17">
        <v>0.97638888888888886</v>
      </c>
      <c r="D133" s="17">
        <v>0.97638888888888886</v>
      </c>
      <c r="E133" s="15" t="s">
        <v>2843</v>
      </c>
      <c r="F133" s="15" t="s">
        <v>3184</v>
      </c>
      <c r="G133" s="15" t="s">
        <v>3001</v>
      </c>
      <c r="H133" s="15">
        <v>20251288</v>
      </c>
      <c r="I133" s="15" t="s">
        <v>3002</v>
      </c>
      <c r="J133" s="15" t="s">
        <v>3003</v>
      </c>
      <c r="K133" s="15"/>
      <c r="L133" s="15"/>
    </row>
    <row r="134" spans="1:12" ht="121.5">
      <c r="A134" s="14" t="s">
        <v>3185</v>
      </c>
      <c r="B134" s="16">
        <v>46011</v>
      </c>
      <c r="C134" s="17">
        <v>8.4027777777777785E-2</v>
      </c>
      <c r="D134" s="17">
        <v>8.4027777777777785E-2</v>
      </c>
      <c r="E134" s="15" t="s">
        <v>230</v>
      </c>
      <c r="F134" s="15" t="s">
        <v>2875</v>
      </c>
      <c r="G134" s="15" t="s">
        <v>2866</v>
      </c>
      <c r="H134" s="15">
        <v>20251289</v>
      </c>
      <c r="I134" s="15" t="s">
        <v>3186</v>
      </c>
      <c r="J134" s="15" t="s">
        <v>3187</v>
      </c>
      <c r="K134" s="17">
        <v>0.34375</v>
      </c>
      <c r="L134" s="16">
        <v>46011</v>
      </c>
    </row>
    <row r="135" spans="1:12" ht="259.5">
      <c r="A135" s="31" t="s">
        <v>3188</v>
      </c>
      <c r="B135" s="32">
        <v>46011</v>
      </c>
      <c r="C135" s="33">
        <v>0.16666666666666666</v>
      </c>
      <c r="D135" s="33">
        <v>0.16666666666666666</v>
      </c>
      <c r="E135" s="34" t="s">
        <v>230</v>
      </c>
      <c r="F135" s="34" t="s">
        <v>2875</v>
      </c>
      <c r="G135" s="34" t="s">
        <v>2866</v>
      </c>
      <c r="H135" s="34">
        <v>20251290</v>
      </c>
      <c r="I135" s="34" t="s">
        <v>3189</v>
      </c>
      <c r="J135" s="34" t="s">
        <v>3190</v>
      </c>
      <c r="K135" s="33">
        <v>0.35069444444444442</v>
      </c>
      <c r="L135" s="32">
        <v>46011</v>
      </c>
    </row>
    <row r="136" spans="1:12" ht="76.5">
      <c r="A136" s="14" t="s">
        <v>3191</v>
      </c>
      <c r="B136" s="16">
        <v>46011</v>
      </c>
      <c r="C136" s="17">
        <v>0.2361111111111111</v>
      </c>
      <c r="D136" s="17">
        <v>0.2361111111111111</v>
      </c>
      <c r="E136" s="15" t="s">
        <v>2843</v>
      </c>
      <c r="F136" s="15" t="s">
        <v>3192</v>
      </c>
      <c r="G136" s="15" t="s">
        <v>2845</v>
      </c>
      <c r="H136" s="15">
        <v>20251291</v>
      </c>
      <c r="I136" s="15" t="s">
        <v>3193</v>
      </c>
      <c r="J136" s="15" t="s">
        <v>3194</v>
      </c>
      <c r="K136" s="17">
        <v>0.31944444444444442</v>
      </c>
      <c r="L136" s="16">
        <v>46011</v>
      </c>
    </row>
    <row r="137" spans="1:12" ht="106.5">
      <c r="A137" s="14" t="s">
        <v>3195</v>
      </c>
      <c r="B137" s="16">
        <v>46011</v>
      </c>
      <c r="C137" s="17">
        <v>0.45069444444444445</v>
      </c>
      <c r="D137" s="17">
        <v>0.45069444444444445</v>
      </c>
      <c r="E137" s="15" t="s">
        <v>230</v>
      </c>
      <c r="F137" s="15" t="s">
        <v>2844</v>
      </c>
      <c r="G137" s="15" t="s">
        <v>3001</v>
      </c>
      <c r="H137" s="15">
        <v>20251292</v>
      </c>
      <c r="I137" s="15" t="s">
        <v>3002</v>
      </c>
      <c r="J137" s="15" t="s">
        <v>3003</v>
      </c>
      <c r="K137" s="15"/>
      <c r="L137" s="15"/>
    </row>
    <row r="138" spans="1:12" ht="106.5">
      <c r="A138" s="14" t="s">
        <v>3196</v>
      </c>
      <c r="B138" s="16">
        <v>46012</v>
      </c>
      <c r="C138" s="17">
        <v>0.28472222222222221</v>
      </c>
      <c r="D138" s="17">
        <v>0.28472222222222221</v>
      </c>
      <c r="E138" s="15" t="s">
        <v>230</v>
      </c>
      <c r="F138" s="15" t="s">
        <v>2844</v>
      </c>
      <c r="G138" s="15" t="s">
        <v>2850</v>
      </c>
      <c r="H138" s="15">
        <v>20251293</v>
      </c>
      <c r="I138" s="15" t="s">
        <v>2998</v>
      </c>
      <c r="J138" s="15" t="s">
        <v>3003</v>
      </c>
      <c r="K138" s="15"/>
      <c r="L138" s="15"/>
    </row>
    <row r="139" spans="1:12" ht="106.5">
      <c r="A139" s="14" t="s">
        <v>3197</v>
      </c>
      <c r="B139" s="16">
        <v>46012</v>
      </c>
      <c r="C139" s="17">
        <v>0.45833333333333331</v>
      </c>
      <c r="D139" s="17">
        <v>0.45833333333333331</v>
      </c>
      <c r="E139" s="15" t="s">
        <v>230</v>
      </c>
      <c r="F139" s="15" t="s">
        <v>2868</v>
      </c>
      <c r="G139" s="15" t="s">
        <v>3001</v>
      </c>
      <c r="H139" s="15">
        <v>20251294</v>
      </c>
      <c r="I139" s="15" t="s">
        <v>3002</v>
      </c>
      <c r="J139" s="15" t="s">
        <v>3003</v>
      </c>
      <c r="K139" s="15"/>
      <c r="L139" s="15"/>
    </row>
    <row r="140" spans="1:12" ht="152.25">
      <c r="A140" s="31" t="s">
        <v>3198</v>
      </c>
      <c r="B140" s="32">
        <v>46012</v>
      </c>
      <c r="C140" s="33">
        <v>0.52083333333333337</v>
      </c>
      <c r="D140" s="33">
        <v>0.52083333333333337</v>
      </c>
      <c r="E140" s="34" t="s">
        <v>230</v>
      </c>
      <c r="F140" s="34" t="s">
        <v>2868</v>
      </c>
      <c r="G140" s="34" t="s">
        <v>2845</v>
      </c>
      <c r="H140" s="34">
        <v>20251295</v>
      </c>
      <c r="I140" s="34" t="s">
        <v>3090</v>
      </c>
      <c r="J140" s="34" t="s">
        <v>3199</v>
      </c>
      <c r="K140" s="33">
        <v>0.58402777777777781</v>
      </c>
      <c r="L140" s="32">
        <v>46012</v>
      </c>
    </row>
    <row r="141" spans="1:12" ht="106.5">
      <c r="A141" s="31" t="s">
        <v>3196</v>
      </c>
      <c r="B141" s="32">
        <v>46012</v>
      </c>
      <c r="C141" s="33">
        <v>0.58333333333333337</v>
      </c>
      <c r="D141" s="33">
        <v>0.58333333333333337</v>
      </c>
      <c r="E141" s="34" t="s">
        <v>230</v>
      </c>
      <c r="F141" s="34" t="s">
        <v>2868</v>
      </c>
      <c r="G141" s="34" t="s">
        <v>2866</v>
      </c>
      <c r="H141" s="34">
        <v>20251296</v>
      </c>
      <c r="I141" s="34" t="s">
        <v>3200</v>
      </c>
      <c r="J141" s="34" t="s">
        <v>3201</v>
      </c>
      <c r="K141" s="33">
        <v>0.65972222222222221</v>
      </c>
      <c r="L141" s="32">
        <v>46012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FAED-6AEA-4242-AA8A-BE32479215B2}">
  <dimension ref="A1:F16"/>
  <sheetViews>
    <sheetView topLeftCell="O1" workbookViewId="0">
      <selection activeCell="E8" sqref="E8"/>
    </sheetView>
  </sheetViews>
  <sheetFormatPr defaultRowHeight="15"/>
  <cols>
    <col min="1" max="1" width="29.5703125" bestFit="1" customWidth="1"/>
    <col min="2" max="2" width="14.28515625" customWidth="1"/>
    <col min="3" max="3" width="16.5703125" customWidth="1"/>
    <col min="5" max="5" width="18.7109375" customWidth="1"/>
    <col min="6" max="6" width="22" bestFit="1" customWidth="1"/>
  </cols>
  <sheetData>
    <row r="1" spans="1:6" ht="21.75">
      <c r="A1" s="27" t="s">
        <v>242</v>
      </c>
      <c r="B1" s="27" t="s">
        <v>3202</v>
      </c>
      <c r="C1" s="27" t="s">
        <v>3203</v>
      </c>
      <c r="D1" s="27" t="s">
        <v>3204</v>
      </c>
      <c r="E1" s="27" t="s">
        <v>3205</v>
      </c>
      <c r="F1" s="27" t="s">
        <v>3206</v>
      </c>
    </row>
    <row r="2" spans="1:6">
      <c r="A2" t="s">
        <v>266</v>
      </c>
      <c r="B2" t="s">
        <v>260</v>
      </c>
      <c r="C2" t="s">
        <v>3207</v>
      </c>
      <c r="D2" t="s">
        <v>300</v>
      </c>
      <c r="E2" t="s">
        <v>350</v>
      </c>
      <c r="F2" t="s">
        <v>3208</v>
      </c>
    </row>
    <row r="3" spans="1:6">
      <c r="A3" t="s">
        <v>825</v>
      </c>
      <c r="B3" t="s">
        <v>336</v>
      </c>
      <c r="C3" t="s">
        <v>3209</v>
      </c>
      <c r="D3" t="s">
        <v>249</v>
      </c>
      <c r="E3" t="s">
        <v>349</v>
      </c>
      <c r="F3" t="s">
        <v>3210</v>
      </c>
    </row>
    <row r="4" spans="1:6">
      <c r="A4" t="s">
        <v>433</v>
      </c>
      <c r="B4" t="s">
        <v>3211</v>
      </c>
      <c r="C4" t="s">
        <v>261</v>
      </c>
      <c r="D4" t="s">
        <v>262</v>
      </c>
      <c r="E4" t="s">
        <v>263</v>
      </c>
      <c r="F4" t="s">
        <v>3212</v>
      </c>
    </row>
    <row r="5" spans="1:6">
      <c r="A5" t="s">
        <v>252</v>
      </c>
      <c r="B5" t="s">
        <v>248</v>
      </c>
      <c r="C5" t="s">
        <v>560</v>
      </c>
      <c r="D5" t="s">
        <v>3213</v>
      </c>
      <c r="E5" t="s">
        <v>3214</v>
      </c>
      <c r="F5" t="s">
        <v>3215</v>
      </c>
    </row>
    <row r="6" spans="1:6">
      <c r="A6" t="s">
        <v>1847</v>
      </c>
      <c r="B6" t="s">
        <v>343</v>
      </c>
      <c r="D6" t="s">
        <v>3216</v>
      </c>
      <c r="E6" t="s">
        <v>3217</v>
      </c>
      <c r="F6" t="s">
        <v>391</v>
      </c>
    </row>
    <row r="7" spans="1:6">
      <c r="A7" t="s">
        <v>3218</v>
      </c>
      <c r="D7" t="s">
        <v>740</v>
      </c>
      <c r="E7" t="s">
        <v>1376</v>
      </c>
      <c r="F7" t="s">
        <v>265</v>
      </c>
    </row>
    <row r="8" spans="1:6">
      <c r="A8" t="s">
        <v>580</v>
      </c>
      <c r="D8" t="s">
        <v>396</v>
      </c>
      <c r="E8" t="s">
        <v>3219</v>
      </c>
      <c r="F8" t="s">
        <v>375</v>
      </c>
    </row>
    <row r="9" spans="1:6">
      <c r="A9" t="s">
        <v>3220</v>
      </c>
      <c r="D9" t="s">
        <v>337</v>
      </c>
      <c r="E9" t="s">
        <v>338</v>
      </c>
      <c r="F9" t="s">
        <v>251</v>
      </c>
    </row>
    <row r="10" spans="1:6">
      <c r="A10" t="s">
        <v>341</v>
      </c>
      <c r="D10" t="s">
        <v>230</v>
      </c>
      <c r="E10" t="s">
        <v>230</v>
      </c>
      <c r="F10" t="s">
        <v>3221</v>
      </c>
    </row>
    <row r="11" spans="1:6">
      <c r="A11" t="s">
        <v>303</v>
      </c>
      <c r="D11" t="s">
        <v>3222</v>
      </c>
      <c r="E11" t="s">
        <v>3223</v>
      </c>
      <c r="F11" t="s">
        <v>3224</v>
      </c>
    </row>
    <row r="12" spans="1:6">
      <c r="A12" t="s">
        <v>503</v>
      </c>
      <c r="D12" t="s">
        <v>3225</v>
      </c>
      <c r="E12" t="s">
        <v>3226</v>
      </c>
      <c r="F12" t="s">
        <v>3227</v>
      </c>
    </row>
    <row r="13" spans="1:6">
      <c r="A13" t="s">
        <v>345</v>
      </c>
      <c r="F13" t="s">
        <v>732</v>
      </c>
    </row>
    <row r="14" spans="1:6">
      <c r="F14" t="s">
        <v>3228</v>
      </c>
    </row>
    <row r="15" spans="1:6">
      <c r="F15" t="s">
        <v>302</v>
      </c>
    </row>
    <row r="16" spans="1:6">
      <c r="F16" t="s">
        <v>340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5E17-5EFA-44A3-B131-4314E88999D0}">
  <sheetPr codeName="Planilha3"/>
  <dimension ref="A1:D86"/>
  <sheetViews>
    <sheetView workbookViewId="0">
      <selection activeCell="E7" sqref="E7"/>
    </sheetView>
  </sheetViews>
  <sheetFormatPr defaultRowHeight="14.45"/>
  <cols>
    <col min="1" max="1" width="16.7109375" bestFit="1" customWidth="1"/>
    <col min="2" max="2" width="38.85546875" bestFit="1" customWidth="1"/>
  </cols>
  <sheetData>
    <row r="1" spans="1:2">
      <c r="A1" t="s">
        <v>3229</v>
      </c>
      <c r="B1" t="s">
        <v>3230</v>
      </c>
    </row>
    <row r="2" spans="1:2">
      <c r="A2" t="s">
        <v>846</v>
      </c>
      <c r="B2" s="3" t="s">
        <v>10</v>
      </c>
    </row>
    <row r="3" spans="1:2">
      <c r="A3" t="s">
        <v>804</v>
      </c>
      <c r="B3" s="3" t="s">
        <v>13</v>
      </c>
    </row>
    <row r="4" spans="1:2">
      <c r="A4" t="s">
        <v>847</v>
      </c>
      <c r="B4" s="3" t="s">
        <v>16</v>
      </c>
    </row>
    <row r="5" spans="1:2">
      <c r="A5" t="s">
        <v>742</v>
      </c>
      <c r="B5" s="3" t="s">
        <v>18</v>
      </c>
    </row>
    <row r="6" spans="1:2">
      <c r="A6" t="s">
        <v>3231</v>
      </c>
      <c r="B6" s="3" t="s">
        <v>20</v>
      </c>
    </row>
    <row r="7" spans="1:2">
      <c r="A7" t="s">
        <v>1870</v>
      </c>
      <c r="B7" s="3" t="s">
        <v>22</v>
      </c>
    </row>
    <row r="8" spans="1:2">
      <c r="A8" t="s">
        <v>1866</v>
      </c>
      <c r="B8" s="3" t="s">
        <v>25</v>
      </c>
    </row>
    <row r="9" spans="1:2">
      <c r="A9" t="s">
        <v>888</v>
      </c>
      <c r="B9" s="3" t="s">
        <v>27</v>
      </c>
    </row>
    <row r="10" spans="1:2">
      <c r="A10" t="s">
        <v>870</v>
      </c>
      <c r="B10" s="3" t="s">
        <v>31</v>
      </c>
    </row>
    <row r="11" spans="1:2">
      <c r="A11" t="s">
        <v>871</v>
      </c>
      <c r="B11" s="3" t="s">
        <v>35</v>
      </c>
    </row>
    <row r="12" spans="1:2">
      <c r="A12" t="s">
        <v>876</v>
      </c>
      <c r="B12" s="3" t="s">
        <v>38</v>
      </c>
    </row>
    <row r="13" spans="1:2">
      <c r="A13" t="s">
        <v>327</v>
      </c>
      <c r="B13" s="3" t="s">
        <v>174</v>
      </c>
    </row>
    <row r="14" spans="1:2">
      <c r="A14" t="s">
        <v>332</v>
      </c>
      <c r="B14" s="3" t="s">
        <v>177</v>
      </c>
    </row>
    <row r="15" spans="1:2">
      <c r="A15" t="s">
        <v>333</v>
      </c>
      <c r="B15" s="3" t="s">
        <v>179</v>
      </c>
    </row>
    <row r="16" spans="1:2">
      <c r="A16" t="s">
        <v>334</v>
      </c>
      <c r="B16" s="3" t="s">
        <v>181</v>
      </c>
    </row>
    <row r="17" spans="1:4">
      <c r="A17" t="s">
        <v>335</v>
      </c>
      <c r="B17" s="3" t="s">
        <v>183</v>
      </c>
    </row>
    <row r="18" spans="1:4">
      <c r="A18" t="s">
        <v>659</v>
      </c>
      <c r="B18" s="3" t="s">
        <v>40</v>
      </c>
    </row>
    <row r="19" spans="1:4">
      <c r="A19" t="s">
        <v>246</v>
      </c>
      <c r="B19" s="3" t="s">
        <v>54</v>
      </c>
    </row>
    <row r="20" spans="1:4">
      <c r="A20" t="s">
        <v>258</v>
      </c>
      <c r="B20" s="3" t="s">
        <v>57</v>
      </c>
    </row>
    <row r="21" spans="1:4">
      <c r="A21" t="s">
        <v>259</v>
      </c>
      <c r="B21" s="3" t="s">
        <v>59</v>
      </c>
    </row>
    <row r="22" spans="1:4">
      <c r="A22" t="s">
        <v>382</v>
      </c>
      <c r="B22" s="3" t="s">
        <v>61</v>
      </c>
      <c r="D22" s="3"/>
    </row>
    <row r="23" spans="1:4">
      <c r="A23" t="s">
        <v>383</v>
      </c>
      <c r="B23" s="3" t="s">
        <v>64</v>
      </c>
      <c r="D23" s="3"/>
    </row>
    <row r="24" spans="1:4">
      <c r="A24" t="s">
        <v>387</v>
      </c>
      <c r="B24" s="3" t="s">
        <v>66</v>
      </c>
      <c r="D24" s="3"/>
    </row>
    <row r="25" spans="1:4">
      <c r="A25" t="s">
        <v>379</v>
      </c>
      <c r="B25" s="3" t="s">
        <v>68</v>
      </c>
      <c r="D25" s="3"/>
    </row>
    <row r="26" spans="1:4">
      <c r="A26" t="s">
        <v>388</v>
      </c>
      <c r="B26" s="3" t="s">
        <v>70</v>
      </c>
      <c r="D26" s="3"/>
    </row>
    <row r="27" spans="1:4">
      <c r="A27" t="s">
        <v>702</v>
      </c>
      <c r="B27" s="3" t="s">
        <v>72</v>
      </c>
    </row>
    <row r="28" spans="1:4">
      <c r="A28" t="s">
        <v>707</v>
      </c>
      <c r="B28" s="3" t="s">
        <v>75</v>
      </c>
    </row>
    <row r="29" spans="1:4">
      <c r="A29" t="s">
        <v>394</v>
      </c>
      <c r="B29" s="3" t="s">
        <v>77</v>
      </c>
    </row>
    <row r="30" spans="1:4">
      <c r="A30" t="s">
        <v>406</v>
      </c>
      <c r="B30" s="3" t="s">
        <v>80</v>
      </c>
    </row>
    <row r="31" spans="1:4">
      <c r="A31" t="s">
        <v>412</v>
      </c>
      <c r="B31" s="3" t="s">
        <v>82</v>
      </c>
    </row>
    <row r="32" spans="1:4">
      <c r="A32" t="s">
        <v>416</v>
      </c>
      <c r="B32" s="3" t="s">
        <v>84</v>
      </c>
    </row>
    <row r="33" spans="1:2">
      <c r="A33" t="s">
        <v>419</v>
      </c>
      <c r="B33" s="3" t="s">
        <v>87</v>
      </c>
    </row>
    <row r="34" spans="1:2">
      <c r="A34" t="s">
        <v>420</v>
      </c>
      <c r="B34" s="3" t="s">
        <v>89</v>
      </c>
    </row>
    <row r="35" spans="1:2">
      <c r="A35" t="s">
        <v>429</v>
      </c>
      <c r="B35" s="3" t="s">
        <v>196</v>
      </c>
    </row>
    <row r="36" spans="1:2">
      <c r="A36" t="s">
        <v>421</v>
      </c>
      <c r="B36" s="3" t="s">
        <v>199</v>
      </c>
    </row>
    <row r="37" spans="1:2">
      <c r="A37" t="s">
        <v>430</v>
      </c>
      <c r="B37" s="3" t="s">
        <v>201</v>
      </c>
    </row>
    <row r="38" spans="1:2">
      <c r="A38" t="s">
        <v>423</v>
      </c>
      <c r="B38" s="3" t="s">
        <v>203</v>
      </c>
    </row>
    <row r="39" spans="1:2">
      <c r="A39" t="s">
        <v>424</v>
      </c>
      <c r="B39" s="3" t="s">
        <v>206</v>
      </c>
    </row>
    <row r="40" spans="1:2">
      <c r="A40" t="s">
        <v>425</v>
      </c>
      <c r="B40" s="3" t="s">
        <v>208</v>
      </c>
    </row>
    <row r="41" spans="1:2">
      <c r="A41" t="s">
        <v>444</v>
      </c>
      <c r="B41" s="3" t="s">
        <v>172</v>
      </c>
    </row>
    <row r="42" spans="1:2">
      <c r="A42" t="s">
        <v>481</v>
      </c>
      <c r="B42" s="3" t="s">
        <v>185</v>
      </c>
    </row>
    <row r="43" spans="1:2">
      <c r="A43" t="s">
        <v>482</v>
      </c>
      <c r="B43" s="3" t="s">
        <v>188</v>
      </c>
    </row>
    <row r="44" spans="1:2">
      <c r="A44" t="s">
        <v>483</v>
      </c>
      <c r="B44" s="3" t="s">
        <v>190</v>
      </c>
    </row>
    <row r="45" spans="1:2">
      <c r="A45" t="s">
        <v>484</v>
      </c>
      <c r="B45" s="3" t="s">
        <v>192</v>
      </c>
    </row>
    <row r="46" spans="1:2">
      <c r="A46" t="s">
        <v>485</v>
      </c>
      <c r="B46" s="3" t="s">
        <v>194</v>
      </c>
    </row>
    <row r="47" spans="1:2">
      <c r="A47" t="s">
        <v>470</v>
      </c>
      <c r="B47" s="3" t="s">
        <v>144</v>
      </c>
    </row>
    <row r="48" spans="1:2">
      <c r="A48" t="s">
        <v>553</v>
      </c>
      <c r="B48" s="3" t="s">
        <v>147</v>
      </c>
    </row>
    <row r="49" spans="1:2">
      <c r="A49" t="s">
        <v>727</v>
      </c>
      <c r="B49" s="3" t="s">
        <v>149</v>
      </c>
    </row>
    <row r="50" spans="1:2">
      <c r="A50" t="s">
        <v>459</v>
      </c>
      <c r="B50" s="3" t="s">
        <v>151</v>
      </c>
    </row>
    <row r="51" spans="1:2">
      <c r="A51" t="s">
        <v>467</v>
      </c>
      <c r="B51" s="3" t="s">
        <v>154</v>
      </c>
    </row>
    <row r="52" spans="1:2">
      <c r="A52" t="s">
        <v>468</v>
      </c>
      <c r="B52" s="3" t="s">
        <v>156</v>
      </c>
    </row>
    <row r="53" spans="1:2">
      <c r="A53" t="s">
        <v>448</v>
      </c>
      <c r="B53" s="3" t="s">
        <v>163</v>
      </c>
    </row>
    <row r="54" spans="1:2">
      <c r="A54" t="s">
        <v>644</v>
      </c>
      <c r="B54" s="3" t="s">
        <v>168</v>
      </c>
    </row>
    <row r="55" spans="1:2">
      <c r="A55" t="s">
        <v>615</v>
      </c>
      <c r="B55" s="3" t="s">
        <v>170</v>
      </c>
    </row>
    <row r="56" spans="1:2">
      <c r="A56" t="s">
        <v>780</v>
      </c>
      <c r="B56" s="3" t="s">
        <v>43</v>
      </c>
    </row>
    <row r="57" spans="1:2">
      <c r="A57" t="s">
        <v>781</v>
      </c>
      <c r="B57" s="3" t="s">
        <v>46</v>
      </c>
    </row>
    <row r="58" spans="1:2">
      <c r="A58" t="s">
        <v>794</v>
      </c>
      <c r="B58" s="3" t="s">
        <v>48</v>
      </c>
    </row>
    <row r="59" spans="1:2">
      <c r="A59" t="s">
        <v>795</v>
      </c>
      <c r="B59" s="3" t="s">
        <v>50</v>
      </c>
    </row>
    <row r="60" spans="1:2">
      <c r="A60" t="s">
        <v>796</v>
      </c>
      <c r="B60" s="3" t="s">
        <v>52</v>
      </c>
    </row>
    <row r="61" spans="1:2">
      <c r="A61" t="s">
        <v>823</v>
      </c>
      <c r="B61" s="3" t="s">
        <v>91</v>
      </c>
    </row>
    <row r="62" spans="1:2">
      <c r="A62" t="s">
        <v>1113</v>
      </c>
      <c r="B62" s="3" t="s">
        <v>94</v>
      </c>
    </row>
    <row r="63" spans="1:2">
      <c r="A63" t="s">
        <v>1116</v>
      </c>
      <c r="B63" s="3" t="s">
        <v>96</v>
      </c>
    </row>
    <row r="64" spans="1:2">
      <c r="A64" t="s">
        <v>1122</v>
      </c>
      <c r="B64" s="3" t="s">
        <v>98</v>
      </c>
    </row>
    <row r="65" spans="1:2">
      <c r="A65" t="s">
        <v>1118</v>
      </c>
      <c r="B65" s="3" t="s">
        <v>100</v>
      </c>
    </row>
    <row r="66" spans="1:2">
      <c r="A66" t="s">
        <v>1120</v>
      </c>
      <c r="B66" s="3" t="s">
        <v>102</v>
      </c>
    </row>
    <row r="67" spans="1:2">
      <c r="A67" t="s">
        <v>1124</v>
      </c>
      <c r="B67" s="3" t="s">
        <v>104</v>
      </c>
    </row>
    <row r="68" spans="1:2">
      <c r="A68" t="s">
        <v>1446</v>
      </c>
      <c r="B68" s="3" t="s">
        <v>107</v>
      </c>
    </row>
    <row r="69" spans="1:2">
      <c r="A69" t="s">
        <v>1457</v>
      </c>
      <c r="B69" s="3" t="s">
        <v>111</v>
      </c>
    </row>
    <row r="70" spans="1:2">
      <c r="A70" t="s">
        <v>1463</v>
      </c>
      <c r="B70" s="3" t="s">
        <v>114</v>
      </c>
    </row>
    <row r="71" spans="1:2">
      <c r="A71" t="s">
        <v>1470</v>
      </c>
      <c r="B71" s="3" t="s">
        <v>117</v>
      </c>
    </row>
    <row r="72" spans="1:2">
      <c r="A72" t="s">
        <v>1477</v>
      </c>
      <c r="B72" s="3" t="s">
        <v>120</v>
      </c>
    </row>
    <row r="73" spans="1:2">
      <c r="A73" t="s">
        <v>1481</v>
      </c>
      <c r="B73" s="3" t="s">
        <v>123</v>
      </c>
    </row>
    <row r="74" spans="1:2">
      <c r="A74" t="s">
        <v>1485</v>
      </c>
      <c r="B74" s="3" t="s">
        <v>126</v>
      </c>
    </row>
    <row r="75" spans="1:2">
      <c r="A75" t="s">
        <v>1492</v>
      </c>
      <c r="B75" s="3" t="s">
        <v>129</v>
      </c>
    </row>
    <row r="76" spans="1:2">
      <c r="A76" t="s">
        <v>869</v>
      </c>
      <c r="B76" s="3" t="s">
        <v>131</v>
      </c>
    </row>
    <row r="77" spans="1:2">
      <c r="A77" t="s">
        <v>1126</v>
      </c>
      <c r="B77" s="3" t="s">
        <v>134</v>
      </c>
    </row>
    <row r="78" spans="1:2">
      <c r="A78" t="s">
        <v>771</v>
      </c>
      <c r="B78" s="3" t="s">
        <v>137</v>
      </c>
    </row>
    <row r="79" spans="1:2">
      <c r="A79" t="s">
        <v>773</v>
      </c>
      <c r="B79" s="3" t="s">
        <v>140</v>
      </c>
    </row>
    <row r="80" spans="1:2">
      <c r="A80" t="s">
        <v>782</v>
      </c>
      <c r="B80" s="3" t="s">
        <v>142</v>
      </c>
    </row>
    <row r="81" spans="1:2">
      <c r="A81" t="s">
        <v>353</v>
      </c>
      <c r="B81" s="3" t="s">
        <v>210</v>
      </c>
    </row>
    <row r="82" spans="1:2">
      <c r="A82" t="s">
        <v>360</v>
      </c>
      <c r="B82" s="3" t="s">
        <v>213</v>
      </c>
    </row>
    <row r="83" spans="1:2">
      <c r="A83" t="s">
        <v>361</v>
      </c>
      <c r="B83" s="3" t="s">
        <v>215</v>
      </c>
    </row>
    <row r="84" spans="1:2">
      <c r="A84" t="s">
        <v>363</v>
      </c>
      <c r="B84" s="3" t="s">
        <v>217</v>
      </c>
    </row>
    <row r="85" spans="1:2">
      <c r="A85" t="s">
        <v>369</v>
      </c>
      <c r="B85" s="3" t="s">
        <v>220</v>
      </c>
    </row>
    <row r="86" spans="1:2">
      <c r="A86" t="s">
        <v>370</v>
      </c>
      <c r="B86" s="3" t="s">
        <v>222</v>
      </c>
    </row>
  </sheetData>
  <autoFilter ref="A1:B80" xr:uid="{553D5E17-5EFA-44A3-B131-4314E88999D0}">
    <sortState xmlns:xlrd2="http://schemas.microsoft.com/office/spreadsheetml/2017/richdata2" ref="A2:B80">
      <sortCondition ref="A1:A80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7e3203-3efa-47a6-abc8-0ccec7eee051">
      <Terms xmlns="http://schemas.microsoft.com/office/infopath/2007/PartnerControls"/>
    </lcf76f155ced4ddcb4097134ff3c332f>
    <TaxCatchAll xmlns="c1724d12-5a26-41a3-848a-c8ca2d38410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E3906AF5772244692FE229650D5062F" ma:contentTypeVersion="12" ma:contentTypeDescription="Crie um novo documento." ma:contentTypeScope="" ma:versionID="7c57761251376a69a76e2567a972edd6">
  <xsd:schema xmlns:xsd="http://www.w3.org/2001/XMLSchema" xmlns:xs="http://www.w3.org/2001/XMLSchema" xmlns:p="http://schemas.microsoft.com/office/2006/metadata/properties" xmlns:ns2="8e7e3203-3efa-47a6-abc8-0ccec7eee051" xmlns:ns3="c1724d12-5a26-41a3-848a-c8ca2d384104" targetNamespace="http://schemas.microsoft.com/office/2006/metadata/properties" ma:root="true" ma:fieldsID="cb83cd2672f9d45b31a8b27ba66d27f8" ns2:_="" ns3:_="">
    <xsd:import namespace="8e7e3203-3efa-47a6-abc8-0ccec7eee051"/>
    <xsd:import namespace="c1724d12-5a26-41a3-848a-c8ca2d3841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7e3203-3efa-47a6-abc8-0ccec7eee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8f2713c-041b-42da-bb5a-d1146dd82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724d12-5a26-41a3-848a-c8ca2d384104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b5bc9c8f-7206-4272-b8e7-37c9f9d3b777}" ma:internalName="TaxCatchAll" ma:showField="CatchAllData" ma:web="c1724d12-5a26-41a3-848a-c8ca2d3841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8B7179-627A-475A-AF6B-ADB7BE839939}"/>
</file>

<file path=customXml/itemProps2.xml><?xml version="1.0" encoding="utf-8"?>
<ds:datastoreItem xmlns:ds="http://schemas.openxmlformats.org/officeDocument/2006/customXml" ds:itemID="{C8C3770B-87DC-4EE1-B26B-319DDE8B516F}"/>
</file>

<file path=customXml/itemProps3.xml><?xml version="1.0" encoding="utf-8"?>
<ds:datastoreItem xmlns:ds="http://schemas.openxmlformats.org/officeDocument/2006/customXml" ds:itemID="{0638CDCA-0492-4DA1-8A00-DC163DF7A2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Nadia Gabrielle Silva Sales</dc:creator>
  <cp:keywords/>
  <dc:description/>
  <cp:lastModifiedBy/>
  <cp:revision/>
  <dcterms:created xsi:type="dcterms:W3CDTF">2015-06-05T18:19:34Z</dcterms:created>
  <dcterms:modified xsi:type="dcterms:W3CDTF">2026-01-30T12:55:31Z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0x010100AE3906AF5772244692FE229650D5062F</vt:lpwstr>
  </property>
  <property fmtid="{D5CDD505-2E9C-101B-9397-08002B2CF9AE}" pid="3" name="MediaServiceImageTags">
    <vt:lpwstr/>
  </property>
</Properties>
</file>